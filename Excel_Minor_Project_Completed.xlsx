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worksheets/sheet9.xml" ContentType="application/vnd.openxmlformats-officedocument.spreadsheetml.worksheet+xml"/>
  <Override PartName="/xl/comments/comment3.xml" ContentType="application/vnd.openxmlformats-officedocument.spreadsheetml.comments+xml"/>
  <Override PartName="/xl/worksheets/sheet10.xml" ContentType="application/vnd.openxmlformats-officedocument.spreadsheetml.worksheet+xml"/>
  <Override PartName="/xl/comments/comment4.xml" ContentType="application/vnd.openxmlformats-officedocument.spreadsheetml.comments+xml"/>
  <Override PartName="/xl/worksheets/sheet11.xml" ContentType="application/vnd.openxmlformats-officedocument.spreadsheetml.worksheet+xml"/>
  <Override PartName="/xl/comments/comment5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1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Orders" sheetId="2" state="visible" r:id="rId2"/>
    <sheet xmlns:r="http://schemas.openxmlformats.org/officeDocument/2006/relationships" name="Customers" sheetId="3" state="visible" r:id="rId3"/>
    <sheet xmlns:r="http://schemas.openxmlformats.org/officeDocument/2006/relationships" name="Products" sheetId="4" state="visible" r:id="rId4"/>
    <sheet xmlns:r="http://schemas.openxmlformats.org/officeDocument/2006/relationships" name="Sales_Reps" sheetId="5" state="visible" r:id="rId5"/>
    <sheet xmlns:r="http://schemas.openxmlformats.org/officeDocument/2006/relationships" name="Targets" sheetId="6" state="visible" r:id="rId6"/>
    <sheet xmlns:r="http://schemas.openxmlformats.org/officeDocument/2006/relationships" name="Q1_Lookups" sheetId="7" state="visible" r:id="rId7"/>
    <sheet xmlns:r="http://schemas.openxmlformats.org/officeDocument/2006/relationships" name="Q2_Cleaning" sheetId="8" state="visible" r:id="rId8"/>
    <sheet xmlns:r="http://schemas.openxmlformats.org/officeDocument/2006/relationships" name="Q3_Aggregation" sheetId="9" state="visible" r:id="rId9"/>
    <sheet xmlns:r="http://schemas.openxmlformats.org/officeDocument/2006/relationships" name="Q4_Pivot" sheetId="10" state="visible" r:id="rId10"/>
    <sheet xmlns:r="http://schemas.openxmlformats.org/officeDocument/2006/relationships" name="Q5_Advanced" sheetId="11" state="visible" r:id="rId11"/>
    <sheet xmlns:r="http://schemas.openxmlformats.org/officeDocument/2006/relationships" name="Analysis_Helper" sheetId="12" state="visible" r:id="rId12"/>
    <sheet xmlns:r="http://schemas.openxmlformats.org/officeDocument/2006/relationships" name="Pivot_Analysis" sheetId="13" state="visible" r:id="rId13"/>
  </sheets>
  <definedNames>
    <definedName name="_xlnm.Print_Titles" localSheetId="1">'Orders'!$1:$1</definedName>
    <definedName name="_xlnm.Print_Area" localSheetId="1">'Orders'!$A$1:$K$2001</definedName>
    <definedName name="_xlnm.Print_Titles" localSheetId="2">'Customers'!$1:$1</definedName>
    <definedName name="_xlnm.Print_Area" localSheetId="2">'Customers'!$A$1:$F$301</definedName>
    <definedName name="_xlnm.Print_Titles" localSheetId="3">'Products'!$1:$1</definedName>
    <definedName name="_xlnm.Print_Area" localSheetId="3">'Products'!$A$1:$F$61</definedName>
    <definedName name="_xlnm.Print_Titles" localSheetId="4">'Sales_Reps'!$1:$1</definedName>
    <definedName name="_xlnm.Print_Area" localSheetId="4">'Sales_Reps'!$A$1:$E$31</definedName>
    <definedName name="_xlnm.Print_Titles" localSheetId="5">'Targets'!$1:$1</definedName>
    <definedName name="_xlnm.Print_Area" localSheetId="5">'Targets'!$A$1:$M$31</definedName>
  </definedNames>
  <calcPr calcId="124519" calcMode="auto" fullCalcOnLoad="1" refMode="A1" iterate="0" iterateCount="100" iterateDelta="0.0001" forceFullCalc="1"/>
</workbook>
</file>

<file path=xl/styles.xml><?xml version="1.0" encoding="utf-8"?>
<styleSheet xmlns="http://schemas.openxmlformats.org/spreadsheetml/2006/main">
  <numFmts count="4">
    <numFmt numFmtId="164" formatCode="yyyy\-mm\-dd"/>
    <numFmt numFmtId="165" formatCode="\₹#,##0.00"/>
    <numFmt numFmtId="166" formatCode="mmm\-yy"/>
    <numFmt numFmtId="167" formatCode="₹#,##0.00"/>
  </numFmts>
  <fonts count="2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79"/>
      <sz val="16"/>
    </font>
    <font>
      <name val="Arial"/>
      <charset val="1"/>
      <family val="0"/>
      <b val="1"/>
      <color rgb="FF1F4E79"/>
      <sz val="13"/>
    </font>
    <font>
      <name val="Arial"/>
      <charset val="1"/>
      <family val="0"/>
      <i val="1"/>
      <color rgb="FF595959"/>
      <sz val="10"/>
    </font>
    <font>
      <name val="Arial"/>
      <charset val="1"/>
      <family val="0"/>
      <b val="1"/>
      <color rgb="FF1F4E79"/>
      <sz val="12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000000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FFFFFF"/>
      <sz val="16"/>
    </font>
    <font>
      <name val="Arial"/>
      <charset val="1"/>
      <family val="0"/>
      <i val="1"/>
      <color rgb="FF1F4E79"/>
      <sz val="10"/>
    </font>
    <font>
      <name val="Arial"/>
      <charset val="1"/>
      <family val="0"/>
      <b val="1"/>
      <color rgb="FF1F4E79"/>
      <sz val="10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1F4E79"/>
      <sz val="11"/>
    </font>
    <font>
      <name val="Arial"/>
      <charset val="1"/>
      <family val="0"/>
      <b val="1"/>
      <color rgb="FFFFFFFF"/>
      <sz val="10"/>
    </font>
    <font>
      <name val="Arial"/>
      <family val="2"/>
      <sz val="10"/>
    </font>
    <font>
      <name val="Cambria"/>
      <charset val="1"/>
      <family val="0"/>
      <b val="1"/>
      <sz val="11"/>
    </font>
    <font>
      <name val="Cambria"/>
      <charset val="1"/>
      <family val="0"/>
      <b val="1"/>
      <sz val="12"/>
    </font>
    <font>
      <b val="1"/>
    </font>
  </fonts>
  <fills count="8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E699"/>
        <bgColor rgb="FFFFF2CC"/>
      </patternFill>
    </fill>
    <fill>
      <patternFill patternType="solid">
        <fgColor rgb="FFFFF2CC"/>
        <bgColor rgb="FFE2F0D9"/>
      </patternFill>
    </fill>
    <fill>
      <patternFill patternType="solid">
        <fgColor rgb="FFD9EAF7"/>
        <bgColor rgb="FFE2F0D9"/>
      </patternFill>
    </fill>
    <fill>
      <patternFill patternType="solid">
        <fgColor rgb="FFE2F0D9"/>
        <bgColor rgb="FFD9EAF7"/>
      </patternFill>
    </fill>
    <fill>
      <patternFill patternType="solid">
        <fgColor rgb="00D9EAF7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9" fillId="2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0" fontId="11" fillId="3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left" vertical="center"/>
    </xf>
    <xf numFmtId="0" fontId="9" fillId="2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bottom"/>
    </xf>
    <xf numFmtId="164" fontId="10" fillId="0" borderId="1" applyAlignment="1" pivotButton="0" quotePrefix="0" xfId="0">
      <alignment horizontal="left" vertical="bottom"/>
    </xf>
    <xf numFmtId="0" fontId="10" fillId="0" borderId="1" applyAlignment="1" pivotButton="0" quotePrefix="0" xfId="0">
      <alignment horizontal="right" vertical="bottom"/>
    </xf>
    <xf numFmtId="0" fontId="10" fillId="0" borderId="1" applyAlignment="1" pivotButton="0" quotePrefix="0" xfId="0">
      <alignment horizontal="left" vertical="bottom"/>
    </xf>
    <xf numFmtId="0" fontId="12" fillId="2" borderId="2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general" vertical="bottom"/>
    </xf>
    <xf numFmtId="0" fontId="9" fillId="2" borderId="2" applyAlignment="1" pivotButton="0" quotePrefix="0" xfId="0">
      <alignment horizontal="center" vertical="center"/>
    </xf>
    <xf numFmtId="0" fontId="14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center" vertical="center"/>
    </xf>
    <xf numFmtId="0" fontId="15" fillId="0" borderId="2" applyAlignment="1" pivotButton="0" quotePrefix="0" xfId="0">
      <alignment horizontal="left" vertical="center" wrapText="1"/>
    </xf>
    <xf numFmtId="0" fontId="11" fillId="4" borderId="2" applyAlignment="1" pivotButton="0" quotePrefix="0" xfId="0">
      <alignment horizontal="center" vertical="center"/>
    </xf>
    <xf numFmtId="0" fontId="15" fillId="0" borderId="2" applyAlignment="1" pivotButton="0" quotePrefix="0" xfId="0">
      <alignment horizontal="center" vertical="center"/>
    </xf>
    <xf numFmtId="3" fontId="11" fillId="4" borderId="2" applyAlignment="1" pivotButton="0" quotePrefix="0" xfId="0">
      <alignment horizontal="center" vertical="center"/>
    </xf>
    <xf numFmtId="0" fontId="16" fillId="0" borderId="0" applyAlignment="1" pivotButton="0" quotePrefix="0" xfId="0">
      <alignment horizontal="general" vertical="bottom"/>
    </xf>
    <xf numFmtId="0" fontId="17" fillId="2" borderId="1" applyAlignment="1" pivotButton="0" quotePrefix="0" xfId="0">
      <alignment horizontal="center" vertical="bottom"/>
    </xf>
    <xf numFmtId="0" fontId="8" fillId="0" borderId="1" applyAlignment="1" pivotButton="0" quotePrefix="0" xfId="0">
      <alignment horizontal="center" vertical="bottom"/>
    </xf>
    <xf numFmtId="1" fontId="11" fillId="4" borderId="2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165" fontId="11" fillId="4" borderId="2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 wrapText="1"/>
    </xf>
    <xf numFmtId="165" fontId="11" fillId="4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10" fontId="11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9" fillId="5" borderId="0" applyAlignment="1" pivotButton="0" quotePrefix="0" xfId="0">
      <alignment horizontal="general" vertical="bottom"/>
    </xf>
    <xf numFmtId="0" fontId="19" fillId="6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166" fontId="0" fillId="0" borderId="0" applyAlignment="1" pivotButton="0" quotePrefix="0" xfId="0">
      <alignment horizontal="general" vertical="bottom"/>
    </xf>
    <xf numFmtId="4" fontId="0" fillId="0" borderId="0" applyAlignment="1" pivotButton="0" quotePrefix="0" xfId="0">
      <alignment horizontal="general" vertical="bottom"/>
    </xf>
    <xf numFmtId="4" fontId="0" fillId="0" borderId="0" applyAlignment="1" pivotButton="0" quotePrefix="0" xfId="0">
      <alignment horizontal="general" vertical="bottom" wrapText="1"/>
    </xf>
    <xf numFmtId="0" fontId="20" fillId="0" borderId="0" applyAlignment="1" pivotButton="0" quotePrefix="0" xfId="0">
      <alignment horizontal="general" vertical="bottom"/>
    </xf>
    <xf numFmtId="1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2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0" fontId="11" fillId="3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left" vertical="center"/>
    </xf>
    <xf numFmtId="0" fontId="9" fillId="2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bottom"/>
    </xf>
    <xf numFmtId="164" fontId="10" fillId="0" borderId="1" applyAlignment="1" pivotButton="0" quotePrefix="0" xfId="0">
      <alignment horizontal="left" vertical="bottom"/>
    </xf>
    <xf numFmtId="0" fontId="10" fillId="0" borderId="1" applyAlignment="1" pivotButton="0" quotePrefix="0" xfId="0">
      <alignment horizontal="right" vertical="bottom"/>
    </xf>
    <xf numFmtId="0" fontId="12" fillId="2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13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general" vertical="bottom"/>
    </xf>
    <xf numFmtId="0" fontId="9" fillId="2" borderId="2" applyAlignment="1" pivotButton="0" quotePrefix="0" xfId="0">
      <alignment horizontal="center" vertical="center"/>
    </xf>
    <xf numFmtId="0" fontId="14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center" vertical="center"/>
    </xf>
    <xf numFmtId="0" fontId="15" fillId="0" borderId="2" applyAlignment="1" pivotButton="0" quotePrefix="0" xfId="0">
      <alignment horizontal="left" vertical="center" wrapText="1"/>
    </xf>
    <xf numFmtId="0" fontId="11" fillId="4" borderId="2" applyAlignment="1" pivotButton="0" quotePrefix="0" xfId="0">
      <alignment horizontal="center" vertical="center"/>
    </xf>
    <xf numFmtId="0" fontId="15" fillId="0" borderId="2" applyAlignment="1" pivotButton="0" quotePrefix="0" xfId="0">
      <alignment horizontal="center" vertical="center"/>
    </xf>
    <xf numFmtId="3" fontId="11" fillId="4" borderId="2" applyAlignment="1" pivotButton="0" quotePrefix="0" xfId="0">
      <alignment horizontal="center" vertical="center"/>
    </xf>
    <xf numFmtId="0" fontId="16" fillId="0" borderId="0" applyAlignment="1" pivotButton="0" quotePrefix="0" xfId="0">
      <alignment horizontal="general" vertical="bottom"/>
    </xf>
    <xf numFmtId="0" fontId="17" fillId="2" borderId="1" applyAlignment="1" pivotButton="0" quotePrefix="0" xfId="0">
      <alignment horizontal="center" vertical="bottom"/>
    </xf>
    <xf numFmtId="0" fontId="8" fillId="0" borderId="1" applyAlignment="1" pivotButton="0" quotePrefix="0" xfId="0">
      <alignment horizontal="center" vertical="bottom"/>
    </xf>
    <xf numFmtId="1" fontId="11" fillId="4" borderId="2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165" fontId="11" fillId="4" borderId="2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 wrapText="1"/>
    </xf>
    <xf numFmtId="165" fontId="11" fillId="4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10" fontId="11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9" fillId="5" borderId="0" applyAlignment="1" pivotButton="0" quotePrefix="0" xfId="0">
      <alignment horizontal="general" vertical="bottom"/>
    </xf>
    <xf numFmtId="0" fontId="19" fillId="6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21" fillId="7" borderId="0" pivotButton="0" quotePrefix="0" xfId="0"/>
    <xf numFmtId="166" fontId="0" fillId="0" borderId="0" applyAlignment="1" pivotButton="0" quotePrefix="0" xfId="0">
      <alignment horizontal="general" vertical="bottom"/>
    </xf>
    <xf numFmtId="4" fontId="0" fillId="0" borderId="0" applyAlignment="1" pivotButton="0" quotePrefix="0" xfId="0">
      <alignment horizontal="general" vertical="bottom"/>
    </xf>
    <xf numFmtId="4" fontId="0" fillId="0" borderId="0" applyAlignment="1" pivotButton="0" quotePrefix="0" xfId="0">
      <alignment horizontal="general" vertical="bottom" wrapText="1"/>
    </xf>
    <xf numFmtId="0" fontId="20" fillId="0" borderId="0" applyAlignment="1" pivotButton="0" quotePrefix="0" xfId="0">
      <alignment horizontal="general" vertical="bottom"/>
    </xf>
    <xf numFmtId="10" fontId="0" fillId="0" borderId="0" applyAlignment="1" pivotButton="0" quotePrefix="0" xfId="0">
      <alignment horizontal="general" vertical="bottom"/>
    </xf>
    <xf numFmtId="167" fontId="11" fillId="4" borderId="2" applyAlignment="1" pivotButton="0" quotePrefix="0" xfId="0">
      <alignment horizontal="center" vertical="center"/>
    </xf>
    <xf numFmtId="167" fontId="11" fillId="4" borderId="1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E6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omments/comment1.xml><?xml version="1.0" encoding="utf-8"?>
<comments xmlns="http://schemas.openxmlformats.org/spreadsheetml/2006/main">
  <authors>
    <author>OpenAI</author>
  </authors>
  <commentList>
    <comment ref="E5" authorId="0" shapeId="0">
      <text>
        <t>VLOOKUP on Orders to return customer_id.</t>
      </text>
    </comment>
    <comment ref="E6" authorId="0" shapeId="0">
      <text>
        <t>Nested VLOOKUP: order -&gt; product_id -&gt; product_name.</t>
      </text>
    </comment>
    <comment ref="E7" authorId="0" shapeId="0">
      <text>
        <t>INDEX/MATCH: order -&gt; sales_rep_id -&gt; rep_name.</t>
      </text>
    </comment>
    <comment ref="E8" authorId="0" shapeId="0">
      <text>
        <t>Two-way INDEX/MATCH lookup in Targets.</t>
      </text>
    </comment>
    <comment ref="E9" authorId="0" shapeId="0">
      <text>
        <t>Nested VLOOKUP: order -&gt; product_id -&gt; category.</t>
      </text>
    </comment>
    <comment ref="E10" authorId="0" shapeId="0">
      <text>
        <t>Approximate VLOOKUP using the discount slab lower bounds.</t>
      </text>
    </comment>
    <comment ref="E11" authorId="0" shapeId="0">
      <text>
        <t>Lookup rep name and region, then concatenate.</t>
      </text>
    </comment>
    <comment ref="E12" authorId="0" shapeId="0">
      <text>
        <t>Self-join: R017 -&gt; team_lead_id -&gt; team lead rep_name.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E5" authorId="0" shapeId="0">
      <text>
        <t>SUMPRODUCT counts distinct order_id values whose frequency is greater than 1.</t>
      </text>
    </comment>
    <comment ref="E6" authorId="0" shapeId="0">
      <text>
        <t>COUNTIF over a helper boolean that compares LEN with LEN(TRIM()).</t>
      </text>
    </comment>
    <comment ref="E7" authorId="0" shapeId="0">
      <text>
        <t>Standardized city values in Analysis_Helper, then SUMPRODUCT(1/COUNTIF(...)).</t>
      </text>
    </comment>
    <comment ref="E8" authorId="0" shapeId="0">
      <text>
        <t>MATCH against Customers and count #N/A results.</t>
      </text>
    </comment>
    <comment ref="E9" authorId="0" shapeId="0">
      <text>
        <t>Lookup is_active in the helper and count FALSE.</t>
      </text>
    </comment>
    <comment ref="E10" authorId="0" shapeId="0">
      <text>
        <t>COUNTIFS for Cancelled orders with discount_pct &gt; 20.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E5" authorId="0" shapeId="0">
      <text>
        <t>SUMIFS with Q3 date bounds and standardized Mumbai city.</t>
      </text>
    </comment>
    <comment ref="E6" authorId="0" shapeId="0">
      <text>
        <t>COUNTIFS: discount_pct &gt; 15 and payment_status = Completed.</t>
      </text>
    </comment>
    <comment ref="E7" authorId="0" shapeId="0">
      <text>
        <t>AVERAGEIFS using product category and customer segment helper columns.</t>
      </text>
    </comment>
    <comment ref="E8" authorId="0" shapeId="0">
      <text>
        <t>Rep totals in Pivot_Analysis, then sum the three largest totals.</t>
      </text>
    </comment>
    <comment ref="E9" authorId="0" shapeId="0">
      <text>
        <t>Actual R015 Nov-24 revenue divided by Nov-24 target, classified by the requested thresholds.</t>
      </text>
    </comment>
    <comment ref="E10" authorId="0" shapeId="0">
      <text>
        <t>SUMIFS using Corporate segment and customer age 30 through 40.</t>
      </text>
    </comment>
  </commentList>
</comments>
</file>

<file path=xl/comments/comment4.xml><?xml version="1.0" encoding="utf-8"?>
<comments xmlns="http://schemas.openxmlformats.org/spreadsheetml/2006/main">
  <authors>
    <author>OpenAI</author>
  </authors>
  <commentList>
    <comment ref="E5" authorId="0" shapeId="0">
      <text>
        <t>Region/category revenue cross-tab; South x Electronics.</t>
      </text>
    </comment>
    <comment ref="E6" authorId="0" shapeId="0">
      <text>
        <t>Monthly x sales-rep pivot in Pivot_Analysis; MAX over all cells.</t>
      </text>
    </comment>
    <comment ref="E7" authorId="0" shapeId="0">
      <text>
        <t>North Apparel revenue divided by North total revenue.</t>
      </text>
    </comment>
    <comment ref="E8" authorId="0" shapeId="0">
      <text>
        <t>SUMIFS for Oct-Dec 2024.</t>
      </text>
    </comment>
    <comment ref="E9" authorId="0" shapeId="0">
      <text>
        <t>Average order-level profit margin for Delhi: (unit_price - unit_cost) / unit_price.</t>
      </text>
    </comment>
  </commentList>
</comments>
</file>

<file path=xl/comments/comment5.xml><?xml version="1.0" encoding="utf-8"?>
<comments xmlns="http://schemas.openxmlformats.org/spreadsheetml/2006/main">
  <authors>
    <author>OpenAI</author>
  </authors>
  <commentList>
    <comment ref="E5" authorId="0" shapeId="0">
      <text>
        <t>Rep totals ranked descending; return the rep at position 7.</t>
      </text>
    </comment>
    <comment ref="E6" authorId="0" shapeId="0">
      <text>
        <t>SUMIFS of final_amount through 31-Aug-2024.</t>
      </text>
    </comment>
    <comment ref="E7" authorId="0" shapeId="0">
      <text>
        <t>West-region revenue aggregated by product; return the second-largest product total.</t>
      </text>
    </comment>
    <comment ref="E8" authorId="0" shapeId="0">
      <text>
        <t>TEXTJOIN of the five highest rep totals.</t>
      </text>
    </comment>
    <comment ref="E9" authorId="0" shapeId="0">
      <text>
        <t>MAXIFS for Bengaluru orders in Grocery category.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7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H47"/>
  <sheetViews>
    <sheetView showFormulas="0" showGridLines="1" showRowColHeaders="1" showZeros="1" rightToLeft="0" tabSelected="0" showOutlineSymbols="1" defaultGridColor="1" view="normal" topLeftCell="A33" colorId="64" zoomScale="100" zoomScaleNormal="100" zoomScalePageLayoutView="100" workbookViewId="0">
      <selection pane="topLeft" activeCell="A3" activeCellId="0" sqref="A3"/>
    </sheetView>
  </sheetViews>
  <sheetFormatPr baseColWidth="8" defaultColWidth="8.6796875" defaultRowHeight="14.25" customHeight="1" zeroHeight="0" outlineLevelRow="0"/>
  <cols>
    <col width="14" customWidth="1" style="55" min="1" max="1"/>
    <col width="26" customWidth="1" style="55" min="2" max="2"/>
    <col width="42" customWidth="1" style="55" min="3" max="3"/>
    <col width="30" customWidth="1" style="55" min="4" max="4"/>
    <col width="15" customWidth="1" style="55" min="5" max="8"/>
  </cols>
  <sheetData>
    <row r="1" ht="19.5" customHeight="1" s="56">
      <c r="A1" s="57" t="inlineStr">
        <is>
          <t>THE UNLOX ACADEMY - DA/DS TRACK</t>
        </is>
      </c>
    </row>
    <row r="2" ht="16.5" customHeight="1" s="56">
      <c r="A2" s="58" t="inlineStr">
        <is>
          <t>Excel Minor Project - Sales Operations Analytics</t>
        </is>
      </c>
    </row>
    <row r="3" ht="14.25" customHeight="1" s="56">
      <c r="A3" s="59" t="inlineStr">
        <is>
          <t>Interview-Grade Data Analytics Assessment · 100 Marks</t>
        </is>
      </c>
    </row>
    <row r="5" ht="15" customHeight="1" s="56">
      <c r="A5" s="60" t="inlineStr">
        <is>
          <t>THE SCENARIO</t>
        </is>
      </c>
    </row>
    <row r="6" ht="14.25" customHeight="1" s="56">
      <c r="A6" s="61" t="inlineStr">
        <is>
          <t>You have just joined the analytics team at a fast-growing multi-category retailer operating across 6 Indian cities.</t>
        </is>
      </c>
    </row>
    <row r="7" ht="14.25" customHeight="1" s="56">
      <c r="A7" s="61" t="inlineStr">
        <is>
          <t>The head of sales has handed you 5 raw data files - Orders, Customers, Products, Sales Reps, and Targets - and asked</t>
        </is>
      </c>
    </row>
    <row r="8" ht="14.25" customHeight="1" s="56">
      <c r="A8" s="61" t="inlineStr">
        <is>
          <t>you to answer a set of business questions before the leadership review tomorrow morning.</t>
        </is>
      </c>
    </row>
    <row r="9" ht="14.25" customHeight="1" s="56">
      <c r="A9" s="61" t="n"/>
    </row>
    <row r="10" ht="14.25" customHeight="1" s="56">
      <c r="A10" s="61" t="inlineStr">
        <is>
          <t>The data is REAL-WORLD messy: duplicates, missing references, inconsistent case, invalid records, discontinued SKUs.</t>
        </is>
      </c>
    </row>
    <row r="11" ht="14.25" customHeight="1" s="56">
      <c r="A11" s="61" t="inlineStr">
        <is>
          <t>Part of the assessment is spotting and handling these issues correctly. A wrong-looking answer isn't always wrong -</t>
        </is>
      </c>
    </row>
    <row r="12" ht="14.25" customHeight="1" s="56">
      <c r="A12" s="61" t="inlineStr">
        <is>
          <t>sometimes the data itself is telling a story.</t>
        </is>
      </c>
    </row>
    <row r="14" ht="15" customHeight="1" s="56">
      <c r="A14" s="60" t="inlineStr">
        <is>
          <t>RULES OF THE ASSESSMENT</t>
        </is>
      </c>
    </row>
    <row r="15" ht="14.25" customHeight="1" s="56">
      <c r="A15" s="61" t="inlineStr">
        <is>
          <t>1. Write your answer in the YELLOW cells on each question sheet. Empty answer cell = 0 marks.</t>
        </is>
      </c>
    </row>
    <row r="16" ht="14.25" customHeight="1" s="56">
      <c r="A16" s="61" t="inlineStr">
        <is>
          <t>2. You may use ANY Excel feature: formulas, PivotTables, PivotCharts, filters, sorting, helper columns.</t>
        </is>
      </c>
    </row>
    <row r="17" ht="14.25" customHeight="1" s="56">
      <c r="A17" s="61" t="inlineStr">
        <is>
          <t>3. Formulas preferred over hardcoded values. If a data value changes, your answer should recalculate.</t>
        </is>
      </c>
    </row>
    <row r="18" ht="14.25" customHeight="1" s="56">
      <c r="A18" s="61" t="inlineStr">
        <is>
          <t>4. Partial credit is awarded - a right approach with a small error scores more than a blank cell.</t>
        </is>
      </c>
    </row>
    <row r="19" ht="14.25" customHeight="1" s="56">
      <c r="A19" s="61" t="inlineStr">
        <is>
          <t>5. Do not modify the DATA sheets. If cleaning is needed, use helper columns or a scratch area.</t>
        </is>
      </c>
    </row>
    <row r="20" ht="14.25" customHeight="1" s="56">
      <c r="A20" s="61" t="inlineStr">
        <is>
          <t>6. Time management matters - attempt every section, perfect none if needed.</t>
        </is>
      </c>
    </row>
    <row r="22" ht="15" customHeight="1" s="56">
      <c r="A22" s="60" t="inlineStr">
        <is>
          <t>MARKS DISTRIBUTION</t>
        </is>
      </c>
    </row>
    <row r="23" ht="14.25" customHeight="1" s="56">
      <c r="A23" s="62" t="inlineStr">
        <is>
          <t>Section</t>
        </is>
      </c>
      <c r="B23" s="63" t="inlineStr">
        <is>
          <t>Topic</t>
        </is>
      </c>
      <c r="C23" s="62" t="inlineStr">
        <is>
          <t>Questions</t>
        </is>
      </c>
      <c r="D23" s="62" t="inlineStr">
        <is>
          <t>Marks</t>
        </is>
      </c>
    </row>
    <row r="24" ht="14.25" customHeight="1" s="56">
      <c r="A24" s="64" t="inlineStr">
        <is>
          <t>Q1</t>
        </is>
      </c>
      <c r="B24" s="65" t="inlineStr">
        <is>
          <t>Lookup Functions (VLOOKUP, INDEX-MATCH, chained lookups)</t>
        </is>
      </c>
      <c r="C24" s="64" t="inlineStr">
        <is>
          <t>8</t>
        </is>
      </c>
      <c r="D24" s="64" t="inlineStr">
        <is>
          <t>25</t>
        </is>
      </c>
    </row>
    <row r="25" ht="14.25" customHeight="1" s="56">
      <c r="A25" s="64" t="inlineStr">
        <is>
          <t>Q2</t>
        </is>
      </c>
      <c r="B25" s="65" t="inlineStr">
        <is>
          <t>Data Cleaning &amp; Quality Diagnostics</t>
        </is>
      </c>
      <c r="C25" s="64" t="inlineStr">
        <is>
          <t>6</t>
        </is>
      </c>
      <c r="D25" s="64" t="inlineStr">
        <is>
          <t>20</t>
        </is>
      </c>
    </row>
    <row r="26" ht="14.25" customHeight="1" s="56">
      <c r="A26" s="64" t="inlineStr">
        <is>
          <t>Q3</t>
        </is>
      </c>
      <c r="B26" s="65" t="inlineStr">
        <is>
          <t>Conditional Aggregation (SUMIFS, COUNTIFS, IF logic)</t>
        </is>
      </c>
      <c r="C26" s="64" t="inlineStr">
        <is>
          <t>6</t>
        </is>
      </c>
      <c r="D26" s="64" t="inlineStr">
        <is>
          <t>25</t>
        </is>
      </c>
    </row>
    <row r="27" ht="14.25" customHeight="1" s="56">
      <c r="A27" s="64" t="inlineStr">
        <is>
          <t>Q4</t>
        </is>
      </c>
      <c r="B27" s="65" t="inlineStr">
        <is>
          <t>Pivot Tables (2D pivots, % of total, calculated fields)</t>
        </is>
      </c>
      <c r="C27" s="64" t="inlineStr">
        <is>
          <t>5</t>
        </is>
      </c>
      <c r="D27" s="64" t="inlineStr">
        <is>
          <t>20</t>
        </is>
      </c>
    </row>
    <row r="28" ht="14.25" customHeight="1" s="56">
      <c r="A28" s="64" t="inlineStr">
        <is>
          <t>Q5</t>
        </is>
      </c>
      <c r="B28" s="65" t="inlineStr">
        <is>
          <t>Advanced (Ranking, Running Totals, Multi-condition)</t>
        </is>
      </c>
      <c r="C28" s="64" t="inlineStr">
        <is>
          <t>5</t>
        </is>
      </c>
      <c r="D28" s="64" t="inlineStr">
        <is>
          <t>10</t>
        </is>
      </c>
    </row>
    <row r="29" ht="14.25" customHeight="1" s="56">
      <c r="A29" s="66" t="n"/>
      <c r="B29" s="67" t="inlineStr">
        <is>
          <t>TOTAL</t>
        </is>
      </c>
      <c r="C29" s="66" t="inlineStr">
        <is>
          <t>30</t>
        </is>
      </c>
      <c r="D29" s="66" t="inlineStr">
        <is>
          <t>100</t>
        </is>
      </c>
    </row>
    <row r="32" ht="15" customHeight="1" s="56">
      <c r="A32" s="60" t="inlineStr">
        <is>
          <t>PERFORMANCE TIERS</t>
        </is>
      </c>
    </row>
    <row r="33" ht="14.25" customHeight="1" s="56">
      <c r="A33" s="62" t="inlineStr">
        <is>
          <t>Marks</t>
        </is>
      </c>
      <c r="B33" s="62" t="inlineStr">
        <is>
          <t>Tier</t>
        </is>
      </c>
      <c r="C33" s="63" t="inlineStr">
        <is>
          <t>Interview Verdict</t>
        </is>
      </c>
    </row>
    <row r="34" ht="14.25" customHeight="1" s="56">
      <c r="A34" s="64" t="inlineStr">
        <is>
          <t>85 - 100</t>
        </is>
      </c>
      <c r="B34" s="64" t="inlineStr">
        <is>
          <t>Excellent</t>
        </is>
      </c>
      <c r="C34" s="65" t="inlineStr">
        <is>
          <t>Round 1 clear - Excel not a concern</t>
        </is>
      </c>
    </row>
    <row r="35" ht="14.25" customHeight="1" s="56">
      <c r="A35" s="64" t="inlineStr">
        <is>
          <t>70 - 84</t>
        </is>
      </c>
      <c r="B35" s="64" t="inlineStr">
        <is>
          <t>Good</t>
        </is>
      </c>
      <c r="C35" s="65" t="inlineStr">
        <is>
          <t>Round 1 clear with minor gaps</t>
        </is>
      </c>
    </row>
    <row r="36" ht="14.25" customHeight="1" s="56">
      <c r="A36" s="64" t="inlineStr">
        <is>
          <t>55 - 69</t>
        </is>
      </c>
      <c r="B36" s="64" t="inlineStr">
        <is>
          <t>Borderline</t>
        </is>
      </c>
      <c r="C36" s="65" t="inlineStr">
        <is>
          <t>Round 1 uncertain - needs revision</t>
        </is>
      </c>
    </row>
    <row r="37" ht="14.25" customHeight="1" s="56">
      <c r="A37" s="64" t="inlineStr">
        <is>
          <t>40 - 54</t>
        </is>
      </c>
      <c r="B37" s="64" t="inlineStr">
        <is>
          <t>Weak</t>
        </is>
      </c>
      <c r="C37" s="65" t="inlineStr">
        <is>
          <t>Round 1 likely reject - 2 weeks of practice needed</t>
        </is>
      </c>
    </row>
    <row r="38" ht="14.25" customHeight="1" s="56">
      <c r="A38" s="64" t="inlineStr">
        <is>
          <t>&lt; 40</t>
        </is>
      </c>
      <c r="B38" s="64" t="inlineStr">
        <is>
          <t>Insufficient</t>
        </is>
      </c>
      <c r="C38" s="65" t="inlineStr">
        <is>
          <t>Round 1 reject - foundational gaps</t>
        </is>
      </c>
    </row>
    <row r="41" ht="15" customHeight="1" s="56">
      <c r="A41" s="60" t="inlineStr">
        <is>
          <t>DATA SHEETS OVERVIEW</t>
        </is>
      </c>
    </row>
    <row r="42" ht="14.25" customHeight="1" s="56">
      <c r="A42" s="68" t="inlineStr">
        <is>
          <t>Sheet</t>
        </is>
      </c>
      <c r="B42" s="68" t="inlineStr">
        <is>
          <t>Rows</t>
        </is>
      </c>
      <c r="C42" s="68" t="inlineStr">
        <is>
          <t>Key Columns</t>
        </is>
      </c>
      <c r="D42" s="68" t="inlineStr">
        <is>
          <t>Joins to</t>
        </is>
      </c>
    </row>
    <row r="43" ht="36.75" customHeight="1" s="56">
      <c r="A43" s="69" t="inlineStr">
        <is>
          <t>Orders</t>
        </is>
      </c>
      <c r="B43" s="69" t="inlineStr">
        <is>
          <t>~2000</t>
        </is>
      </c>
      <c r="C43" s="69" t="inlineStr">
        <is>
          <t>order_id, order_date, customer_id, product_id, sales_rep_id, quantity, unit_price, discount_pct, final_amount, payment_status, ship_city</t>
        </is>
      </c>
      <c r="D43" s="69" t="inlineStr">
        <is>
          <t>All others</t>
        </is>
      </c>
    </row>
    <row r="44" ht="24" customHeight="1" s="56">
      <c r="A44" s="69" t="inlineStr">
        <is>
          <t>Customers</t>
        </is>
      </c>
      <c r="B44" s="69" t="inlineStr">
        <is>
          <t>300</t>
        </is>
      </c>
      <c r="C44" s="69" t="inlineStr">
        <is>
          <t>customer_id (PK), customer_name, age, city, segment, signup_date</t>
        </is>
      </c>
      <c r="D44" s="69" t="inlineStr">
        <is>
          <t>Orders via customer_id</t>
        </is>
      </c>
    </row>
    <row r="45" ht="24" customHeight="1" s="56">
      <c r="A45" s="69" t="inlineStr">
        <is>
          <t>Products</t>
        </is>
      </c>
      <c r="B45" s="69" t="inlineStr">
        <is>
          <t>60</t>
        </is>
      </c>
      <c r="C45" s="69" t="inlineStr">
        <is>
          <t>product_id (PK), product_name, category, unit_cost, unit_price, is_active</t>
        </is>
      </c>
      <c r="D45" s="69" t="inlineStr">
        <is>
          <t>Orders via product_id</t>
        </is>
      </c>
    </row>
    <row r="46" ht="24" customHeight="1" s="56">
      <c r="A46" s="69" t="inlineStr">
        <is>
          <t>Sales_Reps</t>
        </is>
      </c>
      <c r="B46" s="69" t="inlineStr">
        <is>
          <t>30</t>
        </is>
      </c>
      <c r="C46" s="69" t="inlineStr">
        <is>
          <t>rep_id (PK), rep_name, region, hire_date, team_lead_id</t>
        </is>
      </c>
      <c r="D46" s="69" t="inlineStr">
        <is>
          <t>Orders via sales_rep_id, self-join via team_lead_id</t>
        </is>
      </c>
    </row>
    <row r="47" ht="24" customHeight="1" s="56">
      <c r="A47" s="69" t="inlineStr">
        <is>
          <t>Targets</t>
        </is>
      </c>
      <c r="B47" s="69" t="inlineStr">
        <is>
          <t>30 × 12</t>
        </is>
      </c>
      <c r="C47" s="69" t="inlineStr">
        <is>
          <t>rep_id (PK), Jan-24 through Dec-24 monthly target values</t>
        </is>
      </c>
      <c r="D47" s="69" t="inlineStr">
        <is>
          <t>Sales_Reps via rep_id</t>
        </is>
      </c>
    </row>
  </sheetData>
  <mergeCells count="14">
    <mergeCell ref="A9:H9"/>
    <mergeCell ref="A18:H18"/>
    <mergeCell ref="A12:H12"/>
    <mergeCell ref="A15:H15"/>
    <mergeCell ref="A7:H7"/>
    <mergeCell ref="A20:H20"/>
    <mergeCell ref="A5:F5"/>
    <mergeCell ref="A16:H16"/>
    <mergeCell ref="A10:H10"/>
    <mergeCell ref="A19:H19"/>
    <mergeCell ref="A11:H11"/>
    <mergeCell ref="A8:H8"/>
    <mergeCell ref="A6:H6"/>
    <mergeCell ref="A17:H17"/>
  </mergeCells>
  <printOptions horizontalCentered="0" verticalCentered="0" headings="0" gridLines="0" gridLinesSet="1"/>
  <pageMargins left="0.5" right="0.5" top="0.5" bottom="0.5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4472C4"/>
    <outlinePr summaryBelow="1" summaryRight="1"/>
    <pageSetUpPr fitToPage="1"/>
  </sheetPr>
  <dimension ref="A1:K200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baseColWidth="8" defaultColWidth="8.6796875" defaultRowHeight="14.25" customHeight="1" zeroHeight="0" outlineLevelRow="0"/>
  <cols>
    <col width="11" customWidth="1" style="55" min="1" max="1"/>
    <col width="12" customWidth="1" style="55" min="2" max="2"/>
    <col width="13" customWidth="1" style="55" min="3" max="3"/>
    <col width="12" customWidth="1" style="55" min="4" max="4"/>
    <col width="14" customWidth="1" style="55" min="5" max="5"/>
    <col width="10" customWidth="1" style="55" min="6" max="6"/>
    <col width="12" customWidth="1" style="55" min="7" max="7"/>
    <col width="14" customWidth="1" style="55" min="8" max="9"/>
    <col width="16" customWidth="1" style="55" min="10" max="10"/>
    <col width="11" customWidth="1" style="55" min="11" max="11"/>
  </cols>
  <sheetData>
    <row r="1" ht="14.25" customHeight="1" s="56">
      <c r="A1" s="62" t="inlineStr">
        <is>
          <t>order_id</t>
        </is>
      </c>
      <c r="B1" s="62" t="inlineStr">
        <is>
          <t>order_date</t>
        </is>
      </c>
      <c r="C1" s="62" t="inlineStr">
        <is>
          <t>customer_id</t>
        </is>
      </c>
      <c r="D1" s="62" t="inlineStr">
        <is>
          <t>product_id</t>
        </is>
      </c>
      <c r="E1" s="62" t="inlineStr">
        <is>
          <t>sales_rep_id</t>
        </is>
      </c>
      <c r="F1" s="62" t="inlineStr">
        <is>
          <t>quantity</t>
        </is>
      </c>
      <c r="G1" s="62" t="inlineStr">
        <is>
          <t>unit_price</t>
        </is>
      </c>
      <c r="H1" s="62" t="inlineStr">
        <is>
          <t>discount_pct</t>
        </is>
      </c>
      <c r="I1" s="62" t="inlineStr">
        <is>
          <t>final_amount</t>
        </is>
      </c>
      <c r="J1" s="62" t="inlineStr">
        <is>
          <t>payment_status</t>
        </is>
      </c>
      <c r="K1" s="62" t="inlineStr">
        <is>
          <t>ship_city</t>
        </is>
      </c>
    </row>
    <row r="2" ht="14.25" customHeight="1" s="56">
      <c r="A2" s="70" t="inlineStr">
        <is>
          <t>ORD-00001</t>
        </is>
      </c>
      <c r="B2" s="71" t="n">
        <v>45549</v>
      </c>
      <c r="C2" s="70" t="inlineStr">
        <is>
          <t>CUST-0243</t>
        </is>
      </c>
      <c r="D2" s="70" t="inlineStr">
        <is>
          <t>PROD-014</t>
        </is>
      </c>
      <c r="E2" s="70" t="inlineStr">
        <is>
          <t>R007</t>
        </is>
      </c>
      <c r="F2" s="72" t="n">
        <v>8</v>
      </c>
      <c r="G2" s="72" t="n">
        <v>3620</v>
      </c>
      <c r="H2" s="72" t="n">
        <v>15.4</v>
      </c>
      <c r="I2" s="72" t="n">
        <v>24500.16</v>
      </c>
      <c r="J2" s="70" t="inlineStr">
        <is>
          <t>Completed</t>
        </is>
      </c>
      <c r="K2" s="70" t="inlineStr">
        <is>
          <t>Pune</t>
        </is>
      </c>
    </row>
    <row r="3" ht="14.25" customHeight="1" s="56">
      <c r="A3" s="70" t="inlineStr">
        <is>
          <t>ORD-00002</t>
        </is>
      </c>
      <c r="B3" s="71" t="n">
        <v>45340</v>
      </c>
      <c r="C3" s="70" t="inlineStr">
        <is>
          <t>CUST-0202</t>
        </is>
      </c>
      <c r="D3" s="70" t="inlineStr">
        <is>
          <t>PROD-020</t>
        </is>
      </c>
      <c r="E3" s="70" t="inlineStr">
        <is>
          <t>R005</t>
        </is>
      </c>
      <c r="F3" s="72" t="n">
        <v>2</v>
      </c>
      <c r="G3" s="72" t="n">
        <v>820</v>
      </c>
      <c r="H3" s="72" t="n">
        <v>10.8</v>
      </c>
      <c r="I3" s="72" t="n">
        <v>1462.88</v>
      </c>
      <c r="J3" s="70" t="inlineStr">
        <is>
          <t>Pending</t>
        </is>
      </c>
      <c r="K3" s="70" t="inlineStr">
        <is>
          <t>Chennai</t>
        </is>
      </c>
    </row>
    <row r="4" ht="14.25" customHeight="1" s="56">
      <c r="A4" s="70" t="inlineStr">
        <is>
          <t>ORD-00003</t>
        </is>
      </c>
      <c r="B4" s="71" t="n">
        <v>45371</v>
      </c>
      <c r="C4" s="70" t="inlineStr">
        <is>
          <t>CUST-0098</t>
        </is>
      </c>
      <c r="D4" s="70" t="inlineStr">
        <is>
          <t>PROD-053</t>
        </is>
      </c>
      <c r="E4" s="70" t="inlineStr">
        <is>
          <t>R014</t>
        </is>
      </c>
      <c r="F4" s="72" t="n">
        <v>8</v>
      </c>
      <c r="G4" s="72" t="n">
        <v>470</v>
      </c>
      <c r="H4" s="72" t="n">
        <v>3.3</v>
      </c>
      <c r="I4" s="72" t="n">
        <v>3635.92</v>
      </c>
      <c r="J4" s="70" t="inlineStr">
        <is>
          <t>Pending</t>
        </is>
      </c>
      <c r="K4" s="70" t="inlineStr">
        <is>
          <t>Delhi</t>
        </is>
      </c>
    </row>
    <row r="5" ht="14.25" customHeight="1" s="56">
      <c r="A5" s="70" t="inlineStr">
        <is>
          <t>ORD-00004</t>
        </is>
      </c>
      <c r="B5" s="71" t="n">
        <v>45413</v>
      </c>
      <c r="C5" s="70" t="inlineStr">
        <is>
          <t>CUST-0071</t>
        </is>
      </c>
      <c r="D5" s="70" t="inlineStr">
        <is>
          <t>PROD-028</t>
        </is>
      </c>
      <c r="E5" s="70" t="inlineStr">
        <is>
          <t>R006</t>
        </is>
      </c>
      <c r="F5" s="72" t="n">
        <v>1</v>
      </c>
      <c r="G5" s="72" t="n">
        <v>3660</v>
      </c>
      <c r="H5" s="72" t="n">
        <v>15.7</v>
      </c>
      <c r="I5" s="72" t="n">
        <v>3085.38</v>
      </c>
      <c r="J5" s="70" t="inlineStr">
        <is>
          <t>Completed</t>
        </is>
      </c>
      <c r="K5" s="70" t="inlineStr">
        <is>
          <t>Delhi</t>
        </is>
      </c>
    </row>
    <row r="6" ht="14.25" customHeight="1" s="56">
      <c r="A6" s="70" t="inlineStr">
        <is>
          <t>ORD-00005</t>
        </is>
      </c>
      <c r="B6" s="71" t="n">
        <v>45611</v>
      </c>
      <c r="C6" s="70" t="inlineStr">
        <is>
          <t>CUST-0180</t>
        </is>
      </c>
      <c r="D6" s="70" t="inlineStr">
        <is>
          <t>PROD-012</t>
        </is>
      </c>
      <c r="E6" s="70" t="inlineStr">
        <is>
          <t>R008</t>
        </is>
      </c>
      <c r="F6" s="72" t="n">
        <v>1</v>
      </c>
      <c r="G6" s="72" t="n">
        <v>3160</v>
      </c>
      <c r="H6" s="72" t="n">
        <v>26</v>
      </c>
      <c r="I6" s="72" t="n">
        <v>2338.4</v>
      </c>
      <c r="J6" s="70" t="inlineStr">
        <is>
          <t>Completed</t>
        </is>
      </c>
      <c r="K6" s="70" t="inlineStr">
        <is>
          <t>Chennai</t>
        </is>
      </c>
    </row>
    <row r="7" ht="14.25" customHeight="1" s="56">
      <c r="A7" s="70" t="inlineStr">
        <is>
          <t>ORD-00006</t>
        </is>
      </c>
      <c r="B7" s="71" t="n">
        <v>45406</v>
      </c>
      <c r="C7" s="70" t="inlineStr">
        <is>
          <t>CUST-0275</t>
        </is>
      </c>
      <c r="D7" s="70" t="inlineStr">
        <is>
          <t>PROD-032</t>
        </is>
      </c>
      <c r="E7" s="70" t="inlineStr">
        <is>
          <t>R025</t>
        </is>
      </c>
      <c r="F7" s="72" t="n">
        <v>4</v>
      </c>
      <c r="G7" s="72" t="n">
        <v>370</v>
      </c>
      <c r="H7" s="72" t="n">
        <v>29</v>
      </c>
      <c r="I7" s="72" t="n">
        <v>1050.8</v>
      </c>
      <c r="J7" s="70" t="inlineStr">
        <is>
          <t>Completed</t>
        </is>
      </c>
      <c r="K7" s="70" t="inlineStr">
        <is>
          <t>Mumbai</t>
        </is>
      </c>
    </row>
    <row r="8" ht="14.25" customHeight="1" s="56">
      <c r="A8" s="70" t="inlineStr">
        <is>
          <t>ORD-00007</t>
        </is>
      </c>
      <c r="B8" s="71" t="n">
        <v>45455</v>
      </c>
      <c r="C8" s="70" t="inlineStr">
        <is>
          <t>CUST-0293</t>
        </is>
      </c>
      <c r="D8" s="70" t="inlineStr">
        <is>
          <t>PROD-057</t>
        </is>
      </c>
      <c r="E8" s="70" t="inlineStr">
        <is>
          <t>R024</t>
        </is>
      </c>
      <c r="F8" s="72" t="n">
        <v>3</v>
      </c>
      <c r="G8" s="72" t="n">
        <v>960</v>
      </c>
      <c r="H8" s="72" t="n">
        <v>5.8</v>
      </c>
      <c r="I8" s="72" t="n">
        <v>2712.96</v>
      </c>
      <c r="J8" s="70" t="inlineStr">
        <is>
          <t>Completed</t>
        </is>
      </c>
      <c r="K8" s="70" t="inlineStr">
        <is>
          <t>Bengaluru</t>
        </is>
      </c>
    </row>
    <row r="9" ht="14.25" customHeight="1" s="56">
      <c r="A9" s="70" t="inlineStr">
        <is>
          <t>ORD-00008</t>
        </is>
      </c>
      <c r="B9" s="71" t="n">
        <v>45617</v>
      </c>
      <c r="C9" s="70" t="inlineStr">
        <is>
          <t>CUST-0281</t>
        </is>
      </c>
      <c r="D9" s="70" t="inlineStr">
        <is>
          <t>PROD-007</t>
        </is>
      </c>
      <c r="E9" s="70" t="inlineStr">
        <is>
          <t>R019</t>
        </is>
      </c>
      <c r="F9" s="72" t="n">
        <v>8</v>
      </c>
      <c r="G9" s="72" t="n">
        <v>1430</v>
      </c>
      <c r="H9" s="72" t="n">
        <v>2.4</v>
      </c>
      <c r="I9" s="72" t="n">
        <v>11165.44</v>
      </c>
      <c r="J9" s="70" t="inlineStr">
        <is>
          <t>Completed</t>
        </is>
      </c>
      <c r="K9" s="70" t="inlineStr">
        <is>
          <t>Bengaluru</t>
        </is>
      </c>
    </row>
    <row r="10" ht="14.25" customHeight="1" s="56">
      <c r="A10" s="70" t="inlineStr">
        <is>
          <t>ORD-00009</t>
        </is>
      </c>
      <c r="B10" s="71" t="n">
        <v>45549</v>
      </c>
      <c r="C10" s="70" t="inlineStr">
        <is>
          <t>CUST-0260</t>
        </is>
      </c>
      <c r="D10" s="70" t="inlineStr">
        <is>
          <t>PROD-038</t>
        </is>
      </c>
      <c r="E10" s="70" t="inlineStr">
        <is>
          <t>R008</t>
        </is>
      </c>
      <c r="F10" s="72" t="n">
        <v>3</v>
      </c>
      <c r="G10" s="72" t="n">
        <v>5490</v>
      </c>
      <c r="H10" s="72" t="n">
        <v>14.2</v>
      </c>
      <c r="I10" s="72" t="n">
        <v>14131.26</v>
      </c>
      <c r="J10" s="70" t="inlineStr">
        <is>
          <t>Completed</t>
        </is>
      </c>
      <c r="K10" s="70" t="inlineStr">
        <is>
          <t>Bengaluru</t>
        </is>
      </c>
    </row>
    <row r="11" ht="14.25" customHeight="1" s="56">
      <c r="A11" s="70" t="inlineStr">
        <is>
          <t>ORD-00010</t>
        </is>
      </c>
      <c r="B11" s="71" t="n">
        <v>45396</v>
      </c>
      <c r="C11" s="70" t="inlineStr">
        <is>
          <t>CUST-0147</t>
        </is>
      </c>
      <c r="D11" s="70" t="inlineStr">
        <is>
          <t>PROD-030</t>
        </is>
      </c>
      <c r="E11" s="70" t="inlineStr">
        <is>
          <t>R028</t>
        </is>
      </c>
      <c r="F11" s="72" t="n">
        <v>3</v>
      </c>
      <c r="G11" s="72" t="n">
        <v>970</v>
      </c>
      <c r="H11" s="72" t="n">
        <v>1.2</v>
      </c>
      <c r="I11" s="72" t="n">
        <v>2875.08</v>
      </c>
      <c r="J11" s="70" t="inlineStr">
        <is>
          <t>Completed</t>
        </is>
      </c>
      <c r="K11" s="70" t="inlineStr">
        <is>
          <t>Pune</t>
        </is>
      </c>
    </row>
    <row r="12" ht="14.25" customHeight="1" s="56">
      <c r="A12" s="70" t="inlineStr">
        <is>
          <t>ORD-00011</t>
        </is>
      </c>
      <c r="B12" s="71" t="n">
        <v>45560</v>
      </c>
      <c r="C12" s="70" t="inlineStr">
        <is>
          <t>CUST-0204</t>
        </is>
      </c>
      <c r="D12" s="70" t="inlineStr">
        <is>
          <t>PROD-024</t>
        </is>
      </c>
      <c r="E12" s="70" t="inlineStr">
        <is>
          <t>R010</t>
        </is>
      </c>
      <c r="F12" s="72" t="n">
        <v>7</v>
      </c>
      <c r="G12" s="72" t="n">
        <v>2270</v>
      </c>
      <c r="H12" s="72" t="n">
        <v>7.1</v>
      </c>
      <c r="I12" s="72" t="n">
        <v>14761.81</v>
      </c>
      <c r="J12" s="70" t="inlineStr">
        <is>
          <t>Pending</t>
        </is>
      </c>
      <c r="K12" s="70" t="inlineStr">
        <is>
          <t>Hyderabad</t>
        </is>
      </c>
    </row>
    <row r="13" ht="14.25" customHeight="1" s="56">
      <c r="A13" s="70" t="inlineStr">
        <is>
          <t>ORD-00012</t>
        </is>
      </c>
      <c r="B13" s="71" t="n">
        <v>45332</v>
      </c>
      <c r="C13" s="70" t="inlineStr">
        <is>
          <t>CUST-0147</t>
        </is>
      </c>
      <c r="D13" s="70" t="inlineStr">
        <is>
          <t>PROD-010</t>
        </is>
      </c>
      <c r="E13" s="70" t="inlineStr">
        <is>
          <t>R024</t>
        </is>
      </c>
      <c r="F13" s="72" t="n">
        <v>9</v>
      </c>
      <c r="G13" s="72" t="n">
        <v>2640</v>
      </c>
      <c r="H13" s="72" t="n">
        <v>21.7</v>
      </c>
      <c r="I13" s="72" t="n">
        <v>18604.08</v>
      </c>
      <c r="J13" s="70" t="inlineStr">
        <is>
          <t>Completed</t>
        </is>
      </c>
      <c r="K13" s="70" t="inlineStr">
        <is>
          <t>Pune</t>
        </is>
      </c>
    </row>
    <row r="14" ht="14.25" customHeight="1" s="56">
      <c r="A14" s="70" t="inlineStr">
        <is>
          <t>ORD-00013</t>
        </is>
      </c>
      <c r="B14" s="71" t="n">
        <v>45507</v>
      </c>
      <c r="C14" s="70" t="inlineStr">
        <is>
          <t>CUST-0280</t>
        </is>
      </c>
      <c r="D14" s="70" t="inlineStr">
        <is>
          <t>PROD-002</t>
        </is>
      </c>
      <c r="E14" s="70" t="inlineStr">
        <is>
          <t>R004</t>
        </is>
      </c>
      <c r="F14" s="72" t="n">
        <v>3</v>
      </c>
      <c r="G14" s="72" t="n">
        <v>2600</v>
      </c>
      <c r="H14" s="72" t="n">
        <v>4.3</v>
      </c>
      <c r="I14" s="72" t="n">
        <v>7464.6</v>
      </c>
      <c r="J14" s="70" t="inlineStr">
        <is>
          <t>Cancelled</t>
        </is>
      </c>
      <c r="K14" s="70" t="inlineStr">
        <is>
          <t>Delhi</t>
        </is>
      </c>
    </row>
    <row r="15" ht="14.25" customHeight="1" s="56">
      <c r="A15" s="70" t="inlineStr">
        <is>
          <t>ORD-00014</t>
        </is>
      </c>
      <c r="B15" s="71" t="n">
        <v>45466</v>
      </c>
      <c r="C15" s="70" t="inlineStr">
        <is>
          <t>CUST-0008</t>
        </is>
      </c>
      <c r="D15" s="70" t="inlineStr">
        <is>
          <t>PROD-036</t>
        </is>
      </c>
      <c r="E15" s="70" t="inlineStr">
        <is>
          <t>R025</t>
        </is>
      </c>
      <c r="F15" s="72" t="n">
        <v>3</v>
      </c>
      <c r="G15" s="72" t="n">
        <v>3250</v>
      </c>
      <c r="H15" s="72" t="n">
        <v>14.1</v>
      </c>
      <c r="I15" s="72" t="n">
        <v>8375.25</v>
      </c>
      <c r="J15" s="70" t="inlineStr">
        <is>
          <t>Refunded</t>
        </is>
      </c>
      <c r="K15" s="70" t="inlineStr">
        <is>
          <t>Pune</t>
        </is>
      </c>
    </row>
    <row r="16" ht="14.25" customHeight="1" s="56">
      <c r="A16" s="70" t="inlineStr">
        <is>
          <t>ORD-00015</t>
        </is>
      </c>
      <c r="B16" s="71" t="n">
        <v>45365</v>
      </c>
      <c r="C16" s="70" t="inlineStr">
        <is>
          <t>CUST-0052</t>
        </is>
      </c>
      <c r="D16" s="70" t="inlineStr">
        <is>
          <t>PROD-060</t>
        </is>
      </c>
      <c r="E16" s="70" t="inlineStr">
        <is>
          <t>R003</t>
        </is>
      </c>
      <c r="F16" s="72" t="n">
        <v>1</v>
      </c>
      <c r="G16" s="72" t="n">
        <v>190</v>
      </c>
      <c r="H16" s="72" t="n">
        <v>20.7</v>
      </c>
      <c r="I16" s="72" t="n">
        <v>150.67</v>
      </c>
      <c r="J16" s="70" t="inlineStr">
        <is>
          <t>Completed</t>
        </is>
      </c>
      <c r="K16" s="70" t="inlineStr">
        <is>
          <t>Pune</t>
        </is>
      </c>
    </row>
    <row r="17" ht="14.25" customHeight="1" s="56">
      <c r="A17" s="70" t="inlineStr">
        <is>
          <t>ORD-00016</t>
        </is>
      </c>
      <c r="B17" s="71" t="n">
        <v>45546</v>
      </c>
      <c r="C17" s="70" t="inlineStr">
        <is>
          <t>CUST-0184</t>
        </is>
      </c>
      <c r="D17" s="70" t="inlineStr">
        <is>
          <t>PROD-058</t>
        </is>
      </c>
      <c r="E17" s="70" t="inlineStr">
        <is>
          <t>R014</t>
        </is>
      </c>
      <c r="F17" s="72" t="n">
        <v>7</v>
      </c>
      <c r="G17" s="72" t="n">
        <v>2400</v>
      </c>
      <c r="H17" s="72" t="n">
        <v>10.2</v>
      </c>
      <c r="I17" s="72" t="n">
        <v>15086.4</v>
      </c>
      <c r="J17" s="70" t="inlineStr">
        <is>
          <t>Pending</t>
        </is>
      </c>
      <c r="K17" s="70" t="inlineStr">
        <is>
          <t>Pune</t>
        </is>
      </c>
    </row>
    <row r="18" ht="14.25" customHeight="1" s="56">
      <c r="A18" s="70" t="inlineStr">
        <is>
          <t>ORD-00017</t>
        </is>
      </c>
      <c r="B18" s="71" t="n">
        <v>45512</v>
      </c>
      <c r="C18" s="70" t="inlineStr">
        <is>
          <t>CUST-0056</t>
        </is>
      </c>
      <c r="D18" s="70" t="inlineStr">
        <is>
          <t>PROD-028</t>
        </is>
      </c>
      <c r="E18" s="70" t="inlineStr">
        <is>
          <t>R023</t>
        </is>
      </c>
      <c r="F18" s="72" t="n">
        <v>4</v>
      </c>
      <c r="G18" s="72" t="n">
        <v>3660</v>
      </c>
      <c r="H18" s="72" t="n">
        <v>2.6</v>
      </c>
      <c r="I18" s="72" t="n">
        <v>14259.36</v>
      </c>
      <c r="J18" s="70" t="inlineStr">
        <is>
          <t>Completed</t>
        </is>
      </c>
      <c r="K18" s="70" t="inlineStr">
        <is>
          <t>Bengaluru</t>
        </is>
      </c>
    </row>
    <row r="19" ht="14.25" customHeight="1" s="56">
      <c r="A19" s="70" t="inlineStr">
        <is>
          <t>ORD-00018</t>
        </is>
      </c>
      <c r="B19" s="71" t="n">
        <v>45654</v>
      </c>
      <c r="C19" s="70" t="inlineStr">
        <is>
          <t>CUST-0273</t>
        </is>
      </c>
      <c r="D19" s="70" t="inlineStr">
        <is>
          <t>PROD-047</t>
        </is>
      </c>
      <c r="E19" s="70" t="inlineStr">
        <is>
          <t>R021</t>
        </is>
      </c>
      <c r="F19" s="72" t="n">
        <v>8</v>
      </c>
      <c r="G19" s="72" t="n">
        <v>3450</v>
      </c>
      <c r="H19" s="72" t="n">
        <v>18.5</v>
      </c>
      <c r="I19" s="72" t="n">
        <v>22494</v>
      </c>
      <c r="J19" s="70" t="inlineStr">
        <is>
          <t>Completed</t>
        </is>
      </c>
      <c r="K19" s="70" t="inlineStr">
        <is>
          <t>Hyderabad</t>
        </is>
      </c>
    </row>
    <row r="20" ht="14.25" customHeight="1" s="56">
      <c r="A20" s="70" t="inlineStr">
        <is>
          <t>ORD-00019</t>
        </is>
      </c>
      <c r="B20" s="71" t="n">
        <v>45626</v>
      </c>
      <c r="C20" s="70" t="inlineStr">
        <is>
          <t>CUST-0182</t>
        </is>
      </c>
      <c r="D20" s="70" t="inlineStr">
        <is>
          <t>PROD-051</t>
        </is>
      </c>
      <c r="E20" s="70" t="inlineStr">
        <is>
          <t>R023</t>
        </is>
      </c>
      <c r="F20" s="72" t="n">
        <v>5</v>
      </c>
      <c r="G20" s="72" t="n">
        <v>3450</v>
      </c>
      <c r="H20" s="72" t="n">
        <v>7.3</v>
      </c>
      <c r="I20" s="72" t="n">
        <v>15990.75</v>
      </c>
      <c r="J20" s="70" t="inlineStr">
        <is>
          <t>Completed</t>
        </is>
      </c>
      <c r="K20" s="70" t="inlineStr">
        <is>
          <t>Mumbai</t>
        </is>
      </c>
    </row>
    <row r="21" ht="14.25" customHeight="1" s="56">
      <c r="A21" s="70" t="inlineStr">
        <is>
          <t>ORD-00020</t>
        </is>
      </c>
      <c r="B21" s="71" t="n">
        <v>45394</v>
      </c>
      <c r="C21" s="70" t="inlineStr">
        <is>
          <t>CUST-0265</t>
        </is>
      </c>
      <c r="D21" s="70" t="inlineStr">
        <is>
          <t>PROD-040</t>
        </is>
      </c>
      <c r="E21" s="70" t="inlineStr">
        <is>
          <t>R023</t>
        </is>
      </c>
      <c r="F21" s="72" t="n">
        <v>8</v>
      </c>
      <c r="G21" s="72" t="n">
        <v>1080</v>
      </c>
      <c r="H21" s="72" t="n">
        <v>2.2</v>
      </c>
      <c r="I21" s="72" t="n">
        <v>8449.92</v>
      </c>
      <c r="J21" s="70" t="inlineStr">
        <is>
          <t>Completed</t>
        </is>
      </c>
      <c r="K21" s="70" t="inlineStr">
        <is>
          <t>Chennai</t>
        </is>
      </c>
    </row>
    <row r="22" ht="14.25" customHeight="1" s="56">
      <c r="A22" s="70" t="inlineStr">
        <is>
          <t>ORD-00021</t>
        </is>
      </c>
      <c r="B22" s="71" t="n">
        <v>45470</v>
      </c>
      <c r="C22" s="70" t="inlineStr">
        <is>
          <t>CUST-0159</t>
        </is>
      </c>
      <c r="D22" s="70" t="inlineStr">
        <is>
          <t>PROD-019</t>
        </is>
      </c>
      <c r="E22" s="70" t="inlineStr">
        <is>
          <t>R006</t>
        </is>
      </c>
      <c r="F22" s="72" t="n">
        <v>7</v>
      </c>
      <c r="G22" s="72" t="n">
        <v>2480</v>
      </c>
      <c r="H22" s="72" t="n">
        <v>28.7</v>
      </c>
      <c r="I22" s="72" t="n">
        <v>12377.68</v>
      </c>
      <c r="J22" s="70" t="inlineStr">
        <is>
          <t>Completed</t>
        </is>
      </c>
      <c r="K22" s="70" t="inlineStr">
        <is>
          <t>Hyderabad</t>
        </is>
      </c>
    </row>
    <row r="23" ht="14.25" customHeight="1" s="56">
      <c r="A23" s="70" t="inlineStr">
        <is>
          <t>ORD-00022</t>
        </is>
      </c>
      <c r="B23" s="71" t="n">
        <v>45354</v>
      </c>
      <c r="C23" s="70" t="inlineStr">
        <is>
          <t>CUST-0259</t>
        </is>
      </c>
      <c r="D23" s="70" t="inlineStr">
        <is>
          <t>PROD-036</t>
        </is>
      </c>
      <c r="E23" s="70" t="inlineStr">
        <is>
          <t>R030</t>
        </is>
      </c>
      <c r="F23" s="72" t="n">
        <v>4</v>
      </c>
      <c r="G23" s="72" t="n">
        <v>3250</v>
      </c>
      <c r="H23" s="72" t="n">
        <v>24.6</v>
      </c>
      <c r="I23" s="72" t="n">
        <v>9802</v>
      </c>
      <c r="J23" s="70" t="inlineStr">
        <is>
          <t>Completed</t>
        </is>
      </c>
      <c r="K23" s="70" t="inlineStr">
        <is>
          <t>Mumbai</t>
        </is>
      </c>
    </row>
    <row r="24" ht="14.25" customHeight="1" s="56">
      <c r="A24" s="70" t="inlineStr">
        <is>
          <t>ORD-00023</t>
        </is>
      </c>
      <c r="B24" s="71" t="n">
        <v>45530</v>
      </c>
      <c r="C24" s="70" t="inlineStr">
        <is>
          <t>CUST-0107</t>
        </is>
      </c>
      <c r="D24" s="70" t="inlineStr">
        <is>
          <t>PROD-015</t>
        </is>
      </c>
      <c r="E24" s="70" t="inlineStr">
        <is>
          <t>R030</t>
        </is>
      </c>
      <c r="F24" s="72" t="n">
        <v>9</v>
      </c>
      <c r="G24" s="72" t="n">
        <v>2720</v>
      </c>
      <c r="H24" s="72" t="n">
        <v>26.2</v>
      </c>
      <c r="I24" s="72" t="n">
        <v>18066.24</v>
      </c>
      <c r="J24" s="70" t="inlineStr">
        <is>
          <t>Completed</t>
        </is>
      </c>
      <c r="K24" s="70" t="inlineStr">
        <is>
          <t>Pune</t>
        </is>
      </c>
    </row>
    <row r="25" ht="14.25" customHeight="1" s="56">
      <c r="A25" s="70" t="inlineStr">
        <is>
          <t>ORD-00024</t>
        </is>
      </c>
      <c r="B25" s="71" t="n">
        <v>45472</v>
      </c>
      <c r="C25" s="70" t="inlineStr">
        <is>
          <t>CUST-0101</t>
        </is>
      </c>
      <c r="D25" s="70" t="inlineStr">
        <is>
          <t>PROD-044</t>
        </is>
      </c>
      <c r="E25" s="70" t="inlineStr">
        <is>
          <t>R003</t>
        </is>
      </c>
      <c r="F25" s="72" t="n">
        <v>2</v>
      </c>
      <c r="G25" s="72" t="n">
        <v>1650</v>
      </c>
      <c r="H25" s="72" t="n">
        <v>9.4</v>
      </c>
      <c r="I25" s="72" t="n">
        <v>2989.8</v>
      </c>
      <c r="J25" s="70" t="inlineStr">
        <is>
          <t>Completed</t>
        </is>
      </c>
      <c r="K25" s="70" t="inlineStr">
        <is>
          <t>Hyderabad</t>
        </is>
      </c>
    </row>
    <row r="26" ht="14.25" customHeight="1" s="56">
      <c r="A26" s="70" t="inlineStr">
        <is>
          <t>ORD-00025</t>
        </is>
      </c>
      <c r="B26" s="71" t="n">
        <v>45394</v>
      </c>
      <c r="C26" s="70" t="inlineStr">
        <is>
          <t>CUST-0142</t>
        </is>
      </c>
      <c r="D26" s="70" t="inlineStr">
        <is>
          <t>PROD-043</t>
        </is>
      </c>
      <c r="E26" s="70" t="inlineStr">
        <is>
          <t>R023</t>
        </is>
      </c>
      <c r="F26" s="72" t="n">
        <v>6</v>
      </c>
      <c r="G26" s="72" t="n">
        <v>3350</v>
      </c>
      <c r="H26" s="72" t="n">
        <v>6.1</v>
      </c>
      <c r="I26" s="72" t="n">
        <v>18873.9</v>
      </c>
      <c r="J26" s="70" t="inlineStr">
        <is>
          <t>Pending</t>
        </is>
      </c>
      <c r="K26" s="70" t="inlineStr">
        <is>
          <t>Chennai</t>
        </is>
      </c>
    </row>
    <row r="27" ht="14.25" customHeight="1" s="56">
      <c r="A27" s="70" t="inlineStr">
        <is>
          <t>ORD-00026</t>
        </is>
      </c>
      <c r="B27" s="71" t="n">
        <v>45570</v>
      </c>
      <c r="C27" s="70" t="inlineStr">
        <is>
          <t>CUST-0250</t>
        </is>
      </c>
      <c r="D27" s="70" t="inlineStr">
        <is>
          <t>PROD-054</t>
        </is>
      </c>
      <c r="E27" s="70" t="inlineStr">
        <is>
          <t>R019</t>
        </is>
      </c>
      <c r="F27" s="72" t="n">
        <v>2</v>
      </c>
      <c r="G27" s="72" t="n">
        <v>1010</v>
      </c>
      <c r="H27" s="72" t="n">
        <v>16.5</v>
      </c>
      <c r="I27" s="72" t="n">
        <v>1686.7</v>
      </c>
      <c r="J27" s="70" t="inlineStr">
        <is>
          <t>Cancelled</t>
        </is>
      </c>
      <c r="K27" s="70" t="inlineStr">
        <is>
          <t>Delhi</t>
        </is>
      </c>
    </row>
    <row r="28" ht="14.25" customHeight="1" s="56">
      <c r="A28" s="70" t="inlineStr">
        <is>
          <t>ORD-00027</t>
        </is>
      </c>
      <c r="B28" s="71" t="n">
        <v>45401</v>
      </c>
      <c r="C28" s="70" t="inlineStr">
        <is>
          <t>CUST-0098</t>
        </is>
      </c>
      <c r="D28" s="70" t="inlineStr">
        <is>
          <t>PROD-046</t>
        </is>
      </c>
      <c r="E28" s="70" t="inlineStr">
        <is>
          <t>R006</t>
        </is>
      </c>
      <c r="F28" s="72" t="n">
        <v>5</v>
      </c>
      <c r="G28" s="72" t="n">
        <v>4880</v>
      </c>
      <c r="H28" s="72" t="n">
        <v>23.6</v>
      </c>
      <c r="I28" s="72" t="n">
        <v>18641.6</v>
      </c>
      <c r="J28" s="70" t="inlineStr">
        <is>
          <t>Completed</t>
        </is>
      </c>
      <c r="K28" s="70" t="inlineStr">
        <is>
          <t>Delhi</t>
        </is>
      </c>
    </row>
    <row r="29" ht="14.25" customHeight="1" s="56">
      <c r="A29" s="70" t="inlineStr">
        <is>
          <t>ORD-00028</t>
        </is>
      </c>
      <c r="B29" s="71" t="n">
        <v>45517</v>
      </c>
      <c r="C29" s="70" t="inlineStr">
        <is>
          <t>CUST-0143</t>
        </is>
      </c>
      <c r="D29" s="70" t="inlineStr">
        <is>
          <t>PROD-003</t>
        </is>
      </c>
      <c r="E29" s="70" t="inlineStr">
        <is>
          <t>R015</t>
        </is>
      </c>
      <c r="F29" s="72" t="n">
        <v>7</v>
      </c>
      <c r="G29" s="72" t="n">
        <v>3570</v>
      </c>
      <c r="H29" s="72" t="n">
        <v>5.8</v>
      </c>
      <c r="I29" s="72" t="n">
        <v>23540.58</v>
      </c>
      <c r="J29" s="70" t="inlineStr">
        <is>
          <t>Cancelled</t>
        </is>
      </c>
      <c r="K29" s="70" t="inlineStr">
        <is>
          <t>Chennai</t>
        </is>
      </c>
    </row>
    <row r="30" ht="14.25" customHeight="1" s="56">
      <c r="A30" s="70" t="inlineStr">
        <is>
          <t>ORD-00029</t>
        </is>
      </c>
      <c r="B30" s="71" t="n">
        <v>45363</v>
      </c>
      <c r="C30" s="70" t="inlineStr">
        <is>
          <t>CUST-0086</t>
        </is>
      </c>
      <c r="D30" s="70" t="inlineStr">
        <is>
          <t>PROD-048</t>
        </is>
      </c>
      <c r="E30" s="70" t="inlineStr">
        <is>
          <t>R020</t>
        </is>
      </c>
      <c r="F30" s="72" t="n">
        <v>9</v>
      </c>
      <c r="G30" s="72" t="n">
        <v>5100</v>
      </c>
      <c r="H30" s="72" t="n">
        <v>16.7</v>
      </c>
      <c r="I30" s="72" t="n">
        <v>38234.7</v>
      </c>
      <c r="J30" s="70" t="inlineStr">
        <is>
          <t>Completed</t>
        </is>
      </c>
      <c r="K30" s="70" t="inlineStr">
        <is>
          <t>Hyderabad</t>
        </is>
      </c>
    </row>
    <row r="31" ht="14.25" customHeight="1" s="56">
      <c r="A31" s="70" t="inlineStr">
        <is>
          <t>ORD-00030</t>
        </is>
      </c>
      <c r="B31" s="71" t="n">
        <v>45367</v>
      </c>
      <c r="C31" s="70" t="inlineStr">
        <is>
          <t>CUST-0006</t>
        </is>
      </c>
      <c r="D31" s="70" t="inlineStr">
        <is>
          <t>PROD-055</t>
        </is>
      </c>
      <c r="E31" s="70" t="inlineStr">
        <is>
          <t>R005</t>
        </is>
      </c>
      <c r="F31" s="72" t="n">
        <v>3</v>
      </c>
      <c r="G31" s="72" t="n">
        <v>2860</v>
      </c>
      <c r="H31" s="72" t="n">
        <v>25.8</v>
      </c>
      <c r="I31" s="72" t="n">
        <v>6366.36</v>
      </c>
      <c r="J31" s="70" t="inlineStr">
        <is>
          <t>Completed</t>
        </is>
      </c>
      <c r="K31" s="70" t="inlineStr">
        <is>
          <t>Pune</t>
        </is>
      </c>
    </row>
    <row r="32" ht="14.25" customHeight="1" s="56">
      <c r="A32" s="70" t="inlineStr">
        <is>
          <t>ORD-00031</t>
        </is>
      </c>
      <c r="B32" s="71" t="n">
        <v>45569</v>
      </c>
      <c r="C32" s="70" t="inlineStr">
        <is>
          <t>CUST-0241</t>
        </is>
      </c>
      <c r="D32" s="70" t="inlineStr">
        <is>
          <t>PROD-030</t>
        </is>
      </c>
      <c r="E32" s="70" t="inlineStr">
        <is>
          <t>R006</t>
        </is>
      </c>
      <c r="F32" s="72" t="n">
        <v>7</v>
      </c>
      <c r="G32" s="72" t="n">
        <v>970</v>
      </c>
      <c r="H32" s="72" t="n">
        <v>29.8</v>
      </c>
      <c r="I32" s="72" t="n">
        <v>4766.58</v>
      </c>
      <c r="J32" s="70" t="inlineStr">
        <is>
          <t>Completed</t>
        </is>
      </c>
      <c r="K32" s="70" t="inlineStr">
        <is>
          <t>Pune</t>
        </is>
      </c>
    </row>
    <row r="33" ht="14.25" customHeight="1" s="56">
      <c r="A33" s="70" t="inlineStr">
        <is>
          <t>ORD-00032</t>
        </is>
      </c>
      <c r="B33" s="71" t="n">
        <v>45641</v>
      </c>
      <c r="C33" s="70" t="inlineStr">
        <is>
          <t>CUST-0035</t>
        </is>
      </c>
      <c r="D33" s="70" t="inlineStr">
        <is>
          <t>PROD-021</t>
        </is>
      </c>
      <c r="E33" s="70" t="inlineStr">
        <is>
          <t>R026</t>
        </is>
      </c>
      <c r="F33" s="72" t="n">
        <v>4</v>
      </c>
      <c r="G33" s="72" t="n">
        <v>2760</v>
      </c>
      <c r="H33" s="72" t="n">
        <v>5.9</v>
      </c>
      <c r="I33" s="72" t="n">
        <v>10388.64</v>
      </c>
      <c r="J33" s="70" t="inlineStr">
        <is>
          <t>Completed</t>
        </is>
      </c>
      <c r="K33" s="70" t="inlineStr">
        <is>
          <t>Hyderabad</t>
        </is>
      </c>
    </row>
    <row r="34" ht="14.25" customHeight="1" s="56">
      <c r="A34" s="70" t="inlineStr">
        <is>
          <t>ORD-00033</t>
        </is>
      </c>
      <c r="B34" s="71" t="n">
        <v>45343</v>
      </c>
      <c r="C34" s="70" t="inlineStr">
        <is>
          <t>CUST-0273</t>
        </is>
      </c>
      <c r="D34" s="70" t="inlineStr">
        <is>
          <t>PROD-037</t>
        </is>
      </c>
      <c r="E34" s="70" t="inlineStr">
        <is>
          <t>R009</t>
        </is>
      </c>
      <c r="F34" s="72" t="n">
        <v>10</v>
      </c>
      <c r="G34" s="72" t="n">
        <v>660</v>
      </c>
      <c r="H34" s="72" t="n">
        <v>18.3</v>
      </c>
      <c r="I34" s="72" t="n">
        <v>5392.2</v>
      </c>
      <c r="J34" s="70" t="inlineStr">
        <is>
          <t>Pending</t>
        </is>
      </c>
      <c r="K34" s="70" t="inlineStr">
        <is>
          <t>Hyderabad</t>
        </is>
      </c>
    </row>
    <row r="35" ht="14.25" customHeight="1" s="56">
      <c r="A35" s="70" t="inlineStr">
        <is>
          <t>ORD-00034</t>
        </is>
      </c>
      <c r="B35" s="71" t="n">
        <v>45576</v>
      </c>
      <c r="C35" s="70" t="inlineStr">
        <is>
          <t>CUST-0064</t>
        </is>
      </c>
      <c r="D35" s="70" t="inlineStr">
        <is>
          <t>PROD-036</t>
        </is>
      </c>
      <c r="E35" s="70" t="inlineStr">
        <is>
          <t>R019</t>
        </is>
      </c>
      <c r="F35" s="72" t="n">
        <v>1</v>
      </c>
      <c r="G35" s="72" t="n">
        <v>3250</v>
      </c>
      <c r="H35" s="72" t="n">
        <v>10.7</v>
      </c>
      <c r="I35" s="72" t="n">
        <v>2902.25</v>
      </c>
      <c r="J35" s="70" t="inlineStr">
        <is>
          <t>Completed</t>
        </is>
      </c>
      <c r="K35" s="70" t="inlineStr">
        <is>
          <t>Hyderabad</t>
        </is>
      </c>
    </row>
    <row r="36" ht="14.25" customHeight="1" s="56">
      <c r="A36" s="70" t="inlineStr">
        <is>
          <t>ORD-00035</t>
        </is>
      </c>
      <c r="B36" s="71" t="n">
        <v>45462</v>
      </c>
      <c r="C36" s="70" t="inlineStr">
        <is>
          <t>CUST-0118</t>
        </is>
      </c>
      <c r="D36" s="70" t="inlineStr">
        <is>
          <t>PROD-048</t>
        </is>
      </c>
      <c r="E36" s="70" t="inlineStr">
        <is>
          <t>R019</t>
        </is>
      </c>
      <c r="F36" s="72" t="n">
        <v>8</v>
      </c>
      <c r="G36" s="72" t="n">
        <v>5100</v>
      </c>
      <c r="H36" s="72" t="n">
        <v>26.4</v>
      </c>
      <c r="I36" s="72" t="n">
        <v>30028.8</v>
      </c>
      <c r="J36" s="70" t="inlineStr">
        <is>
          <t>Cancelled</t>
        </is>
      </c>
      <c r="K36" s="70" t="inlineStr">
        <is>
          <t>Hyderabad</t>
        </is>
      </c>
    </row>
    <row r="37" ht="14.25" customHeight="1" s="56">
      <c r="A37" s="70" t="inlineStr">
        <is>
          <t>ORD-00036</t>
        </is>
      </c>
      <c r="B37" s="71" t="n">
        <v>45442</v>
      </c>
      <c r="C37" s="70" t="inlineStr">
        <is>
          <t>CUST-0013</t>
        </is>
      </c>
      <c r="D37" s="70" t="inlineStr">
        <is>
          <t>PROD-040</t>
        </is>
      </c>
      <c r="E37" s="70" t="inlineStr">
        <is>
          <t>R021</t>
        </is>
      </c>
      <c r="F37" s="72" t="n">
        <v>1</v>
      </c>
      <c r="G37" s="72" t="n">
        <v>1080</v>
      </c>
      <c r="H37" s="72" t="n">
        <v>5.1</v>
      </c>
      <c r="I37" s="72" t="n">
        <v>1024.92</v>
      </c>
      <c r="J37" s="70" t="inlineStr">
        <is>
          <t>Completed</t>
        </is>
      </c>
      <c r="K37" s="70" t="inlineStr">
        <is>
          <t>Delhi</t>
        </is>
      </c>
    </row>
    <row r="38" ht="14.25" customHeight="1" s="56">
      <c r="A38" s="70" t="inlineStr">
        <is>
          <t>ORD-00037</t>
        </is>
      </c>
      <c r="B38" s="71" t="n">
        <v>45646</v>
      </c>
      <c r="C38" s="70" t="inlineStr">
        <is>
          <t>CUST-0177</t>
        </is>
      </c>
      <c r="D38" s="70" t="inlineStr">
        <is>
          <t>PROD-038</t>
        </is>
      </c>
      <c r="E38" s="70" t="inlineStr">
        <is>
          <t>R009</t>
        </is>
      </c>
      <c r="F38" s="72" t="n">
        <v>2</v>
      </c>
      <c r="G38" s="72" t="n">
        <v>5490</v>
      </c>
      <c r="H38" s="72" t="n">
        <v>21.1</v>
      </c>
      <c r="I38" s="72" t="n">
        <v>8663.219999999999</v>
      </c>
      <c r="J38" s="70" t="inlineStr">
        <is>
          <t>Cancelled</t>
        </is>
      </c>
      <c r="K38" s="70" t="inlineStr">
        <is>
          <t>Mumbai</t>
        </is>
      </c>
    </row>
    <row r="39" ht="14.25" customHeight="1" s="56">
      <c r="A39" s="70" t="inlineStr">
        <is>
          <t>ORD-00038</t>
        </is>
      </c>
      <c r="B39" s="71" t="n">
        <v>45478</v>
      </c>
      <c r="C39" s="70" t="inlineStr">
        <is>
          <t>CUST-0186</t>
        </is>
      </c>
      <c r="D39" s="70" t="inlineStr">
        <is>
          <t>PROD-060</t>
        </is>
      </c>
      <c r="E39" s="70" t="inlineStr">
        <is>
          <t>R001</t>
        </is>
      </c>
      <c r="F39" s="72" t="n">
        <v>7</v>
      </c>
      <c r="G39" s="72" t="n">
        <v>190</v>
      </c>
      <c r="H39" s="72" t="n">
        <v>28.7</v>
      </c>
      <c r="I39" s="72" t="n">
        <v>948.29</v>
      </c>
      <c r="J39" s="70" t="inlineStr">
        <is>
          <t>Completed</t>
        </is>
      </c>
      <c r="K39" s="70" t="inlineStr">
        <is>
          <t>Bengaluru</t>
        </is>
      </c>
    </row>
    <row r="40" ht="14.25" customHeight="1" s="56">
      <c r="A40" s="70" t="inlineStr">
        <is>
          <t>ORD-00039</t>
        </is>
      </c>
      <c r="B40" s="71" t="n">
        <v>45355</v>
      </c>
      <c r="C40" s="70" t="inlineStr">
        <is>
          <t>CUST-0069</t>
        </is>
      </c>
      <c r="D40" s="70" t="inlineStr">
        <is>
          <t>PROD-058</t>
        </is>
      </c>
      <c r="E40" s="70" t="inlineStr">
        <is>
          <t>R015</t>
        </is>
      </c>
      <c r="F40" s="72" t="n">
        <v>6</v>
      </c>
      <c r="G40" s="72" t="n">
        <v>2400</v>
      </c>
      <c r="H40" s="72" t="n">
        <v>2.7</v>
      </c>
      <c r="I40" s="72" t="n">
        <v>14011.2</v>
      </c>
      <c r="J40" s="70" t="inlineStr">
        <is>
          <t>Completed</t>
        </is>
      </c>
      <c r="K40" s="70" t="inlineStr">
        <is>
          <t>Chennai</t>
        </is>
      </c>
    </row>
    <row r="41" ht="14.25" customHeight="1" s="56">
      <c r="A41" s="70" t="inlineStr">
        <is>
          <t>ORD-00040</t>
        </is>
      </c>
      <c r="B41" s="71" t="n">
        <v>45599</v>
      </c>
      <c r="C41" s="70" t="inlineStr">
        <is>
          <t>CUST-0283</t>
        </is>
      </c>
      <c r="D41" s="70" t="inlineStr">
        <is>
          <t>PROD-044</t>
        </is>
      </c>
      <c r="E41" s="70" t="inlineStr">
        <is>
          <t>R023</t>
        </is>
      </c>
      <c r="F41" s="72" t="n">
        <v>9</v>
      </c>
      <c r="G41" s="72" t="n">
        <v>1650</v>
      </c>
      <c r="H41" s="72" t="n">
        <v>11.6</v>
      </c>
      <c r="I41" s="72" t="n">
        <v>13127.4</v>
      </c>
      <c r="J41" s="70" t="inlineStr">
        <is>
          <t>Completed</t>
        </is>
      </c>
      <c r="K41" s="70" t="inlineStr">
        <is>
          <t>Delhi</t>
        </is>
      </c>
    </row>
    <row r="42" ht="14.25" customHeight="1" s="56">
      <c r="A42" s="70" t="inlineStr">
        <is>
          <t>ORD-00041</t>
        </is>
      </c>
      <c r="B42" s="71" t="n">
        <v>45606</v>
      </c>
      <c r="C42" s="70" t="inlineStr">
        <is>
          <t>CUST-9507</t>
        </is>
      </c>
      <c r="D42" s="70" t="inlineStr">
        <is>
          <t>PROD-038</t>
        </is>
      </c>
      <c r="E42" s="70" t="inlineStr">
        <is>
          <t>R006</t>
        </is>
      </c>
      <c r="F42" s="72" t="n">
        <v>4</v>
      </c>
      <c r="G42" s="72" t="n">
        <v>5490</v>
      </c>
      <c r="H42" s="72" t="n">
        <v>12.8</v>
      </c>
      <c r="I42" s="72" t="n">
        <v>19149.12</v>
      </c>
      <c r="J42" s="70" t="inlineStr">
        <is>
          <t>Cancelled</t>
        </is>
      </c>
      <c r="K42" s="70" t="inlineStr">
        <is>
          <t>Chennai</t>
        </is>
      </c>
    </row>
    <row r="43" ht="14.25" customHeight="1" s="56">
      <c r="A43" s="70" t="inlineStr">
        <is>
          <t>ORD-00042</t>
        </is>
      </c>
      <c r="B43" s="71" t="n">
        <v>45432</v>
      </c>
      <c r="C43" s="70" t="inlineStr">
        <is>
          <t>CUST-0053</t>
        </is>
      </c>
      <c r="D43" s="70" t="inlineStr">
        <is>
          <t>PROD-046</t>
        </is>
      </c>
      <c r="E43" s="70" t="inlineStr">
        <is>
          <t>R014</t>
        </is>
      </c>
      <c r="F43" s="72" t="n">
        <v>10</v>
      </c>
      <c r="G43" s="72" t="n">
        <v>4880</v>
      </c>
      <c r="H43" s="72" t="n">
        <v>12.7</v>
      </c>
      <c r="I43" s="72" t="n">
        <v>42602.4</v>
      </c>
      <c r="J43" s="70" t="inlineStr">
        <is>
          <t>Completed</t>
        </is>
      </c>
      <c r="K43" s="70" t="inlineStr">
        <is>
          <t>Delhi</t>
        </is>
      </c>
    </row>
    <row r="44" ht="14.25" customHeight="1" s="56">
      <c r="A44" s="70" t="inlineStr">
        <is>
          <t>ORD-00043</t>
        </is>
      </c>
      <c r="B44" s="71" t="n">
        <v>45392</v>
      </c>
      <c r="C44" s="70" t="inlineStr">
        <is>
          <t>CUST-0222</t>
        </is>
      </c>
      <c r="D44" s="70" t="inlineStr">
        <is>
          <t>PROD-031</t>
        </is>
      </c>
      <c r="E44" s="70" t="inlineStr">
        <is>
          <t>R019</t>
        </is>
      </c>
      <c r="F44" s="72" t="n">
        <v>2</v>
      </c>
      <c r="G44" s="72" t="n">
        <v>3730</v>
      </c>
      <c r="H44" s="72" t="n">
        <v>25.8</v>
      </c>
      <c r="I44" s="72" t="n">
        <v>5535.32</v>
      </c>
      <c r="J44" s="70" t="inlineStr">
        <is>
          <t>Completed</t>
        </is>
      </c>
      <c r="K44" s="70" t="inlineStr">
        <is>
          <t>Chennai</t>
        </is>
      </c>
    </row>
    <row r="45" ht="14.25" customHeight="1" s="56">
      <c r="A45" s="70" t="inlineStr">
        <is>
          <t>ORD-00044</t>
        </is>
      </c>
      <c r="B45" s="71" t="n">
        <v>45396</v>
      </c>
      <c r="C45" s="70" t="inlineStr">
        <is>
          <t>CUST-0095</t>
        </is>
      </c>
      <c r="D45" s="70" t="inlineStr">
        <is>
          <t>PROD-047</t>
        </is>
      </c>
      <c r="E45" s="70" t="inlineStr">
        <is>
          <t>R029</t>
        </is>
      </c>
      <c r="F45" s="72" t="n">
        <v>4</v>
      </c>
      <c r="G45" s="72" t="n">
        <v>3450</v>
      </c>
      <c r="H45" s="72" t="n">
        <v>20.7</v>
      </c>
      <c r="I45" s="72" t="n">
        <v>10943.4</v>
      </c>
      <c r="J45" s="70" t="inlineStr">
        <is>
          <t>Completed</t>
        </is>
      </c>
      <c r="K45" s="70" t="inlineStr">
        <is>
          <t>Mumbai</t>
        </is>
      </c>
    </row>
    <row r="46" ht="14.25" customHeight="1" s="56">
      <c r="A46" s="70" t="inlineStr">
        <is>
          <t>ORD-00045</t>
        </is>
      </c>
      <c r="B46" s="71" t="n">
        <v>45373</v>
      </c>
      <c r="C46" s="70" t="inlineStr">
        <is>
          <t>CUST-0152</t>
        </is>
      </c>
      <c r="D46" s="70" t="inlineStr">
        <is>
          <t>PROD-019</t>
        </is>
      </c>
      <c r="E46" s="70" t="inlineStr">
        <is>
          <t>R019</t>
        </is>
      </c>
      <c r="F46" s="72" t="n">
        <v>2</v>
      </c>
      <c r="G46" s="72" t="n">
        <v>2480</v>
      </c>
      <c r="H46" s="72" t="n">
        <v>17.3</v>
      </c>
      <c r="I46" s="72" t="n">
        <v>4101.92</v>
      </c>
      <c r="J46" s="70" t="inlineStr">
        <is>
          <t>Completed</t>
        </is>
      </c>
      <c r="K46" s="70" t="inlineStr">
        <is>
          <t>Bengaluru</t>
        </is>
      </c>
    </row>
    <row r="47" ht="14.25" customHeight="1" s="56">
      <c r="A47" s="70" t="inlineStr">
        <is>
          <t>ORD-00046</t>
        </is>
      </c>
      <c r="B47" s="71" t="n">
        <v>45312</v>
      </c>
      <c r="C47" s="70" t="inlineStr">
        <is>
          <t>CUST-0291</t>
        </is>
      </c>
      <c r="D47" s="70" t="inlineStr">
        <is>
          <t>PROD-027</t>
        </is>
      </c>
      <c r="E47" s="70" t="inlineStr">
        <is>
          <t>R015</t>
        </is>
      </c>
      <c r="F47" s="72" t="n">
        <v>9</v>
      </c>
      <c r="G47" s="72" t="n">
        <v>3780</v>
      </c>
      <c r="H47" s="72" t="n">
        <v>8.699999999999999</v>
      </c>
      <c r="I47" s="72" t="n">
        <v>31060.26</v>
      </c>
      <c r="J47" s="70" t="inlineStr">
        <is>
          <t>Pending</t>
        </is>
      </c>
      <c r="K47" s="70" t="inlineStr">
        <is>
          <t>Pune</t>
        </is>
      </c>
    </row>
    <row r="48" ht="14.25" customHeight="1" s="56">
      <c r="A48" s="70" t="inlineStr">
        <is>
          <t>ORD-00047</t>
        </is>
      </c>
      <c r="B48" s="71" t="n">
        <v>45340</v>
      </c>
      <c r="C48" s="70" t="inlineStr">
        <is>
          <t>CUST-0112</t>
        </is>
      </c>
      <c r="D48" s="70" t="inlineStr">
        <is>
          <t>PROD-013</t>
        </is>
      </c>
      <c r="E48" s="70" t="inlineStr">
        <is>
          <t>R017</t>
        </is>
      </c>
      <c r="F48" s="72" t="n">
        <v>4</v>
      </c>
      <c r="G48" s="72" t="n">
        <v>3640</v>
      </c>
      <c r="H48" s="72" t="n">
        <v>20.7</v>
      </c>
      <c r="I48" s="72" t="n">
        <v>11546.08</v>
      </c>
      <c r="J48" s="70" t="inlineStr">
        <is>
          <t>Completed</t>
        </is>
      </c>
      <c r="K48" s="70" t="inlineStr">
        <is>
          <t>Hyderabad</t>
        </is>
      </c>
    </row>
    <row r="49" ht="14.25" customHeight="1" s="56">
      <c r="A49" s="70" t="inlineStr">
        <is>
          <t>ORD-00048</t>
        </is>
      </c>
      <c r="B49" s="71" t="n">
        <v>45370</v>
      </c>
      <c r="C49" s="70" t="inlineStr">
        <is>
          <t>CUST-9800</t>
        </is>
      </c>
      <c r="D49" s="70" t="inlineStr">
        <is>
          <t>PROD-050</t>
        </is>
      </c>
      <c r="E49" s="70" t="inlineStr">
        <is>
          <t>R003</t>
        </is>
      </c>
      <c r="F49" s="72" t="n">
        <v>8</v>
      </c>
      <c r="G49" s="72" t="n">
        <v>6080</v>
      </c>
      <c r="H49" s="72" t="n">
        <v>24.4</v>
      </c>
      <c r="I49" s="72" t="n">
        <v>36771.84</v>
      </c>
      <c r="J49" s="70" t="inlineStr">
        <is>
          <t>Completed</t>
        </is>
      </c>
      <c r="K49" s="70" t="inlineStr">
        <is>
          <t>Pune</t>
        </is>
      </c>
    </row>
    <row r="50" ht="14.25" customHeight="1" s="56">
      <c r="A50" s="70" t="inlineStr">
        <is>
          <t>ORD-00049</t>
        </is>
      </c>
      <c r="B50" s="71" t="n">
        <v>45389</v>
      </c>
      <c r="C50" s="70" t="inlineStr">
        <is>
          <t>CUST-0143</t>
        </is>
      </c>
      <c r="D50" s="70" t="inlineStr">
        <is>
          <t>PROD-030</t>
        </is>
      </c>
      <c r="E50" s="70" t="inlineStr">
        <is>
          <t>R007</t>
        </is>
      </c>
      <c r="F50" s="72" t="n">
        <v>10</v>
      </c>
      <c r="G50" s="72" t="n">
        <v>970</v>
      </c>
      <c r="H50" s="72" t="n">
        <v>0.6</v>
      </c>
      <c r="I50" s="72" t="n">
        <v>9641.799999999999</v>
      </c>
      <c r="J50" s="70" t="inlineStr">
        <is>
          <t>Cancelled</t>
        </is>
      </c>
      <c r="K50" s="70" t="inlineStr">
        <is>
          <t>Chennai</t>
        </is>
      </c>
    </row>
    <row r="51" ht="14.25" customHeight="1" s="56">
      <c r="A51" s="70" t="inlineStr">
        <is>
          <t>ORD-00050</t>
        </is>
      </c>
      <c r="B51" s="71" t="n">
        <v>45565</v>
      </c>
      <c r="C51" s="70" t="inlineStr">
        <is>
          <t>CUST-0226</t>
        </is>
      </c>
      <c r="D51" s="70" t="inlineStr">
        <is>
          <t>PROD-022</t>
        </is>
      </c>
      <c r="E51" s="70" t="inlineStr">
        <is>
          <t>R028</t>
        </is>
      </c>
      <c r="F51" s="72" t="n">
        <v>1</v>
      </c>
      <c r="G51" s="72" t="n">
        <v>2270</v>
      </c>
      <c r="H51" s="72" t="n">
        <v>11.5</v>
      </c>
      <c r="I51" s="72" t="n">
        <v>2008.95</v>
      </c>
      <c r="J51" s="70" t="inlineStr">
        <is>
          <t>Pending</t>
        </is>
      </c>
      <c r="K51" s="70" t="inlineStr">
        <is>
          <t>Chennai</t>
        </is>
      </c>
    </row>
    <row r="52" ht="14.25" customHeight="1" s="56">
      <c r="A52" s="70" t="inlineStr">
        <is>
          <t>ORD-00051</t>
        </is>
      </c>
      <c r="B52" s="71" t="n">
        <v>45323</v>
      </c>
      <c r="C52" s="70" t="inlineStr">
        <is>
          <t>CUST-0234</t>
        </is>
      </c>
      <c r="D52" s="70" t="inlineStr">
        <is>
          <t>PROD-004</t>
        </is>
      </c>
      <c r="E52" s="70" t="inlineStr">
        <is>
          <t>R023</t>
        </is>
      </c>
      <c r="F52" s="72" t="n">
        <v>7</v>
      </c>
      <c r="G52" s="72" t="n">
        <v>3870</v>
      </c>
      <c r="H52" s="72" t="n">
        <v>0.3</v>
      </c>
      <c r="I52" s="72" t="n">
        <v>27008.73</v>
      </c>
      <c r="J52" s="70" t="inlineStr">
        <is>
          <t>Cancelled</t>
        </is>
      </c>
      <c r="K52" s="70" t="inlineStr">
        <is>
          <t>Bengaluru</t>
        </is>
      </c>
    </row>
    <row r="53" ht="14.25" customHeight="1" s="56">
      <c r="A53" s="70" t="inlineStr">
        <is>
          <t>ORD-00052</t>
        </is>
      </c>
      <c r="B53" s="71" t="n">
        <v>45506</v>
      </c>
      <c r="C53" s="70" t="inlineStr">
        <is>
          <t>CUST-0176</t>
        </is>
      </c>
      <c r="D53" s="70" t="inlineStr">
        <is>
          <t>PROD-046</t>
        </is>
      </c>
      <c r="E53" s="70" t="inlineStr">
        <is>
          <t>R009</t>
        </is>
      </c>
      <c r="F53" s="72" t="n">
        <v>1</v>
      </c>
      <c r="G53" s="72" t="n">
        <v>4880</v>
      </c>
      <c r="H53" s="72" t="n">
        <v>23.9</v>
      </c>
      <c r="I53" s="72" t="n">
        <v>3713.68</v>
      </c>
      <c r="J53" s="70" t="inlineStr">
        <is>
          <t>Pending</t>
        </is>
      </c>
      <c r="K53" s="70" t="inlineStr">
        <is>
          <t>Bengaluru</t>
        </is>
      </c>
    </row>
    <row r="54" ht="14.25" customHeight="1" s="56">
      <c r="A54" s="70" t="inlineStr">
        <is>
          <t>ORD-00053</t>
        </is>
      </c>
      <c r="B54" s="71" t="n">
        <v>45616</v>
      </c>
      <c r="C54" s="70" t="inlineStr">
        <is>
          <t>CUST-0180</t>
        </is>
      </c>
      <c r="D54" s="70" t="inlineStr">
        <is>
          <t>PROD-027</t>
        </is>
      </c>
      <c r="E54" s="70" t="inlineStr">
        <is>
          <t>R013</t>
        </is>
      </c>
      <c r="F54" s="72" t="n">
        <v>5</v>
      </c>
      <c r="G54" s="72" t="n">
        <v>3780</v>
      </c>
      <c r="H54" s="72" t="n">
        <v>18.5</v>
      </c>
      <c r="I54" s="72" t="n">
        <v>15403.5</v>
      </c>
      <c r="J54" s="70" t="inlineStr">
        <is>
          <t>Completed</t>
        </is>
      </c>
      <c r="K54" s="70" t="inlineStr">
        <is>
          <t>Chennai</t>
        </is>
      </c>
    </row>
    <row r="55" ht="14.25" customHeight="1" s="56">
      <c r="A55" s="70" t="inlineStr">
        <is>
          <t>ORD-00054</t>
        </is>
      </c>
      <c r="B55" s="71" t="n">
        <v>45428</v>
      </c>
      <c r="C55" s="70" t="inlineStr">
        <is>
          <t>CUST-0088</t>
        </is>
      </c>
      <c r="D55" s="70" t="inlineStr">
        <is>
          <t>PROD-036</t>
        </is>
      </c>
      <c r="E55" s="70" t="inlineStr">
        <is>
          <t>R020</t>
        </is>
      </c>
      <c r="F55" s="72" t="n">
        <v>10</v>
      </c>
      <c r="G55" s="72" t="n">
        <v>3250</v>
      </c>
      <c r="H55" s="72" t="n">
        <v>25.5</v>
      </c>
      <c r="I55" s="72" t="n">
        <v>24212.5</v>
      </c>
      <c r="J55" s="70" t="inlineStr">
        <is>
          <t>Completed</t>
        </is>
      </c>
      <c r="K55" s="70" t="inlineStr">
        <is>
          <t>Chennai</t>
        </is>
      </c>
    </row>
    <row r="56" ht="14.25" customHeight="1" s="56">
      <c r="A56" s="70" t="inlineStr">
        <is>
          <t>ORD-00055</t>
        </is>
      </c>
      <c r="B56" s="71" t="n">
        <v>45515</v>
      </c>
      <c r="C56" s="70" t="inlineStr">
        <is>
          <t>CUST-0267</t>
        </is>
      </c>
      <c r="D56" s="70" t="inlineStr">
        <is>
          <t>PROD-013</t>
        </is>
      </c>
      <c r="E56" s="70" t="inlineStr">
        <is>
          <t>R007</t>
        </is>
      </c>
      <c r="F56" s="72" t="n">
        <v>4</v>
      </c>
      <c r="G56" s="72" t="n">
        <v>3640</v>
      </c>
      <c r="H56" s="72" t="n">
        <v>9.9</v>
      </c>
      <c r="I56" s="72" t="n">
        <v>13118.56</v>
      </c>
      <c r="J56" s="70" t="inlineStr">
        <is>
          <t>Refunded</t>
        </is>
      </c>
      <c r="K56" s="70" t="inlineStr">
        <is>
          <t>Hyderabad</t>
        </is>
      </c>
    </row>
    <row r="57" ht="14.25" customHeight="1" s="56">
      <c r="A57" s="70" t="inlineStr">
        <is>
          <t>ORD-00056</t>
        </is>
      </c>
      <c r="B57" s="71" t="n">
        <v>45649</v>
      </c>
      <c r="C57" s="70" t="inlineStr">
        <is>
          <t>CUST-0194</t>
        </is>
      </c>
      <c r="D57" s="70" t="inlineStr">
        <is>
          <t>PROD-041</t>
        </is>
      </c>
      <c r="E57" s="70" t="inlineStr">
        <is>
          <t>R023</t>
        </is>
      </c>
      <c r="F57" s="72" t="n">
        <v>4</v>
      </c>
      <c r="G57" s="72" t="n">
        <v>1540</v>
      </c>
      <c r="H57" s="72" t="n">
        <v>28.8</v>
      </c>
      <c r="I57" s="72" t="n">
        <v>4385.92</v>
      </c>
      <c r="J57" s="70" t="inlineStr">
        <is>
          <t>Completed</t>
        </is>
      </c>
      <c r="K57" s="70" t="inlineStr">
        <is>
          <t>Delhi</t>
        </is>
      </c>
    </row>
    <row r="58" ht="14.25" customHeight="1" s="56">
      <c r="A58" s="70" t="inlineStr">
        <is>
          <t>ORD-00057</t>
        </is>
      </c>
      <c r="B58" s="71" t="n">
        <v>45616</v>
      </c>
      <c r="C58" s="70" t="inlineStr">
        <is>
          <t>CUST-0261</t>
        </is>
      </c>
      <c r="D58" s="70" t="inlineStr">
        <is>
          <t>PROD-040</t>
        </is>
      </c>
      <c r="E58" s="70" t="inlineStr">
        <is>
          <t>R017</t>
        </is>
      </c>
      <c r="F58" s="72" t="n">
        <v>1</v>
      </c>
      <c r="G58" s="72" t="n">
        <v>1080</v>
      </c>
      <c r="H58" s="72" t="n">
        <v>23</v>
      </c>
      <c r="I58" s="72" t="n">
        <v>831.6</v>
      </c>
      <c r="J58" s="70" t="inlineStr">
        <is>
          <t>Cancelled</t>
        </is>
      </c>
      <c r="K58" s="70" t="inlineStr">
        <is>
          <t>Delhi</t>
        </is>
      </c>
    </row>
    <row r="59" ht="14.25" customHeight="1" s="56">
      <c r="A59" s="70" t="inlineStr">
        <is>
          <t>ORD-00058</t>
        </is>
      </c>
      <c r="B59" s="71" t="n">
        <v>45573</v>
      </c>
      <c r="C59" s="70" t="inlineStr">
        <is>
          <t>CUST-0031</t>
        </is>
      </c>
      <c r="D59" s="70" t="inlineStr">
        <is>
          <t>PROD-026</t>
        </is>
      </c>
      <c r="E59" s="70" t="inlineStr">
        <is>
          <t>R007</t>
        </is>
      </c>
      <c r="F59" s="72" t="n">
        <v>1</v>
      </c>
      <c r="G59" s="72" t="n">
        <v>4070</v>
      </c>
      <c r="H59" s="72" t="n">
        <v>6.7</v>
      </c>
      <c r="I59" s="72" t="n">
        <v>3797.31</v>
      </c>
      <c r="J59" s="70" t="inlineStr">
        <is>
          <t>Completed</t>
        </is>
      </c>
      <c r="K59" s="70" t="inlineStr">
        <is>
          <t>Hyderabad</t>
        </is>
      </c>
    </row>
    <row r="60" ht="14.25" customHeight="1" s="56">
      <c r="A60" s="70" t="inlineStr">
        <is>
          <t>ORD-00059</t>
        </is>
      </c>
      <c r="B60" s="71" t="n">
        <v>45417</v>
      </c>
      <c r="C60" s="70" t="inlineStr">
        <is>
          <t>CUST-0175</t>
        </is>
      </c>
      <c r="D60" s="70" t="inlineStr">
        <is>
          <t>PROD-009</t>
        </is>
      </c>
      <c r="E60" s="70" t="inlineStr">
        <is>
          <t>R030</t>
        </is>
      </c>
      <c r="F60" s="72" t="n">
        <v>2</v>
      </c>
      <c r="G60" s="72" t="n">
        <v>1220</v>
      </c>
      <c r="H60" s="72" t="n">
        <v>11.7</v>
      </c>
      <c r="I60" s="72" t="n">
        <v>2154.52</v>
      </c>
      <c r="J60" s="70" t="inlineStr">
        <is>
          <t>Cancelled</t>
        </is>
      </c>
      <c r="K60" s="70" t="inlineStr">
        <is>
          <t>Delhi</t>
        </is>
      </c>
    </row>
    <row r="61" ht="14.25" customHeight="1" s="56">
      <c r="A61" s="70" t="inlineStr">
        <is>
          <t>ORD-00060</t>
        </is>
      </c>
      <c r="B61" s="71" t="n">
        <v>45425</v>
      </c>
      <c r="C61" s="70" t="inlineStr">
        <is>
          <t>CUST-0263</t>
        </is>
      </c>
      <c r="D61" s="70" t="inlineStr">
        <is>
          <t>PROD-039</t>
        </is>
      </c>
      <c r="E61" s="70" t="inlineStr">
        <is>
          <t>R029</t>
        </is>
      </c>
      <c r="F61" s="72" t="n">
        <v>4</v>
      </c>
      <c r="G61" s="72" t="n">
        <v>4610</v>
      </c>
      <c r="H61" s="72" t="n">
        <v>26.9</v>
      </c>
      <c r="I61" s="72" t="n">
        <v>13479.64</v>
      </c>
      <c r="J61" s="70" t="inlineStr">
        <is>
          <t>Pending</t>
        </is>
      </c>
      <c r="K61" s="70" t="inlineStr">
        <is>
          <t>Mumbai</t>
        </is>
      </c>
    </row>
    <row r="62" ht="14.25" customHeight="1" s="56">
      <c r="A62" s="70" t="inlineStr">
        <is>
          <t>ORD-00061</t>
        </is>
      </c>
      <c r="B62" s="71" t="n">
        <v>45589</v>
      </c>
      <c r="C62" s="70" t="inlineStr">
        <is>
          <t>CUST-0203</t>
        </is>
      </c>
      <c r="D62" s="70" t="inlineStr">
        <is>
          <t>PROD-040</t>
        </is>
      </c>
      <c r="E62" s="70" t="inlineStr">
        <is>
          <t>R011</t>
        </is>
      </c>
      <c r="F62" s="72" t="n">
        <v>8</v>
      </c>
      <c r="G62" s="72" t="n">
        <v>1080</v>
      </c>
      <c r="H62" s="72" t="n">
        <v>28.4</v>
      </c>
      <c r="I62" s="72" t="n">
        <v>6186.24</v>
      </c>
      <c r="J62" s="70" t="inlineStr">
        <is>
          <t>Completed</t>
        </is>
      </c>
      <c r="K62" s="70" t="inlineStr">
        <is>
          <t>Chennai</t>
        </is>
      </c>
    </row>
    <row r="63" ht="14.25" customHeight="1" s="56">
      <c r="A63" s="70" t="inlineStr">
        <is>
          <t>ORD-00062</t>
        </is>
      </c>
      <c r="B63" s="71" t="n">
        <v>45488</v>
      </c>
      <c r="C63" s="70" t="inlineStr">
        <is>
          <t>CUST-0258</t>
        </is>
      </c>
      <c r="D63" s="70" t="inlineStr">
        <is>
          <t>PROD-045</t>
        </is>
      </c>
      <c r="E63" s="70" t="inlineStr">
        <is>
          <t>R006</t>
        </is>
      </c>
      <c r="F63" s="72" t="n">
        <v>10</v>
      </c>
      <c r="G63" s="72" t="n">
        <v>3020</v>
      </c>
      <c r="H63" s="72" t="n">
        <v>25.4</v>
      </c>
      <c r="I63" s="72" t="n">
        <v>22529.2</v>
      </c>
      <c r="J63" s="70" t="inlineStr">
        <is>
          <t>Completed</t>
        </is>
      </c>
      <c r="K63" s="70" t="inlineStr">
        <is>
          <t>Pune</t>
        </is>
      </c>
    </row>
    <row r="64" ht="14.25" customHeight="1" s="56">
      <c r="A64" s="70" t="inlineStr">
        <is>
          <t>ORD-00063</t>
        </is>
      </c>
      <c r="B64" s="71" t="n">
        <v>45465</v>
      </c>
      <c r="C64" s="70" t="inlineStr">
        <is>
          <t>CUST-0282</t>
        </is>
      </c>
      <c r="D64" s="70" t="inlineStr">
        <is>
          <t>PROD-008</t>
        </is>
      </c>
      <c r="E64" s="70" t="inlineStr">
        <is>
          <t>R017</t>
        </is>
      </c>
      <c r="F64" s="72" t="n">
        <v>7</v>
      </c>
      <c r="G64" s="72" t="n">
        <v>2660</v>
      </c>
      <c r="H64" s="72" t="n">
        <v>5.3</v>
      </c>
      <c r="I64" s="72" t="n">
        <v>17633.14</v>
      </c>
      <c r="J64" s="70" t="inlineStr">
        <is>
          <t>Completed</t>
        </is>
      </c>
      <c r="K64" s="70" t="inlineStr">
        <is>
          <t>Hyderabad</t>
        </is>
      </c>
    </row>
    <row r="65" ht="14.25" customHeight="1" s="56">
      <c r="A65" s="70" t="inlineStr">
        <is>
          <t>ORD-00064</t>
        </is>
      </c>
      <c r="B65" s="71" t="n">
        <v>45599</v>
      </c>
      <c r="C65" s="70" t="inlineStr">
        <is>
          <t>CUST-0168</t>
        </is>
      </c>
      <c r="D65" s="70" t="inlineStr">
        <is>
          <t>PROD-005</t>
        </is>
      </c>
      <c r="E65" s="70" t="inlineStr">
        <is>
          <t>R003</t>
        </is>
      </c>
      <c r="F65" s="72" t="n">
        <v>9</v>
      </c>
      <c r="G65" s="72" t="n">
        <v>300</v>
      </c>
      <c r="H65" s="72" t="n">
        <v>25.3</v>
      </c>
      <c r="I65" s="72" t="n">
        <v>2016.9</v>
      </c>
      <c r="J65" s="70" t="inlineStr">
        <is>
          <t>Completed</t>
        </is>
      </c>
      <c r="K65" s="70" t="inlineStr">
        <is>
          <t>Pune</t>
        </is>
      </c>
    </row>
    <row r="66" ht="14.25" customHeight="1" s="56">
      <c r="A66" s="70" t="inlineStr">
        <is>
          <t>ORD-00065</t>
        </is>
      </c>
      <c r="B66" s="71" t="n">
        <v>45317</v>
      </c>
      <c r="C66" s="70" t="inlineStr">
        <is>
          <t>CUST-0040</t>
        </is>
      </c>
      <c r="D66" s="70" t="inlineStr">
        <is>
          <t>PROD-010</t>
        </is>
      </c>
      <c r="E66" s="70" t="inlineStr">
        <is>
          <t>R022</t>
        </is>
      </c>
      <c r="F66" s="72" t="n">
        <v>10</v>
      </c>
      <c r="G66" s="72" t="n">
        <v>2640</v>
      </c>
      <c r="H66" s="72" t="n">
        <v>18.7</v>
      </c>
      <c r="I66" s="72" t="n">
        <v>21463.2</v>
      </c>
      <c r="J66" s="70" t="inlineStr">
        <is>
          <t>Cancelled</t>
        </is>
      </c>
      <c r="K66" s="70" t="inlineStr">
        <is>
          <t>Chennai</t>
        </is>
      </c>
    </row>
    <row r="67" ht="14.25" customHeight="1" s="56">
      <c r="A67" s="70" t="inlineStr">
        <is>
          <t>ORD-00066</t>
        </is>
      </c>
      <c r="B67" s="71" t="n">
        <v>45462</v>
      </c>
      <c r="C67" s="70" t="inlineStr">
        <is>
          <t>CUST-0283</t>
        </is>
      </c>
      <c r="D67" s="70" t="inlineStr">
        <is>
          <t>PROD-020</t>
        </is>
      </c>
      <c r="E67" s="70" t="inlineStr">
        <is>
          <t>R020</t>
        </is>
      </c>
      <c r="F67" s="72" t="n">
        <v>8</v>
      </c>
      <c r="G67" s="72" t="n">
        <v>820</v>
      </c>
      <c r="H67" s="72" t="n">
        <v>24</v>
      </c>
      <c r="I67" s="72" t="n">
        <v>4985.6</v>
      </c>
      <c r="J67" s="70" t="inlineStr">
        <is>
          <t>Completed</t>
        </is>
      </c>
      <c r="K67" s="70" t="inlineStr">
        <is>
          <t>Delhi</t>
        </is>
      </c>
    </row>
    <row r="68" ht="14.25" customHeight="1" s="56">
      <c r="A68" s="70" t="inlineStr">
        <is>
          <t>ORD-00067</t>
        </is>
      </c>
      <c r="B68" s="71" t="n">
        <v>45499</v>
      </c>
      <c r="C68" s="70" t="inlineStr">
        <is>
          <t>CUST-0202</t>
        </is>
      </c>
      <c r="D68" s="70" t="inlineStr">
        <is>
          <t>PROD-021</t>
        </is>
      </c>
      <c r="E68" s="70" t="inlineStr">
        <is>
          <t>R028</t>
        </is>
      </c>
      <c r="F68" s="72" t="n">
        <v>1</v>
      </c>
      <c r="G68" s="72" t="n">
        <v>2760</v>
      </c>
      <c r="H68" s="72" t="n">
        <v>4.8</v>
      </c>
      <c r="I68" s="72" t="n">
        <v>2627.52</v>
      </c>
      <c r="J68" s="70" t="inlineStr">
        <is>
          <t>Completed</t>
        </is>
      </c>
      <c r="K68" s="70" t="inlineStr">
        <is>
          <t>Chennai</t>
        </is>
      </c>
    </row>
    <row r="69" ht="14.25" customHeight="1" s="56">
      <c r="A69" s="70" t="inlineStr">
        <is>
          <t>ORD-00068</t>
        </is>
      </c>
      <c r="B69" s="71" t="n">
        <v>45328</v>
      </c>
      <c r="C69" s="70" t="inlineStr">
        <is>
          <t>CUST-0161</t>
        </is>
      </c>
      <c r="D69" s="70" t="inlineStr">
        <is>
          <t>PROD-014</t>
        </is>
      </c>
      <c r="E69" s="70" t="inlineStr">
        <is>
          <t>R017</t>
        </is>
      </c>
      <c r="F69" s="72" t="n">
        <v>2</v>
      </c>
      <c r="G69" s="72" t="n">
        <v>3620</v>
      </c>
      <c r="H69" s="72" t="n">
        <v>19.1</v>
      </c>
      <c r="I69" s="72" t="n">
        <v>5857.16</v>
      </c>
      <c r="J69" s="70" t="inlineStr">
        <is>
          <t>Completed</t>
        </is>
      </c>
      <c r="K69" s="70" t="inlineStr">
        <is>
          <t>Chennai</t>
        </is>
      </c>
    </row>
    <row r="70" ht="14.25" customHeight="1" s="56">
      <c r="A70" s="70" t="inlineStr">
        <is>
          <t>ORD-00069</t>
        </is>
      </c>
      <c r="B70" s="71" t="n">
        <v>45459</v>
      </c>
      <c r="C70" s="70" t="inlineStr">
        <is>
          <t>CUST-0033</t>
        </is>
      </c>
      <c r="D70" s="70" t="inlineStr">
        <is>
          <t>PROD-016</t>
        </is>
      </c>
      <c r="E70" s="70" t="inlineStr">
        <is>
          <t>R025</t>
        </is>
      </c>
      <c r="F70" s="72" t="n">
        <v>1</v>
      </c>
      <c r="G70" s="72" t="n">
        <v>620</v>
      </c>
      <c r="H70" s="72" t="n">
        <v>1</v>
      </c>
      <c r="I70" s="72" t="n">
        <v>613.8</v>
      </c>
      <c r="J70" s="70" t="inlineStr">
        <is>
          <t>Completed</t>
        </is>
      </c>
      <c r="K70" s="70" t="inlineStr">
        <is>
          <t>Delhi</t>
        </is>
      </c>
    </row>
    <row r="71" ht="14.25" customHeight="1" s="56">
      <c r="A71" s="70" t="inlineStr">
        <is>
          <t>ORD-00070</t>
        </is>
      </c>
      <c r="B71" s="71" t="n">
        <v>45398</v>
      </c>
      <c r="C71" s="70" t="inlineStr">
        <is>
          <t>CUST-0191</t>
        </is>
      </c>
      <c r="D71" s="70" t="inlineStr">
        <is>
          <t>PROD-033</t>
        </is>
      </c>
      <c r="E71" s="70" t="inlineStr">
        <is>
          <t>R030</t>
        </is>
      </c>
      <c r="F71" s="72" t="n">
        <v>1</v>
      </c>
      <c r="G71" s="72" t="n">
        <v>2030</v>
      </c>
      <c r="H71" s="72" t="n">
        <v>3.3</v>
      </c>
      <c r="I71" s="72" t="n">
        <v>1963.01</v>
      </c>
      <c r="J71" s="70" t="inlineStr">
        <is>
          <t>Completed</t>
        </is>
      </c>
      <c r="K71" s="70" t="inlineStr">
        <is>
          <t>Hyderabad</t>
        </is>
      </c>
    </row>
    <row r="72" ht="14.25" customHeight="1" s="56">
      <c r="A72" s="70" t="inlineStr">
        <is>
          <t>ORD-00071</t>
        </is>
      </c>
      <c r="B72" s="71" t="n">
        <v>45470</v>
      </c>
      <c r="C72" s="70" t="inlineStr">
        <is>
          <t>CUST-0180</t>
        </is>
      </c>
      <c r="D72" s="70" t="inlineStr">
        <is>
          <t>PROD-012</t>
        </is>
      </c>
      <c r="E72" s="70" t="inlineStr">
        <is>
          <t>R002</t>
        </is>
      </c>
      <c r="F72" s="72" t="n">
        <v>10</v>
      </c>
      <c r="G72" s="72" t="n">
        <v>3160</v>
      </c>
      <c r="H72" s="72" t="n">
        <v>15.8</v>
      </c>
      <c r="I72" s="72" t="n">
        <v>26607.2</v>
      </c>
      <c r="J72" s="70" t="inlineStr">
        <is>
          <t>Completed</t>
        </is>
      </c>
      <c r="K72" s="70" t="inlineStr">
        <is>
          <t>Chennai</t>
        </is>
      </c>
    </row>
    <row r="73" ht="14.25" customHeight="1" s="56">
      <c r="A73" s="70" t="inlineStr">
        <is>
          <t>ORD-00072</t>
        </is>
      </c>
      <c r="B73" s="71" t="n">
        <v>45346</v>
      </c>
      <c r="C73" s="70" t="inlineStr">
        <is>
          <t>CUST-0129</t>
        </is>
      </c>
      <c r="D73" s="70" t="inlineStr">
        <is>
          <t>PROD-030</t>
        </is>
      </c>
      <c r="E73" s="70" t="inlineStr">
        <is>
          <t>R001</t>
        </is>
      </c>
      <c r="F73" s="72" t="n">
        <v>5</v>
      </c>
      <c r="G73" s="72" t="n">
        <v>970</v>
      </c>
      <c r="H73" s="72" t="n">
        <v>12.2</v>
      </c>
      <c r="I73" s="72" t="n">
        <v>4258.3</v>
      </c>
      <c r="J73" s="70" t="inlineStr">
        <is>
          <t>Completed</t>
        </is>
      </c>
      <c r="K73" s="70" t="inlineStr">
        <is>
          <t>Hyderabad</t>
        </is>
      </c>
    </row>
    <row r="74" ht="14.25" customHeight="1" s="56">
      <c r="A74" s="70" t="inlineStr">
        <is>
          <t>ORD-00073</t>
        </is>
      </c>
      <c r="B74" s="71" t="n">
        <v>45483</v>
      </c>
      <c r="C74" s="70" t="inlineStr">
        <is>
          <t>CUST-0189</t>
        </is>
      </c>
      <c r="D74" s="70" t="inlineStr">
        <is>
          <t>PROD-043</t>
        </is>
      </c>
      <c r="E74" s="70" t="inlineStr">
        <is>
          <t>R003</t>
        </is>
      </c>
      <c r="F74" s="72" t="n">
        <v>9</v>
      </c>
      <c r="G74" s="72" t="n">
        <v>3350</v>
      </c>
      <c r="H74" s="72" t="n">
        <v>25.8</v>
      </c>
      <c r="I74" s="72" t="n">
        <v>22371.3</v>
      </c>
      <c r="J74" s="70" t="inlineStr">
        <is>
          <t>Pending</t>
        </is>
      </c>
      <c r="K74" s="70" t="inlineStr">
        <is>
          <t>Chennai</t>
        </is>
      </c>
    </row>
    <row r="75" ht="14.25" customHeight="1" s="56">
      <c r="A75" s="70" t="inlineStr">
        <is>
          <t>ORD-00074</t>
        </is>
      </c>
      <c r="B75" s="71" t="n">
        <v>45585</v>
      </c>
      <c r="C75" s="70" t="inlineStr">
        <is>
          <t>CUST-0194</t>
        </is>
      </c>
      <c r="D75" s="70" t="inlineStr">
        <is>
          <t>PROD-032</t>
        </is>
      </c>
      <c r="E75" s="70" t="inlineStr">
        <is>
          <t>R018</t>
        </is>
      </c>
      <c r="F75" s="72" t="n">
        <v>1</v>
      </c>
      <c r="G75" s="72" t="n">
        <v>370</v>
      </c>
      <c r="H75" s="72" t="n">
        <v>28.9</v>
      </c>
      <c r="I75" s="72" t="n">
        <v>263.07</v>
      </c>
      <c r="J75" s="70" t="inlineStr">
        <is>
          <t>Completed</t>
        </is>
      </c>
      <c r="K75" s="70" t="inlineStr">
        <is>
          <t>Delhi</t>
        </is>
      </c>
    </row>
    <row r="76" ht="14.25" customHeight="1" s="56">
      <c r="A76" s="70" t="inlineStr">
        <is>
          <t>ORD-00075</t>
        </is>
      </c>
      <c r="B76" s="71" t="n">
        <v>45500</v>
      </c>
      <c r="C76" s="70" t="inlineStr">
        <is>
          <t>CUST-0200</t>
        </is>
      </c>
      <c r="D76" s="70" t="inlineStr">
        <is>
          <t>PROD-030</t>
        </is>
      </c>
      <c r="E76" s="70" t="inlineStr">
        <is>
          <t>R010</t>
        </is>
      </c>
      <c r="F76" s="72" t="n">
        <v>3</v>
      </c>
      <c r="G76" s="72" t="n">
        <v>970</v>
      </c>
      <c r="H76" s="72" t="n">
        <v>4.3</v>
      </c>
      <c r="I76" s="72" t="n">
        <v>2784.87</v>
      </c>
      <c r="J76" s="70" t="inlineStr">
        <is>
          <t>Cancelled</t>
        </is>
      </c>
      <c r="K76" s="70" t="inlineStr">
        <is>
          <t>Hyderabad</t>
        </is>
      </c>
    </row>
    <row r="77" ht="14.25" customHeight="1" s="56">
      <c r="A77" s="70" t="inlineStr">
        <is>
          <t>ORD-00076</t>
        </is>
      </c>
      <c r="B77" s="71" t="n">
        <v>45375</v>
      </c>
      <c r="C77" s="70" t="inlineStr">
        <is>
          <t>CUST-0008</t>
        </is>
      </c>
      <c r="D77" s="70" t="inlineStr">
        <is>
          <t>PROD-021</t>
        </is>
      </c>
      <c r="E77" s="70" t="inlineStr">
        <is>
          <t>R022</t>
        </is>
      </c>
      <c r="F77" s="72" t="n">
        <v>6</v>
      </c>
      <c r="G77" s="72" t="n">
        <v>2760</v>
      </c>
      <c r="H77" s="72" t="n">
        <v>19.9</v>
      </c>
      <c r="I77" s="72" t="n">
        <v>13264.56</v>
      </c>
      <c r="J77" s="70" t="inlineStr">
        <is>
          <t>Pending</t>
        </is>
      </c>
      <c r="K77" s="70" t="inlineStr">
        <is>
          <t>Pune</t>
        </is>
      </c>
    </row>
    <row r="78" ht="14.25" customHeight="1" s="56">
      <c r="A78" s="70" t="inlineStr">
        <is>
          <t>ORD-00077</t>
        </is>
      </c>
      <c r="B78" s="71" t="n">
        <v>45443</v>
      </c>
      <c r="C78" s="70" t="inlineStr">
        <is>
          <t>CUST-0051</t>
        </is>
      </c>
      <c r="D78" s="70" t="inlineStr">
        <is>
          <t>PROD-021</t>
        </is>
      </c>
      <c r="E78" s="70" t="inlineStr">
        <is>
          <t>R019</t>
        </is>
      </c>
      <c r="F78" s="72" t="n">
        <v>7</v>
      </c>
      <c r="G78" s="72" t="n">
        <v>2760</v>
      </c>
      <c r="H78" s="72" t="n">
        <v>25.2</v>
      </c>
      <c r="I78" s="72" t="n">
        <v>14451.36</v>
      </c>
      <c r="J78" s="70" t="inlineStr">
        <is>
          <t>Completed</t>
        </is>
      </c>
      <c r="K78" s="70" t="inlineStr">
        <is>
          <t>Pune</t>
        </is>
      </c>
    </row>
    <row r="79" ht="14.25" customHeight="1" s="56">
      <c r="A79" s="70" t="inlineStr">
        <is>
          <t>ORD-00078</t>
        </is>
      </c>
      <c r="B79" s="71" t="n">
        <v>45390</v>
      </c>
      <c r="C79" s="70" t="inlineStr">
        <is>
          <t>CUST-0193</t>
        </is>
      </c>
      <c r="D79" s="70" t="inlineStr">
        <is>
          <t>PROD-009</t>
        </is>
      </c>
      <c r="E79" s="70" t="inlineStr">
        <is>
          <t>R022</t>
        </is>
      </c>
      <c r="F79" s="72" t="n">
        <v>4</v>
      </c>
      <c r="G79" s="72" t="n">
        <v>1220</v>
      </c>
      <c r="H79" s="72" t="n">
        <v>8.4</v>
      </c>
      <c r="I79" s="72" t="n">
        <v>4470.08</v>
      </c>
      <c r="J79" s="70" t="inlineStr">
        <is>
          <t>Completed</t>
        </is>
      </c>
      <c r="K79" s="70" t="inlineStr">
        <is>
          <t>Bengaluru</t>
        </is>
      </c>
    </row>
    <row r="80" ht="14.25" customHeight="1" s="56">
      <c r="A80" s="70" t="inlineStr">
        <is>
          <t>ORD-00079</t>
        </is>
      </c>
      <c r="B80" s="71" t="n">
        <v>45615</v>
      </c>
      <c r="C80" s="70" t="inlineStr">
        <is>
          <t>CUST-0020</t>
        </is>
      </c>
      <c r="D80" s="70" t="inlineStr">
        <is>
          <t>PROD-002</t>
        </is>
      </c>
      <c r="E80" s="70" t="inlineStr">
        <is>
          <t>R028</t>
        </is>
      </c>
      <c r="F80" s="72" t="n">
        <v>2</v>
      </c>
      <c r="G80" s="72" t="n">
        <v>2600</v>
      </c>
      <c r="H80" s="72" t="n">
        <v>1.9</v>
      </c>
      <c r="I80" s="72" t="n">
        <v>5101.2</v>
      </c>
      <c r="J80" s="70" t="inlineStr">
        <is>
          <t>Pending</t>
        </is>
      </c>
      <c r="K80" s="70" t="inlineStr">
        <is>
          <t>Hyderabad</t>
        </is>
      </c>
    </row>
    <row r="81" ht="14.25" customHeight="1" s="56">
      <c r="A81" s="70" t="inlineStr">
        <is>
          <t>ORD-00080</t>
        </is>
      </c>
      <c r="B81" s="71" t="n">
        <v>45498</v>
      </c>
      <c r="C81" s="70" t="inlineStr">
        <is>
          <t>CUST-0230</t>
        </is>
      </c>
      <c r="D81" s="70" t="inlineStr">
        <is>
          <t>PROD-026</t>
        </is>
      </c>
      <c r="E81" s="70" t="inlineStr">
        <is>
          <t>R030</t>
        </is>
      </c>
      <c r="F81" s="72" t="n">
        <v>9</v>
      </c>
      <c r="G81" s="72" t="n">
        <v>4070</v>
      </c>
      <c r="H81" s="72" t="n">
        <v>28.8</v>
      </c>
      <c r="I81" s="72" t="n">
        <v>26080.56</v>
      </c>
      <c r="J81" s="70" t="inlineStr">
        <is>
          <t>Completed</t>
        </is>
      </c>
      <c r="K81" s="70" t="inlineStr">
        <is>
          <t>Pune</t>
        </is>
      </c>
    </row>
    <row r="82" ht="14.25" customHeight="1" s="56">
      <c r="A82" s="70" t="inlineStr">
        <is>
          <t>ORD-00081</t>
        </is>
      </c>
      <c r="B82" s="71" t="n">
        <v>45515</v>
      </c>
      <c r="C82" s="70" t="inlineStr">
        <is>
          <t>CUST-0094</t>
        </is>
      </c>
      <c r="D82" s="70" t="inlineStr">
        <is>
          <t>PROD-024</t>
        </is>
      </c>
      <c r="E82" s="70" t="inlineStr">
        <is>
          <t>R005</t>
        </is>
      </c>
      <c r="F82" s="72" t="n">
        <v>2</v>
      </c>
      <c r="G82" s="72" t="n">
        <v>2270</v>
      </c>
      <c r="H82" s="72" t="n">
        <v>18</v>
      </c>
      <c r="I82" s="72" t="n">
        <v>3722.8</v>
      </c>
      <c r="J82" s="70" t="inlineStr">
        <is>
          <t>Refunded</t>
        </is>
      </c>
      <c r="K82" s="70" t="inlineStr">
        <is>
          <t>Pune</t>
        </is>
      </c>
    </row>
    <row r="83" ht="14.25" customHeight="1" s="56">
      <c r="A83" s="70" t="inlineStr">
        <is>
          <t>ORD-00082</t>
        </is>
      </c>
      <c r="B83" s="71" t="n">
        <v>45528</v>
      </c>
      <c r="C83" s="70" t="inlineStr">
        <is>
          <t>CUST-0248</t>
        </is>
      </c>
      <c r="D83" s="70" t="inlineStr">
        <is>
          <t>PROD-012</t>
        </is>
      </c>
      <c r="E83" s="70" t="inlineStr">
        <is>
          <t>R017</t>
        </is>
      </c>
      <c r="F83" s="72" t="n">
        <v>2</v>
      </c>
      <c r="G83" s="72" t="n">
        <v>3160</v>
      </c>
      <c r="H83" s="72" t="n">
        <v>18.3</v>
      </c>
      <c r="I83" s="72" t="n">
        <v>5163.44</v>
      </c>
      <c r="J83" s="70" t="inlineStr">
        <is>
          <t>Completed</t>
        </is>
      </c>
      <c r="K83" s="70" t="inlineStr">
        <is>
          <t>Chennai</t>
        </is>
      </c>
    </row>
    <row r="84" ht="14.25" customHeight="1" s="56">
      <c r="A84" s="70" t="inlineStr">
        <is>
          <t>ORD-00083</t>
        </is>
      </c>
      <c r="B84" s="71" t="n">
        <v>45402</v>
      </c>
      <c r="C84" s="70" t="inlineStr">
        <is>
          <t>CUST-0082</t>
        </is>
      </c>
      <c r="D84" s="70" t="inlineStr">
        <is>
          <t>PROD-019</t>
        </is>
      </c>
      <c r="E84" s="70" t="inlineStr">
        <is>
          <t>R007</t>
        </is>
      </c>
      <c r="F84" s="72" t="n">
        <v>4</v>
      </c>
      <c r="G84" s="72" t="n">
        <v>2480</v>
      </c>
      <c r="H84" s="72" t="n">
        <v>1.1</v>
      </c>
      <c r="I84" s="72" t="n">
        <v>9810.879999999999</v>
      </c>
      <c r="J84" s="70" t="inlineStr">
        <is>
          <t>Pending</t>
        </is>
      </c>
      <c r="K84" s="70" t="inlineStr">
        <is>
          <t>Hyderabad</t>
        </is>
      </c>
    </row>
    <row r="85" ht="14.25" customHeight="1" s="56">
      <c r="A85" s="70" t="inlineStr">
        <is>
          <t>ORD-00084</t>
        </is>
      </c>
      <c r="B85" s="71" t="n">
        <v>45547</v>
      </c>
      <c r="C85" s="70" t="inlineStr">
        <is>
          <t>CUST-0078</t>
        </is>
      </c>
      <c r="D85" s="70" t="inlineStr">
        <is>
          <t>PROD-008</t>
        </is>
      </c>
      <c r="E85" s="70" t="inlineStr">
        <is>
          <t>R026</t>
        </is>
      </c>
      <c r="F85" s="72" t="n">
        <v>1</v>
      </c>
      <c r="G85" s="72" t="n">
        <v>2660</v>
      </c>
      <c r="H85" s="72" t="n">
        <v>21</v>
      </c>
      <c r="I85" s="72" t="n">
        <v>2101.4</v>
      </c>
      <c r="J85" s="70" t="inlineStr">
        <is>
          <t>Completed</t>
        </is>
      </c>
      <c r="K85" s="70" t="inlineStr">
        <is>
          <t>Delhi</t>
        </is>
      </c>
    </row>
    <row r="86" ht="14.25" customHeight="1" s="56">
      <c r="A86" s="70" t="inlineStr">
        <is>
          <t>ORD-00085</t>
        </is>
      </c>
      <c r="B86" s="71" t="n">
        <v>45424</v>
      </c>
      <c r="C86" s="70" t="inlineStr">
        <is>
          <t>CUST-0032</t>
        </is>
      </c>
      <c r="D86" s="70" t="inlineStr">
        <is>
          <t>PROD-045</t>
        </is>
      </c>
      <c r="E86" s="70" t="inlineStr">
        <is>
          <t>R012</t>
        </is>
      </c>
      <c r="F86" s="72" t="n">
        <v>5</v>
      </c>
      <c r="G86" s="72" t="n">
        <v>3020</v>
      </c>
      <c r="H86" s="72" t="n">
        <v>22.2</v>
      </c>
      <c r="I86" s="72" t="n">
        <v>11747.8</v>
      </c>
      <c r="J86" s="70" t="inlineStr">
        <is>
          <t>Completed</t>
        </is>
      </c>
      <c r="K86" s="70" t="inlineStr">
        <is>
          <t>Hyderabad</t>
        </is>
      </c>
    </row>
    <row r="87" ht="14.25" customHeight="1" s="56">
      <c r="A87" s="70" t="inlineStr">
        <is>
          <t>ORD-00086</t>
        </is>
      </c>
      <c r="B87" s="71" t="n">
        <v>45461</v>
      </c>
      <c r="C87" s="70" t="inlineStr">
        <is>
          <t>CUST-0006</t>
        </is>
      </c>
      <c r="D87" s="70" t="inlineStr">
        <is>
          <t>PROD-016</t>
        </is>
      </c>
      <c r="E87" s="70" t="inlineStr">
        <is>
          <t>R030</t>
        </is>
      </c>
      <c r="F87" s="72" t="n">
        <v>9</v>
      </c>
      <c r="G87" s="72" t="n">
        <v>620</v>
      </c>
      <c r="H87" s="72" t="n">
        <v>23.3</v>
      </c>
      <c r="I87" s="72" t="n">
        <v>4279.86</v>
      </c>
      <c r="J87" s="70" t="inlineStr">
        <is>
          <t>Completed</t>
        </is>
      </c>
      <c r="K87" s="70" t="inlineStr">
        <is>
          <t>Pune</t>
        </is>
      </c>
    </row>
    <row r="88" ht="14.25" customHeight="1" s="56">
      <c r="A88" s="70" t="inlineStr">
        <is>
          <t>ORD-00087</t>
        </is>
      </c>
      <c r="B88" s="71" t="n">
        <v>45600</v>
      </c>
      <c r="C88" s="70" t="inlineStr">
        <is>
          <t>CUST-0084</t>
        </is>
      </c>
      <c r="D88" s="70" t="inlineStr">
        <is>
          <t>PROD-053</t>
        </is>
      </c>
      <c r="E88" s="70" t="inlineStr">
        <is>
          <t>R026</t>
        </is>
      </c>
      <c r="F88" s="72" t="n">
        <v>2</v>
      </c>
      <c r="G88" s="72" t="n">
        <v>470</v>
      </c>
      <c r="H88" s="72" t="n">
        <v>5.4</v>
      </c>
      <c r="I88" s="72" t="n">
        <v>889.24</v>
      </c>
      <c r="J88" s="70" t="inlineStr">
        <is>
          <t>Completed</t>
        </is>
      </c>
      <c r="K88" s="70" t="inlineStr">
        <is>
          <t>Chennai</t>
        </is>
      </c>
    </row>
    <row r="89" ht="14.25" customHeight="1" s="56">
      <c r="A89" s="70" t="inlineStr">
        <is>
          <t>ORD-00088</t>
        </is>
      </c>
      <c r="B89" s="71" t="n">
        <v>45587</v>
      </c>
      <c r="C89" s="70" t="inlineStr">
        <is>
          <t>CUST-0107</t>
        </is>
      </c>
      <c r="D89" s="70" t="inlineStr">
        <is>
          <t>PROD-007</t>
        </is>
      </c>
      <c r="E89" s="70" t="inlineStr">
        <is>
          <t>R010</t>
        </is>
      </c>
      <c r="F89" s="72" t="n">
        <v>3</v>
      </c>
      <c r="G89" s="72" t="n">
        <v>1430</v>
      </c>
      <c r="H89" s="72" t="n">
        <v>6.5</v>
      </c>
      <c r="I89" s="72" t="n">
        <v>4011.15</v>
      </c>
      <c r="J89" s="70" t="inlineStr">
        <is>
          <t>Completed</t>
        </is>
      </c>
      <c r="K89" s="70" t="inlineStr">
        <is>
          <t>Pune</t>
        </is>
      </c>
    </row>
    <row r="90" ht="14.25" customHeight="1" s="56">
      <c r="A90" s="70" t="inlineStr">
        <is>
          <t>ORD-00089</t>
        </is>
      </c>
      <c r="B90" s="71" t="n">
        <v>45518</v>
      </c>
      <c r="C90" s="70" t="inlineStr">
        <is>
          <t>CUST-0108</t>
        </is>
      </c>
      <c r="D90" s="70" t="inlineStr">
        <is>
          <t>PROD-016</t>
        </is>
      </c>
      <c r="E90" s="70" t="inlineStr">
        <is>
          <t>R004</t>
        </is>
      </c>
      <c r="F90" s="72" t="n">
        <v>6</v>
      </c>
      <c r="G90" s="72" t="n">
        <v>620</v>
      </c>
      <c r="H90" s="72" t="n">
        <v>2.6</v>
      </c>
      <c r="I90" s="72" t="n">
        <v>3623.28</v>
      </c>
      <c r="J90" s="70" t="inlineStr">
        <is>
          <t>Completed</t>
        </is>
      </c>
      <c r="K90" s="70" t="inlineStr">
        <is>
          <t>Bengaluru</t>
        </is>
      </c>
    </row>
    <row r="91" ht="14.25" customHeight="1" s="56">
      <c r="A91" s="70" t="inlineStr">
        <is>
          <t>ORD-00090</t>
        </is>
      </c>
      <c r="B91" s="71" t="n">
        <v>45533</v>
      </c>
      <c r="C91" s="70" t="inlineStr">
        <is>
          <t>CUST-0139</t>
        </is>
      </c>
      <c r="D91" s="70" t="inlineStr">
        <is>
          <t>PROD-003</t>
        </is>
      </c>
      <c r="E91" s="70" t="inlineStr">
        <is>
          <t>R012</t>
        </is>
      </c>
      <c r="F91" s="72" t="n">
        <v>4</v>
      </c>
      <c r="G91" s="72" t="n">
        <v>3570</v>
      </c>
      <c r="H91" s="72" t="n">
        <v>4.5</v>
      </c>
      <c r="I91" s="72" t="n">
        <v>13637.4</v>
      </c>
      <c r="J91" s="70" t="inlineStr">
        <is>
          <t>Pending</t>
        </is>
      </c>
      <c r="K91" s="70" t="inlineStr">
        <is>
          <t>Hyderabad</t>
        </is>
      </c>
    </row>
    <row r="92" ht="14.25" customHeight="1" s="56">
      <c r="A92" s="70" t="inlineStr">
        <is>
          <t>ORD-00091</t>
        </is>
      </c>
      <c r="B92" s="71" t="n">
        <v>45622</v>
      </c>
      <c r="C92" s="70" t="inlineStr">
        <is>
          <t>CUST-0200</t>
        </is>
      </c>
      <c r="D92" s="70" t="inlineStr">
        <is>
          <t>PROD-022</t>
        </is>
      </c>
      <c r="E92" s="70" t="inlineStr">
        <is>
          <t>R010</t>
        </is>
      </c>
      <c r="F92" s="72" t="n">
        <v>6</v>
      </c>
      <c r="G92" s="72" t="n">
        <v>2270</v>
      </c>
      <c r="H92" s="72" t="n">
        <v>2</v>
      </c>
      <c r="I92" s="72" t="n">
        <v>13347.6</v>
      </c>
      <c r="J92" s="70" t="inlineStr">
        <is>
          <t>Completed</t>
        </is>
      </c>
      <c r="K92" s="70" t="inlineStr">
        <is>
          <t>Hyderabad</t>
        </is>
      </c>
    </row>
    <row r="93" ht="14.25" customHeight="1" s="56">
      <c r="A93" s="70" t="inlineStr">
        <is>
          <t>ORD-00092</t>
        </is>
      </c>
      <c r="B93" s="71" t="n">
        <v>45328</v>
      </c>
      <c r="C93" s="70" t="inlineStr">
        <is>
          <t>CUST-0208</t>
        </is>
      </c>
      <c r="D93" s="70" t="inlineStr">
        <is>
          <t>PROD-015</t>
        </is>
      </c>
      <c r="E93" s="70" t="inlineStr">
        <is>
          <t>R014</t>
        </is>
      </c>
      <c r="F93" s="72" t="n">
        <v>7</v>
      </c>
      <c r="G93" s="72" t="n">
        <v>2720</v>
      </c>
      <c r="H93" s="72" t="n">
        <v>15.4</v>
      </c>
      <c r="I93" s="72" t="n">
        <v>16107.84</v>
      </c>
      <c r="J93" s="70" t="inlineStr">
        <is>
          <t>Completed</t>
        </is>
      </c>
      <c r="K93" s="70" t="inlineStr">
        <is>
          <t>Mumbai</t>
        </is>
      </c>
    </row>
    <row r="94" ht="14.25" customHeight="1" s="56">
      <c r="A94" s="70" t="inlineStr">
        <is>
          <t>ORD-00093</t>
        </is>
      </c>
      <c r="B94" s="71" t="n">
        <v>45380</v>
      </c>
      <c r="C94" s="70" t="inlineStr">
        <is>
          <t>CUST-0161</t>
        </is>
      </c>
      <c r="D94" s="70" t="inlineStr">
        <is>
          <t>PROD-029</t>
        </is>
      </c>
      <c r="E94" s="70" t="inlineStr">
        <is>
          <t>R001</t>
        </is>
      </c>
      <c r="F94" s="72" t="n">
        <v>9</v>
      </c>
      <c r="G94" s="72" t="n">
        <v>2210</v>
      </c>
      <c r="H94" s="72" t="n">
        <v>12.4</v>
      </c>
      <c r="I94" s="72" t="n">
        <v>17423.64</v>
      </c>
      <c r="J94" s="70" t="inlineStr">
        <is>
          <t>Completed</t>
        </is>
      </c>
      <c r="K94" s="70" t="inlineStr">
        <is>
          <t>Chennai</t>
        </is>
      </c>
    </row>
    <row r="95" ht="14.25" customHeight="1" s="56">
      <c r="A95" s="70" t="inlineStr">
        <is>
          <t>ORD-00094</t>
        </is>
      </c>
      <c r="B95" s="71" t="n">
        <v>45648</v>
      </c>
      <c r="C95" s="70" t="inlineStr">
        <is>
          <t>CUST-0042</t>
        </is>
      </c>
      <c r="D95" s="70" t="inlineStr">
        <is>
          <t>PROD-060</t>
        </is>
      </c>
      <c r="E95" s="70" t="inlineStr">
        <is>
          <t>R026</t>
        </is>
      </c>
      <c r="F95" s="72" t="n">
        <v>6</v>
      </c>
      <c r="G95" s="72" t="n">
        <v>190</v>
      </c>
      <c r="H95" s="72" t="n">
        <v>19.2</v>
      </c>
      <c r="I95" s="72" t="n">
        <v>921.12</v>
      </c>
      <c r="J95" s="70" t="inlineStr">
        <is>
          <t>Completed</t>
        </is>
      </c>
      <c r="K95" s="70" t="inlineStr">
        <is>
          <t>Pune</t>
        </is>
      </c>
    </row>
    <row r="96" ht="14.25" customHeight="1" s="56">
      <c r="A96" s="70" t="inlineStr">
        <is>
          <t>ORD-00095</t>
        </is>
      </c>
      <c r="B96" s="71" t="n">
        <v>45607</v>
      </c>
      <c r="C96" s="70" t="inlineStr">
        <is>
          <t>CUST-0133</t>
        </is>
      </c>
      <c r="D96" s="70" t="inlineStr">
        <is>
          <t>PROD-048</t>
        </is>
      </c>
      <c r="E96" s="70" t="inlineStr">
        <is>
          <t>R027</t>
        </is>
      </c>
      <c r="F96" s="72" t="n">
        <v>10</v>
      </c>
      <c r="G96" s="72" t="n">
        <v>5100</v>
      </c>
      <c r="H96" s="72" t="n">
        <v>25.4</v>
      </c>
      <c r="I96" s="72" t="n">
        <v>38046</v>
      </c>
      <c r="J96" s="70" t="inlineStr">
        <is>
          <t>Refunded</t>
        </is>
      </c>
      <c r="K96" s="70" t="inlineStr">
        <is>
          <t>Chennai</t>
        </is>
      </c>
    </row>
    <row r="97" ht="14.25" customHeight="1" s="56">
      <c r="A97" s="70" t="inlineStr">
        <is>
          <t>ORD-00096</t>
        </is>
      </c>
      <c r="B97" s="71" t="n">
        <v>45414</v>
      </c>
      <c r="C97" s="70" t="inlineStr">
        <is>
          <t>CUST-0219</t>
        </is>
      </c>
      <c r="D97" s="70" t="inlineStr">
        <is>
          <t>PROD-054</t>
        </is>
      </c>
      <c r="E97" s="70" t="inlineStr">
        <is>
          <t>R016</t>
        </is>
      </c>
      <c r="F97" s="72" t="n">
        <v>5</v>
      </c>
      <c r="G97" s="72" t="n">
        <v>1010</v>
      </c>
      <c r="H97" s="72" t="n">
        <v>1.6</v>
      </c>
      <c r="I97" s="72" t="n">
        <v>4969.2</v>
      </c>
      <c r="J97" s="70" t="inlineStr">
        <is>
          <t>Completed</t>
        </is>
      </c>
      <c r="K97" s="70" t="inlineStr">
        <is>
          <t>Chennai</t>
        </is>
      </c>
    </row>
    <row r="98" ht="14.25" customHeight="1" s="56">
      <c r="A98" s="70" t="inlineStr">
        <is>
          <t>ORD-00097</t>
        </is>
      </c>
      <c r="B98" s="71" t="n">
        <v>45328</v>
      </c>
      <c r="C98" s="70" t="inlineStr">
        <is>
          <t>CUST-0031</t>
        </is>
      </c>
      <c r="D98" s="70" t="inlineStr">
        <is>
          <t>PROD-031</t>
        </is>
      </c>
      <c r="E98" s="70" t="inlineStr">
        <is>
          <t>R025</t>
        </is>
      </c>
      <c r="F98" s="72" t="n">
        <v>1</v>
      </c>
      <c r="G98" s="72" t="n">
        <v>3730</v>
      </c>
      <c r="H98" s="72" t="n">
        <v>22.7</v>
      </c>
      <c r="I98" s="72" t="n">
        <v>2883.29</v>
      </c>
      <c r="J98" s="70" t="inlineStr">
        <is>
          <t>Completed</t>
        </is>
      </c>
      <c r="K98" s="70" t="inlineStr">
        <is>
          <t>Hyderabad</t>
        </is>
      </c>
    </row>
    <row r="99" ht="14.25" customHeight="1" s="56">
      <c r="A99" s="70" t="inlineStr">
        <is>
          <t>ORD-00098</t>
        </is>
      </c>
      <c r="B99" s="71" t="n">
        <v>45373</v>
      </c>
      <c r="C99" s="70" t="inlineStr">
        <is>
          <t>CUST-0189</t>
        </is>
      </c>
      <c r="D99" s="70" t="inlineStr">
        <is>
          <t>PROD-002</t>
        </is>
      </c>
      <c r="E99" s="70" t="inlineStr">
        <is>
          <t>R028</t>
        </is>
      </c>
      <c r="F99" s="72" t="n">
        <v>10</v>
      </c>
      <c r="G99" s="72" t="n">
        <v>2600</v>
      </c>
      <c r="H99" s="72" t="n">
        <v>20.7</v>
      </c>
      <c r="I99" s="72" t="n">
        <v>20618</v>
      </c>
      <c r="J99" s="70" t="inlineStr">
        <is>
          <t>Completed</t>
        </is>
      </c>
      <c r="K99" s="70" t="inlineStr">
        <is>
          <t>Chennai</t>
        </is>
      </c>
    </row>
    <row r="100" ht="14.25" customHeight="1" s="56">
      <c r="A100" s="70" t="inlineStr">
        <is>
          <t>ORD-00099</t>
        </is>
      </c>
      <c r="B100" s="71" t="n">
        <v>45458</v>
      </c>
      <c r="C100" s="70" t="inlineStr">
        <is>
          <t>CUST-0170</t>
        </is>
      </c>
      <c r="D100" s="70" t="inlineStr">
        <is>
          <t>PROD-025</t>
        </is>
      </c>
      <c r="E100" s="70" t="inlineStr">
        <is>
          <t>R006</t>
        </is>
      </c>
      <c r="F100" s="72" t="n">
        <v>4</v>
      </c>
      <c r="G100" s="72" t="n">
        <v>4060</v>
      </c>
      <c r="H100" s="72" t="n">
        <v>13.9</v>
      </c>
      <c r="I100" s="72" t="n">
        <v>13982.64</v>
      </c>
      <c r="J100" s="70" t="inlineStr">
        <is>
          <t>Completed</t>
        </is>
      </c>
      <c r="K100" s="70" t="inlineStr">
        <is>
          <t>Mumbai</t>
        </is>
      </c>
    </row>
    <row r="101" ht="14.25" customHeight="1" s="56">
      <c r="A101" s="70" t="inlineStr">
        <is>
          <t>ORD-00100</t>
        </is>
      </c>
      <c r="B101" s="71" t="n">
        <v>45426</v>
      </c>
      <c r="C101" s="70" t="inlineStr">
        <is>
          <t>CUST-0164</t>
        </is>
      </c>
      <c r="D101" s="70" t="inlineStr">
        <is>
          <t>PROD-050</t>
        </is>
      </c>
      <c r="E101" s="70" t="inlineStr">
        <is>
          <t>R027</t>
        </is>
      </c>
      <c r="F101" s="72" t="n">
        <v>6</v>
      </c>
      <c r="G101" s="72" t="n">
        <v>6080</v>
      </c>
      <c r="H101" s="72" t="n">
        <v>16.5</v>
      </c>
      <c r="I101" s="72" t="n">
        <v>30460.8</v>
      </c>
      <c r="J101" s="70" t="inlineStr">
        <is>
          <t>Completed</t>
        </is>
      </c>
      <c r="K101" s="70" t="inlineStr">
        <is>
          <t>Chennai</t>
        </is>
      </c>
    </row>
    <row r="102" ht="14.25" customHeight="1" s="56">
      <c r="A102" s="70" t="inlineStr">
        <is>
          <t>ORD-00101</t>
        </is>
      </c>
      <c r="B102" s="71" t="n">
        <v>45557</v>
      </c>
      <c r="C102" s="70" t="inlineStr">
        <is>
          <t>CUST-0006</t>
        </is>
      </c>
      <c r="D102" s="70" t="inlineStr">
        <is>
          <t>PROD-017</t>
        </is>
      </c>
      <c r="E102" s="70" t="inlineStr">
        <is>
          <t>R028</t>
        </is>
      </c>
      <c r="F102" s="72" t="n">
        <v>6</v>
      </c>
      <c r="G102" s="72" t="n">
        <v>2510</v>
      </c>
      <c r="H102" s="72" t="n">
        <v>11.7</v>
      </c>
      <c r="I102" s="72" t="n">
        <v>13297.98</v>
      </c>
      <c r="J102" s="70" t="inlineStr">
        <is>
          <t>Completed</t>
        </is>
      </c>
      <c r="K102" s="70" t="inlineStr">
        <is>
          <t>Pune</t>
        </is>
      </c>
    </row>
    <row r="103" ht="14.25" customHeight="1" s="56">
      <c r="A103" s="70" t="inlineStr">
        <is>
          <t>ORD-00102</t>
        </is>
      </c>
      <c r="B103" s="71" t="n">
        <v>45509</v>
      </c>
      <c r="C103" s="70" t="inlineStr">
        <is>
          <t>CUST-0181</t>
        </is>
      </c>
      <c r="D103" s="70" t="inlineStr">
        <is>
          <t>PROD-036</t>
        </is>
      </c>
      <c r="E103" s="70" t="inlineStr">
        <is>
          <t>R026</t>
        </is>
      </c>
      <c r="F103" s="72" t="n">
        <v>5</v>
      </c>
      <c r="G103" s="72" t="n">
        <v>3250</v>
      </c>
      <c r="H103" s="72" t="n">
        <v>18.4</v>
      </c>
      <c r="I103" s="72" t="n">
        <v>13260</v>
      </c>
      <c r="J103" s="70" t="inlineStr">
        <is>
          <t>Completed</t>
        </is>
      </c>
      <c r="K103" s="70" t="inlineStr">
        <is>
          <t>Delhi</t>
        </is>
      </c>
    </row>
    <row r="104" ht="14.25" customHeight="1" s="56">
      <c r="A104" s="70" t="inlineStr">
        <is>
          <t>ORD-00103</t>
        </is>
      </c>
      <c r="B104" s="71" t="n">
        <v>45329</v>
      </c>
      <c r="C104" s="70" t="inlineStr">
        <is>
          <t>CUST-0131</t>
        </is>
      </c>
      <c r="D104" s="70" t="inlineStr">
        <is>
          <t>PROD-052</t>
        </is>
      </c>
      <c r="E104" s="70" t="inlineStr">
        <is>
          <t>R005</t>
        </is>
      </c>
      <c r="F104" s="72" t="n">
        <v>4</v>
      </c>
      <c r="G104" s="72" t="n">
        <v>5410</v>
      </c>
      <c r="H104" s="72" t="n">
        <v>9.800000000000001</v>
      </c>
      <c r="I104" s="72" t="n">
        <v>19519.28</v>
      </c>
      <c r="J104" s="70" t="inlineStr">
        <is>
          <t>Cancelled</t>
        </is>
      </c>
      <c r="K104" s="70" t="inlineStr">
        <is>
          <t>Delhi</t>
        </is>
      </c>
    </row>
    <row r="105" ht="14.25" customHeight="1" s="56">
      <c r="A105" s="70" t="inlineStr">
        <is>
          <t>ORD-00104</t>
        </is>
      </c>
      <c r="B105" s="71" t="n">
        <v>45411</v>
      </c>
      <c r="C105" s="70" t="inlineStr">
        <is>
          <t>CUST-0255</t>
        </is>
      </c>
      <c r="D105" s="70" t="inlineStr">
        <is>
          <t>PROD-003</t>
        </is>
      </c>
      <c r="E105" s="70" t="inlineStr">
        <is>
          <t>R018</t>
        </is>
      </c>
      <c r="F105" s="72" t="n">
        <v>8</v>
      </c>
      <c r="G105" s="72" t="n">
        <v>3570</v>
      </c>
      <c r="H105" s="72" t="n">
        <v>11.1</v>
      </c>
      <c r="I105" s="72" t="n">
        <v>25389.84</v>
      </c>
      <c r="J105" s="70" t="inlineStr">
        <is>
          <t>Completed</t>
        </is>
      </c>
      <c r="K105" s="70" t="inlineStr">
        <is>
          <t>Chennai</t>
        </is>
      </c>
    </row>
    <row r="106" ht="14.25" customHeight="1" s="56">
      <c r="A106" s="70" t="inlineStr">
        <is>
          <t>ORD-00105</t>
        </is>
      </c>
      <c r="B106" s="71" t="n">
        <v>45297</v>
      </c>
      <c r="C106" s="70" t="inlineStr">
        <is>
          <t>CUST-0170</t>
        </is>
      </c>
      <c r="D106" s="70" t="inlineStr">
        <is>
          <t>PROD-001</t>
        </is>
      </c>
      <c r="E106" s="70" t="inlineStr">
        <is>
          <t>R003</t>
        </is>
      </c>
      <c r="F106" s="72" t="n">
        <v>10</v>
      </c>
      <c r="G106" s="72" t="n">
        <v>5330</v>
      </c>
      <c r="H106" s="72" t="n">
        <v>21.2</v>
      </c>
      <c r="I106" s="72" t="n">
        <v>42000.4</v>
      </c>
      <c r="J106" s="70" t="inlineStr">
        <is>
          <t>Completed</t>
        </is>
      </c>
      <c r="K106" s="70" t="inlineStr">
        <is>
          <t>Mumbai</t>
        </is>
      </c>
    </row>
    <row r="107" ht="14.25" customHeight="1" s="56">
      <c r="A107" s="70" t="inlineStr">
        <is>
          <t>ORD-00106</t>
        </is>
      </c>
      <c r="B107" s="71" t="n">
        <v>45640</v>
      </c>
      <c r="C107" s="70" t="inlineStr">
        <is>
          <t>CUST-0081</t>
        </is>
      </c>
      <c r="D107" s="70" t="inlineStr">
        <is>
          <t>PROD-023</t>
        </is>
      </c>
      <c r="E107" s="70" t="inlineStr">
        <is>
          <t>R017</t>
        </is>
      </c>
      <c r="F107" s="72" t="n">
        <v>4</v>
      </c>
      <c r="G107" s="72" t="n">
        <v>2380</v>
      </c>
      <c r="H107" s="72" t="n">
        <v>26.2</v>
      </c>
      <c r="I107" s="72" t="n">
        <v>7025.76</v>
      </c>
      <c r="J107" s="70" t="inlineStr">
        <is>
          <t>Completed</t>
        </is>
      </c>
      <c r="K107" s="70" t="inlineStr">
        <is>
          <t>Mumbai</t>
        </is>
      </c>
    </row>
    <row r="108" ht="14.25" customHeight="1" s="56">
      <c r="A108" s="70" t="inlineStr">
        <is>
          <t>ORD-00107</t>
        </is>
      </c>
      <c r="B108" s="71" t="n">
        <v>45322</v>
      </c>
      <c r="C108" s="70" t="inlineStr">
        <is>
          <t>CUST-0102</t>
        </is>
      </c>
      <c r="D108" s="70" t="inlineStr">
        <is>
          <t>PROD-054</t>
        </is>
      </c>
      <c r="E108" s="70" t="inlineStr">
        <is>
          <t>R027</t>
        </is>
      </c>
      <c r="F108" s="72" t="n">
        <v>1</v>
      </c>
      <c r="G108" s="72" t="n">
        <v>1010</v>
      </c>
      <c r="H108" s="72" t="n">
        <v>19.5</v>
      </c>
      <c r="I108" s="72" t="n">
        <v>813.05</v>
      </c>
      <c r="J108" s="70" t="inlineStr">
        <is>
          <t>Cancelled</t>
        </is>
      </c>
      <c r="K108" s="70" t="inlineStr">
        <is>
          <t>Chennai</t>
        </is>
      </c>
    </row>
    <row r="109" ht="14.25" customHeight="1" s="56">
      <c r="A109" s="70" t="inlineStr">
        <is>
          <t>ORD-00108</t>
        </is>
      </c>
      <c r="B109" s="71" t="n">
        <v>45414</v>
      </c>
      <c r="C109" s="70" t="inlineStr">
        <is>
          <t>CUST-0070</t>
        </is>
      </c>
      <c r="D109" s="70" t="inlineStr">
        <is>
          <t>PROD-028</t>
        </is>
      </c>
      <c r="E109" s="70" t="inlineStr">
        <is>
          <t>R025</t>
        </is>
      </c>
      <c r="F109" s="72" t="n">
        <v>1</v>
      </c>
      <c r="G109" s="72" t="n">
        <v>3660</v>
      </c>
      <c r="H109" s="72" t="n">
        <v>1.3</v>
      </c>
      <c r="I109" s="72" t="n">
        <v>3612.42</v>
      </c>
      <c r="J109" s="70" t="inlineStr">
        <is>
          <t>Completed</t>
        </is>
      </c>
      <c r="K109" s="70" t="inlineStr">
        <is>
          <t>Mumbai</t>
        </is>
      </c>
    </row>
    <row r="110" ht="14.25" customHeight="1" s="56">
      <c r="A110" s="70" t="inlineStr">
        <is>
          <t>ORD-00109</t>
        </is>
      </c>
      <c r="B110" s="71" t="n">
        <v>45592</v>
      </c>
      <c r="C110" s="70" t="inlineStr">
        <is>
          <t>CUST-0012</t>
        </is>
      </c>
      <c r="D110" s="70" t="inlineStr">
        <is>
          <t>PROD-026</t>
        </is>
      </c>
      <c r="E110" s="70" t="inlineStr">
        <is>
          <t>R013</t>
        </is>
      </c>
      <c r="F110" s="72" t="n">
        <v>2</v>
      </c>
      <c r="G110" s="72" t="n">
        <v>4070</v>
      </c>
      <c r="H110" s="72" t="n">
        <v>29</v>
      </c>
      <c r="I110" s="72" t="n">
        <v>5779.4</v>
      </c>
      <c r="J110" s="70" t="inlineStr">
        <is>
          <t>Cancelled</t>
        </is>
      </c>
      <c r="K110" s="70" t="inlineStr">
        <is>
          <t>Pune</t>
        </is>
      </c>
    </row>
    <row r="111" ht="14.25" customHeight="1" s="56">
      <c r="A111" s="70" t="inlineStr">
        <is>
          <t>ORD-00110</t>
        </is>
      </c>
      <c r="B111" s="71" t="n">
        <v>45439</v>
      </c>
      <c r="C111" s="70" t="inlineStr">
        <is>
          <t>CUST-0086</t>
        </is>
      </c>
      <c r="D111" s="70" t="inlineStr">
        <is>
          <t>PROD-037</t>
        </is>
      </c>
      <c r="E111" s="70" t="inlineStr">
        <is>
          <t>R029</t>
        </is>
      </c>
      <c r="F111" s="72" t="n">
        <v>6</v>
      </c>
      <c r="G111" s="72" t="n">
        <v>660</v>
      </c>
      <c r="H111" s="72" t="n">
        <v>20.2</v>
      </c>
      <c r="I111" s="72" t="n">
        <v>3160.08</v>
      </c>
      <c r="J111" s="70" t="inlineStr">
        <is>
          <t>Pending</t>
        </is>
      </c>
      <c r="K111" s="70" t="inlineStr">
        <is>
          <t>Hyderabad</t>
        </is>
      </c>
    </row>
    <row r="112" ht="14.25" customHeight="1" s="56">
      <c r="A112" s="70" t="inlineStr">
        <is>
          <t>ORD-00111</t>
        </is>
      </c>
      <c r="B112" s="71" t="n">
        <v>45486</v>
      </c>
      <c r="C112" s="70" t="inlineStr">
        <is>
          <t>CUST-0145</t>
        </is>
      </c>
      <c r="D112" s="70" t="inlineStr">
        <is>
          <t>PROD-040</t>
        </is>
      </c>
      <c r="E112" s="70" t="inlineStr">
        <is>
          <t>R024</t>
        </is>
      </c>
      <c r="F112" s="72" t="n">
        <v>3</v>
      </c>
      <c r="G112" s="72" t="n">
        <v>1080</v>
      </c>
      <c r="H112" s="72" t="n">
        <v>29.7</v>
      </c>
      <c r="I112" s="72" t="n">
        <v>2277.72</v>
      </c>
      <c r="J112" s="70" t="inlineStr">
        <is>
          <t>Completed</t>
        </is>
      </c>
      <c r="K112" s="70" t="inlineStr">
        <is>
          <t>Bengaluru</t>
        </is>
      </c>
    </row>
    <row r="113" ht="14.25" customHeight="1" s="56">
      <c r="A113" s="70" t="inlineStr">
        <is>
          <t>ORD-00112</t>
        </is>
      </c>
      <c r="B113" s="71" t="n">
        <v>45629</v>
      </c>
      <c r="C113" s="70" t="inlineStr">
        <is>
          <t>CUST-0287</t>
        </is>
      </c>
      <c r="D113" s="70" t="inlineStr">
        <is>
          <t>PROD-020</t>
        </is>
      </c>
      <c r="E113" s="70" t="inlineStr">
        <is>
          <t>R006</t>
        </is>
      </c>
      <c r="F113" s="72" t="n">
        <v>7</v>
      </c>
      <c r="G113" s="72" t="n">
        <v>820</v>
      </c>
      <c r="H113" s="72" t="n">
        <v>13.5</v>
      </c>
      <c r="I113" s="72" t="n">
        <v>4965.1</v>
      </c>
      <c r="J113" s="70" t="inlineStr">
        <is>
          <t>Cancelled</t>
        </is>
      </c>
      <c r="K113" s="70" t="inlineStr">
        <is>
          <t>Chennai</t>
        </is>
      </c>
    </row>
    <row r="114" ht="14.25" customHeight="1" s="56">
      <c r="A114" s="70" t="inlineStr">
        <is>
          <t>ORD-00113</t>
        </is>
      </c>
      <c r="B114" s="71" t="n">
        <v>45394</v>
      </c>
      <c r="C114" s="70" t="inlineStr">
        <is>
          <t>CUST-0280</t>
        </is>
      </c>
      <c r="D114" s="70" t="inlineStr">
        <is>
          <t>PROD-049</t>
        </is>
      </c>
      <c r="E114" s="70" t="inlineStr">
        <is>
          <t>R027</t>
        </is>
      </c>
      <c r="F114" s="72" t="n">
        <v>4</v>
      </c>
      <c r="G114" s="72" t="n">
        <v>960</v>
      </c>
      <c r="H114" s="72" t="n">
        <v>26</v>
      </c>
      <c r="I114" s="72" t="n">
        <v>2841.6</v>
      </c>
      <c r="J114" s="70" t="inlineStr">
        <is>
          <t>Completed</t>
        </is>
      </c>
      <c r="K114" s="70" t="inlineStr">
        <is>
          <t>Delhi</t>
        </is>
      </c>
    </row>
    <row r="115" ht="14.25" customHeight="1" s="56">
      <c r="A115" s="70" t="inlineStr">
        <is>
          <t>ORD-00114</t>
        </is>
      </c>
      <c r="B115" s="71" t="n">
        <v>45453</v>
      </c>
      <c r="C115" s="70" t="inlineStr">
        <is>
          <t>CUST-0096</t>
        </is>
      </c>
      <c r="D115" s="70" t="inlineStr">
        <is>
          <t>PROD-002</t>
        </is>
      </c>
      <c r="E115" s="70" t="inlineStr">
        <is>
          <t>R014</t>
        </is>
      </c>
      <c r="F115" s="72" t="n">
        <v>3</v>
      </c>
      <c r="G115" s="72" t="n">
        <v>2600</v>
      </c>
      <c r="H115" s="72" t="n">
        <v>18.2</v>
      </c>
      <c r="I115" s="72" t="n">
        <v>6380.4</v>
      </c>
      <c r="J115" s="70" t="inlineStr">
        <is>
          <t>Completed</t>
        </is>
      </c>
      <c r="K115" s="70" t="inlineStr">
        <is>
          <t>Delhi</t>
        </is>
      </c>
    </row>
    <row r="116" ht="14.25" customHeight="1" s="56">
      <c r="A116" s="70" t="inlineStr">
        <is>
          <t>ORD-00115</t>
        </is>
      </c>
      <c r="B116" s="71" t="n">
        <v>45370</v>
      </c>
      <c r="C116" s="70" t="inlineStr">
        <is>
          <t>CUST-0184</t>
        </is>
      </c>
      <c r="D116" s="70" t="inlineStr">
        <is>
          <t>PROD-033</t>
        </is>
      </c>
      <c r="E116" s="70" t="inlineStr">
        <is>
          <t>R029</t>
        </is>
      </c>
      <c r="F116" s="72" t="n">
        <v>9</v>
      </c>
      <c r="G116" s="72" t="n">
        <v>2030</v>
      </c>
      <c r="H116" s="72" t="n">
        <v>26.1</v>
      </c>
      <c r="I116" s="72" t="n">
        <v>13501.53</v>
      </c>
      <c r="J116" s="70" t="inlineStr">
        <is>
          <t>Completed</t>
        </is>
      </c>
      <c r="K116" s="70" t="inlineStr">
        <is>
          <t>Pune</t>
        </is>
      </c>
    </row>
    <row r="117" ht="14.25" customHeight="1" s="56">
      <c r="A117" s="70" t="inlineStr">
        <is>
          <t>ORD-00116</t>
        </is>
      </c>
      <c r="B117" s="71" t="n">
        <v>45597</v>
      </c>
      <c r="C117" s="70" t="inlineStr">
        <is>
          <t>CUST-0025</t>
        </is>
      </c>
      <c r="D117" s="70" t="inlineStr">
        <is>
          <t>PROD-042</t>
        </is>
      </c>
      <c r="E117" s="70" t="inlineStr">
        <is>
          <t>R028</t>
        </is>
      </c>
      <c r="F117" s="72" t="n">
        <v>8</v>
      </c>
      <c r="G117" s="72" t="n">
        <v>2290</v>
      </c>
      <c r="H117" s="72" t="n">
        <v>20.8</v>
      </c>
      <c r="I117" s="72" t="n">
        <v>14509.44</v>
      </c>
      <c r="J117" s="70" t="inlineStr">
        <is>
          <t>Completed</t>
        </is>
      </c>
      <c r="K117" s="70" t="inlineStr">
        <is>
          <t>Bengaluru</t>
        </is>
      </c>
    </row>
    <row r="118" ht="14.25" customHeight="1" s="56">
      <c r="A118" s="70" t="inlineStr">
        <is>
          <t>ORD-00117</t>
        </is>
      </c>
      <c r="B118" s="71" t="n">
        <v>45531</v>
      </c>
      <c r="C118" s="70" t="inlineStr">
        <is>
          <t>CUST-0149</t>
        </is>
      </c>
      <c r="D118" s="70" t="inlineStr">
        <is>
          <t>PROD-031</t>
        </is>
      </c>
      <c r="E118" s="70" t="inlineStr">
        <is>
          <t>R029</t>
        </is>
      </c>
      <c r="F118" s="72" t="n">
        <v>3</v>
      </c>
      <c r="G118" s="72" t="n">
        <v>3730</v>
      </c>
      <c r="H118" s="72" t="n">
        <v>7.9</v>
      </c>
      <c r="I118" s="72" t="n">
        <v>10305.99</v>
      </c>
      <c r="J118" s="70" t="inlineStr">
        <is>
          <t>Completed</t>
        </is>
      </c>
      <c r="K118" s="70" t="inlineStr">
        <is>
          <t>Hyderabad</t>
        </is>
      </c>
    </row>
    <row r="119" ht="14.25" customHeight="1" s="56">
      <c r="A119" s="70" t="inlineStr">
        <is>
          <t>ORD-00118</t>
        </is>
      </c>
      <c r="B119" s="71" t="n">
        <v>45596</v>
      </c>
      <c r="C119" s="70" t="inlineStr">
        <is>
          <t>CUST-0018</t>
        </is>
      </c>
      <c r="D119" s="70" t="inlineStr">
        <is>
          <t>PROD-005</t>
        </is>
      </c>
      <c r="E119" s="70" t="inlineStr">
        <is>
          <t>R014</t>
        </is>
      </c>
      <c r="F119" s="72" t="n">
        <v>1</v>
      </c>
      <c r="G119" s="72" t="n">
        <v>300</v>
      </c>
      <c r="H119" s="72" t="n">
        <v>16.9</v>
      </c>
      <c r="I119" s="72" t="n">
        <v>249.3</v>
      </c>
      <c r="J119" s="70" t="inlineStr">
        <is>
          <t>Pending</t>
        </is>
      </c>
      <c r="K119" s="70" t="inlineStr">
        <is>
          <t>Pune</t>
        </is>
      </c>
    </row>
    <row r="120" ht="14.25" customHeight="1" s="56">
      <c r="A120" s="70" t="inlineStr">
        <is>
          <t>ORD-00119</t>
        </is>
      </c>
      <c r="B120" s="71" t="n">
        <v>45420</v>
      </c>
      <c r="C120" s="70" t="inlineStr">
        <is>
          <t>CUST-0216</t>
        </is>
      </c>
      <c r="D120" s="70" t="inlineStr">
        <is>
          <t>PROD-005</t>
        </is>
      </c>
      <c r="E120" s="70" t="inlineStr">
        <is>
          <t>R012</t>
        </is>
      </c>
      <c r="F120" s="72" t="n">
        <v>3</v>
      </c>
      <c r="G120" s="72" t="n">
        <v>300</v>
      </c>
      <c r="H120" s="72" t="n">
        <v>0.6</v>
      </c>
      <c r="I120" s="72" t="n">
        <v>894.6</v>
      </c>
      <c r="J120" s="70" t="inlineStr">
        <is>
          <t>Completed</t>
        </is>
      </c>
      <c r="K120" s="70" t="inlineStr">
        <is>
          <t>Mumbai</t>
        </is>
      </c>
    </row>
    <row r="121" ht="14.25" customHeight="1" s="56">
      <c r="A121" s="70" t="inlineStr">
        <is>
          <t>ORD-00120</t>
        </is>
      </c>
      <c r="B121" s="71" t="n">
        <v>45329</v>
      </c>
      <c r="C121" s="70" t="inlineStr">
        <is>
          <t>CUST-0092</t>
        </is>
      </c>
      <c r="D121" s="70" t="inlineStr">
        <is>
          <t>PROD-043</t>
        </is>
      </c>
      <c r="E121" s="70" t="inlineStr">
        <is>
          <t>R007</t>
        </is>
      </c>
      <c r="F121" s="72" t="n">
        <v>6</v>
      </c>
      <c r="G121" s="72" t="n">
        <v>3350</v>
      </c>
      <c r="H121" s="72" t="n">
        <v>2.3</v>
      </c>
      <c r="I121" s="72" t="n">
        <v>19637.7</v>
      </c>
      <c r="J121" s="70" t="inlineStr">
        <is>
          <t>Cancelled</t>
        </is>
      </c>
      <c r="K121" s="70" t="inlineStr">
        <is>
          <t>Bengaluru</t>
        </is>
      </c>
    </row>
    <row r="122" ht="14.25" customHeight="1" s="56">
      <c r="A122" s="70" t="inlineStr">
        <is>
          <t>ORD-00121</t>
        </is>
      </c>
      <c r="B122" s="71" t="n">
        <v>45416</v>
      </c>
      <c r="C122" s="70" t="inlineStr">
        <is>
          <t>CUST-0056</t>
        </is>
      </c>
      <c r="D122" s="70" t="inlineStr">
        <is>
          <t>PROD-001</t>
        </is>
      </c>
      <c r="E122" s="70" t="inlineStr">
        <is>
          <t>R003</t>
        </is>
      </c>
      <c r="F122" s="72" t="n">
        <v>4</v>
      </c>
      <c r="G122" s="72" t="n">
        <v>5330</v>
      </c>
      <c r="H122" s="72" t="n">
        <v>29.3</v>
      </c>
      <c r="I122" s="72" t="n">
        <v>15073.24</v>
      </c>
      <c r="J122" s="70" t="inlineStr">
        <is>
          <t>Completed</t>
        </is>
      </c>
      <c r="K122" s="70" t="inlineStr">
        <is>
          <t>Bengaluru</t>
        </is>
      </c>
    </row>
    <row r="123" ht="14.25" customHeight="1" s="56">
      <c r="A123" s="70" t="inlineStr">
        <is>
          <t>ORD-00122</t>
        </is>
      </c>
      <c r="B123" s="71" t="n">
        <v>45614</v>
      </c>
      <c r="C123" s="70" t="inlineStr">
        <is>
          <t>CUST-0113</t>
        </is>
      </c>
      <c r="D123" s="70" t="inlineStr">
        <is>
          <t>PROD-014</t>
        </is>
      </c>
      <c r="E123" s="70" t="inlineStr">
        <is>
          <t>R002</t>
        </is>
      </c>
      <c r="F123" s="72" t="n">
        <v>6</v>
      </c>
      <c r="G123" s="72" t="n">
        <v>3620</v>
      </c>
      <c r="H123" s="72" t="n">
        <v>10.8</v>
      </c>
      <c r="I123" s="72" t="n">
        <v>19374.24</v>
      </c>
      <c r="J123" s="70" t="inlineStr">
        <is>
          <t>Completed</t>
        </is>
      </c>
      <c r="K123" s="70" t="inlineStr">
        <is>
          <t>Delhi</t>
        </is>
      </c>
    </row>
    <row r="124" ht="14.25" customHeight="1" s="56">
      <c r="A124" s="70" t="inlineStr">
        <is>
          <t>ORD-00123</t>
        </is>
      </c>
      <c r="B124" s="71" t="n">
        <v>45593</v>
      </c>
      <c r="C124" s="70" t="inlineStr">
        <is>
          <t>CUST-0253</t>
        </is>
      </c>
      <c r="D124" s="70" t="inlineStr">
        <is>
          <t>PROD-014</t>
        </is>
      </c>
      <c r="E124" s="70" t="inlineStr">
        <is>
          <t>R005</t>
        </is>
      </c>
      <c r="F124" s="72" t="n">
        <v>6</v>
      </c>
      <c r="G124" s="72" t="n">
        <v>3620</v>
      </c>
      <c r="H124" s="72" t="n">
        <v>21.7</v>
      </c>
      <c r="I124" s="72" t="n">
        <v>17006.76</v>
      </c>
      <c r="J124" s="70" t="inlineStr">
        <is>
          <t>Completed</t>
        </is>
      </c>
      <c r="K124" s="70" t="inlineStr">
        <is>
          <t>Delhi</t>
        </is>
      </c>
    </row>
    <row r="125" ht="14.25" customHeight="1" s="56">
      <c r="A125" s="70" t="inlineStr">
        <is>
          <t>ORD-00124</t>
        </is>
      </c>
      <c r="B125" s="71" t="n">
        <v>45360</v>
      </c>
      <c r="C125" s="70" t="inlineStr">
        <is>
          <t>CUST-0187</t>
        </is>
      </c>
      <c r="D125" s="70" t="inlineStr">
        <is>
          <t>PROD-057</t>
        </is>
      </c>
      <c r="E125" s="70" t="inlineStr">
        <is>
          <t>R008</t>
        </is>
      </c>
      <c r="F125" s="72" t="n">
        <v>8</v>
      </c>
      <c r="G125" s="72" t="n">
        <v>960</v>
      </c>
      <c r="H125" s="72" t="n">
        <v>27.9</v>
      </c>
      <c r="I125" s="72" t="n">
        <v>5537.28</v>
      </c>
      <c r="J125" s="70" t="inlineStr">
        <is>
          <t>Completed</t>
        </is>
      </c>
      <c r="K125" s="70" t="inlineStr">
        <is>
          <t>Chennai</t>
        </is>
      </c>
    </row>
    <row r="126" ht="14.25" customHeight="1" s="56">
      <c r="A126" s="70" t="inlineStr">
        <is>
          <t>ORD-00125</t>
        </is>
      </c>
      <c r="B126" s="71" t="n">
        <v>45628</v>
      </c>
      <c r="C126" s="70" t="inlineStr">
        <is>
          <t>CUST-0028</t>
        </is>
      </c>
      <c r="D126" s="70" t="inlineStr">
        <is>
          <t>PROD-044</t>
        </is>
      </c>
      <c r="E126" s="70" t="inlineStr">
        <is>
          <t>R025</t>
        </is>
      </c>
      <c r="F126" s="72" t="n">
        <v>5</v>
      </c>
      <c r="G126" s="72" t="n">
        <v>1650</v>
      </c>
      <c r="H126" s="72" t="n">
        <v>4.9</v>
      </c>
      <c r="I126" s="72" t="n">
        <v>7845.75</v>
      </c>
      <c r="J126" s="70" t="inlineStr">
        <is>
          <t>Completed</t>
        </is>
      </c>
      <c r="K126" s="70" t="inlineStr">
        <is>
          <t>Bengaluru</t>
        </is>
      </c>
    </row>
    <row r="127" ht="14.25" customHeight="1" s="56">
      <c r="A127" s="70" t="inlineStr">
        <is>
          <t>ORD-00126</t>
        </is>
      </c>
      <c r="B127" s="71" t="n">
        <v>45592</v>
      </c>
      <c r="C127" s="70" t="inlineStr">
        <is>
          <t>CUST-0224</t>
        </is>
      </c>
      <c r="D127" s="70" t="inlineStr">
        <is>
          <t>PROD-049</t>
        </is>
      </c>
      <c r="E127" s="70" t="inlineStr">
        <is>
          <t>R010</t>
        </is>
      </c>
      <c r="F127" s="72" t="n">
        <v>9</v>
      </c>
      <c r="G127" s="72" t="n">
        <v>960</v>
      </c>
      <c r="H127" s="72" t="n">
        <v>25.1</v>
      </c>
      <c r="I127" s="72" t="n">
        <v>6471.36</v>
      </c>
      <c r="J127" s="70" t="inlineStr">
        <is>
          <t>Refunded</t>
        </is>
      </c>
      <c r="K127" s="70" t="inlineStr">
        <is>
          <t>Chennai</t>
        </is>
      </c>
    </row>
    <row r="128" ht="14.25" customHeight="1" s="56">
      <c r="A128" s="70" t="inlineStr">
        <is>
          <t>ORD-00127</t>
        </is>
      </c>
      <c r="B128" s="71" t="n">
        <v>45453</v>
      </c>
      <c r="C128" s="70" t="inlineStr">
        <is>
          <t>CUST-0150</t>
        </is>
      </c>
      <c r="D128" s="70" t="inlineStr">
        <is>
          <t>PROD-006</t>
        </is>
      </c>
      <c r="E128" s="70" t="inlineStr">
        <is>
          <t>R003</t>
        </is>
      </c>
      <c r="F128" s="72" t="n">
        <v>7</v>
      </c>
      <c r="G128" s="72" t="n">
        <v>3970</v>
      </c>
      <c r="H128" s="72" t="n">
        <v>13.8</v>
      </c>
      <c r="I128" s="72" t="n">
        <v>23954.98</v>
      </c>
      <c r="J128" s="70" t="inlineStr">
        <is>
          <t>Pending</t>
        </is>
      </c>
      <c r="K128" s="70" t="inlineStr">
        <is>
          <t>Pune</t>
        </is>
      </c>
    </row>
    <row r="129" ht="14.25" customHeight="1" s="56">
      <c r="A129" s="70" t="inlineStr">
        <is>
          <t>ORD-00128</t>
        </is>
      </c>
      <c r="B129" s="71" t="n">
        <v>45612</v>
      </c>
      <c r="C129" s="70" t="inlineStr">
        <is>
          <t>CUST-0129</t>
        </is>
      </c>
      <c r="D129" s="70" t="inlineStr">
        <is>
          <t>PROD-030</t>
        </is>
      </c>
      <c r="E129" s="70" t="inlineStr">
        <is>
          <t>R005</t>
        </is>
      </c>
      <c r="F129" s="72" t="n">
        <v>7</v>
      </c>
      <c r="G129" s="72" t="n">
        <v>970</v>
      </c>
      <c r="H129" s="72" t="n">
        <v>21.6</v>
      </c>
      <c r="I129" s="72" t="n">
        <v>5323.36</v>
      </c>
      <c r="J129" s="70" t="inlineStr">
        <is>
          <t>Pending</t>
        </is>
      </c>
      <c r="K129" s="70" t="inlineStr">
        <is>
          <t>Hyderabad</t>
        </is>
      </c>
    </row>
    <row r="130" ht="14.25" customHeight="1" s="56">
      <c r="A130" s="70" t="inlineStr">
        <is>
          <t>ORD-00129</t>
        </is>
      </c>
      <c r="B130" s="71" t="n">
        <v>45541</v>
      </c>
      <c r="C130" s="70" t="inlineStr">
        <is>
          <t>CUST-0239</t>
        </is>
      </c>
      <c r="D130" s="70" t="inlineStr">
        <is>
          <t>PROD-033</t>
        </is>
      </c>
      <c r="E130" s="70" t="inlineStr">
        <is>
          <t>R001</t>
        </is>
      </c>
      <c r="F130" s="72" t="n">
        <v>10</v>
      </c>
      <c r="G130" s="72" t="n">
        <v>2030</v>
      </c>
      <c r="H130" s="72" t="n">
        <v>1.2</v>
      </c>
      <c r="I130" s="72" t="n">
        <v>20056.4</v>
      </c>
      <c r="J130" s="70" t="inlineStr">
        <is>
          <t>Completed</t>
        </is>
      </c>
      <c r="K130" s="70" t="inlineStr">
        <is>
          <t>Mumbai</t>
        </is>
      </c>
    </row>
    <row r="131" ht="14.25" customHeight="1" s="56">
      <c r="A131" s="70" t="inlineStr">
        <is>
          <t>ORD-00130</t>
        </is>
      </c>
      <c r="B131" s="71" t="n">
        <v>45640</v>
      </c>
      <c r="C131" s="70" t="inlineStr">
        <is>
          <t>CUST-0106</t>
        </is>
      </c>
      <c r="D131" s="70" t="inlineStr">
        <is>
          <t>PROD-024</t>
        </is>
      </c>
      <c r="E131" s="70" t="inlineStr">
        <is>
          <t>R021</t>
        </is>
      </c>
      <c r="F131" s="72" t="n">
        <v>9</v>
      </c>
      <c r="G131" s="72" t="n">
        <v>2270</v>
      </c>
      <c r="H131" s="72" t="n">
        <v>13.2</v>
      </c>
      <c r="I131" s="72" t="n">
        <v>17733.24</v>
      </c>
      <c r="J131" s="70" t="inlineStr">
        <is>
          <t>Pending</t>
        </is>
      </c>
      <c r="K131" s="70" t="inlineStr">
        <is>
          <t>Pune</t>
        </is>
      </c>
    </row>
    <row r="132" ht="14.25" customHeight="1" s="56">
      <c r="A132" s="70" t="inlineStr">
        <is>
          <t>ORD-00131</t>
        </is>
      </c>
      <c r="B132" s="71" t="n">
        <v>45524</v>
      </c>
      <c r="C132" s="70" t="inlineStr">
        <is>
          <t>CUST-0273</t>
        </is>
      </c>
      <c r="D132" s="70" t="inlineStr">
        <is>
          <t>PROD-046</t>
        </is>
      </c>
      <c r="E132" s="70" t="inlineStr">
        <is>
          <t>R003</t>
        </is>
      </c>
      <c r="F132" s="72" t="n">
        <v>8</v>
      </c>
      <c r="G132" s="72" t="n">
        <v>4880</v>
      </c>
      <c r="H132" s="72" t="n">
        <v>13.4</v>
      </c>
      <c r="I132" s="72" t="n">
        <v>33808.64</v>
      </c>
      <c r="J132" s="70" t="inlineStr">
        <is>
          <t>Completed</t>
        </is>
      </c>
      <c r="K132" s="70" t="inlineStr">
        <is>
          <t>Hyderabad</t>
        </is>
      </c>
    </row>
    <row r="133" ht="14.25" customHeight="1" s="56">
      <c r="A133" s="70" t="inlineStr">
        <is>
          <t>ORD-00132</t>
        </is>
      </c>
      <c r="B133" s="71" t="n">
        <v>45344</v>
      </c>
      <c r="C133" s="70" t="inlineStr">
        <is>
          <t>CUST-0114</t>
        </is>
      </c>
      <c r="D133" s="70" t="inlineStr">
        <is>
          <t>PROD-004</t>
        </is>
      </c>
      <c r="E133" s="70" t="inlineStr">
        <is>
          <t>R011</t>
        </is>
      </c>
      <c r="F133" s="72" t="n">
        <v>10</v>
      </c>
      <c r="G133" s="72" t="n">
        <v>3870</v>
      </c>
      <c r="H133" s="72" t="n">
        <v>23.9</v>
      </c>
      <c r="I133" s="72" t="n">
        <v>29450.7</v>
      </c>
      <c r="J133" s="70" t="inlineStr">
        <is>
          <t>Completed</t>
        </is>
      </c>
      <c r="K133" s="70" t="inlineStr">
        <is>
          <t>Bengaluru</t>
        </is>
      </c>
    </row>
    <row r="134" ht="14.25" customHeight="1" s="56">
      <c r="A134" s="70" t="inlineStr">
        <is>
          <t>ORD-00133</t>
        </is>
      </c>
      <c r="B134" s="71" t="n">
        <v>45463</v>
      </c>
      <c r="C134" s="70" t="inlineStr">
        <is>
          <t>CUST-0146</t>
        </is>
      </c>
      <c r="D134" s="70" t="inlineStr">
        <is>
          <t>PROD-042</t>
        </is>
      </c>
      <c r="E134" s="70" t="inlineStr">
        <is>
          <t>R002</t>
        </is>
      </c>
      <c r="F134" s="72" t="n">
        <v>4</v>
      </c>
      <c r="G134" s="72" t="n">
        <v>2290</v>
      </c>
      <c r="H134" s="72" t="n">
        <v>15.2</v>
      </c>
      <c r="I134" s="72" t="n">
        <v>7767.68</v>
      </c>
      <c r="J134" s="70" t="inlineStr">
        <is>
          <t>Completed</t>
        </is>
      </c>
      <c r="K134" s="70" t="inlineStr">
        <is>
          <t>Hyderabad</t>
        </is>
      </c>
    </row>
    <row r="135" ht="14.25" customHeight="1" s="56">
      <c r="A135" s="70" t="inlineStr">
        <is>
          <t>ORD-00134</t>
        </is>
      </c>
      <c r="B135" s="71" t="n">
        <v>45443</v>
      </c>
      <c r="C135" s="70" t="inlineStr">
        <is>
          <t>CUST-0298</t>
        </is>
      </c>
      <c r="D135" s="70" t="inlineStr">
        <is>
          <t>PROD-023</t>
        </is>
      </c>
      <c r="E135" s="70" t="inlineStr">
        <is>
          <t>R020</t>
        </is>
      </c>
      <c r="F135" s="72" t="n">
        <v>8</v>
      </c>
      <c r="G135" s="72" t="n">
        <v>2380</v>
      </c>
      <c r="H135" s="72" t="n">
        <v>4.2</v>
      </c>
      <c r="I135" s="72" t="n">
        <v>18240.32</v>
      </c>
      <c r="J135" s="70" t="inlineStr">
        <is>
          <t>Completed</t>
        </is>
      </c>
      <c r="K135" s="70" t="inlineStr">
        <is>
          <t>Delhi</t>
        </is>
      </c>
    </row>
    <row r="136" ht="14.25" customHeight="1" s="56">
      <c r="A136" s="70" t="inlineStr">
        <is>
          <t>ORD-00135</t>
        </is>
      </c>
      <c r="B136" s="71" t="n">
        <v>45301</v>
      </c>
      <c r="C136" s="70" t="inlineStr">
        <is>
          <t>CUST-0111</t>
        </is>
      </c>
      <c r="D136" s="70" t="inlineStr">
        <is>
          <t>PROD-029</t>
        </is>
      </c>
      <c r="E136" s="70" t="inlineStr">
        <is>
          <t>R013</t>
        </is>
      </c>
      <c r="F136" s="72" t="n">
        <v>8</v>
      </c>
      <c r="G136" s="72" t="n">
        <v>2210</v>
      </c>
      <c r="H136" s="72" t="n">
        <v>11.5</v>
      </c>
      <c r="I136" s="72" t="n">
        <v>15646.8</v>
      </c>
      <c r="J136" s="70" t="inlineStr">
        <is>
          <t>Completed</t>
        </is>
      </c>
      <c r="K136" s="70" t="inlineStr">
        <is>
          <t>Chennai</t>
        </is>
      </c>
    </row>
    <row r="137" ht="14.25" customHeight="1" s="56">
      <c r="A137" s="70" t="inlineStr">
        <is>
          <t>ORD-01445</t>
        </is>
      </c>
      <c r="B137" s="71" t="n">
        <v>45360</v>
      </c>
      <c r="C137" s="70" t="inlineStr">
        <is>
          <t>CUST-0291</t>
        </is>
      </c>
      <c r="D137" s="70" t="inlineStr">
        <is>
          <t>PROD-001</t>
        </is>
      </c>
      <c r="E137" s="70" t="inlineStr">
        <is>
          <t>R022</t>
        </is>
      </c>
      <c r="F137" s="72" t="n">
        <v>4</v>
      </c>
      <c r="G137" s="72" t="n">
        <v>5330</v>
      </c>
      <c r="H137" s="72" t="n">
        <v>22.6</v>
      </c>
      <c r="I137" s="72" t="n">
        <v>16501.68</v>
      </c>
      <c r="J137" s="70" t="inlineStr">
        <is>
          <t>Pending</t>
        </is>
      </c>
      <c r="K137" s="70" t="inlineStr">
        <is>
          <t>Pune</t>
        </is>
      </c>
    </row>
    <row r="138" ht="14.25" customHeight="1" s="56">
      <c r="A138" s="70" t="inlineStr">
        <is>
          <t>ORD-00137</t>
        </is>
      </c>
      <c r="B138" s="71" t="n">
        <v>45559</v>
      </c>
      <c r="C138" s="70" t="inlineStr">
        <is>
          <t>CUST-0024</t>
        </is>
      </c>
      <c r="D138" s="70" t="inlineStr">
        <is>
          <t>PROD-006</t>
        </is>
      </c>
      <c r="E138" s="70" t="inlineStr">
        <is>
          <t>R022</t>
        </is>
      </c>
      <c r="F138" s="72" t="n">
        <v>8</v>
      </c>
      <c r="G138" s="72" t="n">
        <v>3970</v>
      </c>
      <c r="H138" s="72" t="n">
        <v>21.8</v>
      </c>
      <c r="I138" s="72" t="n">
        <v>24836.32</v>
      </c>
      <c r="J138" s="70" t="inlineStr">
        <is>
          <t>Completed</t>
        </is>
      </c>
      <c r="K138" s="70" t="inlineStr">
        <is>
          <t>Chennai</t>
        </is>
      </c>
    </row>
    <row r="139" ht="14.25" customHeight="1" s="56">
      <c r="A139" s="70" t="inlineStr">
        <is>
          <t>ORD-00138</t>
        </is>
      </c>
      <c r="B139" s="71" t="n">
        <v>45546</v>
      </c>
      <c r="C139" s="70" t="inlineStr">
        <is>
          <t>CUST-0210</t>
        </is>
      </c>
      <c r="D139" s="70" t="inlineStr">
        <is>
          <t>PROD-012</t>
        </is>
      </c>
      <c r="E139" s="70" t="inlineStr">
        <is>
          <t>R020</t>
        </is>
      </c>
      <c r="F139" s="72" t="n">
        <v>10</v>
      </c>
      <c r="G139" s="72" t="n">
        <v>3160</v>
      </c>
      <c r="H139" s="72" t="n">
        <v>16.1</v>
      </c>
      <c r="I139" s="72" t="n">
        <v>26512.4</v>
      </c>
      <c r="J139" s="70" t="inlineStr">
        <is>
          <t>Cancelled</t>
        </is>
      </c>
      <c r="K139" s="70" t="inlineStr">
        <is>
          <t>Pune</t>
        </is>
      </c>
    </row>
    <row r="140" ht="14.25" customHeight="1" s="56">
      <c r="A140" s="70" t="inlineStr">
        <is>
          <t>ORD-00139</t>
        </is>
      </c>
      <c r="B140" s="71" t="n">
        <v>45425</v>
      </c>
      <c r="C140" s="70" t="inlineStr">
        <is>
          <t>CUST-0192</t>
        </is>
      </c>
      <c r="D140" s="70" t="inlineStr">
        <is>
          <t>PROD-060</t>
        </is>
      </c>
      <c r="E140" s="70" t="inlineStr">
        <is>
          <t>R009</t>
        </is>
      </c>
      <c r="F140" s="72" t="n">
        <v>5</v>
      </c>
      <c r="G140" s="72" t="n">
        <v>190</v>
      </c>
      <c r="H140" s="72" t="n">
        <v>14.8</v>
      </c>
      <c r="I140" s="72" t="n">
        <v>809.4</v>
      </c>
      <c r="J140" s="70" t="inlineStr">
        <is>
          <t>Completed</t>
        </is>
      </c>
      <c r="K140" s="70" t="inlineStr">
        <is>
          <t>Bengaluru</t>
        </is>
      </c>
    </row>
    <row r="141" ht="14.25" customHeight="1" s="56">
      <c r="A141" s="70" t="inlineStr">
        <is>
          <t>ORD-00140</t>
        </is>
      </c>
      <c r="B141" s="71" t="n">
        <v>45351</v>
      </c>
      <c r="C141" s="70" t="inlineStr">
        <is>
          <t>CUST-0078</t>
        </is>
      </c>
      <c r="D141" s="70" t="inlineStr">
        <is>
          <t>PROD-021</t>
        </is>
      </c>
      <c r="E141" s="70" t="inlineStr">
        <is>
          <t>R007</t>
        </is>
      </c>
      <c r="F141" s="72" t="n">
        <v>6</v>
      </c>
      <c r="G141" s="72" t="n">
        <v>2760</v>
      </c>
      <c r="H141" s="72" t="n">
        <v>19.8</v>
      </c>
      <c r="I141" s="72" t="n">
        <v>13281.12</v>
      </c>
      <c r="J141" s="70" t="inlineStr">
        <is>
          <t>Completed</t>
        </is>
      </c>
      <c r="K141" s="70" t="inlineStr">
        <is>
          <t>Delhi</t>
        </is>
      </c>
    </row>
    <row r="142" ht="14.25" customHeight="1" s="56">
      <c r="A142" s="70" t="inlineStr">
        <is>
          <t>ORD-00141</t>
        </is>
      </c>
      <c r="B142" s="71" t="n">
        <v>45604</v>
      </c>
      <c r="C142" s="70" t="inlineStr">
        <is>
          <t>CUST-0070</t>
        </is>
      </c>
      <c r="D142" s="70" t="inlineStr">
        <is>
          <t>PROD-022</t>
        </is>
      </c>
      <c r="E142" s="70" t="inlineStr">
        <is>
          <t>R019</t>
        </is>
      </c>
      <c r="F142" s="72" t="n">
        <v>9</v>
      </c>
      <c r="G142" s="72" t="n">
        <v>2270</v>
      </c>
      <c r="H142" s="72" t="n">
        <v>20.8</v>
      </c>
      <c r="I142" s="72" t="n">
        <v>16180.56</v>
      </c>
      <c r="J142" s="70" t="inlineStr">
        <is>
          <t>Cancelled</t>
        </is>
      </c>
      <c r="K142" s="70" t="inlineStr">
        <is>
          <t>Mumbai</t>
        </is>
      </c>
    </row>
    <row r="143" ht="14.25" customHeight="1" s="56">
      <c r="A143" s="70" t="inlineStr">
        <is>
          <t>ORD-00142</t>
        </is>
      </c>
      <c r="B143" s="71" t="n">
        <v>45328</v>
      </c>
      <c r="C143" s="70" t="inlineStr">
        <is>
          <t>CUST-0159</t>
        </is>
      </c>
      <c r="D143" s="70" t="inlineStr">
        <is>
          <t>PROD-052</t>
        </is>
      </c>
      <c r="E143" s="70" t="inlineStr">
        <is>
          <t>R001</t>
        </is>
      </c>
      <c r="F143" s="72" t="n">
        <v>8</v>
      </c>
      <c r="G143" s="72" t="n">
        <v>5410</v>
      </c>
      <c r="H143" s="72" t="n">
        <v>12.9</v>
      </c>
      <c r="I143" s="72" t="n">
        <v>37696.88</v>
      </c>
      <c r="J143" s="70" t="inlineStr">
        <is>
          <t>Completed</t>
        </is>
      </c>
      <c r="K143" s="70" t="inlineStr">
        <is>
          <t>Hyderabad</t>
        </is>
      </c>
    </row>
    <row r="144" ht="14.25" customHeight="1" s="56">
      <c r="A144" s="70" t="inlineStr">
        <is>
          <t>ORD-00143</t>
        </is>
      </c>
      <c r="B144" s="71" t="n">
        <v>45508</v>
      </c>
      <c r="C144" s="70" t="inlineStr">
        <is>
          <t>CUST-0294</t>
        </is>
      </c>
      <c r="D144" s="70" t="inlineStr">
        <is>
          <t>PROD-024</t>
        </is>
      </c>
      <c r="E144" s="70" t="inlineStr">
        <is>
          <t>R009</t>
        </is>
      </c>
      <c r="F144" s="72" t="n">
        <v>9</v>
      </c>
      <c r="G144" s="72" t="n">
        <v>2270</v>
      </c>
      <c r="H144" s="72" t="n">
        <v>6.8</v>
      </c>
      <c r="I144" s="72" t="n">
        <v>19040.76</v>
      </c>
      <c r="J144" s="70" t="inlineStr">
        <is>
          <t>Completed</t>
        </is>
      </c>
      <c r="K144" s="70" t="inlineStr">
        <is>
          <t>Delhi</t>
        </is>
      </c>
    </row>
    <row r="145" ht="14.25" customHeight="1" s="56">
      <c r="A145" s="70" t="inlineStr">
        <is>
          <t>ORD-00144</t>
        </is>
      </c>
      <c r="B145" s="71" t="n">
        <v>45309</v>
      </c>
      <c r="C145" s="70" t="inlineStr">
        <is>
          <t>CUST-0280</t>
        </is>
      </c>
      <c r="D145" s="70" t="inlineStr">
        <is>
          <t>PROD-012</t>
        </is>
      </c>
      <c r="E145" s="70" t="inlineStr">
        <is>
          <t>R001</t>
        </is>
      </c>
      <c r="F145" s="72" t="n">
        <v>3</v>
      </c>
      <c r="G145" s="72" t="n">
        <v>3160</v>
      </c>
      <c r="H145" s="72" t="n">
        <v>12.8</v>
      </c>
      <c r="I145" s="72" t="n">
        <v>8266.559999999999</v>
      </c>
      <c r="J145" s="70" t="inlineStr">
        <is>
          <t>Completed</t>
        </is>
      </c>
      <c r="K145" s="70" t="inlineStr">
        <is>
          <t>Delhi</t>
        </is>
      </c>
    </row>
    <row r="146" ht="14.25" customHeight="1" s="56">
      <c r="A146" s="70" t="inlineStr">
        <is>
          <t>ORD-00145</t>
        </is>
      </c>
      <c r="B146" s="71" t="n">
        <v>45448</v>
      </c>
      <c r="C146" s="70" t="inlineStr">
        <is>
          <t>CUST-0291</t>
        </is>
      </c>
      <c r="D146" s="70" t="inlineStr">
        <is>
          <t>PROD-025</t>
        </is>
      </c>
      <c r="E146" s="70" t="inlineStr">
        <is>
          <t>R028</t>
        </is>
      </c>
      <c r="F146" s="72" t="n">
        <v>8</v>
      </c>
      <c r="G146" s="72" t="n">
        <v>4060</v>
      </c>
      <c r="H146" s="72" t="n">
        <v>20.9</v>
      </c>
      <c r="I146" s="72" t="n">
        <v>25691.68</v>
      </c>
      <c r="J146" s="70" t="inlineStr">
        <is>
          <t>Completed</t>
        </is>
      </c>
      <c r="K146" s="70" t="inlineStr">
        <is>
          <t>Pune</t>
        </is>
      </c>
    </row>
    <row r="147" ht="14.25" customHeight="1" s="56">
      <c r="A147" s="70" t="inlineStr">
        <is>
          <t>ORD-00146</t>
        </is>
      </c>
      <c r="B147" s="71" t="n">
        <v>45449</v>
      </c>
      <c r="C147" s="70" t="inlineStr">
        <is>
          <t>CUST-9657</t>
        </is>
      </c>
      <c r="D147" s="70" t="inlineStr">
        <is>
          <t>PROD-020</t>
        </is>
      </c>
      <c r="E147" s="70" t="inlineStr">
        <is>
          <t>R018</t>
        </is>
      </c>
      <c r="F147" s="72" t="n">
        <v>5</v>
      </c>
      <c r="G147" s="72" t="n">
        <v>820</v>
      </c>
      <c r="H147" s="72" t="n">
        <v>9.1</v>
      </c>
      <c r="I147" s="72" t="n">
        <v>3726.9</v>
      </c>
      <c r="J147" s="70" t="inlineStr">
        <is>
          <t>Refunded</t>
        </is>
      </c>
      <c r="K147" s="70" t="inlineStr">
        <is>
          <t>Pune</t>
        </is>
      </c>
    </row>
    <row r="148" ht="14.25" customHeight="1" s="56">
      <c r="A148" s="70" t="inlineStr">
        <is>
          <t>ORD-00147</t>
        </is>
      </c>
      <c r="B148" s="71" t="n">
        <v>45555</v>
      </c>
      <c r="C148" s="70" t="inlineStr">
        <is>
          <t>CUST-0080</t>
        </is>
      </c>
      <c r="D148" s="70" t="inlineStr">
        <is>
          <t>PROD-032</t>
        </is>
      </c>
      <c r="E148" s="70" t="inlineStr">
        <is>
          <t>R007</t>
        </is>
      </c>
      <c r="F148" s="72" t="n">
        <v>5</v>
      </c>
      <c r="G148" s="72" t="n">
        <v>370</v>
      </c>
      <c r="H148" s="72" t="n">
        <v>11.5</v>
      </c>
      <c r="I148" s="72" t="n">
        <v>1637.25</v>
      </c>
      <c r="J148" s="70" t="inlineStr">
        <is>
          <t>Completed</t>
        </is>
      </c>
      <c r="K148" s="70" t="inlineStr">
        <is>
          <t>Pune</t>
        </is>
      </c>
    </row>
    <row r="149" ht="14.25" customHeight="1" s="56">
      <c r="A149" s="70" t="inlineStr">
        <is>
          <t>ORD-00148</t>
        </is>
      </c>
      <c r="B149" s="71" t="n">
        <v>45341</v>
      </c>
      <c r="C149" s="70" t="inlineStr">
        <is>
          <t>CUST-0172</t>
        </is>
      </c>
      <c r="D149" s="70" t="inlineStr">
        <is>
          <t>PROD-034</t>
        </is>
      </c>
      <c r="E149" s="70" t="inlineStr">
        <is>
          <t>R002</t>
        </is>
      </c>
      <c r="F149" s="72" t="n">
        <v>9</v>
      </c>
      <c r="G149" s="72" t="n">
        <v>5080</v>
      </c>
      <c r="H149" s="72" t="n">
        <v>27.5</v>
      </c>
      <c r="I149" s="72" t="n">
        <v>33147</v>
      </c>
      <c r="J149" s="70" t="inlineStr">
        <is>
          <t>Completed</t>
        </is>
      </c>
      <c r="K149" s="70" t="inlineStr">
        <is>
          <t>Pune</t>
        </is>
      </c>
    </row>
    <row r="150" ht="14.25" customHeight="1" s="56">
      <c r="A150" s="70" t="inlineStr">
        <is>
          <t>ORD-00149</t>
        </is>
      </c>
      <c r="B150" s="71" t="n">
        <v>45422</v>
      </c>
      <c r="C150" s="70" t="inlineStr">
        <is>
          <t>CUST-0051</t>
        </is>
      </c>
      <c r="D150" s="70" t="inlineStr">
        <is>
          <t>PROD-026</t>
        </is>
      </c>
      <c r="E150" s="70" t="inlineStr">
        <is>
          <t>R012</t>
        </is>
      </c>
      <c r="F150" s="72" t="n">
        <v>6</v>
      </c>
      <c r="G150" s="72" t="n">
        <v>4070</v>
      </c>
      <c r="H150" s="72" t="n">
        <v>12.5</v>
      </c>
      <c r="I150" s="72" t="n">
        <v>21367.5</v>
      </c>
      <c r="J150" s="70" t="inlineStr">
        <is>
          <t>Completed</t>
        </is>
      </c>
      <c r="K150" s="70" t="inlineStr">
        <is>
          <t>Pune</t>
        </is>
      </c>
    </row>
    <row r="151" ht="14.25" customHeight="1" s="56">
      <c r="A151" s="70" t="inlineStr">
        <is>
          <t>ORD-00150</t>
        </is>
      </c>
      <c r="B151" s="71" t="n">
        <v>45346</v>
      </c>
      <c r="C151" s="70" t="inlineStr">
        <is>
          <t>CUST-0080</t>
        </is>
      </c>
      <c r="D151" s="70" t="inlineStr">
        <is>
          <t>PROD-005</t>
        </is>
      </c>
      <c r="E151" s="70" t="inlineStr">
        <is>
          <t>R024</t>
        </is>
      </c>
      <c r="F151" s="72" t="n">
        <v>5</v>
      </c>
      <c r="G151" s="72" t="n">
        <v>300</v>
      </c>
      <c r="H151" s="72" t="n">
        <v>25.8</v>
      </c>
      <c r="I151" s="72" t="n">
        <v>1113</v>
      </c>
      <c r="J151" s="70" t="inlineStr">
        <is>
          <t>Completed</t>
        </is>
      </c>
      <c r="K151" s="70" t="inlineStr">
        <is>
          <t>Pune</t>
        </is>
      </c>
    </row>
    <row r="152" ht="14.25" customHeight="1" s="56">
      <c r="A152" s="70" t="inlineStr">
        <is>
          <t>ORD-00151</t>
        </is>
      </c>
      <c r="B152" s="71" t="n">
        <v>45318</v>
      </c>
      <c r="C152" s="70" t="inlineStr">
        <is>
          <t>CUST-0137</t>
        </is>
      </c>
      <c r="D152" s="70" t="inlineStr">
        <is>
          <t>PROD-048</t>
        </is>
      </c>
      <c r="E152" s="70" t="inlineStr">
        <is>
          <t>R011</t>
        </is>
      </c>
      <c r="F152" s="72" t="n">
        <v>7</v>
      </c>
      <c r="G152" s="72" t="n">
        <v>5100</v>
      </c>
      <c r="H152" s="72" t="n">
        <v>28.8</v>
      </c>
      <c r="I152" s="72" t="n">
        <v>25418.4</v>
      </c>
      <c r="J152" s="70" t="inlineStr">
        <is>
          <t>Completed</t>
        </is>
      </c>
      <c r="K152" s="70" t="inlineStr">
        <is>
          <t>MUMBAI</t>
        </is>
      </c>
    </row>
    <row r="153" ht="14.25" customHeight="1" s="56">
      <c r="A153" s="70" t="inlineStr">
        <is>
          <t>ORD-00152</t>
        </is>
      </c>
      <c r="B153" s="71" t="n">
        <v>45521</v>
      </c>
      <c r="C153" s="70" t="inlineStr">
        <is>
          <t>CUST-0222</t>
        </is>
      </c>
      <c r="D153" s="70" t="inlineStr">
        <is>
          <t>PROD-038</t>
        </is>
      </c>
      <c r="E153" s="70" t="inlineStr">
        <is>
          <t>R012</t>
        </is>
      </c>
      <c r="F153" s="72" t="n">
        <v>2</v>
      </c>
      <c r="G153" s="72" t="n">
        <v>5490</v>
      </c>
      <c r="H153" s="72" t="n">
        <v>5.5</v>
      </c>
      <c r="I153" s="72" t="n">
        <v>10376.1</v>
      </c>
      <c r="J153" s="70" t="inlineStr">
        <is>
          <t>Completed</t>
        </is>
      </c>
      <c r="K153" s="70" t="inlineStr">
        <is>
          <t>Chennai</t>
        </is>
      </c>
    </row>
    <row r="154" ht="14.25" customHeight="1" s="56">
      <c r="A154" s="70" t="inlineStr">
        <is>
          <t>ORD-00153</t>
        </is>
      </c>
      <c r="B154" s="71" t="n">
        <v>45595</v>
      </c>
      <c r="C154" s="70" t="inlineStr">
        <is>
          <t>CUST-0117</t>
        </is>
      </c>
      <c r="D154" s="70" t="inlineStr">
        <is>
          <t>PROD-011</t>
        </is>
      </c>
      <c r="E154" s="70" t="inlineStr">
        <is>
          <t>R015</t>
        </is>
      </c>
      <c r="F154" s="72" t="n">
        <v>2</v>
      </c>
      <c r="G154" s="72" t="n">
        <v>3450</v>
      </c>
      <c r="H154" s="72" t="n">
        <v>1.2</v>
      </c>
      <c r="I154" s="72" t="n">
        <v>6817.2</v>
      </c>
      <c r="J154" s="70" t="inlineStr">
        <is>
          <t>Completed</t>
        </is>
      </c>
      <c r="K154" s="70" t="inlineStr">
        <is>
          <t>Delhi</t>
        </is>
      </c>
    </row>
    <row r="155" ht="14.25" customHeight="1" s="56">
      <c r="A155" s="70" t="inlineStr">
        <is>
          <t>ORD-00154</t>
        </is>
      </c>
      <c r="B155" s="71" t="n">
        <v>45530</v>
      </c>
      <c r="C155" s="70" t="inlineStr">
        <is>
          <t>CUST-0104</t>
        </is>
      </c>
      <c r="D155" s="70" t="inlineStr">
        <is>
          <t>PROD-029</t>
        </is>
      </c>
      <c r="E155" s="70" t="inlineStr">
        <is>
          <t>R002</t>
        </is>
      </c>
      <c r="F155" s="72" t="n">
        <v>10</v>
      </c>
      <c r="G155" s="72" t="n">
        <v>2210</v>
      </c>
      <c r="H155" s="72" t="n">
        <v>18.8</v>
      </c>
      <c r="I155" s="72" t="n">
        <v>17945.2</v>
      </c>
      <c r="J155" s="70" t="inlineStr">
        <is>
          <t>Completed</t>
        </is>
      </c>
      <c r="K155" s="70" t="inlineStr">
        <is>
          <t>Hyderabad</t>
        </is>
      </c>
    </row>
    <row r="156" ht="14.25" customHeight="1" s="56">
      <c r="A156" s="70" t="inlineStr">
        <is>
          <t>ORD-00155</t>
        </is>
      </c>
      <c r="B156" s="71" t="n">
        <v>45644</v>
      </c>
      <c r="C156" s="70" t="inlineStr">
        <is>
          <t>CUST-0082</t>
        </is>
      </c>
      <c r="D156" s="70" t="inlineStr">
        <is>
          <t>PROD-036</t>
        </is>
      </c>
      <c r="E156" s="70" t="inlineStr">
        <is>
          <t>R013</t>
        </is>
      </c>
      <c r="F156" s="72" t="n">
        <v>2</v>
      </c>
      <c r="G156" s="72" t="n">
        <v>3250</v>
      </c>
      <c r="H156" s="72" t="n">
        <v>26.2</v>
      </c>
      <c r="I156" s="72" t="n">
        <v>4797</v>
      </c>
      <c r="J156" s="70" t="inlineStr">
        <is>
          <t>Completed</t>
        </is>
      </c>
      <c r="K156" s="70" t="inlineStr">
        <is>
          <t>Hyderabad</t>
        </is>
      </c>
    </row>
    <row r="157" ht="14.25" customHeight="1" s="56">
      <c r="A157" s="70" t="inlineStr">
        <is>
          <t>ORD-00156</t>
        </is>
      </c>
      <c r="B157" s="71" t="n">
        <v>45298</v>
      </c>
      <c r="C157" s="70" t="inlineStr">
        <is>
          <t>CUST-0165</t>
        </is>
      </c>
      <c r="D157" s="70" t="inlineStr">
        <is>
          <t>PROD-012</t>
        </is>
      </c>
      <c r="E157" s="70" t="inlineStr">
        <is>
          <t>R001</t>
        </is>
      </c>
      <c r="F157" s="72" t="n">
        <v>5</v>
      </c>
      <c r="G157" s="72" t="n">
        <v>3160</v>
      </c>
      <c r="H157" s="72" t="n">
        <v>0.9</v>
      </c>
      <c r="I157" s="72" t="n">
        <v>15657.8</v>
      </c>
      <c r="J157" s="70" t="inlineStr">
        <is>
          <t>Completed</t>
        </is>
      </c>
      <c r="K157" s="70" t="inlineStr">
        <is>
          <t>Pune</t>
        </is>
      </c>
    </row>
    <row r="158" ht="14.25" customHeight="1" s="56">
      <c r="A158" s="70" t="inlineStr">
        <is>
          <t>ORD-00157</t>
        </is>
      </c>
      <c r="B158" s="71" t="n">
        <v>45447</v>
      </c>
      <c r="C158" s="70" t="inlineStr">
        <is>
          <t>CUST-0150</t>
        </is>
      </c>
      <c r="D158" s="70" t="inlineStr">
        <is>
          <t>PROD-004</t>
        </is>
      </c>
      <c r="E158" s="70" t="inlineStr">
        <is>
          <t>R030</t>
        </is>
      </c>
      <c r="F158" s="72" t="n">
        <v>4</v>
      </c>
      <c r="G158" s="72" t="n">
        <v>3870</v>
      </c>
      <c r="H158" s="72" t="n">
        <v>29.6</v>
      </c>
      <c r="I158" s="72" t="n">
        <v>10897.92</v>
      </c>
      <c r="J158" s="70" t="inlineStr">
        <is>
          <t>Cancelled</t>
        </is>
      </c>
      <c r="K158" s="70" t="inlineStr">
        <is>
          <t>Pune</t>
        </is>
      </c>
    </row>
    <row r="159" ht="14.25" customHeight="1" s="56">
      <c r="A159" s="70" t="inlineStr">
        <is>
          <t>ORD-00158</t>
        </is>
      </c>
      <c r="B159" s="71" t="n">
        <v>45601</v>
      </c>
      <c r="C159" s="70" t="inlineStr">
        <is>
          <t>CUST-0228</t>
        </is>
      </c>
      <c r="D159" s="70" t="inlineStr">
        <is>
          <t>PROD-059</t>
        </is>
      </c>
      <c r="E159" s="70" t="inlineStr">
        <is>
          <t>R022</t>
        </is>
      </c>
      <c r="F159" s="72" t="n">
        <v>4</v>
      </c>
      <c r="G159" s="72" t="n">
        <v>3780</v>
      </c>
      <c r="H159" s="72" t="n">
        <v>3.5</v>
      </c>
      <c r="I159" s="72" t="n">
        <v>14590.8</v>
      </c>
      <c r="J159" s="70" t="inlineStr">
        <is>
          <t>Cancelled</t>
        </is>
      </c>
      <c r="K159" s="70" t="inlineStr">
        <is>
          <t>Pune</t>
        </is>
      </c>
    </row>
    <row r="160" ht="14.25" customHeight="1" s="56">
      <c r="A160" s="70" t="inlineStr">
        <is>
          <t>ORD-00159</t>
        </is>
      </c>
      <c r="B160" s="71" t="n">
        <v>45428</v>
      </c>
      <c r="C160" s="70" t="inlineStr">
        <is>
          <t>CUST-0197</t>
        </is>
      </c>
      <c r="D160" s="70" t="inlineStr">
        <is>
          <t>PROD-045</t>
        </is>
      </c>
      <c r="E160" s="70" t="inlineStr">
        <is>
          <t>R021</t>
        </is>
      </c>
      <c r="F160" s="72" t="n">
        <v>4</v>
      </c>
      <c r="G160" s="72" t="n">
        <v>3020</v>
      </c>
      <c r="H160" s="72" t="n">
        <v>18.9</v>
      </c>
      <c r="I160" s="72" t="n">
        <v>9796.879999999999</v>
      </c>
      <c r="J160" s="70" t="inlineStr">
        <is>
          <t>Completed</t>
        </is>
      </c>
      <c r="K160" s="70" t="inlineStr">
        <is>
          <t>Bengaluru</t>
        </is>
      </c>
    </row>
    <row r="161" ht="14.25" customHeight="1" s="56">
      <c r="A161" s="70" t="inlineStr">
        <is>
          <t>ORD-00160</t>
        </is>
      </c>
      <c r="B161" s="71" t="n">
        <v>45409</v>
      </c>
      <c r="C161" s="70" t="inlineStr">
        <is>
          <t>CUST-0009</t>
        </is>
      </c>
      <c r="D161" s="70" t="inlineStr">
        <is>
          <t>PROD-031</t>
        </is>
      </c>
      <c r="E161" s="70" t="inlineStr">
        <is>
          <t>R015</t>
        </is>
      </c>
      <c r="F161" s="72" t="n">
        <v>1</v>
      </c>
      <c r="G161" s="72" t="n">
        <v>3730</v>
      </c>
      <c r="H161" s="72" t="n">
        <v>10.8</v>
      </c>
      <c r="I161" s="72" t="n">
        <v>3327.16</v>
      </c>
      <c r="J161" s="70" t="inlineStr">
        <is>
          <t>Refunded</t>
        </is>
      </c>
      <c r="K161" s="70" t="inlineStr">
        <is>
          <t>Mumbai</t>
        </is>
      </c>
    </row>
    <row r="162" ht="14.25" customHeight="1" s="56">
      <c r="A162" s="70" t="inlineStr">
        <is>
          <t>ORD-00161</t>
        </is>
      </c>
      <c r="B162" s="71" t="n">
        <v>45394</v>
      </c>
      <c r="C162" s="70" t="inlineStr">
        <is>
          <t>CUST-0139</t>
        </is>
      </c>
      <c r="D162" s="70" t="inlineStr">
        <is>
          <t>PROD-046</t>
        </is>
      </c>
      <c r="E162" s="70" t="inlineStr">
        <is>
          <t>R018</t>
        </is>
      </c>
      <c r="F162" s="72" t="n">
        <v>8</v>
      </c>
      <c r="G162" s="72" t="n">
        <v>4880</v>
      </c>
      <c r="H162" s="72" t="n">
        <v>20.3</v>
      </c>
      <c r="I162" s="72" t="n">
        <v>31114.88</v>
      </c>
      <c r="J162" s="70" t="inlineStr">
        <is>
          <t>Completed</t>
        </is>
      </c>
      <c r="K162" s="70" t="inlineStr">
        <is>
          <t>Hyderabad</t>
        </is>
      </c>
    </row>
    <row r="163" ht="14.25" customHeight="1" s="56">
      <c r="A163" s="70" t="inlineStr">
        <is>
          <t>ORD-00162</t>
        </is>
      </c>
      <c r="B163" s="71" t="n">
        <v>45579</v>
      </c>
      <c r="C163" s="70" t="inlineStr">
        <is>
          <t>CUST-0184</t>
        </is>
      </c>
      <c r="D163" s="70" t="inlineStr">
        <is>
          <t>PROD-030</t>
        </is>
      </c>
      <c r="E163" s="70" t="inlineStr">
        <is>
          <t>R026</t>
        </is>
      </c>
      <c r="F163" s="72" t="n">
        <v>9</v>
      </c>
      <c r="G163" s="72" t="n">
        <v>970</v>
      </c>
      <c r="H163" s="72" t="n">
        <v>18.2</v>
      </c>
      <c r="I163" s="72" t="n">
        <v>7141.14</v>
      </c>
      <c r="J163" s="70" t="inlineStr">
        <is>
          <t>Completed</t>
        </is>
      </c>
      <c r="K163" s="70" t="inlineStr">
        <is>
          <t>Pune</t>
        </is>
      </c>
    </row>
    <row r="164" ht="14.25" customHeight="1" s="56">
      <c r="A164" s="70" t="inlineStr">
        <is>
          <t>ORD-00163</t>
        </is>
      </c>
      <c r="B164" s="71" t="n">
        <v>45442</v>
      </c>
      <c r="C164" s="70" t="inlineStr">
        <is>
          <t>CUST-0119</t>
        </is>
      </c>
      <c r="D164" s="70" t="inlineStr">
        <is>
          <t>PROD-008</t>
        </is>
      </c>
      <c r="E164" s="70" t="inlineStr">
        <is>
          <t>R017</t>
        </is>
      </c>
      <c r="F164" s="72" t="n">
        <v>8</v>
      </c>
      <c r="G164" s="72" t="n">
        <v>2660</v>
      </c>
      <c r="H164" s="72" t="n">
        <v>17.6</v>
      </c>
      <c r="I164" s="72" t="n">
        <v>17534.72</v>
      </c>
      <c r="J164" s="70" t="inlineStr">
        <is>
          <t>Completed</t>
        </is>
      </c>
      <c r="K164" s="70" t="inlineStr">
        <is>
          <t>Bengaluru</t>
        </is>
      </c>
    </row>
    <row r="165" ht="14.25" customHeight="1" s="56">
      <c r="A165" s="70" t="inlineStr">
        <is>
          <t>ORD-00164</t>
        </is>
      </c>
      <c r="B165" s="71" t="n">
        <v>45414</v>
      </c>
      <c r="C165" s="70" t="inlineStr">
        <is>
          <t>CUST-0280</t>
        </is>
      </c>
      <c r="D165" s="70" t="inlineStr">
        <is>
          <t>PROD-020</t>
        </is>
      </c>
      <c r="E165" s="70" t="inlineStr">
        <is>
          <t>R015</t>
        </is>
      </c>
      <c r="F165" s="72" t="n">
        <v>2</v>
      </c>
      <c r="G165" s="72" t="n">
        <v>820</v>
      </c>
      <c r="H165" s="72" t="n">
        <v>18.1</v>
      </c>
      <c r="I165" s="72" t="n">
        <v>1343.16</v>
      </c>
      <c r="J165" s="70" t="inlineStr">
        <is>
          <t>Cancelled</t>
        </is>
      </c>
      <c r="K165" s="70" t="inlineStr">
        <is>
          <t>Delhi</t>
        </is>
      </c>
    </row>
    <row r="166" ht="14.25" customHeight="1" s="56">
      <c r="A166" s="70" t="inlineStr">
        <is>
          <t>ORD-00165</t>
        </is>
      </c>
      <c r="B166" s="71" t="n">
        <v>45349</v>
      </c>
      <c r="C166" s="70" t="inlineStr">
        <is>
          <t>CUST-0240</t>
        </is>
      </c>
      <c r="D166" s="70" t="inlineStr">
        <is>
          <t>PROD-033</t>
        </is>
      </c>
      <c r="E166" s="70" t="inlineStr">
        <is>
          <t>R009</t>
        </is>
      </c>
      <c r="F166" s="72" t="n">
        <v>7</v>
      </c>
      <c r="G166" s="72" t="n">
        <v>2030</v>
      </c>
      <c r="H166" s="72" t="n">
        <v>23.7</v>
      </c>
      <c r="I166" s="72" t="n">
        <v>10842.23</v>
      </c>
      <c r="J166" s="70" t="inlineStr">
        <is>
          <t>Pending</t>
        </is>
      </c>
      <c r="K166" s="70" t="inlineStr">
        <is>
          <t>Chennai</t>
        </is>
      </c>
    </row>
    <row r="167" ht="14.25" customHeight="1" s="56">
      <c r="A167" s="70" t="inlineStr">
        <is>
          <t>ORD-00166</t>
        </is>
      </c>
      <c r="B167" s="71" t="n">
        <v>45533</v>
      </c>
      <c r="C167" s="70" t="inlineStr">
        <is>
          <t>CUST-0067</t>
        </is>
      </c>
      <c r="D167" s="70" t="inlineStr">
        <is>
          <t>PROD-016</t>
        </is>
      </c>
      <c r="E167" s="70" t="inlineStr">
        <is>
          <t>R009</t>
        </is>
      </c>
      <c r="F167" s="72" t="n">
        <v>5</v>
      </c>
      <c r="G167" s="72" t="n">
        <v>620</v>
      </c>
      <c r="H167" s="72" t="n">
        <v>13.8</v>
      </c>
      <c r="I167" s="72" t="n">
        <v>2672.2</v>
      </c>
      <c r="J167" s="70" t="inlineStr">
        <is>
          <t>Completed</t>
        </is>
      </c>
      <c r="K167" s="70" t="inlineStr">
        <is>
          <t>Delhi</t>
        </is>
      </c>
    </row>
    <row r="168" ht="14.25" customHeight="1" s="56">
      <c r="A168" s="70" t="inlineStr">
        <is>
          <t>ORD-00167</t>
        </is>
      </c>
      <c r="B168" s="71" t="n">
        <v>45489</v>
      </c>
      <c r="C168" s="70" t="inlineStr">
        <is>
          <t>CUST-0117</t>
        </is>
      </c>
      <c r="D168" s="70" t="inlineStr">
        <is>
          <t>PROD-022</t>
        </is>
      </c>
      <c r="E168" s="70" t="inlineStr">
        <is>
          <t>R022</t>
        </is>
      </c>
      <c r="F168" s="72" t="n">
        <v>7</v>
      </c>
      <c r="G168" s="72" t="n">
        <v>2270</v>
      </c>
      <c r="H168" s="72" t="n">
        <v>5.5</v>
      </c>
      <c r="I168" s="72" t="n">
        <v>15016.05</v>
      </c>
      <c r="J168" s="70" t="inlineStr">
        <is>
          <t>Completed</t>
        </is>
      </c>
      <c r="K168" s="70" t="inlineStr">
        <is>
          <t>Delhi</t>
        </is>
      </c>
    </row>
    <row r="169" ht="14.25" customHeight="1" s="56">
      <c r="A169" s="70" t="inlineStr">
        <is>
          <t>ORD-00168</t>
        </is>
      </c>
      <c r="B169" s="71" t="n">
        <v>45457</v>
      </c>
      <c r="C169" s="70" t="inlineStr">
        <is>
          <t>CUST-0101</t>
        </is>
      </c>
      <c r="D169" s="70" t="inlineStr">
        <is>
          <t>PROD-053</t>
        </is>
      </c>
      <c r="E169" s="70" t="inlineStr">
        <is>
          <t>R016</t>
        </is>
      </c>
      <c r="F169" s="72" t="n">
        <v>1</v>
      </c>
      <c r="G169" s="72" t="n">
        <v>470</v>
      </c>
      <c r="H169" s="72" t="n">
        <v>13.7</v>
      </c>
      <c r="I169" s="72" t="n">
        <v>405.61</v>
      </c>
      <c r="J169" s="70" t="inlineStr">
        <is>
          <t>Pending</t>
        </is>
      </c>
      <c r="K169" s="70" t="inlineStr">
        <is>
          <t>Hyderabad</t>
        </is>
      </c>
    </row>
    <row r="170" ht="14.25" customHeight="1" s="56">
      <c r="A170" s="70" t="inlineStr">
        <is>
          <t>ORD-00169</t>
        </is>
      </c>
      <c r="B170" s="71" t="n">
        <v>45601</v>
      </c>
      <c r="C170" s="70" t="inlineStr">
        <is>
          <t>CUST-0184</t>
        </is>
      </c>
      <c r="D170" s="70" t="inlineStr">
        <is>
          <t>PROD-001</t>
        </is>
      </c>
      <c r="E170" s="70" t="inlineStr">
        <is>
          <t>R007</t>
        </is>
      </c>
      <c r="F170" s="72" t="n">
        <v>6</v>
      </c>
      <c r="G170" s="72" t="n">
        <v>5330</v>
      </c>
      <c r="H170" s="72" t="n">
        <v>17.9</v>
      </c>
      <c r="I170" s="72" t="n">
        <v>26255.58</v>
      </c>
      <c r="J170" s="70" t="inlineStr">
        <is>
          <t>Completed</t>
        </is>
      </c>
      <c r="K170" s="70" t="inlineStr">
        <is>
          <t>Pune</t>
        </is>
      </c>
    </row>
    <row r="171" ht="14.25" customHeight="1" s="56">
      <c r="A171" s="70" t="inlineStr">
        <is>
          <t>ORD-00170</t>
        </is>
      </c>
      <c r="B171" s="71" t="n">
        <v>45294</v>
      </c>
      <c r="C171" s="70" t="inlineStr">
        <is>
          <t>CUST-0087</t>
        </is>
      </c>
      <c r="D171" s="70" t="inlineStr">
        <is>
          <t>PROD-050</t>
        </is>
      </c>
      <c r="E171" s="70" t="inlineStr">
        <is>
          <t>R002</t>
        </is>
      </c>
      <c r="F171" s="72" t="n">
        <v>1</v>
      </c>
      <c r="G171" s="72" t="n">
        <v>6080</v>
      </c>
      <c r="H171" s="72" t="n">
        <v>25.5</v>
      </c>
      <c r="I171" s="72" t="n">
        <v>4529.6</v>
      </c>
      <c r="J171" s="70" t="inlineStr">
        <is>
          <t>Completed</t>
        </is>
      </c>
      <c r="K171" s="70" t="inlineStr">
        <is>
          <t>Pune</t>
        </is>
      </c>
    </row>
    <row r="172" ht="14.25" customHeight="1" s="56">
      <c r="A172" s="70" t="inlineStr">
        <is>
          <t>ORD-00171</t>
        </is>
      </c>
      <c r="B172" s="71" t="n">
        <v>45345</v>
      </c>
      <c r="C172" s="70" t="inlineStr">
        <is>
          <t>CUST-0261</t>
        </is>
      </c>
      <c r="D172" s="70" t="inlineStr">
        <is>
          <t>PROD-027</t>
        </is>
      </c>
      <c r="E172" s="70" t="inlineStr">
        <is>
          <t>R022</t>
        </is>
      </c>
      <c r="F172" s="72" t="n">
        <v>5</v>
      </c>
      <c r="G172" s="72" t="n">
        <v>3780</v>
      </c>
      <c r="H172" s="72" t="n">
        <v>28.6</v>
      </c>
      <c r="I172" s="72" t="n">
        <v>13494.6</v>
      </c>
      <c r="J172" s="70" t="inlineStr">
        <is>
          <t>Completed</t>
        </is>
      </c>
      <c r="K172" s="70" t="inlineStr">
        <is>
          <t>Delhi</t>
        </is>
      </c>
    </row>
    <row r="173" ht="14.25" customHeight="1" s="56">
      <c r="A173" s="70" t="inlineStr">
        <is>
          <t>ORD-00172</t>
        </is>
      </c>
      <c r="B173" s="71" t="n">
        <v>45391</v>
      </c>
      <c r="C173" s="70" t="inlineStr">
        <is>
          <t>CUST-0027</t>
        </is>
      </c>
      <c r="D173" s="70" t="inlineStr">
        <is>
          <t>PROD-016</t>
        </is>
      </c>
      <c r="E173" s="70" t="inlineStr">
        <is>
          <t>R010</t>
        </is>
      </c>
      <c r="F173" s="72" t="n">
        <v>5</v>
      </c>
      <c r="G173" s="72" t="n">
        <v>620</v>
      </c>
      <c r="H173" s="72" t="n">
        <v>6.9</v>
      </c>
      <c r="I173" s="72" t="n">
        <v>2886.1</v>
      </c>
      <c r="J173" s="70" t="inlineStr">
        <is>
          <t>Cancelled</t>
        </is>
      </c>
      <c r="K173" s="70" t="inlineStr">
        <is>
          <t>Hyderabad</t>
        </is>
      </c>
    </row>
    <row r="174" ht="14.25" customHeight="1" s="56">
      <c r="A174" s="70" t="inlineStr">
        <is>
          <t>ORD-00173</t>
        </is>
      </c>
      <c r="B174" s="71" t="n">
        <v>45419</v>
      </c>
      <c r="C174" s="70" t="inlineStr">
        <is>
          <t>CUST-0210</t>
        </is>
      </c>
      <c r="D174" s="70" t="inlineStr">
        <is>
          <t>PROD-017</t>
        </is>
      </c>
      <c r="E174" s="70" t="inlineStr">
        <is>
          <t>R027</t>
        </is>
      </c>
      <c r="F174" s="72" t="n">
        <v>8</v>
      </c>
      <c r="G174" s="72" t="n">
        <v>2510</v>
      </c>
      <c r="H174" s="72" t="n">
        <v>0.7</v>
      </c>
      <c r="I174" s="72" t="n">
        <v>19939.44</v>
      </c>
      <c r="J174" s="70" t="inlineStr">
        <is>
          <t>Completed</t>
        </is>
      </c>
      <c r="K174" s="70" t="inlineStr">
        <is>
          <t>Pune</t>
        </is>
      </c>
    </row>
    <row r="175" ht="14.25" customHeight="1" s="56">
      <c r="A175" s="70" t="inlineStr">
        <is>
          <t>ORD-00174</t>
        </is>
      </c>
      <c r="B175" s="71" t="n">
        <v>45306</v>
      </c>
      <c r="C175" s="70" t="inlineStr">
        <is>
          <t>CUST-0163</t>
        </is>
      </c>
      <c r="D175" s="70" t="inlineStr">
        <is>
          <t>PROD-015</t>
        </is>
      </c>
      <c r="E175" s="70" t="inlineStr">
        <is>
          <t>R020</t>
        </is>
      </c>
      <c r="F175" s="72" t="n">
        <v>1</v>
      </c>
      <c r="G175" s="72" t="n">
        <v>2720</v>
      </c>
      <c r="H175" s="72" t="n">
        <v>13.7</v>
      </c>
      <c r="I175" s="72" t="n">
        <v>2347.36</v>
      </c>
      <c r="J175" s="70" t="inlineStr">
        <is>
          <t>Completed</t>
        </is>
      </c>
      <c r="K175" s="70" t="inlineStr">
        <is>
          <t>Pune</t>
        </is>
      </c>
    </row>
    <row r="176" ht="14.25" customHeight="1" s="56">
      <c r="A176" s="70" t="inlineStr">
        <is>
          <t>ORD-00175</t>
        </is>
      </c>
      <c r="B176" s="71" t="n">
        <v>45546</v>
      </c>
      <c r="C176" s="70" t="inlineStr">
        <is>
          <t>CUST-0059</t>
        </is>
      </c>
      <c r="D176" s="70" t="inlineStr">
        <is>
          <t>PROD-053</t>
        </is>
      </c>
      <c r="E176" s="70" t="inlineStr">
        <is>
          <t>R018</t>
        </is>
      </c>
      <c r="F176" s="72" t="n">
        <v>9</v>
      </c>
      <c r="G176" s="72" t="n">
        <v>470</v>
      </c>
      <c r="H176" s="72" t="n">
        <v>23.6</v>
      </c>
      <c r="I176" s="72" t="n">
        <v>3231.72</v>
      </c>
      <c r="J176" s="70" t="inlineStr">
        <is>
          <t>Completed</t>
        </is>
      </c>
      <c r="K176" s="70" t="inlineStr">
        <is>
          <t>Pune</t>
        </is>
      </c>
    </row>
    <row r="177" ht="14.25" customHeight="1" s="56">
      <c r="A177" s="70" t="inlineStr">
        <is>
          <t>ORD-00176</t>
        </is>
      </c>
      <c r="B177" s="71" t="n">
        <v>45633</v>
      </c>
      <c r="C177" s="70" t="inlineStr">
        <is>
          <t>CUST-0020</t>
        </is>
      </c>
      <c r="D177" s="70" t="inlineStr">
        <is>
          <t>PROD-036</t>
        </is>
      </c>
      <c r="E177" s="70" t="inlineStr">
        <is>
          <t>R018</t>
        </is>
      </c>
      <c r="F177" s="72" t="n">
        <v>10</v>
      </c>
      <c r="G177" s="72" t="n">
        <v>3250</v>
      </c>
      <c r="H177" s="72" t="n">
        <v>21</v>
      </c>
      <c r="I177" s="72" t="n">
        <v>25675</v>
      </c>
      <c r="J177" s="70" t="inlineStr">
        <is>
          <t>Cancelled</t>
        </is>
      </c>
      <c r="K177" s="70" t="inlineStr">
        <is>
          <t>Hyderabad</t>
        </is>
      </c>
    </row>
    <row r="178" ht="14.25" customHeight="1" s="56">
      <c r="A178" s="70" t="inlineStr">
        <is>
          <t>ORD-00177</t>
        </is>
      </c>
      <c r="B178" s="71" t="n">
        <v>45649</v>
      </c>
      <c r="C178" s="70" t="inlineStr">
        <is>
          <t>CUST-0048</t>
        </is>
      </c>
      <c r="D178" s="70" t="inlineStr">
        <is>
          <t>PROD-034</t>
        </is>
      </c>
      <c r="E178" s="70" t="inlineStr">
        <is>
          <t>R028</t>
        </is>
      </c>
      <c r="F178" s="72" t="n">
        <v>6</v>
      </c>
      <c r="G178" s="72" t="n">
        <v>5080</v>
      </c>
      <c r="H178" s="72" t="n">
        <v>16.8</v>
      </c>
      <c r="I178" s="72" t="n">
        <v>25359.36</v>
      </c>
      <c r="J178" s="70" t="inlineStr">
        <is>
          <t>Pending</t>
        </is>
      </c>
      <c r="K178" s="70" t="inlineStr">
        <is>
          <t>Delhi</t>
        </is>
      </c>
    </row>
    <row r="179" ht="14.25" customHeight="1" s="56">
      <c r="A179" s="70" t="inlineStr">
        <is>
          <t>ORD-00178</t>
        </is>
      </c>
      <c r="B179" s="71" t="n">
        <v>45312</v>
      </c>
      <c r="C179" s="70" t="inlineStr">
        <is>
          <t>CUST-0172</t>
        </is>
      </c>
      <c r="D179" s="70" t="inlineStr">
        <is>
          <t>PROD-003</t>
        </is>
      </c>
      <c r="E179" s="70" t="inlineStr">
        <is>
          <t>R012</t>
        </is>
      </c>
      <c r="F179" s="72" t="n">
        <v>2</v>
      </c>
      <c r="G179" s="72" t="n">
        <v>3570</v>
      </c>
      <c r="H179" s="72" t="n">
        <v>6.7</v>
      </c>
      <c r="I179" s="72" t="n">
        <v>6661.62</v>
      </c>
      <c r="J179" s="70" t="inlineStr">
        <is>
          <t>Cancelled</t>
        </is>
      </c>
      <c r="K179" s="70" t="inlineStr">
        <is>
          <t>Pune</t>
        </is>
      </c>
    </row>
    <row r="180" ht="14.25" customHeight="1" s="56">
      <c r="A180" s="70" t="inlineStr">
        <is>
          <t>ORD-00179</t>
        </is>
      </c>
      <c r="B180" s="71" t="n">
        <v>45382</v>
      </c>
      <c r="C180" s="70" t="inlineStr">
        <is>
          <t>CUST-0124</t>
        </is>
      </c>
      <c r="D180" s="70" t="inlineStr">
        <is>
          <t>PROD-013</t>
        </is>
      </c>
      <c r="E180" s="70" t="inlineStr">
        <is>
          <t>R012</t>
        </is>
      </c>
      <c r="F180" s="72" t="n">
        <v>4</v>
      </c>
      <c r="G180" s="72" t="n">
        <v>3640</v>
      </c>
      <c r="H180" s="72" t="n">
        <v>18.4</v>
      </c>
      <c r="I180" s="72" t="n">
        <v>11880.96</v>
      </c>
      <c r="J180" s="70" t="inlineStr">
        <is>
          <t>Completed</t>
        </is>
      </c>
      <c r="K180" s="70" t="inlineStr">
        <is>
          <t>Pune</t>
        </is>
      </c>
    </row>
    <row r="181" ht="14.25" customHeight="1" s="56">
      <c r="A181" s="70" t="inlineStr">
        <is>
          <t>ORD-00180</t>
        </is>
      </c>
      <c r="B181" s="71" t="n">
        <v>45524</v>
      </c>
      <c r="C181" s="70" t="inlineStr">
        <is>
          <t>CUST-0184</t>
        </is>
      </c>
      <c r="D181" s="70" t="inlineStr">
        <is>
          <t>PROD-026</t>
        </is>
      </c>
      <c r="E181" s="70" t="inlineStr">
        <is>
          <t>R001</t>
        </is>
      </c>
      <c r="F181" s="72" t="n">
        <v>8</v>
      </c>
      <c r="G181" s="72" t="n">
        <v>4070</v>
      </c>
      <c r="H181" s="72" t="n">
        <v>6.6</v>
      </c>
      <c r="I181" s="72" t="n">
        <v>30411.04</v>
      </c>
      <c r="J181" s="70" t="inlineStr">
        <is>
          <t>Completed</t>
        </is>
      </c>
      <c r="K181" s="70" t="inlineStr">
        <is>
          <t>Pune</t>
        </is>
      </c>
    </row>
    <row r="182" ht="14.25" customHeight="1" s="56">
      <c r="A182" s="70" t="inlineStr">
        <is>
          <t>ORD-00181</t>
        </is>
      </c>
      <c r="B182" s="71" t="n">
        <v>45392</v>
      </c>
      <c r="C182" s="70" t="inlineStr">
        <is>
          <t>CUST-0259</t>
        </is>
      </c>
      <c r="D182" s="70" t="inlineStr">
        <is>
          <t>PROD-011</t>
        </is>
      </c>
      <c r="E182" s="70" t="inlineStr">
        <is>
          <t>R012</t>
        </is>
      </c>
      <c r="F182" s="72" t="n">
        <v>6</v>
      </c>
      <c r="G182" s="72" t="n">
        <v>3450</v>
      </c>
      <c r="H182" s="72" t="n">
        <v>14.4</v>
      </c>
      <c r="I182" s="72" t="n">
        <v>17719.2</v>
      </c>
      <c r="J182" s="70" t="inlineStr">
        <is>
          <t>Pending</t>
        </is>
      </c>
      <c r="K182" s="70" t="inlineStr">
        <is>
          <t>Mumbai</t>
        </is>
      </c>
    </row>
    <row r="183" ht="14.25" customHeight="1" s="56">
      <c r="A183" s="70" t="inlineStr">
        <is>
          <t>ORD-00182</t>
        </is>
      </c>
      <c r="B183" s="71" t="n">
        <v>45443</v>
      </c>
      <c r="C183" s="70" t="inlineStr">
        <is>
          <t>CUST-0204</t>
        </is>
      </c>
      <c r="D183" s="70" t="inlineStr">
        <is>
          <t>PROD-034</t>
        </is>
      </c>
      <c r="E183" s="70" t="inlineStr">
        <is>
          <t>R029</t>
        </is>
      </c>
      <c r="F183" s="72" t="n">
        <v>7</v>
      </c>
      <c r="G183" s="72" t="n">
        <v>5080</v>
      </c>
      <c r="H183" s="72" t="n">
        <v>25.4</v>
      </c>
      <c r="I183" s="72" t="n">
        <v>26527.76</v>
      </c>
      <c r="J183" s="70" t="inlineStr">
        <is>
          <t>Pending</t>
        </is>
      </c>
      <c r="K183" s="70" t="inlineStr">
        <is>
          <t>Hyderabad</t>
        </is>
      </c>
    </row>
    <row r="184" ht="14.25" customHeight="1" s="56">
      <c r="A184" s="70" t="inlineStr">
        <is>
          <t>ORD-00183</t>
        </is>
      </c>
      <c r="B184" s="71" t="n">
        <v>45333</v>
      </c>
      <c r="C184" s="70" t="inlineStr">
        <is>
          <t>CUST-0032</t>
        </is>
      </c>
      <c r="D184" s="70" t="inlineStr">
        <is>
          <t>PROD-021</t>
        </is>
      </c>
      <c r="E184" s="70" t="inlineStr">
        <is>
          <t>R028</t>
        </is>
      </c>
      <c r="F184" s="72" t="n">
        <v>10</v>
      </c>
      <c r="G184" s="72" t="n">
        <v>2760</v>
      </c>
      <c r="H184" s="72" t="n">
        <v>20.1</v>
      </c>
      <c r="I184" s="72" t="n">
        <v>22052.4</v>
      </c>
      <c r="J184" s="70" t="inlineStr">
        <is>
          <t>Completed</t>
        </is>
      </c>
      <c r="K184" s="70" t="inlineStr">
        <is>
          <t>Hyderabad</t>
        </is>
      </c>
    </row>
    <row r="185" ht="14.25" customHeight="1" s="56">
      <c r="A185" s="70" t="inlineStr">
        <is>
          <t>ORD-00184</t>
        </is>
      </c>
      <c r="B185" s="71" t="n">
        <v>45456</v>
      </c>
      <c r="C185" s="70" t="inlineStr">
        <is>
          <t>CUST-0239</t>
        </is>
      </c>
      <c r="D185" s="70" t="inlineStr">
        <is>
          <t>PROD-044</t>
        </is>
      </c>
      <c r="E185" s="70" t="inlineStr">
        <is>
          <t>R016</t>
        </is>
      </c>
      <c r="F185" s="72" t="n">
        <v>6</v>
      </c>
      <c r="G185" s="72" t="n">
        <v>1650</v>
      </c>
      <c r="H185" s="72" t="n">
        <v>11.3</v>
      </c>
      <c r="I185" s="72" t="n">
        <v>8781.299999999999</v>
      </c>
      <c r="J185" s="70" t="inlineStr">
        <is>
          <t>Pending</t>
        </is>
      </c>
      <c r="K185" s="70" t="inlineStr">
        <is>
          <t>Mumbai</t>
        </is>
      </c>
    </row>
    <row r="186" ht="14.25" customHeight="1" s="56">
      <c r="A186" s="70" t="inlineStr">
        <is>
          <t>ORD-00185</t>
        </is>
      </c>
      <c r="B186" s="71" t="n">
        <v>45295</v>
      </c>
      <c r="C186" s="70" t="inlineStr">
        <is>
          <t>CUST-0191</t>
        </is>
      </c>
      <c r="D186" s="70" t="inlineStr">
        <is>
          <t>PROD-004</t>
        </is>
      </c>
      <c r="E186" s="70" t="inlineStr">
        <is>
          <t>R007</t>
        </is>
      </c>
      <c r="F186" s="72" t="n">
        <v>9</v>
      </c>
      <c r="G186" s="72" t="n">
        <v>3870</v>
      </c>
      <c r="H186" s="72" t="n">
        <v>27.5</v>
      </c>
      <c r="I186" s="72" t="n">
        <v>25251.75</v>
      </c>
      <c r="J186" s="70" t="inlineStr">
        <is>
          <t>Completed</t>
        </is>
      </c>
      <c r="K186" s="70" t="inlineStr">
        <is>
          <t>Hyderabad</t>
        </is>
      </c>
    </row>
    <row r="187" ht="14.25" customHeight="1" s="56">
      <c r="A187" s="70" t="inlineStr">
        <is>
          <t>ORD-00186</t>
        </is>
      </c>
      <c r="B187" s="71" t="n">
        <v>45532</v>
      </c>
      <c r="C187" s="70" t="inlineStr">
        <is>
          <t>CUST-0284</t>
        </is>
      </c>
      <c r="D187" s="70" t="inlineStr">
        <is>
          <t>PROD-035</t>
        </is>
      </c>
      <c r="E187" s="70" t="inlineStr">
        <is>
          <t>R022</t>
        </is>
      </c>
      <c r="F187" s="72" t="n">
        <v>2</v>
      </c>
      <c r="G187" s="72" t="n">
        <v>1090</v>
      </c>
      <c r="H187" s="72" t="n">
        <v>18.7</v>
      </c>
      <c r="I187" s="72" t="n">
        <v>1772.34</v>
      </c>
      <c r="J187" s="70" t="inlineStr">
        <is>
          <t>Refunded</t>
        </is>
      </c>
      <c r="K187" s="70" t="inlineStr">
        <is>
          <t>Hyderabad</t>
        </is>
      </c>
    </row>
    <row r="188" ht="14.25" customHeight="1" s="56">
      <c r="A188" s="70" t="inlineStr">
        <is>
          <t>ORD-00187</t>
        </is>
      </c>
      <c r="B188" s="71" t="n">
        <v>45564</v>
      </c>
      <c r="C188" s="70" t="inlineStr">
        <is>
          <t>CUST-0274</t>
        </is>
      </c>
      <c r="D188" s="70" t="inlineStr">
        <is>
          <t>PROD-049</t>
        </is>
      </c>
      <c r="E188" s="70" t="inlineStr">
        <is>
          <t>R025</t>
        </is>
      </c>
      <c r="F188" s="72" t="n">
        <v>4</v>
      </c>
      <c r="G188" s="72" t="n">
        <v>960</v>
      </c>
      <c r="H188" s="72" t="n">
        <v>23.4</v>
      </c>
      <c r="I188" s="72" t="n">
        <v>2941.44</v>
      </c>
      <c r="J188" s="70" t="inlineStr">
        <is>
          <t>Completed</t>
        </is>
      </c>
      <c r="K188" s="70" t="inlineStr">
        <is>
          <t>Bengaluru</t>
        </is>
      </c>
    </row>
    <row r="189" ht="14.25" customHeight="1" s="56">
      <c r="A189" s="70" t="inlineStr">
        <is>
          <t>ORD-00188</t>
        </is>
      </c>
      <c r="B189" s="71" t="n">
        <v>45539</v>
      </c>
      <c r="C189" s="70" t="inlineStr">
        <is>
          <t>CUST-0234</t>
        </is>
      </c>
      <c r="D189" s="70" t="inlineStr">
        <is>
          <t>PROD-043</t>
        </is>
      </c>
      <c r="E189" s="70" t="inlineStr">
        <is>
          <t>R021</t>
        </is>
      </c>
      <c r="F189" s="72" t="n">
        <v>3</v>
      </c>
      <c r="G189" s="72" t="n">
        <v>3350</v>
      </c>
      <c r="H189" s="72" t="n">
        <v>17.9</v>
      </c>
      <c r="I189" s="72" t="n">
        <v>8251.049999999999</v>
      </c>
      <c r="J189" s="70" t="inlineStr">
        <is>
          <t>Completed</t>
        </is>
      </c>
      <c r="K189" s="70" t="inlineStr">
        <is>
          <t>Bengaluru</t>
        </is>
      </c>
    </row>
    <row r="190" ht="14.25" customHeight="1" s="56">
      <c r="A190" s="70" t="inlineStr">
        <is>
          <t>ORD-00189</t>
        </is>
      </c>
      <c r="B190" s="71" t="n">
        <v>45605</v>
      </c>
      <c r="C190" s="70" t="inlineStr">
        <is>
          <t>CUST-0264</t>
        </is>
      </c>
      <c r="D190" s="70" t="inlineStr">
        <is>
          <t>PROD-022</t>
        </is>
      </c>
      <c r="E190" s="70" t="inlineStr">
        <is>
          <t>R005</t>
        </is>
      </c>
      <c r="F190" s="72" t="n">
        <v>4</v>
      </c>
      <c r="G190" s="72" t="n">
        <v>2270</v>
      </c>
      <c r="H190" s="72" t="n">
        <v>29</v>
      </c>
      <c r="I190" s="72" t="n">
        <v>6446.8</v>
      </c>
      <c r="J190" s="70" t="inlineStr">
        <is>
          <t>Completed</t>
        </is>
      </c>
      <c r="K190" s="70" t="inlineStr">
        <is>
          <t>Pune</t>
        </is>
      </c>
    </row>
    <row r="191" ht="14.25" customHeight="1" s="56">
      <c r="A191" s="70" t="inlineStr">
        <is>
          <t>ORD-00190</t>
        </is>
      </c>
      <c r="B191" s="71" t="n">
        <v>45460</v>
      </c>
      <c r="C191" s="70" t="inlineStr">
        <is>
          <t>CUST-0192</t>
        </is>
      </c>
      <c r="D191" s="70" t="inlineStr">
        <is>
          <t>PROD-039</t>
        </is>
      </c>
      <c r="E191" s="70" t="inlineStr">
        <is>
          <t>R023</t>
        </is>
      </c>
      <c r="F191" s="72" t="n">
        <v>9</v>
      </c>
      <c r="G191" s="72" t="n">
        <v>4610</v>
      </c>
      <c r="H191" s="72" t="n">
        <v>28.3</v>
      </c>
      <c r="I191" s="72" t="n">
        <v>29748.33</v>
      </c>
      <c r="J191" s="70" t="inlineStr">
        <is>
          <t>Pending</t>
        </is>
      </c>
      <c r="K191" s="70" t="inlineStr">
        <is>
          <t>Bengaluru</t>
        </is>
      </c>
    </row>
    <row r="192" ht="14.25" customHeight="1" s="56">
      <c r="A192" s="70" t="inlineStr">
        <is>
          <t>ORD-00191</t>
        </is>
      </c>
      <c r="B192" s="71" t="n">
        <v>45538</v>
      </c>
      <c r="C192" s="70" t="inlineStr">
        <is>
          <t>CUST-0041</t>
        </is>
      </c>
      <c r="D192" s="70" t="inlineStr">
        <is>
          <t>PROD-012</t>
        </is>
      </c>
      <c r="E192" s="70" t="inlineStr">
        <is>
          <t>R009</t>
        </is>
      </c>
      <c r="F192" s="72" t="n">
        <v>3</v>
      </c>
      <c r="G192" s="72" t="n">
        <v>3160</v>
      </c>
      <c r="H192" s="72" t="n">
        <v>7.3</v>
      </c>
      <c r="I192" s="72" t="n">
        <v>8787.959999999999</v>
      </c>
      <c r="J192" s="70" t="inlineStr">
        <is>
          <t>Completed</t>
        </is>
      </c>
      <c r="K192" s="70" t="inlineStr">
        <is>
          <t>Bengaluru</t>
        </is>
      </c>
    </row>
    <row r="193" ht="14.25" customHeight="1" s="56">
      <c r="A193" s="70" t="inlineStr">
        <is>
          <t>ORD-00192</t>
        </is>
      </c>
      <c r="B193" s="71" t="n">
        <v>45573</v>
      </c>
      <c r="C193" s="70" t="inlineStr">
        <is>
          <t>CUST-0043</t>
        </is>
      </c>
      <c r="D193" s="70" t="inlineStr">
        <is>
          <t>PROD-022</t>
        </is>
      </c>
      <c r="E193" s="70" t="inlineStr">
        <is>
          <t>R004</t>
        </is>
      </c>
      <c r="F193" s="72" t="n">
        <v>8</v>
      </c>
      <c r="G193" s="72" t="n">
        <v>2270</v>
      </c>
      <c r="H193" s="72" t="n">
        <v>15.6</v>
      </c>
      <c r="I193" s="72" t="n">
        <v>15327.04</v>
      </c>
      <c r="J193" s="70" t="inlineStr">
        <is>
          <t>Completed</t>
        </is>
      </c>
      <c r="K193" s="70" t="inlineStr">
        <is>
          <t>Hyderabad</t>
        </is>
      </c>
    </row>
    <row r="194" ht="14.25" customHeight="1" s="56">
      <c r="A194" s="70" t="inlineStr">
        <is>
          <t>ORD-00193</t>
        </is>
      </c>
      <c r="B194" s="71" t="n">
        <v>45483</v>
      </c>
      <c r="C194" s="70" t="inlineStr">
        <is>
          <t>CUST-0147</t>
        </is>
      </c>
      <c r="D194" s="70" t="inlineStr">
        <is>
          <t>PROD-045</t>
        </is>
      </c>
      <c r="E194" s="70" t="inlineStr">
        <is>
          <t>R028</t>
        </is>
      </c>
      <c r="F194" s="72" t="n">
        <v>8</v>
      </c>
      <c r="G194" s="72" t="n">
        <v>3020</v>
      </c>
      <c r="H194" s="72" t="n">
        <v>16.3</v>
      </c>
      <c r="I194" s="72" t="n">
        <v>20221.92</v>
      </c>
      <c r="J194" s="70" t="inlineStr">
        <is>
          <t>Cancelled</t>
        </is>
      </c>
      <c r="K194" s="70" t="inlineStr">
        <is>
          <t>Pune</t>
        </is>
      </c>
    </row>
    <row r="195" ht="14.25" customHeight="1" s="56">
      <c r="A195" s="70" t="inlineStr">
        <is>
          <t>ORD-00194</t>
        </is>
      </c>
      <c r="B195" s="71" t="n">
        <v>45617</v>
      </c>
      <c r="C195" s="70" t="inlineStr">
        <is>
          <t>CUST-0056</t>
        </is>
      </c>
      <c r="D195" s="70" t="inlineStr">
        <is>
          <t>PROD-056</t>
        </is>
      </c>
      <c r="E195" s="70" t="inlineStr">
        <is>
          <t>R030</t>
        </is>
      </c>
      <c r="F195" s="72" t="n">
        <v>7</v>
      </c>
      <c r="G195" s="72" t="n">
        <v>6940</v>
      </c>
      <c r="H195" s="72" t="n">
        <v>8.5</v>
      </c>
      <c r="I195" s="72" t="n">
        <v>44450.7</v>
      </c>
      <c r="J195" s="70" t="inlineStr">
        <is>
          <t>Completed</t>
        </is>
      </c>
      <c r="K195" s="70" t="inlineStr">
        <is>
          <t>Bengaluru</t>
        </is>
      </c>
    </row>
    <row r="196" ht="14.25" customHeight="1" s="56">
      <c r="A196" s="70" t="inlineStr">
        <is>
          <t>ORD-00195</t>
        </is>
      </c>
      <c r="B196" s="71" t="n">
        <v>45546</v>
      </c>
      <c r="C196" s="70" t="inlineStr">
        <is>
          <t>CUST-0059</t>
        </is>
      </c>
      <c r="D196" s="70" t="inlineStr">
        <is>
          <t>PROD-041</t>
        </is>
      </c>
      <c r="E196" s="70" t="inlineStr">
        <is>
          <t>R012</t>
        </is>
      </c>
      <c r="F196" s="72" t="n">
        <v>8</v>
      </c>
      <c r="G196" s="72" t="n">
        <v>1540</v>
      </c>
      <c r="H196" s="72" t="n">
        <v>21</v>
      </c>
      <c r="I196" s="72" t="n">
        <v>9732.799999999999</v>
      </c>
      <c r="J196" s="70" t="inlineStr">
        <is>
          <t>Completed</t>
        </is>
      </c>
      <c r="K196" s="70" t="inlineStr">
        <is>
          <t>Pune</t>
        </is>
      </c>
    </row>
    <row r="197" ht="14.25" customHeight="1" s="56">
      <c r="A197" s="70" t="inlineStr">
        <is>
          <t>ORD-00196</t>
        </is>
      </c>
      <c r="B197" s="71" t="n">
        <v>45380</v>
      </c>
      <c r="C197" s="70" t="inlineStr">
        <is>
          <t>CUST-0047</t>
        </is>
      </c>
      <c r="D197" s="70" t="inlineStr">
        <is>
          <t>PROD-019</t>
        </is>
      </c>
      <c r="E197" s="70" t="inlineStr">
        <is>
          <t>R029</t>
        </is>
      </c>
      <c r="F197" s="72" t="n">
        <v>6</v>
      </c>
      <c r="G197" s="72" t="n">
        <v>2480</v>
      </c>
      <c r="H197" s="72" t="n">
        <v>27.9</v>
      </c>
      <c r="I197" s="72" t="n">
        <v>10728.48</v>
      </c>
      <c r="J197" s="70" t="inlineStr">
        <is>
          <t>Completed</t>
        </is>
      </c>
      <c r="K197" s="70" t="inlineStr">
        <is>
          <t>Pune</t>
        </is>
      </c>
    </row>
    <row r="198" ht="14.25" customHeight="1" s="56">
      <c r="A198" s="70" t="inlineStr">
        <is>
          <t>ORD-00197</t>
        </is>
      </c>
      <c r="B198" s="71" t="n">
        <v>45320</v>
      </c>
      <c r="C198" s="70" t="inlineStr">
        <is>
          <t>CUST-0162</t>
        </is>
      </c>
      <c r="D198" s="70" t="inlineStr">
        <is>
          <t>PROD-060</t>
        </is>
      </c>
      <c r="E198" s="70" t="inlineStr">
        <is>
          <t>R022</t>
        </is>
      </c>
      <c r="F198" s="72" t="n">
        <v>4</v>
      </c>
      <c r="G198" s="72" t="n">
        <v>190</v>
      </c>
      <c r="H198" s="72" t="n">
        <v>21.5</v>
      </c>
      <c r="I198" s="72" t="n">
        <v>596.6</v>
      </c>
      <c r="J198" s="70" t="inlineStr">
        <is>
          <t>Completed</t>
        </is>
      </c>
      <c r="K198" s="70" t="inlineStr">
        <is>
          <t>Mumbai</t>
        </is>
      </c>
    </row>
    <row r="199" ht="14.25" customHeight="1" s="56">
      <c r="A199" s="70" t="inlineStr">
        <is>
          <t>ORD-00198</t>
        </is>
      </c>
      <c r="B199" s="71" t="n">
        <v>45355</v>
      </c>
      <c r="C199" s="70" t="inlineStr">
        <is>
          <t>CUST-0121</t>
        </is>
      </c>
      <c r="D199" s="70" t="inlineStr">
        <is>
          <t>PROD-055</t>
        </is>
      </c>
      <c r="E199" s="70" t="inlineStr">
        <is>
          <t>R014</t>
        </is>
      </c>
      <c r="F199" s="72" t="n">
        <v>1</v>
      </c>
      <c r="G199" s="72" t="n">
        <v>2860</v>
      </c>
      <c r="H199" s="72" t="n">
        <v>15.3</v>
      </c>
      <c r="I199" s="72" t="n">
        <v>2422.42</v>
      </c>
      <c r="J199" s="70" t="inlineStr">
        <is>
          <t>Completed</t>
        </is>
      </c>
      <c r="K199" s="70" t="inlineStr">
        <is>
          <t>Delhi</t>
        </is>
      </c>
    </row>
    <row r="200" ht="14.25" customHeight="1" s="56">
      <c r="A200" s="70" t="inlineStr">
        <is>
          <t>ORD-00199</t>
        </is>
      </c>
      <c r="B200" s="71" t="n">
        <v>45350</v>
      </c>
      <c r="C200" s="70" t="inlineStr">
        <is>
          <t>CUST-0075</t>
        </is>
      </c>
      <c r="D200" s="70" t="inlineStr">
        <is>
          <t>PROD-017</t>
        </is>
      </c>
      <c r="E200" s="70" t="inlineStr">
        <is>
          <t>R015</t>
        </is>
      </c>
      <c r="F200" s="72" t="n">
        <v>4</v>
      </c>
      <c r="G200" s="72" t="n">
        <v>2510</v>
      </c>
      <c r="H200" s="72" t="n">
        <v>10.1</v>
      </c>
      <c r="I200" s="72" t="n">
        <v>9025.959999999999</v>
      </c>
      <c r="J200" s="70" t="inlineStr">
        <is>
          <t>Refunded</t>
        </is>
      </c>
      <c r="K200" s="70" t="inlineStr">
        <is>
          <t>Mumbai</t>
        </is>
      </c>
    </row>
    <row r="201" ht="14.25" customHeight="1" s="56">
      <c r="A201" s="70" t="inlineStr">
        <is>
          <t>ORD-00200</t>
        </is>
      </c>
      <c r="B201" s="71" t="n">
        <v>45587</v>
      </c>
      <c r="C201" s="70" t="inlineStr">
        <is>
          <t>CUST-0025</t>
        </is>
      </c>
      <c r="D201" s="70" t="inlineStr">
        <is>
          <t>PROD-003</t>
        </is>
      </c>
      <c r="E201" s="70" t="inlineStr">
        <is>
          <t>R003</t>
        </is>
      </c>
      <c r="F201" s="72" t="n">
        <v>2</v>
      </c>
      <c r="G201" s="72" t="n">
        <v>3570</v>
      </c>
      <c r="H201" s="72" t="n">
        <v>11.6</v>
      </c>
      <c r="I201" s="72" t="n">
        <v>6311.76</v>
      </c>
      <c r="J201" s="70" t="inlineStr">
        <is>
          <t>Pending</t>
        </is>
      </c>
      <c r="K201" s="70" t="inlineStr">
        <is>
          <t>Bengaluru</t>
        </is>
      </c>
    </row>
    <row r="202" ht="14.25" customHeight="1" s="56">
      <c r="A202" s="70" t="inlineStr">
        <is>
          <t>ORD-00201</t>
        </is>
      </c>
      <c r="B202" s="71" t="n">
        <v>45344</v>
      </c>
      <c r="C202" s="70" t="inlineStr">
        <is>
          <t>CUST-0048</t>
        </is>
      </c>
      <c r="D202" s="70" t="inlineStr">
        <is>
          <t>PROD-031</t>
        </is>
      </c>
      <c r="E202" s="70" t="inlineStr">
        <is>
          <t>R016</t>
        </is>
      </c>
      <c r="F202" s="72" t="n">
        <v>7</v>
      </c>
      <c r="G202" s="72" t="n">
        <v>3730</v>
      </c>
      <c r="H202" s="72" t="n">
        <v>2.5</v>
      </c>
      <c r="I202" s="72" t="n">
        <v>25457.25</v>
      </c>
      <c r="J202" s="70" t="inlineStr">
        <is>
          <t>Cancelled</t>
        </is>
      </c>
      <c r="K202" s="70" t="inlineStr">
        <is>
          <t>Delhi</t>
        </is>
      </c>
    </row>
    <row r="203" ht="14.25" customHeight="1" s="56">
      <c r="A203" s="70" t="inlineStr">
        <is>
          <t>ORD-00202</t>
        </is>
      </c>
      <c r="B203" s="71" t="n">
        <v>45492</v>
      </c>
      <c r="C203" s="70" t="inlineStr">
        <is>
          <t>CUST-0251</t>
        </is>
      </c>
      <c r="D203" s="70" t="inlineStr">
        <is>
          <t>PROD-032</t>
        </is>
      </c>
      <c r="E203" s="70" t="inlineStr">
        <is>
          <t>R030</t>
        </is>
      </c>
      <c r="F203" s="72" t="n">
        <v>6</v>
      </c>
      <c r="G203" s="72" t="n">
        <v>370</v>
      </c>
      <c r="H203" s="72" t="n">
        <v>9.9</v>
      </c>
      <c r="I203" s="72" t="n">
        <v>2000.22</v>
      </c>
      <c r="J203" s="70" t="inlineStr">
        <is>
          <t>Completed</t>
        </is>
      </c>
      <c r="K203" s="70" t="inlineStr">
        <is>
          <t>Mumbai</t>
        </is>
      </c>
    </row>
    <row r="204" ht="14.25" customHeight="1" s="56">
      <c r="A204" s="70" t="inlineStr">
        <is>
          <t>ORD-00203</t>
        </is>
      </c>
      <c r="B204" s="71" t="n">
        <v>45490</v>
      </c>
      <c r="C204" s="70" t="inlineStr">
        <is>
          <t>CUST-0125</t>
        </is>
      </c>
      <c r="D204" s="70" t="inlineStr">
        <is>
          <t>PROD-008</t>
        </is>
      </c>
      <c r="E204" s="70" t="inlineStr">
        <is>
          <t>R014</t>
        </is>
      </c>
      <c r="F204" s="72" t="n">
        <v>4</v>
      </c>
      <c r="G204" s="72" t="n">
        <v>2660</v>
      </c>
      <c r="H204" s="72" t="n">
        <v>29.7</v>
      </c>
      <c r="I204" s="72" t="n">
        <v>7479.92</v>
      </c>
      <c r="J204" s="70" t="inlineStr">
        <is>
          <t>Completed</t>
        </is>
      </c>
      <c r="K204" s="70" t="inlineStr">
        <is>
          <t>Delhi</t>
        </is>
      </c>
    </row>
    <row r="205" ht="14.25" customHeight="1" s="56">
      <c r="A205" s="70" t="inlineStr">
        <is>
          <t>ORD-00204</t>
        </is>
      </c>
      <c r="B205" s="71" t="n">
        <v>45538</v>
      </c>
      <c r="C205" s="70" t="inlineStr">
        <is>
          <t>CUST-0025</t>
        </is>
      </c>
      <c r="D205" s="70" t="inlineStr">
        <is>
          <t>PROD-021</t>
        </is>
      </c>
      <c r="E205" s="70" t="inlineStr">
        <is>
          <t>R015</t>
        </is>
      </c>
      <c r="F205" s="72" t="n">
        <v>6</v>
      </c>
      <c r="G205" s="72" t="n">
        <v>2760</v>
      </c>
      <c r="H205" s="72" t="n">
        <v>0.9</v>
      </c>
      <c r="I205" s="72" t="n">
        <v>16410.96</v>
      </c>
      <c r="J205" s="70" t="inlineStr">
        <is>
          <t>Completed</t>
        </is>
      </c>
      <c r="K205" s="70" t="inlineStr">
        <is>
          <t>Bengaluru</t>
        </is>
      </c>
    </row>
    <row r="206" ht="14.25" customHeight="1" s="56">
      <c r="A206" s="70" t="inlineStr">
        <is>
          <t>ORD-00205</t>
        </is>
      </c>
      <c r="B206" s="71" t="n">
        <v>45591</v>
      </c>
      <c r="C206" s="70" t="inlineStr">
        <is>
          <t>CUST-0068</t>
        </is>
      </c>
      <c r="D206" s="70" t="inlineStr">
        <is>
          <t>PROD-043</t>
        </is>
      </c>
      <c r="E206" s="70" t="inlineStr">
        <is>
          <t>R009</t>
        </is>
      </c>
      <c r="F206" s="72" t="n">
        <v>6</v>
      </c>
      <c r="G206" s="72" t="n">
        <v>3350</v>
      </c>
      <c r="H206" s="72" t="n">
        <v>17.9</v>
      </c>
      <c r="I206" s="72" t="n">
        <v>16502.1</v>
      </c>
      <c r="J206" s="70" t="inlineStr">
        <is>
          <t>Completed</t>
        </is>
      </c>
      <c r="K206" s="70" t="inlineStr">
        <is>
          <t>Delhi</t>
        </is>
      </c>
    </row>
    <row r="207" ht="14.25" customHeight="1" s="56">
      <c r="A207" s="70" t="inlineStr">
        <is>
          <t>ORD-00206</t>
        </is>
      </c>
      <c r="B207" s="71" t="n">
        <v>45319</v>
      </c>
      <c r="C207" s="70" t="inlineStr">
        <is>
          <t>CUST-0080</t>
        </is>
      </c>
      <c r="D207" s="70" t="inlineStr">
        <is>
          <t>PROD-005</t>
        </is>
      </c>
      <c r="E207" s="70" t="inlineStr">
        <is>
          <t>R017</t>
        </is>
      </c>
      <c r="F207" s="72" t="n">
        <v>8</v>
      </c>
      <c r="G207" s="72" t="n">
        <v>300</v>
      </c>
      <c r="H207" s="72" t="n">
        <v>20.6</v>
      </c>
      <c r="I207" s="72" t="n">
        <v>1905.6</v>
      </c>
      <c r="J207" s="70" t="inlineStr">
        <is>
          <t>Refunded</t>
        </is>
      </c>
      <c r="K207" s="70" t="inlineStr">
        <is>
          <t>Pune</t>
        </is>
      </c>
    </row>
    <row r="208" ht="14.25" customHeight="1" s="56">
      <c r="A208" s="70" t="inlineStr">
        <is>
          <t>ORD-00207</t>
        </is>
      </c>
      <c r="B208" s="71" t="n">
        <v>45527</v>
      </c>
      <c r="C208" s="70" t="inlineStr">
        <is>
          <t>CUST-0251</t>
        </is>
      </c>
      <c r="D208" s="70" t="inlineStr">
        <is>
          <t>PROD-015</t>
        </is>
      </c>
      <c r="E208" s="70" t="inlineStr">
        <is>
          <t>R002</t>
        </is>
      </c>
      <c r="F208" s="72" t="n">
        <v>5</v>
      </c>
      <c r="G208" s="72" t="n">
        <v>2720</v>
      </c>
      <c r="H208" s="72" t="n">
        <v>17.1</v>
      </c>
      <c r="I208" s="72" t="n">
        <v>11274.4</v>
      </c>
      <c r="J208" s="70" t="inlineStr">
        <is>
          <t>Pending</t>
        </is>
      </c>
      <c r="K208" s="70" t="inlineStr">
        <is>
          <t>Mumbai</t>
        </is>
      </c>
    </row>
    <row r="209" ht="14.25" customHeight="1" s="56">
      <c r="A209" s="70" t="inlineStr">
        <is>
          <t>ORD-00208</t>
        </is>
      </c>
      <c r="B209" s="71" t="n">
        <v>45572</v>
      </c>
      <c r="C209" s="70" t="inlineStr">
        <is>
          <t>CUST-0077</t>
        </is>
      </c>
      <c r="D209" s="70" t="inlineStr">
        <is>
          <t>PROD-004</t>
        </is>
      </c>
      <c r="E209" s="70" t="inlineStr">
        <is>
          <t>R015</t>
        </is>
      </c>
      <c r="F209" s="72" t="n">
        <v>1</v>
      </c>
      <c r="G209" s="72" t="n">
        <v>3870</v>
      </c>
      <c r="H209" s="72" t="n">
        <v>23.5</v>
      </c>
      <c r="I209" s="72" t="n">
        <v>2960.55</v>
      </c>
      <c r="J209" s="70" t="inlineStr">
        <is>
          <t>Pending</t>
        </is>
      </c>
      <c r="K209" s="70" t="inlineStr">
        <is>
          <t>Hyderabad</t>
        </is>
      </c>
    </row>
    <row r="210" ht="14.25" customHeight="1" s="56">
      <c r="A210" s="70" t="inlineStr">
        <is>
          <t>ORD-00209</t>
        </is>
      </c>
      <c r="B210" s="71" t="n">
        <v>45637</v>
      </c>
      <c r="C210" s="70" t="inlineStr">
        <is>
          <t>CUST-0232</t>
        </is>
      </c>
      <c r="D210" s="70" t="inlineStr">
        <is>
          <t>PROD-031</t>
        </is>
      </c>
      <c r="E210" s="70" t="inlineStr">
        <is>
          <t>R012</t>
        </is>
      </c>
      <c r="F210" s="72" t="n">
        <v>3</v>
      </c>
      <c r="G210" s="72" t="n">
        <v>3730</v>
      </c>
      <c r="H210" s="72" t="n">
        <v>0.7</v>
      </c>
      <c r="I210" s="72" t="n">
        <v>11111.67</v>
      </c>
      <c r="J210" s="70" t="inlineStr">
        <is>
          <t>Pending</t>
        </is>
      </c>
      <c r="K210" s="70" t="inlineStr">
        <is>
          <t>Hyderabad</t>
        </is>
      </c>
    </row>
    <row r="211" ht="14.25" customHeight="1" s="56">
      <c r="A211" s="70" t="inlineStr">
        <is>
          <t>ORD-00210</t>
        </is>
      </c>
      <c r="B211" s="71" t="n">
        <v>45315</v>
      </c>
      <c r="C211" s="70" t="inlineStr">
        <is>
          <t>CUST-0277</t>
        </is>
      </c>
      <c r="D211" s="70" t="inlineStr">
        <is>
          <t>PROD-019</t>
        </is>
      </c>
      <c r="E211" s="70" t="inlineStr">
        <is>
          <t>R012</t>
        </is>
      </c>
      <c r="F211" s="72" t="n">
        <v>8</v>
      </c>
      <c r="G211" s="72" t="n">
        <v>2480</v>
      </c>
      <c r="H211" s="72" t="n">
        <v>18.2</v>
      </c>
      <c r="I211" s="72" t="n">
        <v>16229.12</v>
      </c>
      <c r="J211" s="70" t="inlineStr">
        <is>
          <t>Cancelled</t>
        </is>
      </c>
      <c r="K211" s="70" t="inlineStr">
        <is>
          <t>Chennai</t>
        </is>
      </c>
    </row>
    <row r="212" ht="14.25" customHeight="1" s="56">
      <c r="A212" s="70" t="inlineStr">
        <is>
          <t>ORD-00211</t>
        </is>
      </c>
      <c r="B212" s="71" t="n">
        <v>45374</v>
      </c>
      <c r="C212" s="70" t="inlineStr">
        <is>
          <t>CUST-0149</t>
        </is>
      </c>
      <c r="D212" s="70" t="inlineStr">
        <is>
          <t>PROD-057</t>
        </is>
      </c>
      <c r="E212" s="70" t="inlineStr">
        <is>
          <t>R019</t>
        </is>
      </c>
      <c r="F212" s="72" t="n">
        <v>2</v>
      </c>
      <c r="G212" s="72" t="n">
        <v>960</v>
      </c>
      <c r="H212" s="72" t="n">
        <v>2.2</v>
      </c>
      <c r="I212" s="72" t="n">
        <v>1877.76</v>
      </c>
      <c r="J212" s="70" t="inlineStr">
        <is>
          <t>Completed</t>
        </is>
      </c>
      <c r="K212" s="70" t="inlineStr">
        <is>
          <t>Hyderabad</t>
        </is>
      </c>
    </row>
    <row r="213" ht="14.25" customHeight="1" s="56">
      <c r="A213" s="70" t="inlineStr">
        <is>
          <t>ORD-00212</t>
        </is>
      </c>
      <c r="B213" s="71" t="n">
        <v>45335</v>
      </c>
      <c r="C213" s="70" t="inlineStr">
        <is>
          <t>CUST-0178</t>
        </is>
      </c>
      <c r="D213" s="70" t="inlineStr">
        <is>
          <t>PROD-046</t>
        </is>
      </c>
      <c r="E213" s="70" t="inlineStr">
        <is>
          <t>R018</t>
        </is>
      </c>
      <c r="F213" s="72" t="n">
        <v>8</v>
      </c>
      <c r="G213" s="72" t="n">
        <v>4880</v>
      </c>
      <c r="H213" s="72" t="n">
        <v>11.9</v>
      </c>
      <c r="I213" s="72" t="n">
        <v>34394.24</v>
      </c>
      <c r="J213" s="70" t="inlineStr">
        <is>
          <t>Completed</t>
        </is>
      </c>
      <c r="K213" s="70" t="inlineStr">
        <is>
          <t>Hyderabad</t>
        </is>
      </c>
    </row>
    <row r="214" ht="14.25" customHeight="1" s="56">
      <c r="A214" s="70" t="inlineStr">
        <is>
          <t>ORD-00213</t>
        </is>
      </c>
      <c r="B214" s="71" t="n">
        <v>45656</v>
      </c>
      <c r="C214" s="70" t="inlineStr">
        <is>
          <t>CUST-0246</t>
        </is>
      </c>
      <c r="D214" s="70" t="inlineStr">
        <is>
          <t>PROD-014</t>
        </is>
      </c>
      <c r="E214" s="70" t="inlineStr">
        <is>
          <t>R030</t>
        </is>
      </c>
      <c r="F214" s="72" t="n">
        <v>2</v>
      </c>
      <c r="G214" s="72" t="n">
        <v>3620</v>
      </c>
      <c r="H214" s="72" t="n">
        <v>1.1</v>
      </c>
      <c r="I214" s="72" t="n">
        <v>7160.36</v>
      </c>
      <c r="J214" s="70" t="inlineStr">
        <is>
          <t>Pending</t>
        </is>
      </c>
      <c r="K214" s="70" t="inlineStr">
        <is>
          <t>Delhi</t>
        </is>
      </c>
    </row>
    <row r="215" ht="14.25" customHeight="1" s="56">
      <c r="A215" s="70" t="inlineStr">
        <is>
          <t>ORD-00214</t>
        </is>
      </c>
      <c r="B215" s="71" t="n">
        <v>45573</v>
      </c>
      <c r="C215" s="70" t="inlineStr">
        <is>
          <t>CUST-0033</t>
        </is>
      </c>
      <c r="D215" s="70" t="inlineStr">
        <is>
          <t>PROD-006</t>
        </is>
      </c>
      <c r="E215" s="70" t="inlineStr">
        <is>
          <t>R008</t>
        </is>
      </c>
      <c r="F215" s="72" t="n">
        <v>8</v>
      </c>
      <c r="G215" s="72" t="n">
        <v>3970</v>
      </c>
      <c r="H215" s="72" t="n">
        <v>18.1</v>
      </c>
      <c r="I215" s="72" t="n">
        <v>26011.44</v>
      </c>
      <c r="J215" s="70" t="inlineStr">
        <is>
          <t>Completed</t>
        </is>
      </c>
      <c r="K215" s="70" t="inlineStr">
        <is>
          <t>Delhi</t>
        </is>
      </c>
    </row>
    <row r="216" ht="14.25" customHeight="1" s="56">
      <c r="A216" s="70" t="inlineStr">
        <is>
          <t>ORD-00215</t>
        </is>
      </c>
      <c r="B216" s="71" t="n">
        <v>45534</v>
      </c>
      <c r="C216" s="70" t="inlineStr">
        <is>
          <t>CUST-0159</t>
        </is>
      </c>
      <c r="D216" s="70" t="inlineStr">
        <is>
          <t>PROD-022</t>
        </is>
      </c>
      <c r="E216" s="70" t="inlineStr">
        <is>
          <t>R026</t>
        </is>
      </c>
      <c r="F216" s="72" t="n">
        <v>8</v>
      </c>
      <c r="G216" s="72" t="n">
        <v>2270</v>
      </c>
      <c r="H216" s="72" t="n">
        <v>19.6</v>
      </c>
      <c r="I216" s="72" t="n">
        <v>14600.64</v>
      </c>
      <c r="J216" s="70" t="inlineStr">
        <is>
          <t>Completed</t>
        </is>
      </c>
      <c r="K216" s="70" t="inlineStr">
        <is>
          <t>Hyderabad</t>
        </is>
      </c>
    </row>
    <row r="217" ht="14.25" customHeight="1" s="56">
      <c r="A217" s="70" t="inlineStr">
        <is>
          <t>ORD-00216</t>
        </is>
      </c>
      <c r="B217" s="71" t="n">
        <v>45639</v>
      </c>
      <c r="C217" s="70" t="inlineStr">
        <is>
          <t>CUST-0175</t>
        </is>
      </c>
      <c r="D217" s="70" t="inlineStr">
        <is>
          <t>PROD-027</t>
        </is>
      </c>
      <c r="E217" s="70" t="inlineStr">
        <is>
          <t>R013</t>
        </is>
      </c>
      <c r="F217" s="72" t="n">
        <v>1</v>
      </c>
      <c r="G217" s="72" t="n">
        <v>3780</v>
      </c>
      <c r="H217" s="72" t="n">
        <v>22.6</v>
      </c>
      <c r="I217" s="72" t="n">
        <v>2925.72</v>
      </c>
      <c r="J217" s="70" t="inlineStr">
        <is>
          <t>Completed</t>
        </is>
      </c>
      <c r="K217" s="70" t="inlineStr">
        <is>
          <t>Delhi</t>
        </is>
      </c>
    </row>
    <row r="218" ht="14.25" customHeight="1" s="56">
      <c r="A218" s="70" t="inlineStr">
        <is>
          <t>ORD-00217</t>
        </is>
      </c>
      <c r="B218" s="71" t="n">
        <v>45653</v>
      </c>
      <c r="C218" s="70" t="inlineStr">
        <is>
          <t>CUST-0079</t>
        </is>
      </c>
      <c r="D218" s="70" t="inlineStr">
        <is>
          <t>PROD-026</t>
        </is>
      </c>
      <c r="E218" s="70" t="inlineStr">
        <is>
          <t>R022</t>
        </is>
      </c>
      <c r="F218" s="72" t="n">
        <v>9</v>
      </c>
      <c r="G218" s="72" t="n">
        <v>4070</v>
      </c>
      <c r="H218" s="72" t="n">
        <v>28.2</v>
      </c>
      <c r="I218" s="72" t="n">
        <v>26300.34</v>
      </c>
      <c r="J218" s="70" t="inlineStr">
        <is>
          <t>Completed</t>
        </is>
      </c>
      <c r="K218" s="70" t="inlineStr">
        <is>
          <t>Mumbai</t>
        </is>
      </c>
    </row>
    <row r="219" ht="14.25" customHeight="1" s="56">
      <c r="A219" s="70" t="inlineStr">
        <is>
          <t>ORD-00218</t>
        </is>
      </c>
      <c r="B219" s="71" t="n">
        <v>45424</v>
      </c>
      <c r="C219" s="70" t="inlineStr">
        <is>
          <t>CUST-0173</t>
        </is>
      </c>
      <c r="D219" s="70" t="inlineStr">
        <is>
          <t>PROD-008</t>
        </is>
      </c>
      <c r="E219" s="70" t="inlineStr">
        <is>
          <t>R006</t>
        </is>
      </c>
      <c r="F219" s="72" t="n">
        <v>9</v>
      </c>
      <c r="G219" s="72" t="n">
        <v>2660</v>
      </c>
      <c r="H219" s="72" t="n">
        <v>13.1</v>
      </c>
      <c r="I219" s="72" t="n">
        <v>20803.86</v>
      </c>
      <c r="J219" s="70" t="inlineStr">
        <is>
          <t>Pending</t>
        </is>
      </c>
      <c r="K219" s="70" t="inlineStr">
        <is>
          <t>Mumbai</t>
        </is>
      </c>
    </row>
    <row r="220" ht="14.25" customHeight="1" s="56">
      <c r="A220" s="70" t="inlineStr">
        <is>
          <t>ORD-00219</t>
        </is>
      </c>
      <c r="B220" s="71" t="n">
        <v>45400</v>
      </c>
      <c r="C220" s="70" t="inlineStr">
        <is>
          <t>CUST-0050</t>
        </is>
      </c>
      <c r="D220" s="70" t="inlineStr">
        <is>
          <t>PROD-003</t>
        </is>
      </c>
      <c r="E220" s="70" t="inlineStr">
        <is>
          <t>R004</t>
        </is>
      </c>
      <c r="F220" s="72" t="n">
        <v>4</v>
      </c>
      <c r="G220" s="72" t="n">
        <v>3570</v>
      </c>
      <c r="H220" s="72" t="n">
        <v>1.5</v>
      </c>
      <c r="I220" s="72" t="n">
        <v>14065.8</v>
      </c>
      <c r="J220" s="70" t="inlineStr">
        <is>
          <t>Cancelled</t>
        </is>
      </c>
      <c r="K220" s="70" t="inlineStr">
        <is>
          <t>Mumbai</t>
        </is>
      </c>
    </row>
    <row r="221" ht="14.25" customHeight="1" s="56">
      <c r="A221" s="70" t="inlineStr">
        <is>
          <t>ORD-00220</t>
        </is>
      </c>
      <c r="B221" s="71" t="n">
        <v>45531</v>
      </c>
      <c r="C221" s="70" t="inlineStr">
        <is>
          <t>CUST-0097</t>
        </is>
      </c>
      <c r="D221" s="70" t="inlineStr">
        <is>
          <t>PROD-049</t>
        </is>
      </c>
      <c r="E221" s="70" t="inlineStr">
        <is>
          <t>R001</t>
        </is>
      </c>
      <c r="F221" s="72" t="n">
        <v>2</v>
      </c>
      <c r="G221" s="72" t="n">
        <v>960</v>
      </c>
      <c r="H221" s="72" t="n">
        <v>18.6</v>
      </c>
      <c r="I221" s="72" t="n">
        <v>1562.88</v>
      </c>
      <c r="J221" s="70" t="inlineStr">
        <is>
          <t>Completed</t>
        </is>
      </c>
      <c r="K221" s="70" t="inlineStr">
        <is>
          <t>Mumbai</t>
        </is>
      </c>
    </row>
    <row r="222" ht="14.25" customHeight="1" s="56">
      <c r="A222" s="70" t="inlineStr">
        <is>
          <t>ORD-00221</t>
        </is>
      </c>
      <c r="B222" s="71" t="n">
        <v>45546</v>
      </c>
      <c r="C222" s="70" t="inlineStr">
        <is>
          <t>CUST-0026</t>
        </is>
      </c>
      <c r="D222" s="70" t="inlineStr">
        <is>
          <t>PROD-047</t>
        </is>
      </c>
      <c r="E222" s="70" t="inlineStr">
        <is>
          <t>R018</t>
        </is>
      </c>
      <c r="F222" s="72" t="n">
        <v>2</v>
      </c>
      <c r="G222" s="72" t="n">
        <v>3450</v>
      </c>
      <c r="H222" s="72" t="n">
        <v>3.7</v>
      </c>
      <c r="I222" s="72" t="n">
        <v>6644.7</v>
      </c>
      <c r="J222" s="70" t="inlineStr">
        <is>
          <t>Completed</t>
        </is>
      </c>
      <c r="K222" s="70" t="inlineStr">
        <is>
          <t>Pune</t>
        </is>
      </c>
    </row>
    <row r="223" ht="14.25" customHeight="1" s="56">
      <c r="A223" s="70" t="inlineStr">
        <is>
          <t>ORD-00222</t>
        </is>
      </c>
      <c r="B223" s="71" t="n">
        <v>45608</v>
      </c>
      <c r="C223" s="70" t="inlineStr">
        <is>
          <t>CUST-0185</t>
        </is>
      </c>
      <c r="D223" s="70" t="inlineStr">
        <is>
          <t>PROD-048</t>
        </is>
      </c>
      <c r="E223" s="70" t="inlineStr">
        <is>
          <t>R007</t>
        </is>
      </c>
      <c r="F223" s="72" t="n">
        <v>6</v>
      </c>
      <c r="G223" s="72" t="n">
        <v>5100</v>
      </c>
      <c r="H223" s="72" t="n">
        <v>1.2</v>
      </c>
      <c r="I223" s="72" t="n">
        <v>30232.8</v>
      </c>
      <c r="J223" s="70" t="inlineStr">
        <is>
          <t>Completed</t>
        </is>
      </c>
      <c r="K223" s="70" t="inlineStr">
        <is>
          <t>Hyderabad</t>
        </is>
      </c>
    </row>
    <row r="224" ht="14.25" customHeight="1" s="56">
      <c r="A224" s="70" t="inlineStr">
        <is>
          <t>ORD-00223</t>
        </is>
      </c>
      <c r="B224" s="71" t="n">
        <v>45614</v>
      </c>
      <c r="C224" s="70" t="inlineStr">
        <is>
          <t>CUST-0135</t>
        </is>
      </c>
      <c r="D224" s="70" t="inlineStr">
        <is>
          <t>PROD-005</t>
        </is>
      </c>
      <c r="E224" s="70" t="inlineStr">
        <is>
          <t>R005</t>
        </is>
      </c>
      <c r="F224" s="72" t="n">
        <v>9</v>
      </c>
      <c r="G224" s="72" t="n">
        <v>300</v>
      </c>
      <c r="H224" s="72" t="n">
        <v>25.4</v>
      </c>
      <c r="I224" s="72" t="n">
        <v>2014.2</v>
      </c>
      <c r="J224" s="70" t="inlineStr">
        <is>
          <t>Cancelled</t>
        </is>
      </c>
      <c r="K224" s="70" t="inlineStr">
        <is>
          <t>Pune</t>
        </is>
      </c>
    </row>
    <row r="225" ht="14.25" customHeight="1" s="56">
      <c r="A225" s="70" t="inlineStr">
        <is>
          <t>ORD-00224</t>
        </is>
      </c>
      <c r="B225" s="71" t="n">
        <v>45405</v>
      </c>
      <c r="C225" s="70" t="inlineStr">
        <is>
          <t>CUST-0010</t>
        </is>
      </c>
      <c r="D225" s="70" t="inlineStr">
        <is>
          <t>PROD-046</t>
        </is>
      </c>
      <c r="E225" s="70" t="inlineStr">
        <is>
          <t>R020</t>
        </is>
      </c>
      <c r="F225" s="72" t="n">
        <v>7</v>
      </c>
      <c r="G225" s="72" t="n">
        <v>4880</v>
      </c>
      <c r="H225" s="72" t="n">
        <v>16.9</v>
      </c>
      <c r="I225" s="72" t="n">
        <v>28386.96</v>
      </c>
      <c r="J225" s="70" t="inlineStr">
        <is>
          <t>Pending</t>
        </is>
      </c>
      <c r="K225" s="70" t="inlineStr">
        <is>
          <t>Mumbai</t>
        </is>
      </c>
    </row>
    <row r="226" ht="14.25" customHeight="1" s="56">
      <c r="A226" s="70" t="inlineStr">
        <is>
          <t>ORD-00225</t>
        </is>
      </c>
      <c r="B226" s="71" t="n">
        <v>45504</v>
      </c>
      <c r="C226" s="70" t="inlineStr">
        <is>
          <t>CUST-0271</t>
        </is>
      </c>
      <c r="D226" s="70" t="inlineStr">
        <is>
          <t>PROD-036</t>
        </is>
      </c>
      <c r="E226" s="70" t="inlineStr">
        <is>
          <t>R023</t>
        </is>
      </c>
      <c r="F226" s="72" t="n">
        <v>9</v>
      </c>
      <c r="G226" s="72" t="n">
        <v>3250</v>
      </c>
      <c r="H226" s="72" t="n">
        <v>10.8</v>
      </c>
      <c r="I226" s="72" t="n">
        <v>26091</v>
      </c>
      <c r="J226" s="70" t="inlineStr">
        <is>
          <t>Cancelled</t>
        </is>
      </c>
      <c r="K226" s="70" t="inlineStr">
        <is>
          <t>Bengaluru</t>
        </is>
      </c>
    </row>
    <row r="227" ht="14.25" customHeight="1" s="56">
      <c r="A227" s="70" t="inlineStr">
        <is>
          <t>ORD-00226</t>
        </is>
      </c>
      <c r="B227" s="71" t="n">
        <v>45298</v>
      </c>
      <c r="C227" s="70" t="inlineStr">
        <is>
          <t>CUST-0172</t>
        </is>
      </c>
      <c r="D227" s="70" t="inlineStr">
        <is>
          <t>PROD-047</t>
        </is>
      </c>
      <c r="E227" s="70" t="inlineStr">
        <is>
          <t>R006</t>
        </is>
      </c>
      <c r="F227" s="72" t="n">
        <v>3</v>
      </c>
      <c r="G227" s="72" t="n">
        <v>3450</v>
      </c>
      <c r="H227" s="72" t="n">
        <v>5.4</v>
      </c>
      <c r="I227" s="72" t="n">
        <v>9791.1</v>
      </c>
      <c r="J227" s="70" t="inlineStr">
        <is>
          <t>Pending</t>
        </is>
      </c>
      <c r="K227" s="70" t="inlineStr">
        <is>
          <t>Pune</t>
        </is>
      </c>
    </row>
    <row r="228" ht="14.25" customHeight="1" s="56">
      <c r="A228" s="70" t="inlineStr">
        <is>
          <t>ORD-00227</t>
        </is>
      </c>
      <c r="B228" s="71" t="n">
        <v>45346</v>
      </c>
      <c r="C228" s="70" t="inlineStr">
        <is>
          <t>CUST-0296</t>
        </is>
      </c>
      <c r="D228" s="70" t="inlineStr">
        <is>
          <t>PROD-050</t>
        </is>
      </c>
      <c r="E228" s="70" t="inlineStr">
        <is>
          <t>R021</t>
        </is>
      </c>
      <c r="F228" s="72" t="n">
        <v>5</v>
      </c>
      <c r="G228" s="72" t="n">
        <v>6080</v>
      </c>
      <c r="H228" s="72" t="n">
        <v>18</v>
      </c>
      <c r="I228" s="72" t="n">
        <v>24928</v>
      </c>
      <c r="J228" s="70" t="inlineStr">
        <is>
          <t>Completed</t>
        </is>
      </c>
      <c r="K228" s="70" t="inlineStr">
        <is>
          <t>Delhi</t>
        </is>
      </c>
    </row>
    <row r="229" ht="14.25" customHeight="1" s="56">
      <c r="A229" s="70" t="inlineStr">
        <is>
          <t>ORD-00228</t>
        </is>
      </c>
      <c r="B229" s="71" t="n">
        <v>45487</v>
      </c>
      <c r="C229" s="70" t="inlineStr">
        <is>
          <t>CUST-0080</t>
        </is>
      </c>
      <c r="D229" s="70" t="inlineStr">
        <is>
          <t>PROD-050</t>
        </is>
      </c>
      <c r="E229" s="70" t="inlineStr">
        <is>
          <t>R022</t>
        </is>
      </c>
      <c r="F229" s="72" t="n">
        <v>7</v>
      </c>
      <c r="G229" s="72" t="n">
        <v>6080</v>
      </c>
      <c r="H229" s="72" t="n">
        <v>9.199999999999999</v>
      </c>
      <c r="I229" s="72" t="n">
        <v>38644.48</v>
      </c>
      <c r="J229" s="70" t="inlineStr">
        <is>
          <t>Completed</t>
        </is>
      </c>
      <c r="K229" s="70" t="inlineStr">
        <is>
          <t>Pune</t>
        </is>
      </c>
    </row>
    <row r="230" ht="14.25" customHeight="1" s="56">
      <c r="A230" s="70" t="inlineStr">
        <is>
          <t>ORD-00229</t>
        </is>
      </c>
      <c r="B230" s="71" t="n">
        <v>45585</v>
      </c>
      <c r="C230" s="70" t="inlineStr">
        <is>
          <t>CUST-0232</t>
        </is>
      </c>
      <c r="D230" s="70" t="inlineStr">
        <is>
          <t>PROD-024</t>
        </is>
      </c>
      <c r="E230" s="70" t="inlineStr">
        <is>
          <t>R014</t>
        </is>
      </c>
      <c r="F230" s="72" t="n">
        <v>5</v>
      </c>
      <c r="G230" s="72" t="n">
        <v>2270</v>
      </c>
      <c r="H230" s="72" t="n">
        <v>0.4</v>
      </c>
      <c r="I230" s="72" t="n">
        <v>11304.6</v>
      </c>
      <c r="J230" s="70" t="inlineStr">
        <is>
          <t>Cancelled</t>
        </is>
      </c>
      <c r="K230" s="70" t="inlineStr">
        <is>
          <t>Hyderabad</t>
        </is>
      </c>
    </row>
    <row r="231" ht="14.25" customHeight="1" s="56">
      <c r="A231" s="70" t="inlineStr">
        <is>
          <t>ORD-00230</t>
        </is>
      </c>
      <c r="B231" s="71" t="n">
        <v>45373</v>
      </c>
      <c r="C231" s="70" t="inlineStr">
        <is>
          <t>CUST-0070</t>
        </is>
      </c>
      <c r="D231" s="70" t="inlineStr">
        <is>
          <t>PROD-046</t>
        </is>
      </c>
      <c r="E231" s="70" t="inlineStr">
        <is>
          <t>R016</t>
        </is>
      </c>
      <c r="F231" s="72" t="n">
        <v>10</v>
      </c>
      <c r="G231" s="72" t="n">
        <v>4880</v>
      </c>
      <c r="H231" s="72" t="n">
        <v>24.5</v>
      </c>
      <c r="I231" s="72" t="n">
        <v>36844</v>
      </c>
      <c r="J231" s="70" t="inlineStr">
        <is>
          <t>Refunded</t>
        </is>
      </c>
      <c r="K231" s="70" t="inlineStr">
        <is>
          <t>Mumbai</t>
        </is>
      </c>
    </row>
    <row r="232" ht="14.25" customHeight="1" s="56">
      <c r="A232" s="70" t="inlineStr">
        <is>
          <t>ORD-00231</t>
        </is>
      </c>
      <c r="B232" s="71" t="n">
        <v>45293</v>
      </c>
      <c r="C232" s="70" t="inlineStr">
        <is>
          <t>CUST-0142</t>
        </is>
      </c>
      <c r="D232" s="70" t="inlineStr">
        <is>
          <t>PROD-023</t>
        </is>
      </c>
      <c r="E232" s="70" t="inlineStr">
        <is>
          <t>R002</t>
        </is>
      </c>
      <c r="F232" s="72" t="n">
        <v>2</v>
      </c>
      <c r="G232" s="72" t="n">
        <v>2380</v>
      </c>
      <c r="H232" s="72" t="n">
        <v>2.3</v>
      </c>
      <c r="I232" s="72" t="n">
        <v>4650.52</v>
      </c>
      <c r="J232" s="70" t="inlineStr">
        <is>
          <t>Completed</t>
        </is>
      </c>
      <c r="K232" s="70" t="inlineStr">
        <is>
          <t>Chennai</t>
        </is>
      </c>
    </row>
    <row r="233" ht="14.25" customHeight="1" s="56">
      <c r="A233" s="70" t="inlineStr">
        <is>
          <t>ORD-00232</t>
        </is>
      </c>
      <c r="B233" s="71" t="n">
        <v>45498</v>
      </c>
      <c r="C233" s="70" t="inlineStr">
        <is>
          <t>CUST-0161</t>
        </is>
      </c>
      <c r="D233" s="70" t="inlineStr">
        <is>
          <t>PROD-054</t>
        </is>
      </c>
      <c r="E233" s="70" t="inlineStr">
        <is>
          <t>R025</t>
        </is>
      </c>
      <c r="F233" s="72" t="n">
        <v>1</v>
      </c>
      <c r="G233" s="72" t="n">
        <v>1010</v>
      </c>
      <c r="H233" s="72" t="n">
        <v>29.9</v>
      </c>
      <c r="I233" s="72" t="n">
        <v>708.01</v>
      </c>
      <c r="J233" s="70" t="inlineStr">
        <is>
          <t>Completed</t>
        </is>
      </c>
      <c r="K233" s="70" t="inlineStr">
        <is>
          <t>Chennai</t>
        </is>
      </c>
    </row>
    <row r="234" ht="14.25" customHeight="1" s="56">
      <c r="A234" s="70" t="inlineStr">
        <is>
          <t>ORD-00233</t>
        </is>
      </c>
      <c r="B234" s="71" t="n">
        <v>45643</v>
      </c>
      <c r="C234" s="70" t="inlineStr">
        <is>
          <t>CUST-0020</t>
        </is>
      </c>
      <c r="D234" s="70" t="inlineStr">
        <is>
          <t>PROD-056</t>
        </is>
      </c>
      <c r="E234" s="70" t="inlineStr">
        <is>
          <t>R029</t>
        </is>
      </c>
      <c r="F234" s="72" t="n">
        <v>7</v>
      </c>
      <c r="G234" s="72" t="n">
        <v>6940</v>
      </c>
      <c r="H234" s="72" t="n">
        <v>25.8</v>
      </c>
      <c r="I234" s="72" t="n">
        <v>36046.36</v>
      </c>
      <c r="J234" s="70" t="inlineStr">
        <is>
          <t>Completed</t>
        </is>
      </c>
      <c r="K234" s="70" t="inlineStr">
        <is>
          <t>Hyderabad</t>
        </is>
      </c>
    </row>
    <row r="235" ht="14.25" customHeight="1" s="56">
      <c r="A235" s="70" t="inlineStr">
        <is>
          <t>ORD-00234</t>
        </is>
      </c>
      <c r="B235" s="71" t="n">
        <v>45542</v>
      </c>
      <c r="C235" s="70" t="inlineStr">
        <is>
          <t>CUST-0173</t>
        </is>
      </c>
      <c r="D235" s="70" t="inlineStr">
        <is>
          <t>PROD-042</t>
        </is>
      </c>
      <c r="E235" s="70" t="inlineStr">
        <is>
          <t>R024</t>
        </is>
      </c>
      <c r="F235" s="72" t="n">
        <v>6</v>
      </c>
      <c r="G235" s="72" t="n">
        <v>2290</v>
      </c>
      <c r="H235" s="72" t="n">
        <v>25.9</v>
      </c>
      <c r="I235" s="72" t="n">
        <v>10181.34</v>
      </c>
      <c r="J235" s="70" t="inlineStr">
        <is>
          <t>Pending</t>
        </is>
      </c>
      <c r="K235" s="70" t="inlineStr">
        <is>
          <t>Mumbai</t>
        </is>
      </c>
    </row>
    <row r="236" ht="14.25" customHeight="1" s="56">
      <c r="A236" s="70" t="inlineStr">
        <is>
          <t>ORD-00235</t>
        </is>
      </c>
      <c r="B236" s="71" t="n">
        <v>45508</v>
      </c>
      <c r="C236" s="70" t="inlineStr">
        <is>
          <t>CUST-0280</t>
        </is>
      </c>
      <c r="D236" s="70" t="inlineStr">
        <is>
          <t>PROD-032</t>
        </is>
      </c>
      <c r="E236" s="70" t="inlineStr">
        <is>
          <t>R014</t>
        </is>
      </c>
      <c r="F236" s="72" t="n">
        <v>2</v>
      </c>
      <c r="G236" s="72" t="n">
        <v>370</v>
      </c>
      <c r="H236" s="72" t="n">
        <v>3.9</v>
      </c>
      <c r="I236" s="72" t="n">
        <v>711.14</v>
      </c>
      <c r="J236" s="70" t="inlineStr">
        <is>
          <t>Completed</t>
        </is>
      </c>
      <c r="K236" s="70" t="inlineStr">
        <is>
          <t>Delhi</t>
        </is>
      </c>
    </row>
    <row r="237" ht="14.25" customHeight="1" s="56">
      <c r="A237" s="70" t="inlineStr">
        <is>
          <t>ORD-00236</t>
        </is>
      </c>
      <c r="B237" s="71" t="n">
        <v>45353</v>
      </c>
      <c r="C237" s="70" t="inlineStr">
        <is>
          <t>CUST-0073</t>
        </is>
      </c>
      <c r="D237" s="70" t="inlineStr">
        <is>
          <t>PROD-022</t>
        </is>
      </c>
      <c r="E237" s="70" t="inlineStr">
        <is>
          <t>R020</t>
        </is>
      </c>
      <c r="F237" s="72" t="n">
        <v>1</v>
      </c>
      <c r="G237" s="72" t="n">
        <v>2270</v>
      </c>
      <c r="H237" s="72" t="n">
        <v>25.3</v>
      </c>
      <c r="I237" s="72" t="n">
        <v>1695.69</v>
      </c>
      <c r="J237" s="70" t="inlineStr">
        <is>
          <t>Completed</t>
        </is>
      </c>
      <c r="K237" s="70" t="inlineStr">
        <is>
          <t>Pune</t>
        </is>
      </c>
    </row>
    <row r="238" ht="14.25" customHeight="1" s="56">
      <c r="A238" s="70" t="inlineStr">
        <is>
          <t>ORD-00237</t>
        </is>
      </c>
      <c r="B238" s="71" t="n">
        <v>45344</v>
      </c>
      <c r="C238" s="70" t="inlineStr">
        <is>
          <t>CUST-0242</t>
        </is>
      </c>
      <c r="D238" s="70" t="inlineStr">
        <is>
          <t>PROD-050</t>
        </is>
      </c>
      <c r="E238" s="70" t="inlineStr">
        <is>
          <t>R002</t>
        </is>
      </c>
      <c r="F238" s="72" t="n">
        <v>4</v>
      </c>
      <c r="G238" s="72" t="n">
        <v>6080</v>
      </c>
      <c r="H238" s="72" t="n">
        <v>28.8</v>
      </c>
      <c r="I238" s="72" t="n">
        <v>17315.84</v>
      </c>
      <c r="J238" s="70" t="inlineStr">
        <is>
          <t>Pending</t>
        </is>
      </c>
      <c r="K238" s="70" t="inlineStr">
        <is>
          <t>Chennai</t>
        </is>
      </c>
    </row>
    <row r="239" ht="14.25" customHeight="1" s="56">
      <c r="A239" s="70" t="inlineStr">
        <is>
          <t>ORD-00238</t>
        </is>
      </c>
      <c r="B239" s="71" t="n">
        <v>45389</v>
      </c>
      <c r="C239" s="70" t="inlineStr">
        <is>
          <t>CUST-0234</t>
        </is>
      </c>
      <c r="D239" s="70" t="inlineStr">
        <is>
          <t>PROD-001</t>
        </is>
      </c>
      <c r="E239" s="70" t="inlineStr">
        <is>
          <t>R018</t>
        </is>
      </c>
      <c r="F239" s="72" t="n">
        <v>2</v>
      </c>
      <c r="G239" s="72" t="n">
        <v>5330</v>
      </c>
      <c r="H239" s="72" t="n">
        <v>23.8</v>
      </c>
      <c r="I239" s="72" t="n">
        <v>8122.92</v>
      </c>
      <c r="J239" s="70" t="inlineStr">
        <is>
          <t>Pending</t>
        </is>
      </c>
      <c r="K239" s="70" t="inlineStr">
        <is>
          <t>Bengaluru</t>
        </is>
      </c>
    </row>
    <row r="240" ht="14.25" customHeight="1" s="56">
      <c r="A240" s="70" t="inlineStr">
        <is>
          <t>ORD-00239</t>
        </is>
      </c>
      <c r="B240" s="71" t="n">
        <v>45344</v>
      </c>
      <c r="C240" s="70" t="inlineStr">
        <is>
          <t>CUST-0085</t>
        </is>
      </c>
      <c r="D240" s="70" t="inlineStr">
        <is>
          <t>PROD-026</t>
        </is>
      </c>
      <c r="E240" s="70" t="inlineStr">
        <is>
          <t>R024</t>
        </is>
      </c>
      <c r="F240" s="72" t="n">
        <v>2</v>
      </c>
      <c r="G240" s="72" t="n">
        <v>4070</v>
      </c>
      <c r="H240" s="72" t="n">
        <v>4.3</v>
      </c>
      <c r="I240" s="72" t="n">
        <v>7789.98</v>
      </c>
      <c r="J240" s="70" t="inlineStr">
        <is>
          <t>Completed</t>
        </is>
      </c>
      <c r="K240" s="70" t="inlineStr">
        <is>
          <t>Chennai</t>
        </is>
      </c>
    </row>
    <row r="241" ht="14.25" customHeight="1" s="56">
      <c r="A241" s="70" t="inlineStr">
        <is>
          <t>ORD-00240</t>
        </is>
      </c>
      <c r="B241" s="71" t="n">
        <v>45480</v>
      </c>
      <c r="C241" s="70" t="inlineStr">
        <is>
          <t>CUST-0228</t>
        </is>
      </c>
      <c r="D241" s="70" t="inlineStr">
        <is>
          <t>PROD-005</t>
        </is>
      </c>
      <c r="E241" s="70" t="inlineStr">
        <is>
          <t>R004</t>
        </is>
      </c>
      <c r="F241" s="72" t="n">
        <v>6</v>
      </c>
      <c r="G241" s="72" t="n">
        <v>300</v>
      </c>
      <c r="H241" s="72" t="n">
        <v>17.4</v>
      </c>
      <c r="I241" s="72" t="n">
        <v>1486.8</v>
      </c>
      <c r="J241" s="70" t="inlineStr">
        <is>
          <t>Cancelled</t>
        </is>
      </c>
      <c r="K241" s="70" t="inlineStr">
        <is>
          <t>Pune</t>
        </is>
      </c>
    </row>
    <row r="242" ht="14.25" customHeight="1" s="56">
      <c r="A242" s="70" t="inlineStr">
        <is>
          <t>ORD-00241</t>
        </is>
      </c>
      <c r="B242" s="71" t="n">
        <v>45488</v>
      </c>
      <c r="C242" s="70" t="inlineStr">
        <is>
          <t>CUST-0147</t>
        </is>
      </c>
      <c r="D242" s="70" t="inlineStr">
        <is>
          <t>PROD-046</t>
        </is>
      </c>
      <c r="E242" s="70" t="inlineStr">
        <is>
          <t>R014</t>
        </is>
      </c>
      <c r="F242" s="72" t="n">
        <v>1</v>
      </c>
      <c r="G242" s="72" t="n">
        <v>4880</v>
      </c>
      <c r="H242" s="72" t="n">
        <v>17.5</v>
      </c>
      <c r="I242" s="72" t="n">
        <v>4026</v>
      </c>
      <c r="J242" s="70" t="inlineStr">
        <is>
          <t>Completed</t>
        </is>
      </c>
      <c r="K242" s="70" t="inlineStr">
        <is>
          <t>Pune</t>
        </is>
      </c>
    </row>
    <row r="243" ht="14.25" customHeight="1" s="56">
      <c r="A243" s="70" t="inlineStr">
        <is>
          <t>ORD-00242</t>
        </is>
      </c>
      <c r="B243" s="71" t="n">
        <v>45326</v>
      </c>
      <c r="C243" s="70" t="inlineStr">
        <is>
          <t>CUST-0171</t>
        </is>
      </c>
      <c r="D243" s="70" t="inlineStr">
        <is>
          <t>PROD-055</t>
        </is>
      </c>
      <c r="E243" s="70" t="inlineStr">
        <is>
          <t>R027</t>
        </is>
      </c>
      <c r="F243" s="72" t="n">
        <v>3</v>
      </c>
      <c r="G243" s="72" t="n">
        <v>2860</v>
      </c>
      <c r="H243" s="72" t="n">
        <v>20.1</v>
      </c>
      <c r="I243" s="72" t="n">
        <v>6855.42</v>
      </c>
      <c r="J243" s="70" t="inlineStr">
        <is>
          <t>Completed</t>
        </is>
      </c>
      <c r="K243" s="70" t="inlineStr">
        <is>
          <t>Chennai</t>
        </is>
      </c>
    </row>
    <row r="244" ht="14.25" customHeight="1" s="56">
      <c r="A244" s="70" t="inlineStr">
        <is>
          <t>ORD-00243</t>
        </is>
      </c>
      <c r="B244" s="71" t="n">
        <v>45627</v>
      </c>
      <c r="C244" s="70" t="inlineStr">
        <is>
          <t>CUST-0051</t>
        </is>
      </c>
      <c r="D244" s="70" t="inlineStr">
        <is>
          <t>PROD-041</t>
        </is>
      </c>
      <c r="E244" s="70" t="inlineStr">
        <is>
          <t>R002</t>
        </is>
      </c>
      <c r="F244" s="72" t="n">
        <v>3</v>
      </c>
      <c r="G244" s="72" t="n">
        <v>1540</v>
      </c>
      <c r="H244" s="72" t="n">
        <v>20.9</v>
      </c>
      <c r="I244" s="72" t="n">
        <v>3654.42</v>
      </c>
      <c r="J244" s="70" t="inlineStr">
        <is>
          <t>Completed</t>
        </is>
      </c>
      <c r="K244" s="70" t="inlineStr">
        <is>
          <t>Pune</t>
        </is>
      </c>
    </row>
    <row r="245" ht="14.25" customHeight="1" s="56">
      <c r="A245" s="70" t="inlineStr">
        <is>
          <t>ORD-00244</t>
        </is>
      </c>
      <c r="B245" s="71" t="n">
        <v>45576</v>
      </c>
      <c r="C245" s="70" t="inlineStr">
        <is>
          <t>CUST-0285</t>
        </is>
      </c>
      <c r="D245" s="70" t="inlineStr">
        <is>
          <t>PROD-010</t>
        </is>
      </c>
      <c r="E245" s="70" t="inlineStr">
        <is>
          <t>R010</t>
        </is>
      </c>
      <c r="F245" s="72" t="n">
        <v>10</v>
      </c>
      <c r="G245" s="72" t="n">
        <v>2640</v>
      </c>
      <c r="H245" s="72" t="n">
        <v>11.2</v>
      </c>
      <c r="I245" s="72" t="n">
        <v>23443.2</v>
      </c>
      <c r="J245" s="70" t="inlineStr">
        <is>
          <t>Pending</t>
        </is>
      </c>
      <c r="K245" s="70" t="inlineStr">
        <is>
          <t>Hyderabad</t>
        </is>
      </c>
    </row>
    <row r="246" ht="14.25" customHeight="1" s="56">
      <c r="A246" s="70" t="inlineStr">
        <is>
          <t>ORD-00245</t>
        </is>
      </c>
      <c r="B246" s="71" t="n">
        <v>45317</v>
      </c>
      <c r="C246" s="70" t="inlineStr">
        <is>
          <t>CUST-0114</t>
        </is>
      </c>
      <c r="D246" s="70" t="inlineStr">
        <is>
          <t>PROD-012</t>
        </is>
      </c>
      <c r="E246" s="70" t="inlineStr">
        <is>
          <t>R013</t>
        </is>
      </c>
      <c r="F246" s="72" t="n">
        <v>1</v>
      </c>
      <c r="G246" s="72" t="n">
        <v>3160</v>
      </c>
      <c r="H246" s="72" t="n">
        <v>11.5</v>
      </c>
      <c r="I246" s="72" t="n">
        <v>2796.6</v>
      </c>
      <c r="J246" s="70" t="inlineStr">
        <is>
          <t>Completed</t>
        </is>
      </c>
      <c r="K246" s="70" t="inlineStr">
        <is>
          <t>Bengaluru</t>
        </is>
      </c>
    </row>
    <row r="247" ht="14.25" customHeight="1" s="56">
      <c r="A247" s="70" t="inlineStr">
        <is>
          <t>ORD-00246</t>
        </is>
      </c>
      <c r="B247" s="71" t="n">
        <v>45650</v>
      </c>
      <c r="C247" s="70" t="inlineStr">
        <is>
          <t>CUST-0295</t>
        </is>
      </c>
      <c r="D247" s="70" t="inlineStr">
        <is>
          <t>PROD-040</t>
        </is>
      </c>
      <c r="E247" s="70" t="inlineStr">
        <is>
          <t>R007</t>
        </is>
      </c>
      <c r="F247" s="72" t="n">
        <v>4</v>
      </c>
      <c r="G247" s="72" t="n">
        <v>1080</v>
      </c>
      <c r="H247" s="72" t="n">
        <v>20.7</v>
      </c>
      <c r="I247" s="72" t="n">
        <v>3425.76</v>
      </c>
      <c r="J247" s="70" t="inlineStr">
        <is>
          <t>Pending</t>
        </is>
      </c>
      <c r="K247" s="70" t="inlineStr">
        <is>
          <t>Delhi</t>
        </is>
      </c>
    </row>
    <row r="248" ht="14.25" customHeight="1" s="56">
      <c r="A248" s="70" t="inlineStr">
        <is>
          <t>ORD-00247</t>
        </is>
      </c>
      <c r="B248" s="71" t="n">
        <v>45585</v>
      </c>
      <c r="C248" s="70" t="inlineStr">
        <is>
          <t>CUST-0218</t>
        </is>
      </c>
      <c r="D248" s="70" t="inlineStr">
        <is>
          <t>PROD-054</t>
        </is>
      </c>
      <c r="E248" s="70" t="inlineStr">
        <is>
          <t>R013</t>
        </is>
      </c>
      <c r="F248" s="72" t="n">
        <v>4</v>
      </c>
      <c r="G248" s="72" t="n">
        <v>1010</v>
      </c>
      <c r="H248" s="72" t="n">
        <v>29.5</v>
      </c>
      <c r="I248" s="72" t="n">
        <v>2848.2</v>
      </c>
      <c r="J248" s="70" t="inlineStr">
        <is>
          <t>Pending</t>
        </is>
      </c>
      <c r="K248" s="70" t="inlineStr">
        <is>
          <t>Mumbai</t>
        </is>
      </c>
    </row>
    <row r="249" ht="14.25" customHeight="1" s="56">
      <c r="A249" s="70" t="inlineStr">
        <is>
          <t>ORD-00248</t>
        </is>
      </c>
      <c r="B249" s="71" t="n">
        <v>45545</v>
      </c>
      <c r="C249" s="70" t="inlineStr">
        <is>
          <t>CUST-0090</t>
        </is>
      </c>
      <c r="D249" s="70" t="inlineStr">
        <is>
          <t>PROD-002</t>
        </is>
      </c>
      <c r="E249" s="70" t="inlineStr">
        <is>
          <t>R027</t>
        </is>
      </c>
      <c r="F249" s="72" t="n">
        <v>7</v>
      </c>
      <c r="G249" s="72" t="n">
        <v>2600</v>
      </c>
      <c r="H249" s="72" t="n">
        <v>6.6</v>
      </c>
      <c r="I249" s="72" t="n">
        <v>16998.8</v>
      </c>
      <c r="J249" s="70" t="inlineStr">
        <is>
          <t>Completed</t>
        </is>
      </c>
      <c r="K249" s="70" t="inlineStr">
        <is>
          <t>Bengaluru</t>
        </is>
      </c>
    </row>
    <row r="250" ht="14.25" customHeight="1" s="56">
      <c r="A250" s="70" t="inlineStr">
        <is>
          <t>ORD-00249</t>
        </is>
      </c>
      <c r="B250" s="71" t="n">
        <v>45395</v>
      </c>
      <c r="C250" s="70" t="inlineStr">
        <is>
          <t>CUST-0194</t>
        </is>
      </c>
      <c r="D250" s="70" t="inlineStr">
        <is>
          <t>PROD-017</t>
        </is>
      </c>
      <c r="E250" s="70" t="inlineStr">
        <is>
          <t>R009</t>
        </is>
      </c>
      <c r="F250" s="72" t="n">
        <v>4</v>
      </c>
      <c r="G250" s="72" t="n">
        <v>2510</v>
      </c>
      <c r="H250" s="72" t="n">
        <v>1</v>
      </c>
      <c r="I250" s="72" t="n">
        <v>9939.6</v>
      </c>
      <c r="J250" s="70" t="inlineStr">
        <is>
          <t>Completed</t>
        </is>
      </c>
      <c r="K250" s="70" t="inlineStr">
        <is>
          <t>Delhi</t>
        </is>
      </c>
    </row>
    <row r="251" ht="14.25" customHeight="1" s="56">
      <c r="A251" s="70" t="inlineStr">
        <is>
          <t>ORD-00250</t>
        </is>
      </c>
      <c r="B251" s="71" t="n">
        <v>45636</v>
      </c>
      <c r="C251" s="70" t="inlineStr">
        <is>
          <t>CUST-0231</t>
        </is>
      </c>
      <c r="D251" s="70" t="inlineStr">
        <is>
          <t>PROD-026</t>
        </is>
      </c>
      <c r="E251" s="70" t="inlineStr">
        <is>
          <t>R022</t>
        </is>
      </c>
      <c r="F251" s="72" t="n">
        <v>9</v>
      </c>
      <c r="G251" s="72" t="n">
        <v>4070</v>
      </c>
      <c r="H251" s="72" t="n">
        <v>6.7</v>
      </c>
      <c r="I251" s="72" t="n">
        <v>34175.79</v>
      </c>
      <c r="J251" s="70" t="inlineStr">
        <is>
          <t>Cancelled</t>
        </is>
      </c>
      <c r="K251" s="70" t="inlineStr">
        <is>
          <t>Chennai</t>
        </is>
      </c>
    </row>
    <row r="252" ht="14.25" customHeight="1" s="56">
      <c r="A252" s="70" t="inlineStr">
        <is>
          <t>ORD-00251</t>
        </is>
      </c>
      <c r="B252" s="71" t="n">
        <v>45612</v>
      </c>
      <c r="C252" s="70" t="inlineStr">
        <is>
          <t>CUST-0055</t>
        </is>
      </c>
      <c r="D252" s="70" t="inlineStr">
        <is>
          <t>PROD-020</t>
        </is>
      </c>
      <c r="E252" s="70" t="inlineStr">
        <is>
          <t>R010</t>
        </is>
      </c>
      <c r="F252" s="72" t="n">
        <v>6</v>
      </c>
      <c r="G252" s="72" t="n">
        <v>820</v>
      </c>
      <c r="H252" s="72" t="n">
        <v>14</v>
      </c>
      <c r="I252" s="72" t="n">
        <v>4231.2</v>
      </c>
      <c r="J252" s="70" t="inlineStr">
        <is>
          <t>Completed</t>
        </is>
      </c>
      <c r="K252" s="70" t="inlineStr">
        <is>
          <t>Bengaluru</t>
        </is>
      </c>
    </row>
    <row r="253" ht="14.25" customHeight="1" s="56">
      <c r="A253" s="70" t="inlineStr">
        <is>
          <t>ORD-00252</t>
        </is>
      </c>
      <c r="B253" s="71" t="n">
        <v>45495</v>
      </c>
      <c r="C253" s="70" t="inlineStr">
        <is>
          <t>CUST-0262</t>
        </is>
      </c>
      <c r="D253" s="70" t="inlineStr">
        <is>
          <t>PROD-030</t>
        </is>
      </c>
      <c r="E253" s="70" t="inlineStr">
        <is>
          <t>R005</t>
        </is>
      </c>
      <c r="F253" s="72" t="n">
        <v>2</v>
      </c>
      <c r="G253" s="72" t="n">
        <v>970</v>
      </c>
      <c r="H253" s="72" t="n">
        <v>23.8</v>
      </c>
      <c r="I253" s="72" t="n">
        <v>1478.28</v>
      </c>
      <c r="J253" s="70" t="inlineStr">
        <is>
          <t>Completed</t>
        </is>
      </c>
      <c r="K253" s="70" t="inlineStr">
        <is>
          <t>Mumbai</t>
        </is>
      </c>
    </row>
    <row r="254" ht="14.25" customHeight="1" s="56">
      <c r="A254" s="70" t="inlineStr">
        <is>
          <t>ORD-00253</t>
        </is>
      </c>
      <c r="B254" s="71" t="n">
        <v>45337</v>
      </c>
      <c r="C254" s="70" t="inlineStr">
        <is>
          <t>CUST-0155</t>
        </is>
      </c>
      <c r="D254" s="70" t="inlineStr">
        <is>
          <t>PROD-026</t>
        </is>
      </c>
      <c r="E254" s="70" t="inlineStr">
        <is>
          <t>R012</t>
        </is>
      </c>
      <c r="F254" s="72" t="n">
        <v>4</v>
      </c>
      <c r="G254" s="72" t="n">
        <v>4070</v>
      </c>
      <c r="H254" s="72" t="n">
        <v>19</v>
      </c>
      <c r="I254" s="72" t="n">
        <v>13186.8</v>
      </c>
      <c r="J254" s="70" t="inlineStr">
        <is>
          <t>Pending</t>
        </is>
      </c>
      <c r="K254" s="70" t="inlineStr">
        <is>
          <t>Pune</t>
        </is>
      </c>
    </row>
    <row r="255" ht="14.25" customHeight="1" s="56">
      <c r="A255" s="70" t="inlineStr">
        <is>
          <t>ORD-00254</t>
        </is>
      </c>
      <c r="B255" s="71" t="n">
        <v>45333</v>
      </c>
      <c r="C255" s="70" t="inlineStr">
        <is>
          <t>CUST-0169</t>
        </is>
      </c>
      <c r="D255" s="70" t="inlineStr">
        <is>
          <t>PROD-047</t>
        </is>
      </c>
      <c r="E255" s="70" t="inlineStr">
        <is>
          <t>R017</t>
        </is>
      </c>
      <c r="F255" s="72" t="n">
        <v>3</v>
      </c>
      <c r="G255" s="72" t="n">
        <v>3450</v>
      </c>
      <c r="H255" s="72" t="n">
        <v>4.4</v>
      </c>
      <c r="I255" s="72" t="n">
        <v>9894.6</v>
      </c>
      <c r="J255" s="70" t="inlineStr">
        <is>
          <t>Cancelled</t>
        </is>
      </c>
      <c r="K255" s="70" t="inlineStr">
        <is>
          <t>Bengaluru</t>
        </is>
      </c>
    </row>
    <row r="256" ht="14.25" customHeight="1" s="56">
      <c r="A256" s="70" t="inlineStr">
        <is>
          <t>ORD-00255</t>
        </is>
      </c>
      <c r="B256" s="71" t="n">
        <v>45511</v>
      </c>
      <c r="C256" s="70" t="inlineStr">
        <is>
          <t>CUST-0208</t>
        </is>
      </c>
      <c r="D256" s="70" t="inlineStr">
        <is>
          <t>PROD-027</t>
        </is>
      </c>
      <c r="E256" s="70" t="inlineStr">
        <is>
          <t>R010</t>
        </is>
      </c>
      <c r="F256" s="72" t="n">
        <v>5</v>
      </c>
      <c r="G256" s="72" t="n">
        <v>3780</v>
      </c>
      <c r="H256" s="72" t="n">
        <v>13.5</v>
      </c>
      <c r="I256" s="72" t="n">
        <v>16348.5</v>
      </c>
      <c r="J256" s="70" t="inlineStr">
        <is>
          <t>Completed</t>
        </is>
      </c>
      <c r="K256" s="70" t="inlineStr">
        <is>
          <t>Mumbai</t>
        </is>
      </c>
    </row>
    <row r="257" ht="14.25" customHeight="1" s="56">
      <c r="A257" s="70" t="inlineStr">
        <is>
          <t>ORD-00256</t>
        </is>
      </c>
      <c r="B257" s="71" t="n">
        <v>45595</v>
      </c>
      <c r="C257" s="70" t="inlineStr">
        <is>
          <t>CUST-0249</t>
        </is>
      </c>
      <c r="D257" s="70" t="inlineStr">
        <is>
          <t>PROD-057</t>
        </is>
      </c>
      <c r="E257" s="70" t="inlineStr">
        <is>
          <t>R004</t>
        </is>
      </c>
      <c r="F257" s="72" t="n">
        <v>1</v>
      </c>
      <c r="G257" s="72" t="n">
        <v>960</v>
      </c>
      <c r="H257" s="72" t="n">
        <v>29.2</v>
      </c>
      <c r="I257" s="72" t="n">
        <v>679.6799999999999</v>
      </c>
      <c r="J257" s="70" t="inlineStr">
        <is>
          <t>Completed</t>
        </is>
      </c>
      <c r="K257" s="70" t="inlineStr">
        <is>
          <t>Mumbai</t>
        </is>
      </c>
    </row>
    <row r="258" ht="14.25" customHeight="1" s="56">
      <c r="A258" s="70" t="inlineStr">
        <is>
          <t>ORD-00257</t>
        </is>
      </c>
      <c r="B258" s="71" t="n">
        <v>45321</v>
      </c>
      <c r="C258" s="70" t="inlineStr">
        <is>
          <t>CUST-0151</t>
        </is>
      </c>
      <c r="D258" s="70" t="inlineStr">
        <is>
          <t>PROD-003</t>
        </is>
      </c>
      <c r="E258" s="70" t="inlineStr">
        <is>
          <t>R022</t>
        </is>
      </c>
      <c r="F258" s="72" t="n">
        <v>10</v>
      </c>
      <c r="G258" s="72" t="n">
        <v>3570</v>
      </c>
      <c r="H258" s="72" t="n">
        <v>10.7</v>
      </c>
      <c r="I258" s="72" t="n">
        <v>31880.1</v>
      </c>
      <c r="J258" s="70" t="inlineStr">
        <is>
          <t>Completed</t>
        </is>
      </c>
      <c r="K258" s="70" t="inlineStr">
        <is>
          <t>Mumbai</t>
        </is>
      </c>
    </row>
    <row r="259" ht="14.25" customHeight="1" s="56">
      <c r="A259" s="70" t="inlineStr">
        <is>
          <t>ORD-00258</t>
        </is>
      </c>
      <c r="B259" s="71" t="n">
        <v>45511</v>
      </c>
      <c r="C259" s="70" t="inlineStr">
        <is>
          <t>CUST-0115</t>
        </is>
      </c>
      <c r="D259" s="70" t="inlineStr">
        <is>
          <t>PROD-003</t>
        </is>
      </c>
      <c r="E259" s="70" t="inlineStr">
        <is>
          <t>R024</t>
        </is>
      </c>
      <c r="F259" s="72" t="n">
        <v>7</v>
      </c>
      <c r="G259" s="72" t="n">
        <v>3570</v>
      </c>
      <c r="H259" s="72" t="n">
        <v>12.2</v>
      </c>
      <c r="I259" s="72" t="n">
        <v>21941.22</v>
      </c>
      <c r="J259" s="70" t="inlineStr">
        <is>
          <t>Completed</t>
        </is>
      </c>
      <c r="K259" s="70" t="inlineStr">
        <is>
          <t>Mumbai</t>
        </is>
      </c>
    </row>
    <row r="260" ht="14.25" customHeight="1" s="56">
      <c r="A260" s="70" t="inlineStr">
        <is>
          <t>ORD-00259</t>
        </is>
      </c>
      <c r="B260" s="71" t="n">
        <v>45575</v>
      </c>
      <c r="C260" s="70" t="inlineStr">
        <is>
          <t>CUST-0041</t>
        </is>
      </c>
      <c r="D260" s="70" t="inlineStr">
        <is>
          <t>PROD-040</t>
        </is>
      </c>
      <c r="E260" s="70" t="inlineStr">
        <is>
          <t>R014</t>
        </is>
      </c>
      <c r="F260" s="72" t="n">
        <v>6</v>
      </c>
      <c r="G260" s="72" t="n">
        <v>1080</v>
      </c>
      <c r="H260" s="72" t="n">
        <v>19.8</v>
      </c>
      <c r="I260" s="72" t="n">
        <v>5196.96</v>
      </c>
      <c r="J260" s="70" t="inlineStr">
        <is>
          <t>Completed</t>
        </is>
      </c>
      <c r="K260" s="70" t="inlineStr">
        <is>
          <t>Bengaluru</t>
        </is>
      </c>
    </row>
    <row r="261" ht="14.25" customHeight="1" s="56">
      <c r="A261" s="70" t="inlineStr">
        <is>
          <t>ORD-00260</t>
        </is>
      </c>
      <c r="B261" s="71" t="n">
        <v>45649</v>
      </c>
      <c r="C261" s="70" t="inlineStr">
        <is>
          <t>CUST-0101</t>
        </is>
      </c>
      <c r="D261" s="70" t="inlineStr">
        <is>
          <t>PROD-011</t>
        </is>
      </c>
      <c r="E261" s="70" t="inlineStr">
        <is>
          <t>R010</t>
        </is>
      </c>
      <c r="F261" s="72" t="n">
        <v>8</v>
      </c>
      <c r="G261" s="72" t="n">
        <v>3450</v>
      </c>
      <c r="H261" s="72" t="n">
        <v>19</v>
      </c>
      <c r="I261" s="72" t="n">
        <v>22356</v>
      </c>
      <c r="J261" s="70" t="inlineStr">
        <is>
          <t>Completed</t>
        </is>
      </c>
      <c r="K261" s="70" t="inlineStr">
        <is>
          <t>Hyderabad</t>
        </is>
      </c>
    </row>
    <row r="262" ht="14.25" customHeight="1" s="56">
      <c r="A262" s="70" t="inlineStr">
        <is>
          <t>ORD-00261</t>
        </is>
      </c>
      <c r="B262" s="71" t="n">
        <v>45371</v>
      </c>
      <c r="C262" s="70" t="inlineStr">
        <is>
          <t>CUST-0198</t>
        </is>
      </c>
      <c r="D262" s="70" t="inlineStr">
        <is>
          <t>PROD-008</t>
        </is>
      </c>
      <c r="E262" s="70" t="inlineStr">
        <is>
          <t>R023</t>
        </is>
      </c>
      <c r="F262" s="72" t="n">
        <v>4</v>
      </c>
      <c r="G262" s="72" t="n">
        <v>2660</v>
      </c>
      <c r="H262" s="72" t="n">
        <v>18.8</v>
      </c>
      <c r="I262" s="72" t="n">
        <v>8639.68</v>
      </c>
      <c r="J262" s="70" t="inlineStr">
        <is>
          <t>Pending</t>
        </is>
      </c>
      <c r="K262" s="70" t="inlineStr">
        <is>
          <t>Chennai</t>
        </is>
      </c>
    </row>
    <row r="263" ht="14.25" customHeight="1" s="56">
      <c r="A263" s="70" t="inlineStr">
        <is>
          <t>ORD-00262</t>
        </is>
      </c>
      <c r="B263" s="71" t="n">
        <v>45522</v>
      </c>
      <c r="C263" s="70" t="inlineStr">
        <is>
          <t>CUST-0200</t>
        </is>
      </c>
      <c r="D263" s="70" t="inlineStr">
        <is>
          <t>PROD-058</t>
        </is>
      </c>
      <c r="E263" s="70" t="inlineStr">
        <is>
          <t>R009</t>
        </is>
      </c>
      <c r="F263" s="72" t="n">
        <v>4</v>
      </c>
      <c r="G263" s="72" t="n">
        <v>2400</v>
      </c>
      <c r="H263" s="72" t="n">
        <v>5.6</v>
      </c>
      <c r="I263" s="72" t="n">
        <v>9062.4</v>
      </c>
      <c r="J263" s="70" t="inlineStr">
        <is>
          <t>Completed</t>
        </is>
      </c>
      <c r="K263" s="70" t="inlineStr">
        <is>
          <t>Hyderabad</t>
        </is>
      </c>
    </row>
    <row r="264" ht="14.25" customHeight="1" s="56">
      <c r="A264" s="70" t="inlineStr">
        <is>
          <t>ORD-00263</t>
        </is>
      </c>
      <c r="B264" s="71" t="n">
        <v>45513</v>
      </c>
      <c r="C264" s="70" t="inlineStr">
        <is>
          <t>CUST-0110</t>
        </is>
      </c>
      <c r="D264" s="70" t="inlineStr">
        <is>
          <t>PROD-002</t>
        </is>
      </c>
      <c r="E264" s="70" t="inlineStr">
        <is>
          <t>R003</t>
        </is>
      </c>
      <c r="F264" s="72" t="n">
        <v>10</v>
      </c>
      <c r="G264" s="72" t="n">
        <v>2600</v>
      </c>
      <c r="H264" s="72" t="n">
        <v>24.7</v>
      </c>
      <c r="I264" s="72" t="n">
        <v>19578</v>
      </c>
      <c r="J264" s="70" t="inlineStr">
        <is>
          <t>Completed</t>
        </is>
      </c>
      <c r="K264" s="70" t="inlineStr">
        <is>
          <t>Pune</t>
        </is>
      </c>
    </row>
    <row r="265" ht="14.25" customHeight="1" s="56">
      <c r="A265" s="70" t="inlineStr">
        <is>
          <t>ORD-00264</t>
        </is>
      </c>
      <c r="B265" s="71" t="n">
        <v>45513</v>
      </c>
      <c r="C265" s="70" t="inlineStr">
        <is>
          <t>CUST-0134</t>
        </is>
      </c>
      <c r="D265" s="70" t="inlineStr">
        <is>
          <t>PROD-025</t>
        </is>
      </c>
      <c r="E265" s="70" t="inlineStr">
        <is>
          <t>R004</t>
        </is>
      </c>
      <c r="F265" s="72" t="n">
        <v>3</v>
      </c>
      <c r="G265" s="72" t="n">
        <v>4060</v>
      </c>
      <c r="H265" s="72" t="n">
        <v>6.9</v>
      </c>
      <c r="I265" s="72" t="n">
        <v>11339.58</v>
      </c>
      <c r="J265" s="70" t="inlineStr">
        <is>
          <t>Completed</t>
        </is>
      </c>
      <c r="K265" s="70" t="inlineStr">
        <is>
          <t>Delhi</t>
        </is>
      </c>
    </row>
    <row r="266" ht="14.25" customHeight="1" s="56">
      <c r="A266" s="70" t="inlineStr">
        <is>
          <t>ORD-00265</t>
        </is>
      </c>
      <c r="B266" s="71" t="n">
        <v>45465</v>
      </c>
      <c r="C266" s="70" t="inlineStr">
        <is>
          <t>CUST-0141</t>
        </is>
      </c>
      <c r="D266" s="70" t="inlineStr">
        <is>
          <t>PROD-038</t>
        </is>
      </c>
      <c r="E266" s="70" t="inlineStr">
        <is>
          <t>R023</t>
        </is>
      </c>
      <c r="F266" s="72" t="n">
        <v>6</v>
      </c>
      <c r="G266" s="72" t="n">
        <v>5490</v>
      </c>
      <c r="H266" s="72" t="n">
        <v>8.4</v>
      </c>
      <c r="I266" s="72" t="n">
        <v>30173.04</v>
      </c>
      <c r="J266" s="70" t="inlineStr">
        <is>
          <t>Completed</t>
        </is>
      </c>
      <c r="K266" s="70" t="inlineStr">
        <is>
          <t>Hyderabad</t>
        </is>
      </c>
    </row>
    <row r="267" ht="14.25" customHeight="1" s="56">
      <c r="A267" s="70" t="inlineStr">
        <is>
          <t>ORD-00266</t>
        </is>
      </c>
      <c r="B267" s="71" t="n">
        <v>45407</v>
      </c>
      <c r="C267" s="70" t="inlineStr">
        <is>
          <t>CUST-0163</t>
        </is>
      </c>
      <c r="D267" s="70" t="inlineStr">
        <is>
          <t>PROD-032</t>
        </is>
      </c>
      <c r="E267" s="70" t="inlineStr">
        <is>
          <t>R018</t>
        </is>
      </c>
      <c r="F267" s="72" t="n">
        <v>6</v>
      </c>
      <c r="G267" s="72" t="n">
        <v>370</v>
      </c>
      <c r="H267" s="72" t="n">
        <v>15.1</v>
      </c>
      <c r="I267" s="72" t="n">
        <v>1884.78</v>
      </c>
      <c r="J267" s="70" t="inlineStr">
        <is>
          <t>Completed</t>
        </is>
      </c>
      <c r="K267" s="70" t="inlineStr">
        <is>
          <t>Pune</t>
        </is>
      </c>
    </row>
    <row r="268" ht="14.25" customHeight="1" s="56">
      <c r="A268" s="70" t="inlineStr">
        <is>
          <t>ORD-00267</t>
        </is>
      </c>
      <c r="B268" s="71" t="n">
        <v>45405</v>
      </c>
      <c r="C268" s="70" t="inlineStr">
        <is>
          <t>CUST-0181</t>
        </is>
      </c>
      <c r="D268" s="70" t="inlineStr">
        <is>
          <t>PROD-016</t>
        </is>
      </c>
      <c r="E268" s="70" t="inlineStr">
        <is>
          <t>R023</t>
        </is>
      </c>
      <c r="F268" s="72" t="n">
        <v>5</v>
      </c>
      <c r="G268" s="72" t="n">
        <v>620</v>
      </c>
      <c r="H268" s="72" t="n">
        <v>13.1</v>
      </c>
      <c r="I268" s="72" t="n">
        <v>2693.9</v>
      </c>
      <c r="J268" s="70" t="inlineStr">
        <is>
          <t>Cancelled</t>
        </is>
      </c>
      <c r="K268" s="70" t="inlineStr">
        <is>
          <t>Delhi</t>
        </is>
      </c>
    </row>
    <row r="269" ht="14.25" customHeight="1" s="56">
      <c r="A269" s="70" t="inlineStr">
        <is>
          <t>ORD-00268</t>
        </is>
      </c>
      <c r="B269" s="71" t="n">
        <v>45332</v>
      </c>
      <c r="C269" s="70" t="inlineStr">
        <is>
          <t>CUST-0133</t>
        </is>
      </c>
      <c r="D269" s="70" t="inlineStr">
        <is>
          <t>PROD-036</t>
        </is>
      </c>
      <c r="E269" s="70" t="inlineStr">
        <is>
          <t>R029</t>
        </is>
      </c>
      <c r="F269" s="72" t="n">
        <v>9</v>
      </c>
      <c r="G269" s="72" t="n">
        <v>3250</v>
      </c>
      <c r="H269" s="72" t="n">
        <v>16.5</v>
      </c>
      <c r="I269" s="72" t="n">
        <v>24423.75</v>
      </c>
      <c r="J269" s="70" t="inlineStr">
        <is>
          <t>Completed</t>
        </is>
      </c>
      <c r="K269" s="70" t="inlineStr">
        <is>
          <t>Chennai</t>
        </is>
      </c>
    </row>
    <row r="270" ht="14.25" customHeight="1" s="56">
      <c r="A270" s="70" t="inlineStr">
        <is>
          <t>ORD-00269</t>
        </is>
      </c>
      <c r="B270" s="71" t="n">
        <v>45299</v>
      </c>
      <c r="C270" s="70" t="inlineStr">
        <is>
          <t>CUST-0095</t>
        </is>
      </c>
      <c r="D270" s="70" t="inlineStr">
        <is>
          <t>PROD-050</t>
        </is>
      </c>
      <c r="E270" s="70" t="inlineStr">
        <is>
          <t>R011</t>
        </is>
      </c>
      <c r="F270" s="72" t="n">
        <v>1</v>
      </c>
      <c r="G270" s="72" t="n">
        <v>6080</v>
      </c>
      <c r="H270" s="72" t="n">
        <v>0.1</v>
      </c>
      <c r="I270" s="72" t="n">
        <v>6073.92</v>
      </c>
      <c r="J270" s="70" t="inlineStr">
        <is>
          <t>Completed</t>
        </is>
      </c>
      <c r="K270" s="70" t="inlineStr">
        <is>
          <t>Mumbai</t>
        </is>
      </c>
    </row>
    <row r="271" ht="14.25" customHeight="1" s="56">
      <c r="A271" s="70" t="inlineStr">
        <is>
          <t>ORD-00270</t>
        </is>
      </c>
      <c r="B271" s="71" t="n">
        <v>45386</v>
      </c>
      <c r="C271" s="70" t="inlineStr">
        <is>
          <t>CUST-0171</t>
        </is>
      </c>
      <c r="D271" s="70" t="inlineStr">
        <is>
          <t>PROD-013</t>
        </is>
      </c>
      <c r="E271" s="70" t="inlineStr">
        <is>
          <t>R014</t>
        </is>
      </c>
      <c r="F271" s="72" t="n">
        <v>8</v>
      </c>
      <c r="G271" s="72" t="n">
        <v>3640</v>
      </c>
      <c r="H271" s="72" t="n">
        <v>13.5</v>
      </c>
      <c r="I271" s="72" t="n">
        <v>25188.8</v>
      </c>
      <c r="J271" s="70" t="inlineStr">
        <is>
          <t>Completed</t>
        </is>
      </c>
      <c r="K271" s="70" t="inlineStr">
        <is>
          <t>Chennai</t>
        </is>
      </c>
    </row>
    <row r="272" ht="14.25" customHeight="1" s="56">
      <c r="A272" s="70" t="inlineStr">
        <is>
          <t>ORD-00271</t>
        </is>
      </c>
      <c r="B272" s="71" t="n">
        <v>45472</v>
      </c>
      <c r="C272" s="70" t="inlineStr">
        <is>
          <t>CUST-0238</t>
        </is>
      </c>
      <c r="D272" s="70" t="inlineStr">
        <is>
          <t>PROD-012</t>
        </is>
      </c>
      <c r="E272" s="70" t="inlineStr">
        <is>
          <t>R005</t>
        </is>
      </c>
      <c r="F272" s="72" t="n">
        <v>9</v>
      </c>
      <c r="G272" s="72" t="n">
        <v>3160</v>
      </c>
      <c r="H272" s="72" t="n">
        <v>29.7</v>
      </c>
      <c r="I272" s="72" t="n">
        <v>19993.32</v>
      </c>
      <c r="J272" s="70" t="inlineStr">
        <is>
          <t>Completed</t>
        </is>
      </c>
      <c r="K272" s="70" t="inlineStr">
        <is>
          <t>Delhi</t>
        </is>
      </c>
    </row>
    <row r="273" ht="14.25" customHeight="1" s="56">
      <c r="A273" s="70" t="inlineStr">
        <is>
          <t>ORD-00272</t>
        </is>
      </c>
      <c r="B273" s="71" t="n">
        <v>45428</v>
      </c>
      <c r="C273" s="70" t="inlineStr">
        <is>
          <t>CUST-0185</t>
        </is>
      </c>
      <c r="D273" s="70" t="inlineStr">
        <is>
          <t>PROD-004</t>
        </is>
      </c>
      <c r="E273" s="70" t="inlineStr">
        <is>
          <t>R007</t>
        </is>
      </c>
      <c r="F273" s="72" t="n">
        <v>2</v>
      </c>
      <c r="G273" s="72" t="n">
        <v>3870</v>
      </c>
      <c r="H273" s="72" t="n">
        <v>18.1</v>
      </c>
      <c r="I273" s="72" t="n">
        <v>6339.06</v>
      </c>
      <c r="J273" s="70" t="inlineStr">
        <is>
          <t>Cancelled</t>
        </is>
      </c>
      <c r="K273" s="70" t="inlineStr">
        <is>
          <t>Hyderabad</t>
        </is>
      </c>
    </row>
    <row r="274" ht="14.25" customHeight="1" s="56">
      <c r="A274" s="70" t="inlineStr">
        <is>
          <t>ORD-00273</t>
        </is>
      </c>
      <c r="B274" s="71" t="n">
        <v>45430</v>
      </c>
      <c r="C274" s="70" t="inlineStr">
        <is>
          <t>CUST-0167</t>
        </is>
      </c>
      <c r="D274" s="70" t="inlineStr">
        <is>
          <t>PROD-037</t>
        </is>
      </c>
      <c r="E274" s="70" t="inlineStr">
        <is>
          <t>R030</t>
        </is>
      </c>
      <c r="F274" s="72" t="n">
        <v>3</v>
      </c>
      <c r="G274" s="72" t="n">
        <v>660</v>
      </c>
      <c r="H274" s="72" t="n">
        <v>9.199999999999999</v>
      </c>
      <c r="I274" s="72" t="n">
        <v>1797.84</v>
      </c>
      <c r="J274" s="70" t="inlineStr">
        <is>
          <t>Completed</t>
        </is>
      </c>
      <c r="K274" s="70" t="inlineStr">
        <is>
          <t>Delhi</t>
        </is>
      </c>
    </row>
    <row r="275" ht="14.25" customHeight="1" s="56">
      <c r="A275" s="70" t="inlineStr">
        <is>
          <t>ORD-00274</t>
        </is>
      </c>
      <c r="B275" s="71" t="n">
        <v>45418</v>
      </c>
      <c r="C275" s="70" t="inlineStr">
        <is>
          <t>CUST-0224</t>
        </is>
      </c>
      <c r="D275" s="70" t="inlineStr">
        <is>
          <t>PROD-025</t>
        </is>
      </c>
      <c r="E275" s="70" t="inlineStr">
        <is>
          <t>R013</t>
        </is>
      </c>
      <c r="F275" s="72" t="n">
        <v>4</v>
      </c>
      <c r="G275" s="72" t="n">
        <v>4060</v>
      </c>
      <c r="H275" s="72" t="n">
        <v>28</v>
      </c>
      <c r="I275" s="72" t="n">
        <v>11692.8</v>
      </c>
      <c r="J275" s="70" t="inlineStr">
        <is>
          <t>Completed</t>
        </is>
      </c>
      <c r="K275" s="70" t="inlineStr">
        <is>
          <t>Chennai</t>
        </is>
      </c>
    </row>
    <row r="276" ht="14.25" customHeight="1" s="56">
      <c r="A276" s="70" t="inlineStr">
        <is>
          <t>ORD-00275</t>
        </is>
      </c>
      <c r="B276" s="71" t="n">
        <v>45360</v>
      </c>
      <c r="C276" s="70" t="inlineStr">
        <is>
          <t>CUST-0181</t>
        </is>
      </c>
      <c r="D276" s="70" t="inlineStr">
        <is>
          <t>PROD-034</t>
        </is>
      </c>
      <c r="E276" s="70" t="inlineStr">
        <is>
          <t>R016</t>
        </is>
      </c>
      <c r="F276" s="72" t="n">
        <v>2</v>
      </c>
      <c r="G276" s="72" t="n">
        <v>5080</v>
      </c>
      <c r="H276" s="72" t="n">
        <v>7.7</v>
      </c>
      <c r="I276" s="72" t="n">
        <v>9377.68</v>
      </c>
      <c r="J276" s="70" t="inlineStr">
        <is>
          <t>Refunded</t>
        </is>
      </c>
      <c r="K276" s="70" t="inlineStr">
        <is>
          <t>Delhi</t>
        </is>
      </c>
    </row>
    <row r="277" ht="14.25" customHeight="1" s="56">
      <c r="A277" s="70" t="inlineStr">
        <is>
          <t>ORD-00276</t>
        </is>
      </c>
      <c r="B277" s="71" t="n">
        <v>45296</v>
      </c>
      <c r="C277" s="70" t="inlineStr">
        <is>
          <t>CUST-0020</t>
        </is>
      </c>
      <c r="D277" s="70" t="inlineStr">
        <is>
          <t>PROD-003</t>
        </is>
      </c>
      <c r="E277" s="70" t="inlineStr">
        <is>
          <t>R005</t>
        </is>
      </c>
      <c r="F277" s="72" t="n">
        <v>3</v>
      </c>
      <c r="G277" s="72" t="n">
        <v>3570</v>
      </c>
      <c r="H277" s="72" t="n">
        <v>9.5</v>
      </c>
      <c r="I277" s="72" t="n">
        <v>9692.549999999999</v>
      </c>
      <c r="J277" s="70" t="inlineStr">
        <is>
          <t>Completed</t>
        </is>
      </c>
      <c r="K277" s="70" t="inlineStr">
        <is>
          <t>Hyderabad</t>
        </is>
      </c>
    </row>
    <row r="278" ht="14.25" customHeight="1" s="56">
      <c r="A278" s="70" t="inlineStr">
        <is>
          <t>ORD-00277</t>
        </is>
      </c>
      <c r="B278" s="71" t="n">
        <v>45460</v>
      </c>
      <c r="C278" s="70" t="inlineStr">
        <is>
          <t>CUST-0183</t>
        </is>
      </c>
      <c r="D278" s="70" t="inlineStr">
        <is>
          <t>PROD-016</t>
        </is>
      </c>
      <c r="E278" s="70" t="inlineStr">
        <is>
          <t>R020</t>
        </is>
      </c>
      <c r="F278" s="72" t="n">
        <v>2</v>
      </c>
      <c r="G278" s="72" t="n">
        <v>620</v>
      </c>
      <c r="H278" s="72" t="n">
        <v>29.5</v>
      </c>
      <c r="I278" s="72" t="n">
        <v>874.2</v>
      </c>
      <c r="J278" s="70" t="inlineStr">
        <is>
          <t>Completed</t>
        </is>
      </c>
      <c r="K278" s="70" t="inlineStr">
        <is>
          <t>Mumbai</t>
        </is>
      </c>
    </row>
    <row r="279" ht="14.25" customHeight="1" s="56">
      <c r="A279" s="70" t="inlineStr">
        <is>
          <t>ORD-00278</t>
        </is>
      </c>
      <c r="B279" s="71" t="n">
        <v>45638</v>
      </c>
      <c r="C279" s="70" t="inlineStr">
        <is>
          <t>CUST-0028</t>
        </is>
      </c>
      <c r="D279" s="70" t="inlineStr">
        <is>
          <t>PROD-011</t>
        </is>
      </c>
      <c r="E279" s="70" t="inlineStr">
        <is>
          <t>R013</t>
        </is>
      </c>
      <c r="F279" s="72" t="n">
        <v>3</v>
      </c>
      <c r="G279" s="72" t="n">
        <v>3450</v>
      </c>
      <c r="H279" s="72" t="n">
        <v>3</v>
      </c>
      <c r="I279" s="72" t="n">
        <v>10039.5</v>
      </c>
      <c r="J279" s="70" t="inlineStr">
        <is>
          <t>Completed</t>
        </is>
      </c>
      <c r="K279" s="70" t="inlineStr">
        <is>
          <t>Bengaluru</t>
        </is>
      </c>
    </row>
    <row r="280" ht="14.25" customHeight="1" s="56">
      <c r="A280" s="70" t="inlineStr">
        <is>
          <t>ORD-00279</t>
        </is>
      </c>
      <c r="B280" s="71" t="n">
        <v>45408</v>
      </c>
      <c r="C280" s="70" t="inlineStr">
        <is>
          <t>CUST-0121</t>
        </is>
      </c>
      <c r="D280" s="70" t="inlineStr">
        <is>
          <t>PROD-048</t>
        </is>
      </c>
      <c r="E280" s="70" t="inlineStr">
        <is>
          <t>R006</t>
        </is>
      </c>
      <c r="F280" s="72" t="n">
        <v>7</v>
      </c>
      <c r="G280" s="72" t="n">
        <v>5100</v>
      </c>
      <c r="H280" s="72" t="n">
        <v>4.3</v>
      </c>
      <c r="I280" s="72" t="n">
        <v>34164.9</v>
      </c>
      <c r="J280" s="70" t="inlineStr">
        <is>
          <t>Completed</t>
        </is>
      </c>
      <c r="K280" s="70" t="inlineStr">
        <is>
          <t>Delhi</t>
        </is>
      </c>
    </row>
    <row r="281" ht="14.25" customHeight="1" s="56">
      <c r="A281" s="70" t="inlineStr">
        <is>
          <t>ORD-00280</t>
        </is>
      </c>
      <c r="B281" s="71" t="n">
        <v>45541</v>
      </c>
      <c r="C281" s="70" t="inlineStr">
        <is>
          <t>CUST-0192</t>
        </is>
      </c>
      <c r="D281" s="70" t="inlineStr">
        <is>
          <t>PROD-004</t>
        </is>
      </c>
      <c r="E281" s="70" t="inlineStr">
        <is>
          <t>R003</t>
        </is>
      </c>
      <c r="F281" s="72" t="n">
        <v>9</v>
      </c>
      <c r="G281" s="72" t="n">
        <v>3870</v>
      </c>
      <c r="H281" s="72" t="n">
        <v>4.8</v>
      </c>
      <c r="I281" s="72" t="n">
        <v>33158.16</v>
      </c>
      <c r="J281" s="70" t="inlineStr">
        <is>
          <t>Completed</t>
        </is>
      </c>
      <c r="K281" s="70" t="inlineStr">
        <is>
          <t>Bengaluru</t>
        </is>
      </c>
    </row>
    <row r="282" ht="14.25" customHeight="1" s="56">
      <c r="A282" s="70" t="inlineStr">
        <is>
          <t>ORD-00281</t>
        </is>
      </c>
      <c r="B282" s="71" t="n">
        <v>45633</v>
      </c>
      <c r="C282" s="70" t="inlineStr">
        <is>
          <t>CUST-0155</t>
        </is>
      </c>
      <c r="D282" s="70" t="inlineStr">
        <is>
          <t>PROD-009</t>
        </is>
      </c>
      <c r="E282" s="70" t="inlineStr">
        <is>
          <t>R029</t>
        </is>
      </c>
      <c r="F282" s="72" t="n">
        <v>5</v>
      </c>
      <c r="G282" s="72" t="n">
        <v>1220</v>
      </c>
      <c r="H282" s="72" t="n">
        <v>4</v>
      </c>
      <c r="I282" s="72" t="n">
        <v>5856</v>
      </c>
      <c r="J282" s="70" t="inlineStr">
        <is>
          <t>Cancelled</t>
        </is>
      </c>
      <c r="K282" s="70" t="inlineStr">
        <is>
          <t>Pune</t>
        </is>
      </c>
    </row>
    <row r="283" ht="14.25" customHeight="1" s="56">
      <c r="A283" s="70" t="inlineStr">
        <is>
          <t>ORD-00282</t>
        </is>
      </c>
      <c r="B283" s="71" t="n">
        <v>45338</v>
      </c>
      <c r="C283" s="70" t="inlineStr">
        <is>
          <t>CUST-0159</t>
        </is>
      </c>
      <c r="D283" s="70" t="inlineStr">
        <is>
          <t>PROD-038</t>
        </is>
      </c>
      <c r="E283" s="70" t="inlineStr">
        <is>
          <t>R023</t>
        </is>
      </c>
      <c r="F283" s="72" t="n">
        <v>5</v>
      </c>
      <c r="G283" s="72" t="n">
        <v>5490</v>
      </c>
      <c r="H283" s="72" t="n">
        <v>19.8</v>
      </c>
      <c r="I283" s="72" t="n">
        <v>22014.9</v>
      </c>
      <c r="J283" s="70" t="inlineStr">
        <is>
          <t>Completed</t>
        </is>
      </c>
      <c r="K283" s="70" t="inlineStr">
        <is>
          <t>Hyderabad</t>
        </is>
      </c>
    </row>
    <row r="284" ht="14.25" customHeight="1" s="56">
      <c r="A284" s="70" t="inlineStr">
        <is>
          <t>ORD-00283</t>
        </is>
      </c>
      <c r="B284" s="71" t="n">
        <v>45529</v>
      </c>
      <c r="C284" s="70" t="inlineStr">
        <is>
          <t>CUST-0025</t>
        </is>
      </c>
      <c r="D284" s="70" t="inlineStr">
        <is>
          <t>PROD-044</t>
        </is>
      </c>
      <c r="E284" s="70" t="inlineStr">
        <is>
          <t>R001</t>
        </is>
      </c>
      <c r="F284" s="72" t="n">
        <v>1</v>
      </c>
      <c r="G284" s="72" t="n">
        <v>1650</v>
      </c>
      <c r="H284" s="72" t="n">
        <v>26.2</v>
      </c>
      <c r="I284" s="72" t="n">
        <v>1217.7</v>
      </c>
      <c r="J284" s="70" t="inlineStr">
        <is>
          <t>Completed</t>
        </is>
      </c>
      <c r="K284" s="70" t="inlineStr">
        <is>
          <t>Bengaluru</t>
        </is>
      </c>
    </row>
    <row r="285" ht="14.25" customHeight="1" s="56">
      <c r="A285" s="70" t="inlineStr">
        <is>
          <t>ORD-00284</t>
        </is>
      </c>
      <c r="B285" s="71" t="n">
        <v>45460</v>
      </c>
      <c r="C285" s="70" t="inlineStr">
        <is>
          <t>CUST-0297</t>
        </is>
      </c>
      <c r="D285" s="70" t="inlineStr">
        <is>
          <t>PROD-008</t>
        </is>
      </c>
      <c r="E285" s="70" t="inlineStr">
        <is>
          <t>R003</t>
        </is>
      </c>
      <c r="F285" s="72" t="n">
        <v>1</v>
      </c>
      <c r="G285" s="72" t="n">
        <v>2660</v>
      </c>
      <c r="H285" s="72" t="n">
        <v>21</v>
      </c>
      <c r="I285" s="72" t="n">
        <v>2101.4</v>
      </c>
      <c r="J285" s="70" t="inlineStr">
        <is>
          <t>Completed</t>
        </is>
      </c>
      <c r="K285" s="70" t="inlineStr">
        <is>
          <t>Hyderabad</t>
        </is>
      </c>
    </row>
    <row r="286" ht="14.25" customHeight="1" s="56">
      <c r="A286" s="70" t="inlineStr">
        <is>
          <t>ORD-00285</t>
        </is>
      </c>
      <c r="B286" s="71" t="n">
        <v>45375</v>
      </c>
      <c r="C286" s="70" t="inlineStr">
        <is>
          <t>CUST-0108</t>
        </is>
      </c>
      <c r="D286" s="70" t="inlineStr">
        <is>
          <t>PROD-029</t>
        </is>
      </c>
      <c r="E286" s="70" t="inlineStr">
        <is>
          <t>R003</t>
        </is>
      </c>
      <c r="F286" s="72" t="n">
        <v>6</v>
      </c>
      <c r="G286" s="72" t="n">
        <v>2210</v>
      </c>
      <c r="H286" s="72" t="n">
        <v>9.800000000000001</v>
      </c>
      <c r="I286" s="72" t="n">
        <v>11960.52</v>
      </c>
      <c r="J286" s="70" t="inlineStr">
        <is>
          <t>Pending</t>
        </is>
      </c>
      <c r="K286" s="70" t="inlineStr">
        <is>
          <t>Bengaluru</t>
        </is>
      </c>
    </row>
    <row r="287" ht="14.25" customHeight="1" s="56">
      <c r="A287" s="70" t="inlineStr">
        <is>
          <t>ORD-00286</t>
        </is>
      </c>
      <c r="B287" s="71" t="n">
        <v>45310</v>
      </c>
      <c r="C287" s="70" t="inlineStr">
        <is>
          <t>CUST-0121</t>
        </is>
      </c>
      <c r="D287" s="70" t="inlineStr">
        <is>
          <t>PROD-002</t>
        </is>
      </c>
      <c r="E287" s="70" t="inlineStr">
        <is>
          <t>R001</t>
        </is>
      </c>
      <c r="F287" s="72" t="n">
        <v>9</v>
      </c>
      <c r="G287" s="72" t="n">
        <v>2600</v>
      </c>
      <c r="H287" s="72" t="n">
        <v>15.7</v>
      </c>
      <c r="I287" s="72" t="n">
        <v>19726.2</v>
      </c>
      <c r="J287" s="70" t="inlineStr">
        <is>
          <t>Completed</t>
        </is>
      </c>
      <c r="K287" s="70" t="inlineStr">
        <is>
          <t>Delhi</t>
        </is>
      </c>
    </row>
    <row r="288" ht="14.25" customHeight="1" s="56">
      <c r="A288" s="70" t="inlineStr">
        <is>
          <t>ORD-00287</t>
        </is>
      </c>
      <c r="B288" s="71" t="n">
        <v>45314</v>
      </c>
      <c r="C288" s="70" t="inlineStr">
        <is>
          <t>CUST-0160</t>
        </is>
      </c>
      <c r="D288" s="70" t="inlineStr">
        <is>
          <t>PROD-045</t>
        </is>
      </c>
      <c r="E288" s="70" t="inlineStr">
        <is>
          <t>R025</t>
        </is>
      </c>
      <c r="F288" s="72" t="n">
        <v>3</v>
      </c>
      <c r="G288" s="72" t="n">
        <v>3020</v>
      </c>
      <c r="H288" s="72" t="n">
        <v>22.6</v>
      </c>
      <c r="I288" s="72" t="n">
        <v>7012.44</v>
      </c>
      <c r="J288" s="70" t="inlineStr">
        <is>
          <t>Completed</t>
        </is>
      </c>
      <c r="K288" s="70" t="inlineStr">
        <is>
          <t>Hyderabad</t>
        </is>
      </c>
    </row>
    <row r="289" ht="14.25" customHeight="1" s="56">
      <c r="A289" s="70" t="inlineStr">
        <is>
          <t>ORD-00288</t>
        </is>
      </c>
      <c r="B289" s="71" t="n">
        <v>45459</v>
      </c>
      <c r="C289" s="70" t="inlineStr">
        <is>
          <t>CUST-0230</t>
        </is>
      </c>
      <c r="D289" s="70" t="inlineStr">
        <is>
          <t>PROD-032</t>
        </is>
      </c>
      <c r="E289" s="70" t="inlineStr">
        <is>
          <t>R005</t>
        </is>
      </c>
      <c r="F289" s="72" t="n">
        <v>6</v>
      </c>
      <c r="G289" s="72" t="n">
        <v>370</v>
      </c>
      <c r="H289" s="72" t="n">
        <v>12.4</v>
      </c>
      <c r="I289" s="72" t="n">
        <v>1944.72</v>
      </c>
      <c r="J289" s="70" t="inlineStr">
        <is>
          <t>Completed</t>
        </is>
      </c>
      <c r="K289" s="70" t="inlineStr">
        <is>
          <t>Pune</t>
        </is>
      </c>
    </row>
    <row r="290" ht="14.25" customHeight="1" s="56">
      <c r="A290" s="70" t="inlineStr">
        <is>
          <t>ORD-00289</t>
        </is>
      </c>
      <c r="B290" s="71" t="n">
        <v>45312</v>
      </c>
      <c r="C290" s="70" t="inlineStr">
        <is>
          <t>CUST-0151</t>
        </is>
      </c>
      <c r="D290" s="70" t="inlineStr">
        <is>
          <t>PROD-001</t>
        </is>
      </c>
      <c r="E290" s="70" t="inlineStr">
        <is>
          <t>R006</t>
        </is>
      </c>
      <c r="F290" s="72" t="n">
        <v>8</v>
      </c>
      <c r="G290" s="72" t="n">
        <v>5330</v>
      </c>
      <c r="H290" s="72" t="n">
        <v>16.2</v>
      </c>
      <c r="I290" s="72" t="n">
        <v>35732.32</v>
      </c>
      <c r="J290" s="70" t="inlineStr">
        <is>
          <t>Completed</t>
        </is>
      </c>
      <c r="K290" s="70" t="inlineStr">
        <is>
          <t>Mumbai</t>
        </is>
      </c>
    </row>
    <row r="291" ht="14.25" customHeight="1" s="56">
      <c r="A291" s="70" t="inlineStr">
        <is>
          <t>ORD-00290</t>
        </is>
      </c>
      <c r="B291" s="71" t="n">
        <v>45500</v>
      </c>
      <c r="C291" s="70" t="inlineStr">
        <is>
          <t>CUST-0222</t>
        </is>
      </c>
      <c r="D291" s="70" t="inlineStr">
        <is>
          <t>PROD-018</t>
        </is>
      </c>
      <c r="E291" s="70" t="inlineStr">
        <is>
          <t>R030</t>
        </is>
      </c>
      <c r="F291" s="72" t="n">
        <v>4</v>
      </c>
      <c r="G291" s="72" t="n">
        <v>3560</v>
      </c>
      <c r="H291" s="72" t="n">
        <v>10.5</v>
      </c>
      <c r="I291" s="72" t="n">
        <v>12744.8</v>
      </c>
      <c r="J291" s="70" t="inlineStr">
        <is>
          <t>Completed</t>
        </is>
      </c>
      <c r="K291" s="70" t="inlineStr">
        <is>
          <t>Chennai</t>
        </is>
      </c>
    </row>
    <row r="292" ht="14.25" customHeight="1" s="56">
      <c r="A292" s="70" t="inlineStr">
        <is>
          <t>ORD-00291</t>
        </is>
      </c>
      <c r="B292" s="71" t="n">
        <v>45389</v>
      </c>
      <c r="C292" s="70" t="inlineStr">
        <is>
          <t>CUST-0055</t>
        </is>
      </c>
      <c r="D292" s="70" t="inlineStr">
        <is>
          <t>PROD-054</t>
        </is>
      </c>
      <c r="E292" s="70" t="inlineStr">
        <is>
          <t>R030</t>
        </is>
      </c>
      <c r="F292" s="72" t="n">
        <v>10</v>
      </c>
      <c r="G292" s="72" t="n">
        <v>1010</v>
      </c>
      <c r="H292" s="72" t="n">
        <v>10.8</v>
      </c>
      <c r="I292" s="72" t="n">
        <v>9009.200000000001</v>
      </c>
      <c r="J292" s="70" t="inlineStr">
        <is>
          <t>Completed</t>
        </is>
      </c>
      <c r="K292" s="70" t="inlineStr">
        <is>
          <t>Bengaluru</t>
        </is>
      </c>
    </row>
    <row r="293" ht="14.25" customHeight="1" s="56">
      <c r="A293" s="70" t="inlineStr">
        <is>
          <t>ORD-00292</t>
        </is>
      </c>
      <c r="B293" s="71" t="n">
        <v>45619</v>
      </c>
      <c r="C293" s="70" t="inlineStr">
        <is>
          <t>CUST-0011</t>
        </is>
      </c>
      <c r="D293" s="70" t="inlineStr">
        <is>
          <t>PROD-056</t>
        </is>
      </c>
      <c r="E293" s="70" t="inlineStr">
        <is>
          <t>R006</t>
        </is>
      </c>
      <c r="F293" s="72" t="n">
        <v>8</v>
      </c>
      <c r="G293" s="72" t="n">
        <v>6940</v>
      </c>
      <c r="H293" s="72" t="n">
        <v>3.2</v>
      </c>
      <c r="I293" s="72" t="n">
        <v>53743.36</v>
      </c>
      <c r="J293" s="70" t="inlineStr">
        <is>
          <t>Cancelled</t>
        </is>
      </c>
      <c r="K293" s="70" t="inlineStr">
        <is>
          <t>Chennai</t>
        </is>
      </c>
    </row>
    <row r="294" ht="14.25" customHeight="1" s="56">
      <c r="A294" s="70" t="inlineStr">
        <is>
          <t>ORD-00335</t>
        </is>
      </c>
      <c r="B294" s="71" t="n">
        <v>45617</v>
      </c>
      <c r="C294" s="70" t="inlineStr">
        <is>
          <t>CUST-0020</t>
        </is>
      </c>
      <c r="D294" s="70" t="inlineStr">
        <is>
          <t>PROD-012</t>
        </is>
      </c>
      <c r="E294" s="70" t="inlineStr">
        <is>
          <t>R015</t>
        </is>
      </c>
      <c r="F294" s="72" t="n">
        <v>7</v>
      </c>
      <c r="G294" s="72" t="n">
        <v>3160</v>
      </c>
      <c r="H294" s="72" t="n">
        <v>3.6</v>
      </c>
      <c r="I294" s="72" t="n">
        <v>21323.68</v>
      </c>
      <c r="J294" s="70" t="inlineStr">
        <is>
          <t>Completed</t>
        </is>
      </c>
      <c r="K294" s="70" t="inlineStr">
        <is>
          <t>Hyderabad</t>
        </is>
      </c>
    </row>
    <row r="295" ht="14.25" customHeight="1" s="56">
      <c r="A295" s="70" t="inlineStr">
        <is>
          <t>ORD-00294</t>
        </is>
      </c>
      <c r="B295" s="71" t="n">
        <v>45640</v>
      </c>
      <c r="C295" s="70" t="inlineStr">
        <is>
          <t>CUST-0163</t>
        </is>
      </c>
      <c r="D295" s="70" t="inlineStr">
        <is>
          <t>PROD-028</t>
        </is>
      </c>
      <c r="E295" s="70" t="inlineStr">
        <is>
          <t>R008</t>
        </is>
      </c>
      <c r="F295" s="72" t="n">
        <v>2</v>
      </c>
      <c r="G295" s="72" t="n">
        <v>3660</v>
      </c>
      <c r="H295" s="72" t="n">
        <v>30</v>
      </c>
      <c r="I295" s="72" t="n">
        <v>5124</v>
      </c>
      <c r="J295" s="70" t="inlineStr">
        <is>
          <t>Pending</t>
        </is>
      </c>
      <c r="K295" s="70" t="inlineStr">
        <is>
          <t>Pune</t>
        </is>
      </c>
    </row>
    <row r="296" ht="14.25" customHeight="1" s="56">
      <c r="A296" s="70" t="inlineStr">
        <is>
          <t>ORD-00295</t>
        </is>
      </c>
      <c r="B296" s="71" t="n">
        <v>45401</v>
      </c>
      <c r="C296" s="70" t="inlineStr">
        <is>
          <t>CUST-0081</t>
        </is>
      </c>
      <c r="D296" s="70" t="inlineStr">
        <is>
          <t>PROD-024</t>
        </is>
      </c>
      <c r="E296" s="70" t="inlineStr">
        <is>
          <t>R005</t>
        </is>
      </c>
      <c r="F296" s="72" t="n">
        <v>1</v>
      </c>
      <c r="G296" s="72" t="n">
        <v>2270</v>
      </c>
      <c r="H296" s="72" t="n">
        <v>4.8</v>
      </c>
      <c r="I296" s="72" t="n">
        <v>2161.04</v>
      </c>
      <c r="J296" s="70" t="inlineStr">
        <is>
          <t>Cancelled</t>
        </is>
      </c>
      <c r="K296" s="70" t="inlineStr">
        <is>
          <t>Mumbai</t>
        </is>
      </c>
    </row>
    <row r="297" ht="14.25" customHeight="1" s="56">
      <c r="A297" s="70" t="inlineStr">
        <is>
          <t>ORD-00296</t>
        </is>
      </c>
      <c r="B297" s="71" t="n">
        <v>45405</v>
      </c>
      <c r="C297" s="70" t="inlineStr">
        <is>
          <t>CUST-0053</t>
        </is>
      </c>
      <c r="D297" s="70" t="inlineStr">
        <is>
          <t>PROD-059</t>
        </is>
      </c>
      <c r="E297" s="70" t="inlineStr">
        <is>
          <t>R025</t>
        </is>
      </c>
      <c r="F297" s="72" t="n">
        <v>8</v>
      </c>
      <c r="G297" s="72" t="n">
        <v>3780</v>
      </c>
      <c r="H297" s="72" t="n">
        <v>13</v>
      </c>
      <c r="I297" s="72" t="n">
        <v>26308.8</v>
      </c>
      <c r="J297" s="70" t="inlineStr">
        <is>
          <t>Completed</t>
        </is>
      </c>
      <c r="K297" s="70" t="inlineStr">
        <is>
          <t>Delhi</t>
        </is>
      </c>
    </row>
    <row r="298" ht="14.25" customHeight="1" s="56">
      <c r="A298" s="70" t="inlineStr">
        <is>
          <t>ORD-01770</t>
        </is>
      </c>
      <c r="B298" s="71" t="n">
        <v>45537</v>
      </c>
      <c r="C298" s="70" t="inlineStr">
        <is>
          <t>CUST-0115</t>
        </is>
      </c>
      <c r="D298" s="70" t="inlineStr">
        <is>
          <t>PROD-013</t>
        </is>
      </c>
      <c r="E298" s="70" t="inlineStr">
        <is>
          <t>R012</t>
        </is>
      </c>
      <c r="F298" s="72" t="n">
        <v>1</v>
      </c>
      <c r="G298" s="72" t="n">
        <v>3640</v>
      </c>
      <c r="H298" s="72" t="n">
        <v>15.3</v>
      </c>
      <c r="I298" s="72" t="n">
        <v>3083.08</v>
      </c>
      <c r="J298" s="70" t="inlineStr">
        <is>
          <t>Pending</t>
        </is>
      </c>
      <c r="K298" s="70" t="inlineStr">
        <is>
          <t>Mumbai</t>
        </is>
      </c>
    </row>
    <row r="299" ht="14.25" customHeight="1" s="56">
      <c r="A299" s="70" t="inlineStr">
        <is>
          <t>ORD-00298</t>
        </is>
      </c>
      <c r="B299" s="71" t="n">
        <v>45475</v>
      </c>
      <c r="C299" s="70" t="inlineStr">
        <is>
          <t>CUST-0166</t>
        </is>
      </c>
      <c r="D299" s="70" t="inlineStr">
        <is>
          <t>PROD-009</t>
        </is>
      </c>
      <c r="E299" s="70" t="inlineStr">
        <is>
          <t>R009</t>
        </is>
      </c>
      <c r="F299" s="72" t="n">
        <v>8</v>
      </c>
      <c r="G299" s="72" t="n">
        <v>1220</v>
      </c>
      <c r="H299" s="72" t="n">
        <v>28.2</v>
      </c>
      <c r="I299" s="72" t="n">
        <v>7007.68</v>
      </c>
      <c r="J299" s="70" t="inlineStr">
        <is>
          <t>Completed</t>
        </is>
      </c>
      <c r="K299" s="70" t="inlineStr">
        <is>
          <t>Hyderabad</t>
        </is>
      </c>
    </row>
    <row r="300" ht="14.25" customHeight="1" s="56">
      <c r="A300" s="70" t="inlineStr">
        <is>
          <t>ORD-00299</t>
        </is>
      </c>
      <c r="B300" s="71" t="n">
        <v>45624</v>
      </c>
      <c r="C300" s="70" t="inlineStr">
        <is>
          <t>CUST-0263</t>
        </is>
      </c>
      <c r="D300" s="70" t="inlineStr">
        <is>
          <t>PROD-017</t>
        </is>
      </c>
      <c r="E300" s="70" t="inlineStr">
        <is>
          <t>R030</t>
        </is>
      </c>
      <c r="F300" s="72" t="n">
        <v>3</v>
      </c>
      <c r="G300" s="72" t="n">
        <v>2510</v>
      </c>
      <c r="H300" s="72" t="n">
        <v>17.4</v>
      </c>
      <c r="I300" s="72" t="n">
        <v>6219.78</v>
      </c>
      <c r="J300" s="70" t="inlineStr">
        <is>
          <t>Completed</t>
        </is>
      </c>
      <c r="K300" s="70" t="inlineStr">
        <is>
          <t>Mumbai</t>
        </is>
      </c>
    </row>
    <row r="301" ht="14.25" customHeight="1" s="56">
      <c r="A301" s="70" t="inlineStr">
        <is>
          <t>ORD-00300</t>
        </is>
      </c>
      <c r="B301" s="71" t="n">
        <v>45635</v>
      </c>
      <c r="C301" s="70" t="inlineStr">
        <is>
          <t>CUST-0010</t>
        </is>
      </c>
      <c r="D301" s="70" t="inlineStr">
        <is>
          <t>PROD-040</t>
        </is>
      </c>
      <c r="E301" s="70" t="inlineStr">
        <is>
          <t>R004</t>
        </is>
      </c>
      <c r="F301" s="72" t="n">
        <v>1</v>
      </c>
      <c r="G301" s="72" t="n">
        <v>1080</v>
      </c>
      <c r="H301" s="72" t="n">
        <v>13.9</v>
      </c>
      <c r="I301" s="72" t="n">
        <v>929.88</v>
      </c>
      <c r="J301" s="70" t="inlineStr">
        <is>
          <t>Completed</t>
        </is>
      </c>
      <c r="K301" s="70" t="inlineStr">
        <is>
          <t>Mumbai</t>
        </is>
      </c>
    </row>
    <row r="302" ht="14.25" customHeight="1" s="56">
      <c r="A302" s="70" t="inlineStr">
        <is>
          <t>ORD-00301</t>
        </is>
      </c>
      <c r="B302" s="71" t="n">
        <v>45395</v>
      </c>
      <c r="C302" s="70" t="inlineStr">
        <is>
          <t>CUST-0036</t>
        </is>
      </c>
      <c r="D302" s="70" t="inlineStr">
        <is>
          <t>PROD-033</t>
        </is>
      </c>
      <c r="E302" s="70" t="inlineStr">
        <is>
          <t>R016</t>
        </is>
      </c>
      <c r="F302" s="72" t="n">
        <v>7</v>
      </c>
      <c r="G302" s="72" t="n">
        <v>2030</v>
      </c>
      <c r="H302" s="72" t="n">
        <v>29.2</v>
      </c>
      <c r="I302" s="72" t="n">
        <v>10060.68</v>
      </c>
      <c r="J302" s="70" t="inlineStr">
        <is>
          <t>Completed</t>
        </is>
      </c>
      <c r="K302" s="70" t="inlineStr">
        <is>
          <t>Mumbai</t>
        </is>
      </c>
    </row>
    <row r="303" ht="14.25" customHeight="1" s="56">
      <c r="A303" s="70" t="inlineStr">
        <is>
          <t>ORD-00302</t>
        </is>
      </c>
      <c r="B303" s="71" t="n">
        <v>45415</v>
      </c>
      <c r="C303" s="70" t="inlineStr">
        <is>
          <t>CUST-0259</t>
        </is>
      </c>
      <c r="D303" s="70" t="inlineStr">
        <is>
          <t>PROD-059</t>
        </is>
      </c>
      <c r="E303" s="70" t="inlineStr">
        <is>
          <t>R020</t>
        </is>
      </c>
      <c r="F303" s="72" t="n">
        <v>6</v>
      </c>
      <c r="G303" s="72" t="n">
        <v>3780</v>
      </c>
      <c r="H303" s="72" t="n">
        <v>20.9</v>
      </c>
      <c r="I303" s="72" t="n">
        <v>17939.88</v>
      </c>
      <c r="J303" s="70" t="inlineStr">
        <is>
          <t>Refunded</t>
        </is>
      </c>
      <c r="K303" s="70" t="inlineStr">
        <is>
          <t>Mumbai</t>
        </is>
      </c>
    </row>
    <row r="304" ht="14.25" customHeight="1" s="56">
      <c r="A304" s="70" t="inlineStr">
        <is>
          <t>ORD-00303</t>
        </is>
      </c>
      <c r="B304" s="71" t="n">
        <v>45653</v>
      </c>
      <c r="C304" s="70" t="inlineStr">
        <is>
          <t>CUST-0247</t>
        </is>
      </c>
      <c r="D304" s="70" t="inlineStr">
        <is>
          <t>PROD-012</t>
        </is>
      </c>
      <c r="E304" s="70" t="inlineStr">
        <is>
          <t>R016</t>
        </is>
      </c>
      <c r="F304" s="72" t="n">
        <v>1</v>
      </c>
      <c r="G304" s="72" t="n">
        <v>3160</v>
      </c>
      <c r="H304" s="72" t="n">
        <v>10.7</v>
      </c>
      <c r="I304" s="72" t="n">
        <v>2821.88</v>
      </c>
      <c r="J304" s="70" t="inlineStr">
        <is>
          <t>Completed</t>
        </is>
      </c>
      <c r="K304" s="70" t="inlineStr">
        <is>
          <t>Pune</t>
        </is>
      </c>
    </row>
    <row r="305" ht="14.25" customHeight="1" s="56">
      <c r="A305" s="70" t="inlineStr">
        <is>
          <t>ORD-00881</t>
        </is>
      </c>
      <c r="B305" s="71" t="n">
        <v>45564</v>
      </c>
      <c r="C305" s="70" t="inlineStr">
        <is>
          <t>CUST-0191</t>
        </is>
      </c>
      <c r="D305" s="70" t="inlineStr">
        <is>
          <t>PROD-046</t>
        </is>
      </c>
      <c r="E305" s="70" t="inlineStr">
        <is>
          <t>R010</t>
        </is>
      </c>
      <c r="F305" s="72" t="n">
        <v>5</v>
      </c>
      <c r="G305" s="72" t="n">
        <v>4880</v>
      </c>
      <c r="H305" s="72" t="n">
        <v>11.4</v>
      </c>
      <c r="I305" s="72" t="n">
        <v>21618.4</v>
      </c>
      <c r="J305" s="70" t="inlineStr">
        <is>
          <t>Completed</t>
        </is>
      </c>
      <c r="K305" s="70" t="inlineStr">
        <is>
          <t>Hyderabad</t>
        </is>
      </c>
    </row>
    <row r="306" ht="14.25" customHeight="1" s="56">
      <c r="A306" s="70" t="inlineStr">
        <is>
          <t>ORD-00305</t>
        </is>
      </c>
      <c r="B306" s="71" t="n">
        <v>45633</v>
      </c>
      <c r="C306" s="70" t="inlineStr">
        <is>
          <t>CUST-0167</t>
        </is>
      </c>
      <c r="D306" s="70" t="inlineStr">
        <is>
          <t>PROD-031</t>
        </is>
      </c>
      <c r="E306" s="70" t="inlineStr">
        <is>
          <t>R009</t>
        </is>
      </c>
      <c r="F306" s="72" t="n">
        <v>9</v>
      </c>
      <c r="G306" s="72" t="n">
        <v>3730</v>
      </c>
      <c r="H306" s="72" t="n">
        <v>10</v>
      </c>
      <c r="I306" s="72" t="n">
        <v>30213</v>
      </c>
      <c r="J306" s="70" t="inlineStr">
        <is>
          <t>Completed</t>
        </is>
      </c>
      <c r="K306" s="70" t="inlineStr">
        <is>
          <t>Delhi</t>
        </is>
      </c>
    </row>
    <row r="307" ht="14.25" customHeight="1" s="56">
      <c r="A307" s="70" t="inlineStr">
        <is>
          <t>ORD-00306</t>
        </is>
      </c>
      <c r="B307" s="71" t="n">
        <v>45309</v>
      </c>
      <c r="C307" s="70" t="inlineStr">
        <is>
          <t>CUST-0196</t>
        </is>
      </c>
      <c r="D307" s="70" t="inlineStr">
        <is>
          <t>PROD-034</t>
        </is>
      </c>
      <c r="E307" s="70" t="inlineStr">
        <is>
          <t>R004</t>
        </is>
      </c>
      <c r="F307" s="72" t="n">
        <v>5</v>
      </c>
      <c r="G307" s="72" t="n">
        <v>5080</v>
      </c>
      <c r="H307" s="72" t="n">
        <v>15.3</v>
      </c>
      <c r="I307" s="72" t="n">
        <v>21513.8</v>
      </c>
      <c r="J307" s="70" t="inlineStr">
        <is>
          <t>Completed</t>
        </is>
      </c>
      <c r="K307" s="70" t="inlineStr">
        <is>
          <t>Chennai</t>
        </is>
      </c>
    </row>
    <row r="308" ht="14.25" customHeight="1" s="56">
      <c r="A308" s="70" t="inlineStr">
        <is>
          <t>ORD-00307</t>
        </is>
      </c>
      <c r="B308" s="71" t="n">
        <v>45403</v>
      </c>
      <c r="C308" s="70" t="inlineStr">
        <is>
          <t>CUST-0182</t>
        </is>
      </c>
      <c r="D308" s="70" t="inlineStr">
        <is>
          <t>PROD-042</t>
        </is>
      </c>
      <c r="E308" s="70" t="inlineStr">
        <is>
          <t>R013</t>
        </is>
      </c>
      <c r="F308" s="72" t="n">
        <v>9</v>
      </c>
      <c r="G308" s="72" t="n">
        <v>2290</v>
      </c>
      <c r="H308" s="72" t="n">
        <v>3.3</v>
      </c>
      <c r="I308" s="72" t="n">
        <v>19929.87</v>
      </c>
      <c r="J308" s="70" t="inlineStr">
        <is>
          <t>Pending</t>
        </is>
      </c>
      <c r="K308" s="70" t="inlineStr">
        <is>
          <t>Mumbai</t>
        </is>
      </c>
    </row>
    <row r="309" ht="14.25" customHeight="1" s="56">
      <c r="A309" s="70" t="inlineStr">
        <is>
          <t>ORD-00308</t>
        </is>
      </c>
      <c r="B309" s="71" t="n">
        <v>45554</v>
      </c>
      <c r="C309" s="70" t="inlineStr">
        <is>
          <t>CUST-0246</t>
        </is>
      </c>
      <c r="D309" s="70" t="inlineStr">
        <is>
          <t>PROD-008</t>
        </is>
      </c>
      <c r="E309" s="70" t="inlineStr">
        <is>
          <t>R010</t>
        </is>
      </c>
      <c r="F309" s="72" t="n">
        <v>5</v>
      </c>
      <c r="G309" s="72" t="n">
        <v>2660</v>
      </c>
      <c r="H309" s="72" t="n">
        <v>8.300000000000001</v>
      </c>
      <c r="I309" s="72" t="n">
        <v>12196.1</v>
      </c>
      <c r="J309" s="70" t="inlineStr">
        <is>
          <t>Completed</t>
        </is>
      </c>
      <c r="K309" s="70" t="inlineStr">
        <is>
          <t>Delhi</t>
        </is>
      </c>
    </row>
    <row r="310" ht="14.25" customHeight="1" s="56">
      <c r="A310" s="70" t="inlineStr">
        <is>
          <t>ORD-00309</t>
        </is>
      </c>
      <c r="B310" s="71" t="n">
        <v>45529</v>
      </c>
      <c r="C310" s="70" t="inlineStr">
        <is>
          <t>CUST-0132</t>
        </is>
      </c>
      <c r="D310" s="70" t="inlineStr">
        <is>
          <t>PROD-027</t>
        </is>
      </c>
      <c r="E310" s="70" t="inlineStr">
        <is>
          <t>R025</t>
        </is>
      </c>
      <c r="F310" s="72" t="n">
        <v>6</v>
      </c>
      <c r="G310" s="72" t="n">
        <v>3780</v>
      </c>
      <c r="H310" s="72" t="n">
        <v>28.3</v>
      </c>
      <c r="I310" s="72" t="n">
        <v>16261.56</v>
      </c>
      <c r="J310" s="70" t="inlineStr">
        <is>
          <t>Completed</t>
        </is>
      </c>
      <c r="K310" s="70" t="inlineStr">
        <is>
          <t>Delhi</t>
        </is>
      </c>
    </row>
    <row r="311" ht="14.25" customHeight="1" s="56">
      <c r="A311" s="70" t="inlineStr">
        <is>
          <t>ORD-00310</t>
        </is>
      </c>
      <c r="B311" s="71" t="n">
        <v>45300</v>
      </c>
      <c r="C311" s="70" t="inlineStr">
        <is>
          <t>CUST-0153</t>
        </is>
      </c>
      <c r="D311" s="70" t="inlineStr">
        <is>
          <t>PROD-021</t>
        </is>
      </c>
      <c r="E311" s="70" t="inlineStr">
        <is>
          <t>R028</t>
        </is>
      </c>
      <c r="F311" s="72" t="n">
        <v>5</v>
      </c>
      <c r="G311" s="72" t="n">
        <v>2760</v>
      </c>
      <c r="H311" s="72" t="n">
        <v>4.9</v>
      </c>
      <c r="I311" s="72" t="n">
        <v>13123.8</v>
      </c>
      <c r="J311" s="70" t="inlineStr">
        <is>
          <t>Completed</t>
        </is>
      </c>
      <c r="K311" s="70" t="inlineStr">
        <is>
          <t>Mumbai</t>
        </is>
      </c>
    </row>
    <row r="312" ht="14.25" customHeight="1" s="56">
      <c r="A312" s="70" t="inlineStr">
        <is>
          <t>ORD-00311</t>
        </is>
      </c>
      <c r="B312" s="71" t="n">
        <v>45368</v>
      </c>
      <c r="C312" s="70" t="inlineStr">
        <is>
          <t>CUST-0139</t>
        </is>
      </c>
      <c r="D312" s="70" t="inlineStr">
        <is>
          <t>PROD-041</t>
        </is>
      </c>
      <c r="E312" s="70" t="inlineStr">
        <is>
          <t>R006</t>
        </is>
      </c>
      <c r="F312" s="72" t="n">
        <v>8</v>
      </c>
      <c r="G312" s="72" t="n">
        <v>1540</v>
      </c>
      <c r="H312" s="72" t="n">
        <v>29.4</v>
      </c>
      <c r="I312" s="72" t="n">
        <v>8697.92</v>
      </c>
      <c r="J312" s="70" t="inlineStr">
        <is>
          <t>Cancelled</t>
        </is>
      </c>
      <c r="K312" s="70" t="inlineStr">
        <is>
          <t>Hyderabad</t>
        </is>
      </c>
    </row>
    <row r="313" ht="14.25" customHeight="1" s="56">
      <c r="A313" s="70" t="inlineStr">
        <is>
          <t>ORD-00312</t>
        </is>
      </c>
      <c r="B313" s="71" t="n">
        <v>45374</v>
      </c>
      <c r="C313" s="70" t="inlineStr">
        <is>
          <t>CUST-0256</t>
        </is>
      </c>
      <c r="D313" s="70" t="inlineStr">
        <is>
          <t>PROD-046</t>
        </is>
      </c>
      <c r="E313" s="70" t="inlineStr">
        <is>
          <t>R022</t>
        </is>
      </c>
      <c r="F313" s="72" t="n">
        <v>1</v>
      </c>
      <c r="G313" s="72" t="n">
        <v>4880</v>
      </c>
      <c r="H313" s="72" t="n">
        <v>18.1</v>
      </c>
      <c r="I313" s="72" t="n">
        <v>3996.72</v>
      </c>
      <c r="J313" s="70" t="inlineStr">
        <is>
          <t>Completed</t>
        </is>
      </c>
      <c r="K313" s="70" t="inlineStr">
        <is>
          <t>Hyderabad</t>
        </is>
      </c>
    </row>
    <row r="314" ht="14.25" customHeight="1" s="56">
      <c r="A314" s="70" t="inlineStr">
        <is>
          <t>ORD-00313</t>
        </is>
      </c>
      <c r="B314" s="71" t="n">
        <v>45592</v>
      </c>
      <c r="C314" s="70" t="inlineStr">
        <is>
          <t>CUST-0027</t>
        </is>
      </c>
      <c r="D314" s="70" t="inlineStr">
        <is>
          <t>PROD-024</t>
        </is>
      </c>
      <c r="E314" s="70" t="inlineStr">
        <is>
          <t>R015</t>
        </is>
      </c>
      <c r="F314" s="72" t="n">
        <v>8</v>
      </c>
      <c r="G314" s="72" t="n">
        <v>2270</v>
      </c>
      <c r="H314" s="72" t="n">
        <v>19.8</v>
      </c>
      <c r="I314" s="72" t="n">
        <v>14564.32</v>
      </c>
      <c r="J314" s="70" t="inlineStr">
        <is>
          <t>Pending</t>
        </is>
      </c>
      <c r="K314" s="70" t="inlineStr">
        <is>
          <t>Hyderabad</t>
        </is>
      </c>
    </row>
    <row r="315" ht="14.25" customHeight="1" s="56">
      <c r="A315" s="70" t="inlineStr">
        <is>
          <t>ORD-00314</t>
        </is>
      </c>
      <c r="B315" s="71" t="n">
        <v>45508</v>
      </c>
      <c r="C315" s="70" t="inlineStr">
        <is>
          <t>CUST-0151</t>
        </is>
      </c>
      <c r="D315" s="70" t="inlineStr">
        <is>
          <t>PROD-019</t>
        </is>
      </c>
      <c r="E315" s="70" t="inlineStr">
        <is>
          <t>R010</t>
        </is>
      </c>
      <c r="F315" s="72" t="n">
        <v>10</v>
      </c>
      <c r="G315" s="72" t="n">
        <v>2480</v>
      </c>
      <c r="H315" s="72" t="n">
        <v>24.4</v>
      </c>
      <c r="I315" s="72" t="n">
        <v>18748.8</v>
      </c>
      <c r="J315" s="70" t="inlineStr">
        <is>
          <t>Pending</t>
        </is>
      </c>
      <c r="K315" s="70" t="inlineStr">
        <is>
          <t>Mumbai</t>
        </is>
      </c>
    </row>
    <row r="316" ht="14.25" customHeight="1" s="56">
      <c r="A316" s="70" t="inlineStr">
        <is>
          <t>ORD-00315</t>
        </is>
      </c>
      <c r="B316" s="71" t="n">
        <v>45481</v>
      </c>
      <c r="C316" s="70" t="inlineStr">
        <is>
          <t>CUST-0204</t>
        </is>
      </c>
      <c r="D316" s="70" t="inlineStr">
        <is>
          <t>PROD-045</t>
        </is>
      </c>
      <c r="E316" s="70" t="inlineStr">
        <is>
          <t>R014</t>
        </is>
      </c>
      <c r="F316" s="72" t="n">
        <v>8</v>
      </c>
      <c r="G316" s="72" t="n">
        <v>3020</v>
      </c>
      <c r="H316" s="72" t="n">
        <v>15.2</v>
      </c>
      <c r="I316" s="72" t="n">
        <v>20487.68</v>
      </c>
      <c r="J316" s="70" t="inlineStr">
        <is>
          <t>Pending</t>
        </is>
      </c>
      <c r="K316" s="70" t="inlineStr">
        <is>
          <t>Hyderabad</t>
        </is>
      </c>
    </row>
    <row r="317" ht="14.25" customHeight="1" s="56">
      <c r="A317" s="70" t="inlineStr">
        <is>
          <t>ORD-00316</t>
        </is>
      </c>
      <c r="B317" s="71" t="n">
        <v>45517</v>
      </c>
      <c r="C317" s="70" t="inlineStr">
        <is>
          <t>CUST-0084</t>
        </is>
      </c>
      <c r="D317" s="70" t="inlineStr">
        <is>
          <t>PROD-041</t>
        </is>
      </c>
      <c r="E317" s="70" t="inlineStr">
        <is>
          <t>R019</t>
        </is>
      </c>
      <c r="F317" s="72" t="n">
        <v>10</v>
      </c>
      <c r="G317" s="72" t="n">
        <v>1540</v>
      </c>
      <c r="H317" s="72" t="n">
        <v>0.6</v>
      </c>
      <c r="I317" s="72" t="n">
        <v>15307.6</v>
      </c>
      <c r="J317" s="70" t="inlineStr">
        <is>
          <t>Completed</t>
        </is>
      </c>
      <c r="K317" s="70" t="inlineStr">
        <is>
          <t>Chennai</t>
        </is>
      </c>
    </row>
    <row r="318" ht="14.25" customHeight="1" s="56">
      <c r="A318" s="70" t="inlineStr">
        <is>
          <t>ORD-00317</t>
        </is>
      </c>
      <c r="B318" s="71" t="n">
        <v>45632</v>
      </c>
      <c r="C318" s="70" t="inlineStr">
        <is>
          <t>CUST-0048</t>
        </is>
      </c>
      <c r="D318" s="70" t="inlineStr">
        <is>
          <t>PROD-012</t>
        </is>
      </c>
      <c r="E318" s="70" t="inlineStr">
        <is>
          <t>R001</t>
        </is>
      </c>
      <c r="F318" s="72" t="n">
        <v>7</v>
      </c>
      <c r="G318" s="72" t="n">
        <v>3160</v>
      </c>
      <c r="H318" s="72" t="n">
        <v>8.9</v>
      </c>
      <c r="I318" s="72" t="n">
        <v>20151.32</v>
      </c>
      <c r="J318" s="70" t="inlineStr">
        <is>
          <t>Completed</t>
        </is>
      </c>
      <c r="K318" s="70" t="inlineStr">
        <is>
          <t>Delhi</t>
        </is>
      </c>
    </row>
    <row r="319" ht="14.25" customHeight="1" s="56">
      <c r="A319" s="70" t="inlineStr">
        <is>
          <t>ORD-00318</t>
        </is>
      </c>
      <c r="B319" s="71" t="n">
        <v>45592</v>
      </c>
      <c r="C319" s="70" t="inlineStr">
        <is>
          <t>CUST-0013</t>
        </is>
      </c>
      <c r="D319" s="70" t="inlineStr">
        <is>
          <t>PROD-054</t>
        </is>
      </c>
      <c r="E319" s="70" t="inlineStr">
        <is>
          <t>R013</t>
        </is>
      </c>
      <c r="F319" s="72" t="n">
        <v>6</v>
      </c>
      <c r="G319" s="72" t="n">
        <v>1010</v>
      </c>
      <c r="H319" s="72" t="n">
        <v>12.9</v>
      </c>
      <c r="I319" s="72" t="n">
        <v>5278.26</v>
      </c>
      <c r="J319" s="70" t="inlineStr">
        <is>
          <t>Completed</t>
        </is>
      </c>
      <c r="K319" s="70" t="inlineStr">
        <is>
          <t>Delhi</t>
        </is>
      </c>
    </row>
    <row r="320" ht="14.25" customHeight="1" s="56">
      <c r="A320" s="70" t="inlineStr">
        <is>
          <t>ORD-00319</t>
        </is>
      </c>
      <c r="B320" s="71" t="n">
        <v>45450</v>
      </c>
      <c r="C320" s="70" t="inlineStr">
        <is>
          <t>CUST-0245</t>
        </is>
      </c>
      <c r="D320" s="70" t="inlineStr">
        <is>
          <t>PROD-039</t>
        </is>
      </c>
      <c r="E320" s="70" t="inlineStr">
        <is>
          <t>R020</t>
        </is>
      </c>
      <c r="F320" s="72" t="n">
        <v>4</v>
      </c>
      <c r="G320" s="72" t="n">
        <v>4610</v>
      </c>
      <c r="H320" s="72" t="n">
        <v>18.2</v>
      </c>
      <c r="I320" s="72" t="n">
        <v>15083.92</v>
      </c>
      <c r="J320" s="70" t="inlineStr">
        <is>
          <t>Completed</t>
        </is>
      </c>
      <c r="K320" s="70" t="inlineStr">
        <is>
          <t>Hyderabad</t>
        </is>
      </c>
    </row>
    <row r="321" ht="14.25" customHeight="1" s="56">
      <c r="A321" s="70" t="inlineStr">
        <is>
          <t>ORD-00320</t>
        </is>
      </c>
      <c r="B321" s="71" t="n">
        <v>45343</v>
      </c>
      <c r="C321" s="70" t="inlineStr">
        <is>
          <t>CUST-0031</t>
        </is>
      </c>
      <c r="D321" s="70" t="inlineStr">
        <is>
          <t>PROD-025</t>
        </is>
      </c>
      <c r="E321" s="70" t="inlineStr">
        <is>
          <t>R029</t>
        </is>
      </c>
      <c r="F321" s="72" t="n">
        <v>6</v>
      </c>
      <c r="G321" s="72" t="n">
        <v>4060</v>
      </c>
      <c r="H321" s="72" t="n">
        <v>24.3</v>
      </c>
      <c r="I321" s="72" t="n">
        <v>18440.52</v>
      </c>
      <c r="J321" s="70" t="inlineStr">
        <is>
          <t>Completed</t>
        </is>
      </c>
      <c r="K321" s="70" t="inlineStr">
        <is>
          <t>Hyderabad</t>
        </is>
      </c>
    </row>
    <row r="322" ht="14.25" customHeight="1" s="56">
      <c r="A322" s="70" t="inlineStr">
        <is>
          <t>ORD-00321</t>
        </is>
      </c>
      <c r="B322" s="71" t="n">
        <v>45509</v>
      </c>
      <c r="C322" s="70" t="inlineStr">
        <is>
          <t>CUST-0212</t>
        </is>
      </c>
      <c r="D322" s="70" t="inlineStr">
        <is>
          <t>PROD-016</t>
        </is>
      </c>
      <c r="E322" s="70" t="inlineStr">
        <is>
          <t>R001</t>
        </is>
      </c>
      <c r="F322" s="72" t="n">
        <v>5</v>
      </c>
      <c r="G322" s="72" t="n">
        <v>620</v>
      </c>
      <c r="H322" s="72" t="n">
        <v>10.7</v>
      </c>
      <c r="I322" s="72" t="n">
        <v>2768.3</v>
      </c>
      <c r="J322" s="70" t="inlineStr">
        <is>
          <t>Refunded</t>
        </is>
      </c>
      <c r="K322" s="70" t="inlineStr">
        <is>
          <t>Chennai</t>
        </is>
      </c>
    </row>
    <row r="323" ht="14.25" customHeight="1" s="56">
      <c r="A323" s="70" t="inlineStr">
        <is>
          <t>ORD-00322</t>
        </is>
      </c>
      <c r="B323" s="71" t="n">
        <v>45513</v>
      </c>
      <c r="C323" s="70" t="inlineStr">
        <is>
          <t>CUST-0104</t>
        </is>
      </c>
      <c r="D323" s="70" t="inlineStr">
        <is>
          <t>PROD-018</t>
        </is>
      </c>
      <c r="E323" s="70" t="inlineStr">
        <is>
          <t>R003</t>
        </is>
      </c>
      <c r="F323" s="72" t="n">
        <v>3</v>
      </c>
      <c r="G323" s="72" t="n">
        <v>3560</v>
      </c>
      <c r="H323" s="72" t="n">
        <v>4.1</v>
      </c>
      <c r="I323" s="72" t="n">
        <v>10242.12</v>
      </c>
      <c r="J323" s="70" t="inlineStr">
        <is>
          <t>Completed</t>
        </is>
      </c>
      <c r="K323" s="70" t="inlineStr">
        <is>
          <t>Hyderabad</t>
        </is>
      </c>
    </row>
    <row r="324" ht="14.25" customHeight="1" s="56">
      <c r="A324" s="70" t="inlineStr">
        <is>
          <t>ORD-00323</t>
        </is>
      </c>
      <c r="B324" s="71" t="n">
        <v>45500</v>
      </c>
      <c r="C324" s="70" t="inlineStr">
        <is>
          <t>CUST-0157</t>
        </is>
      </c>
      <c r="D324" s="70" t="inlineStr">
        <is>
          <t>PROD-058</t>
        </is>
      </c>
      <c r="E324" s="70" t="inlineStr">
        <is>
          <t>R012</t>
        </is>
      </c>
      <c r="F324" s="72" t="n">
        <v>2</v>
      </c>
      <c r="G324" s="72" t="n">
        <v>2400</v>
      </c>
      <c r="H324" s="72" t="n">
        <v>13</v>
      </c>
      <c r="I324" s="72" t="n">
        <v>4176</v>
      </c>
      <c r="J324" s="70" t="inlineStr">
        <is>
          <t>Completed</t>
        </is>
      </c>
      <c r="K324" s="70" t="inlineStr">
        <is>
          <t>Pune</t>
        </is>
      </c>
    </row>
    <row r="325" ht="14.25" customHeight="1" s="56">
      <c r="A325" s="70" t="inlineStr">
        <is>
          <t>ORD-00324</t>
        </is>
      </c>
      <c r="B325" s="71" t="n">
        <v>45407</v>
      </c>
      <c r="C325" s="70" t="inlineStr">
        <is>
          <t>CUST-0004</t>
        </is>
      </c>
      <c r="D325" s="70" t="inlineStr">
        <is>
          <t>PROD-056</t>
        </is>
      </c>
      <c r="E325" s="70" t="inlineStr">
        <is>
          <t>R006</t>
        </is>
      </c>
      <c r="F325" s="72" t="n">
        <v>9</v>
      </c>
      <c r="G325" s="72" t="n">
        <v>6940</v>
      </c>
      <c r="H325" s="72" t="n">
        <v>26.2</v>
      </c>
      <c r="I325" s="72" t="n">
        <v>46095.48</v>
      </c>
      <c r="J325" s="70" t="inlineStr">
        <is>
          <t>Completed</t>
        </is>
      </c>
      <c r="K325" s="70" t="inlineStr">
        <is>
          <t>Delhi</t>
        </is>
      </c>
    </row>
    <row r="326" ht="14.25" customHeight="1" s="56">
      <c r="A326" s="70" t="inlineStr">
        <is>
          <t>ORD-00325</t>
        </is>
      </c>
      <c r="B326" s="71" t="n">
        <v>45385</v>
      </c>
      <c r="C326" s="70" t="inlineStr">
        <is>
          <t>CUST-0003</t>
        </is>
      </c>
      <c r="D326" s="70" t="inlineStr">
        <is>
          <t>PROD-023</t>
        </is>
      </c>
      <c r="E326" s="70" t="inlineStr">
        <is>
          <t>R025</t>
        </is>
      </c>
      <c r="F326" s="72" t="n">
        <v>9</v>
      </c>
      <c r="G326" s="72" t="n">
        <v>2380</v>
      </c>
      <c r="H326" s="72" t="n">
        <v>22.7</v>
      </c>
      <c r="I326" s="72" t="n">
        <v>16557.66</v>
      </c>
      <c r="J326" s="70" t="inlineStr">
        <is>
          <t>Completed</t>
        </is>
      </c>
      <c r="K326" s="70" t="inlineStr">
        <is>
          <t>Mumbai</t>
        </is>
      </c>
    </row>
    <row r="327" ht="14.25" customHeight="1" s="56">
      <c r="A327" s="70" t="inlineStr">
        <is>
          <t>ORD-00326</t>
        </is>
      </c>
      <c r="B327" s="71" t="n">
        <v>45542</v>
      </c>
      <c r="C327" s="70" t="inlineStr">
        <is>
          <t>CUST-0175</t>
        </is>
      </c>
      <c r="D327" s="70" t="inlineStr">
        <is>
          <t>PROD-014</t>
        </is>
      </c>
      <c r="E327" s="70" t="inlineStr">
        <is>
          <t>R028</t>
        </is>
      </c>
      <c r="F327" s="72" t="n">
        <v>6</v>
      </c>
      <c r="G327" s="72" t="n">
        <v>3620</v>
      </c>
      <c r="H327" s="72" t="n">
        <v>9.199999999999999</v>
      </c>
      <c r="I327" s="72" t="n">
        <v>19721.76</v>
      </c>
      <c r="J327" s="70" t="inlineStr">
        <is>
          <t>Completed</t>
        </is>
      </c>
      <c r="K327" s="70" t="inlineStr">
        <is>
          <t>Delhi</t>
        </is>
      </c>
    </row>
    <row r="328" ht="14.25" customHeight="1" s="56">
      <c r="A328" s="70" t="inlineStr">
        <is>
          <t>ORD-00327</t>
        </is>
      </c>
      <c r="B328" s="71" t="n">
        <v>45422</v>
      </c>
      <c r="C328" s="70" t="inlineStr">
        <is>
          <t>CUST-0104</t>
        </is>
      </c>
      <c r="D328" s="70" t="inlineStr">
        <is>
          <t>PROD-050</t>
        </is>
      </c>
      <c r="E328" s="70" t="inlineStr">
        <is>
          <t>R004</t>
        </is>
      </c>
      <c r="F328" s="72" t="n">
        <v>1</v>
      </c>
      <c r="G328" s="72" t="n">
        <v>6080</v>
      </c>
      <c r="H328" s="72" t="n">
        <v>29.4</v>
      </c>
      <c r="I328" s="72" t="n">
        <v>4292.48</v>
      </c>
      <c r="J328" s="70" t="inlineStr">
        <is>
          <t>Cancelled</t>
        </is>
      </c>
      <c r="K328" s="70" t="inlineStr">
        <is>
          <t>Hyderabad</t>
        </is>
      </c>
    </row>
    <row r="329" ht="14.25" customHeight="1" s="56">
      <c r="A329" s="70" t="inlineStr">
        <is>
          <t>ORD-00328</t>
        </is>
      </c>
      <c r="B329" s="71" t="n">
        <v>45343</v>
      </c>
      <c r="C329" s="70" t="inlineStr">
        <is>
          <t>CUST-0196</t>
        </is>
      </c>
      <c r="D329" s="70" t="inlineStr">
        <is>
          <t>PROD-020</t>
        </is>
      </c>
      <c r="E329" s="70" t="inlineStr">
        <is>
          <t>R018</t>
        </is>
      </c>
      <c r="F329" s="72" t="n">
        <v>6</v>
      </c>
      <c r="G329" s="72" t="n">
        <v>820</v>
      </c>
      <c r="H329" s="72" t="n">
        <v>29.1</v>
      </c>
      <c r="I329" s="72" t="n">
        <v>3488.28</v>
      </c>
      <c r="J329" s="70" t="inlineStr">
        <is>
          <t>Completed</t>
        </is>
      </c>
      <c r="K329" s="70" t="inlineStr">
        <is>
          <t>Chennai</t>
        </is>
      </c>
    </row>
    <row r="330" ht="14.25" customHeight="1" s="56">
      <c r="A330" s="70" t="inlineStr">
        <is>
          <t>ORD-00329</t>
        </is>
      </c>
      <c r="B330" s="71" t="n">
        <v>45646</v>
      </c>
      <c r="C330" s="70" t="inlineStr">
        <is>
          <t>CUST-0299</t>
        </is>
      </c>
      <c r="D330" s="70" t="inlineStr">
        <is>
          <t>PROD-045</t>
        </is>
      </c>
      <c r="E330" s="70" t="inlineStr">
        <is>
          <t>R024</t>
        </is>
      </c>
      <c r="F330" s="72" t="n">
        <v>9</v>
      </c>
      <c r="G330" s="72" t="n">
        <v>3020</v>
      </c>
      <c r="H330" s="72" t="n">
        <v>7.9</v>
      </c>
      <c r="I330" s="72" t="n">
        <v>25032.78</v>
      </c>
      <c r="J330" s="70" t="inlineStr">
        <is>
          <t>Completed</t>
        </is>
      </c>
      <c r="K330" s="70" t="inlineStr">
        <is>
          <t>Mumbai</t>
        </is>
      </c>
    </row>
    <row r="331" ht="14.25" customHeight="1" s="56">
      <c r="A331" s="70" t="inlineStr">
        <is>
          <t>ORD-00330</t>
        </is>
      </c>
      <c r="B331" s="71" t="n">
        <v>45645</v>
      </c>
      <c r="C331" s="70" t="inlineStr">
        <is>
          <t>CUST-0066</t>
        </is>
      </c>
      <c r="D331" s="70" t="inlineStr">
        <is>
          <t>PROD-004</t>
        </is>
      </c>
      <c r="E331" s="70" t="inlineStr">
        <is>
          <t>R029</t>
        </is>
      </c>
      <c r="F331" s="72" t="n">
        <v>8</v>
      </c>
      <c r="G331" s="72" t="n">
        <v>3870</v>
      </c>
      <c r="H331" s="72" t="n">
        <v>11.9</v>
      </c>
      <c r="I331" s="72" t="n">
        <v>27275.76</v>
      </c>
      <c r="J331" s="70" t="inlineStr">
        <is>
          <t>Completed</t>
        </is>
      </c>
      <c r="K331" s="70" t="inlineStr">
        <is>
          <t>Delhi</t>
        </is>
      </c>
    </row>
    <row r="332" ht="14.25" customHeight="1" s="56">
      <c r="A332" s="70" t="inlineStr">
        <is>
          <t>ORD-00331</t>
        </is>
      </c>
      <c r="B332" s="71" t="n">
        <v>45528</v>
      </c>
      <c r="C332" s="70" t="inlineStr">
        <is>
          <t>CUST-0080</t>
        </is>
      </c>
      <c r="D332" s="70" t="inlineStr">
        <is>
          <t>PROD-047</t>
        </is>
      </c>
      <c r="E332" s="70" t="inlineStr">
        <is>
          <t>R030</t>
        </is>
      </c>
      <c r="F332" s="72" t="n">
        <v>6</v>
      </c>
      <c r="G332" s="72" t="n">
        <v>3450</v>
      </c>
      <c r="H332" s="72" t="n">
        <v>13.9</v>
      </c>
      <c r="I332" s="72" t="n">
        <v>17822.7</v>
      </c>
      <c r="J332" s="70" t="inlineStr">
        <is>
          <t>Completed</t>
        </is>
      </c>
      <c r="K332" s="70" t="inlineStr">
        <is>
          <t>Pune</t>
        </is>
      </c>
    </row>
    <row r="333" ht="14.25" customHeight="1" s="56">
      <c r="A333" s="70" t="inlineStr">
        <is>
          <t>ORD-00332</t>
        </is>
      </c>
      <c r="B333" s="71" t="n">
        <v>45655</v>
      </c>
      <c r="C333" s="70" t="inlineStr">
        <is>
          <t>CUST-0138</t>
        </is>
      </c>
      <c r="D333" s="70" t="inlineStr">
        <is>
          <t>PROD-048</t>
        </is>
      </c>
      <c r="E333" s="70" t="inlineStr">
        <is>
          <t>R008</t>
        </is>
      </c>
      <c r="F333" s="72" t="n">
        <v>9</v>
      </c>
      <c r="G333" s="72" t="n">
        <v>5100</v>
      </c>
      <c r="H333" s="72" t="n">
        <v>2.1</v>
      </c>
      <c r="I333" s="72" t="n">
        <v>44936.1</v>
      </c>
      <c r="J333" s="70" t="inlineStr">
        <is>
          <t>Completed</t>
        </is>
      </c>
      <c r="K333" s="70" t="inlineStr">
        <is>
          <t>Chennai</t>
        </is>
      </c>
    </row>
    <row r="334" ht="14.25" customHeight="1" s="56">
      <c r="A334" s="70" t="inlineStr">
        <is>
          <t>ORD-00333</t>
        </is>
      </c>
      <c r="B334" s="71" t="n">
        <v>45518</v>
      </c>
      <c r="C334" s="70" t="inlineStr">
        <is>
          <t>CUST-0253</t>
        </is>
      </c>
      <c r="D334" s="70" t="inlineStr">
        <is>
          <t>PROD-026</t>
        </is>
      </c>
      <c r="E334" s="70" t="inlineStr">
        <is>
          <t>R008</t>
        </is>
      </c>
      <c r="F334" s="72" t="n">
        <v>2</v>
      </c>
      <c r="G334" s="72" t="n">
        <v>4070</v>
      </c>
      <c r="H334" s="72" t="n">
        <v>28.6</v>
      </c>
      <c r="I334" s="72" t="n">
        <v>5811.96</v>
      </c>
      <c r="J334" s="70" t="inlineStr">
        <is>
          <t>Completed</t>
        </is>
      </c>
      <c r="K334" s="70" t="inlineStr">
        <is>
          <t>Delhi</t>
        </is>
      </c>
    </row>
    <row r="335" ht="14.25" customHeight="1" s="56">
      <c r="A335" s="70" t="inlineStr">
        <is>
          <t>ORD-00334</t>
        </is>
      </c>
      <c r="B335" s="71" t="n">
        <v>45339</v>
      </c>
      <c r="C335" s="70" t="inlineStr">
        <is>
          <t>CUST-0247</t>
        </is>
      </c>
      <c r="D335" s="70" t="inlineStr">
        <is>
          <t>PROD-001</t>
        </is>
      </c>
      <c r="E335" s="70" t="inlineStr">
        <is>
          <t>R007</t>
        </is>
      </c>
      <c r="F335" s="72" t="n">
        <v>9</v>
      </c>
      <c r="G335" s="72" t="n">
        <v>5330</v>
      </c>
      <c r="H335" s="72" t="n">
        <v>6.2</v>
      </c>
      <c r="I335" s="72" t="n">
        <v>44995.86</v>
      </c>
      <c r="J335" s="70" t="inlineStr">
        <is>
          <t>Completed</t>
        </is>
      </c>
      <c r="K335" s="70" t="inlineStr">
        <is>
          <t>Pune</t>
        </is>
      </c>
    </row>
    <row r="336" ht="14.25" customHeight="1" s="56">
      <c r="A336" s="70" t="inlineStr">
        <is>
          <t>ORD-00335</t>
        </is>
      </c>
      <c r="B336" s="71" t="n">
        <v>45319</v>
      </c>
      <c r="C336" s="70" t="inlineStr">
        <is>
          <t>CUST-0269</t>
        </is>
      </c>
      <c r="D336" s="70" t="inlineStr">
        <is>
          <t>PROD-024</t>
        </is>
      </c>
      <c r="E336" s="70" t="inlineStr">
        <is>
          <t>R020</t>
        </is>
      </c>
      <c r="F336" s="72" t="n">
        <v>6</v>
      </c>
      <c r="G336" s="72" t="n">
        <v>2270</v>
      </c>
      <c r="H336" s="72" t="n">
        <v>23.7</v>
      </c>
      <c r="I336" s="72" t="n">
        <v>10392.06</v>
      </c>
      <c r="J336" s="70" t="inlineStr">
        <is>
          <t>Completed</t>
        </is>
      </c>
      <c r="K336" s="70" t="inlineStr">
        <is>
          <t>PUNE</t>
        </is>
      </c>
    </row>
    <row r="337" ht="14.25" customHeight="1" s="56">
      <c r="A337" s="70" t="inlineStr">
        <is>
          <t>ORD-00336</t>
        </is>
      </c>
      <c r="B337" s="71" t="n">
        <v>45618</v>
      </c>
      <c r="C337" s="70" t="inlineStr">
        <is>
          <t>CUST-0008</t>
        </is>
      </c>
      <c r="D337" s="70" t="inlineStr">
        <is>
          <t>PROD-017</t>
        </is>
      </c>
      <c r="E337" s="70" t="inlineStr">
        <is>
          <t>R024</t>
        </is>
      </c>
      <c r="F337" s="72" t="n">
        <v>5</v>
      </c>
      <c r="G337" s="72" t="n">
        <v>2510</v>
      </c>
      <c r="H337" s="72" t="n">
        <v>25</v>
      </c>
      <c r="I337" s="72" t="n">
        <v>9412.5</v>
      </c>
      <c r="J337" s="70" t="inlineStr">
        <is>
          <t>Completed</t>
        </is>
      </c>
      <c r="K337" s="70" t="inlineStr">
        <is>
          <t>Pune</t>
        </is>
      </c>
    </row>
    <row r="338" ht="14.25" customHeight="1" s="56">
      <c r="A338" s="70" t="inlineStr">
        <is>
          <t>ORD-00337</t>
        </is>
      </c>
      <c r="B338" s="71" t="n">
        <v>45335</v>
      </c>
      <c r="C338" s="70" t="inlineStr">
        <is>
          <t>CUST-0134</t>
        </is>
      </c>
      <c r="D338" s="70" t="inlineStr">
        <is>
          <t>PROD-023</t>
        </is>
      </c>
      <c r="E338" s="70" t="inlineStr">
        <is>
          <t>R019</t>
        </is>
      </c>
      <c r="F338" s="72" t="n">
        <v>9</v>
      </c>
      <c r="G338" s="72" t="n">
        <v>2380</v>
      </c>
      <c r="H338" s="72" t="n">
        <v>16.8</v>
      </c>
      <c r="I338" s="72" t="n">
        <v>17821.44</v>
      </c>
      <c r="J338" s="70" t="inlineStr">
        <is>
          <t>Completed</t>
        </is>
      </c>
      <c r="K338" s="70" t="inlineStr">
        <is>
          <t>Delhi</t>
        </is>
      </c>
    </row>
    <row r="339" ht="14.25" customHeight="1" s="56">
      <c r="A339" s="70" t="inlineStr">
        <is>
          <t>ORD-00338</t>
        </is>
      </c>
      <c r="B339" s="71" t="n">
        <v>45420</v>
      </c>
      <c r="C339" s="70" t="inlineStr">
        <is>
          <t>CUST-0016</t>
        </is>
      </c>
      <c r="D339" s="70" t="inlineStr">
        <is>
          <t>PROD-011</t>
        </is>
      </c>
      <c r="E339" s="70" t="inlineStr">
        <is>
          <t>R008</t>
        </is>
      </c>
      <c r="F339" s="72" t="n">
        <v>1</v>
      </c>
      <c r="G339" s="72" t="n">
        <v>3450</v>
      </c>
      <c r="H339" s="72" t="n">
        <v>1.5</v>
      </c>
      <c r="I339" s="72" t="n">
        <v>3398.25</v>
      </c>
      <c r="J339" s="70" t="inlineStr">
        <is>
          <t>Refunded</t>
        </is>
      </c>
      <c r="K339" s="70" t="inlineStr">
        <is>
          <t>Delhi</t>
        </is>
      </c>
    </row>
    <row r="340" ht="14.25" customHeight="1" s="56">
      <c r="A340" s="70" t="inlineStr">
        <is>
          <t>ORD-00339</t>
        </is>
      </c>
      <c r="B340" s="71" t="n">
        <v>45295</v>
      </c>
      <c r="C340" s="70" t="inlineStr">
        <is>
          <t>CUST-0281</t>
        </is>
      </c>
      <c r="D340" s="70" t="inlineStr">
        <is>
          <t>PROD-003</t>
        </is>
      </c>
      <c r="E340" s="70" t="inlineStr">
        <is>
          <t>R002</t>
        </is>
      </c>
      <c r="F340" s="72" t="n">
        <v>5</v>
      </c>
      <c r="G340" s="72" t="n">
        <v>3570</v>
      </c>
      <c r="H340" s="72" t="n">
        <v>12.8</v>
      </c>
      <c r="I340" s="72" t="n">
        <v>15565.2</v>
      </c>
      <c r="J340" s="70" t="inlineStr">
        <is>
          <t>Completed</t>
        </is>
      </c>
      <c r="K340" s="70" t="inlineStr">
        <is>
          <t>Bengaluru</t>
        </is>
      </c>
    </row>
    <row r="341" ht="14.25" customHeight="1" s="56">
      <c r="A341" s="70" t="inlineStr">
        <is>
          <t>ORD-00340</t>
        </is>
      </c>
      <c r="B341" s="71" t="n">
        <v>45590</v>
      </c>
      <c r="C341" s="70" t="inlineStr">
        <is>
          <t>CUST-0267</t>
        </is>
      </c>
      <c r="D341" s="70" t="inlineStr">
        <is>
          <t>PROD-001</t>
        </is>
      </c>
      <c r="E341" s="70" t="inlineStr">
        <is>
          <t>R029</t>
        </is>
      </c>
      <c r="F341" s="72" t="n">
        <v>3</v>
      </c>
      <c r="G341" s="72" t="n">
        <v>5330</v>
      </c>
      <c r="H341" s="72" t="n">
        <v>16.2</v>
      </c>
      <c r="I341" s="72" t="n">
        <v>13399.62</v>
      </c>
      <c r="J341" s="70" t="inlineStr">
        <is>
          <t>Completed</t>
        </is>
      </c>
      <c r="K341" s="70" t="inlineStr">
        <is>
          <t>Hyderabad</t>
        </is>
      </c>
    </row>
    <row r="342" ht="14.25" customHeight="1" s="56">
      <c r="A342" s="70" t="inlineStr">
        <is>
          <t>ORD-00341</t>
        </is>
      </c>
      <c r="B342" s="71" t="n">
        <v>45341</v>
      </c>
      <c r="C342" s="70" t="inlineStr">
        <is>
          <t>CUST-0279</t>
        </is>
      </c>
      <c r="D342" s="70" t="inlineStr">
        <is>
          <t>PROD-028</t>
        </is>
      </c>
      <c r="E342" s="70" t="inlineStr">
        <is>
          <t>R027</t>
        </is>
      </c>
      <c r="F342" s="72" t="n">
        <v>3</v>
      </c>
      <c r="G342" s="72" t="n">
        <v>3660</v>
      </c>
      <c r="H342" s="72" t="n">
        <v>25.3</v>
      </c>
      <c r="I342" s="72" t="n">
        <v>8202.059999999999</v>
      </c>
      <c r="J342" s="70" t="inlineStr">
        <is>
          <t>Completed</t>
        </is>
      </c>
      <c r="K342" s="70" t="inlineStr">
        <is>
          <t>Mumbai</t>
        </is>
      </c>
    </row>
    <row r="343" ht="14.25" customHeight="1" s="56">
      <c r="A343" s="70" t="inlineStr">
        <is>
          <t>ORD-00342</t>
        </is>
      </c>
      <c r="B343" s="71" t="n">
        <v>45600</v>
      </c>
      <c r="C343" s="70" t="inlineStr">
        <is>
          <t>CUST-0036</t>
        </is>
      </c>
      <c r="D343" s="70" t="inlineStr">
        <is>
          <t>PROD-054</t>
        </is>
      </c>
      <c r="E343" s="70" t="inlineStr">
        <is>
          <t>R015</t>
        </is>
      </c>
      <c r="F343" s="72" t="n">
        <v>2</v>
      </c>
      <c r="G343" s="72" t="n">
        <v>1010</v>
      </c>
      <c r="H343" s="72" t="n">
        <v>29.2</v>
      </c>
      <c r="I343" s="72" t="n">
        <v>1430.16</v>
      </c>
      <c r="J343" s="70" t="inlineStr">
        <is>
          <t>Completed</t>
        </is>
      </c>
      <c r="K343" s="70" t="inlineStr">
        <is>
          <t>Mumbai</t>
        </is>
      </c>
    </row>
    <row r="344" ht="14.25" customHeight="1" s="56">
      <c r="A344" s="70" t="inlineStr">
        <is>
          <t>ORD-00343</t>
        </is>
      </c>
      <c r="B344" s="71" t="n">
        <v>45506</v>
      </c>
      <c r="C344" s="70" t="inlineStr">
        <is>
          <t>CUST-0295</t>
        </is>
      </c>
      <c r="D344" s="70" t="inlineStr">
        <is>
          <t>PROD-040</t>
        </is>
      </c>
      <c r="E344" s="70" t="inlineStr">
        <is>
          <t>R015</t>
        </is>
      </c>
      <c r="F344" s="72" t="n">
        <v>1</v>
      </c>
      <c r="G344" s="72" t="n">
        <v>1080</v>
      </c>
      <c r="H344" s="72" t="n">
        <v>1.8</v>
      </c>
      <c r="I344" s="72" t="n">
        <v>1060.56</v>
      </c>
      <c r="J344" s="70" t="inlineStr">
        <is>
          <t>Completed</t>
        </is>
      </c>
      <c r="K344" s="70" t="inlineStr">
        <is>
          <t>Delhi</t>
        </is>
      </c>
    </row>
    <row r="345" ht="14.25" customHeight="1" s="56">
      <c r="A345" s="70" t="inlineStr">
        <is>
          <t>ORD-00344</t>
        </is>
      </c>
      <c r="B345" s="71" t="n">
        <v>45414</v>
      </c>
      <c r="C345" s="70" t="inlineStr">
        <is>
          <t>CUST-0106</t>
        </is>
      </c>
      <c r="D345" s="70" t="inlineStr">
        <is>
          <t>PROD-051</t>
        </is>
      </c>
      <c r="E345" s="70" t="inlineStr">
        <is>
          <t>R010</t>
        </is>
      </c>
      <c r="F345" s="72" t="n">
        <v>8</v>
      </c>
      <c r="G345" s="72" t="n">
        <v>3450</v>
      </c>
      <c r="H345" s="72" t="n">
        <v>20.4</v>
      </c>
      <c r="I345" s="72" t="n">
        <v>21969.6</v>
      </c>
      <c r="J345" s="70" t="inlineStr">
        <is>
          <t>Completed</t>
        </is>
      </c>
      <c r="K345" s="70" t="inlineStr">
        <is>
          <t>Pune</t>
        </is>
      </c>
    </row>
    <row r="346" ht="14.25" customHeight="1" s="56">
      <c r="A346" s="70" t="inlineStr">
        <is>
          <t>ORD-00593</t>
        </is>
      </c>
      <c r="B346" s="71" t="n">
        <v>45553</v>
      </c>
      <c r="C346" s="70" t="inlineStr">
        <is>
          <t>CUST-0070</t>
        </is>
      </c>
      <c r="D346" s="70" t="inlineStr">
        <is>
          <t>PROD-056</t>
        </is>
      </c>
      <c r="E346" s="70" t="inlineStr">
        <is>
          <t>R015</t>
        </is>
      </c>
      <c r="F346" s="72" t="n">
        <v>8</v>
      </c>
      <c r="G346" s="72" t="n">
        <v>6940</v>
      </c>
      <c r="H346" s="72" t="n">
        <v>19.4</v>
      </c>
      <c r="I346" s="72" t="n">
        <v>44749.12</v>
      </c>
      <c r="J346" s="70" t="inlineStr">
        <is>
          <t>Completed</t>
        </is>
      </c>
      <c r="K346" s="70" t="inlineStr">
        <is>
          <t>Mumbai</t>
        </is>
      </c>
    </row>
    <row r="347" ht="14.25" customHeight="1" s="56">
      <c r="A347" s="70" t="inlineStr">
        <is>
          <t>ORD-00346</t>
        </is>
      </c>
      <c r="B347" s="71" t="n">
        <v>45434</v>
      </c>
      <c r="C347" s="70" t="inlineStr">
        <is>
          <t>CUST-0062</t>
        </is>
      </c>
      <c r="D347" s="70" t="inlineStr">
        <is>
          <t>PROD-041</t>
        </is>
      </c>
      <c r="E347" s="70" t="inlineStr">
        <is>
          <t>R003</t>
        </is>
      </c>
      <c r="F347" s="72" t="n">
        <v>2</v>
      </c>
      <c r="G347" s="72" t="n">
        <v>1540</v>
      </c>
      <c r="H347" s="72" t="n">
        <v>9.300000000000001</v>
      </c>
      <c r="I347" s="72" t="n">
        <v>2793.56</v>
      </c>
      <c r="J347" s="70" t="inlineStr">
        <is>
          <t>Completed</t>
        </is>
      </c>
      <c r="K347" s="70" t="inlineStr">
        <is>
          <t>Pune</t>
        </is>
      </c>
    </row>
    <row r="348" ht="14.25" customHeight="1" s="56">
      <c r="A348" s="70" t="inlineStr">
        <is>
          <t>ORD-00347</t>
        </is>
      </c>
      <c r="B348" s="71" t="n">
        <v>45446</v>
      </c>
      <c r="C348" s="70" t="inlineStr">
        <is>
          <t>CUST-0241</t>
        </is>
      </c>
      <c r="D348" s="70" t="inlineStr">
        <is>
          <t>PROD-010</t>
        </is>
      </c>
      <c r="E348" s="70" t="inlineStr">
        <is>
          <t>R015</t>
        </is>
      </c>
      <c r="F348" s="72" t="n">
        <v>4</v>
      </c>
      <c r="G348" s="72" t="n">
        <v>2640</v>
      </c>
      <c r="H348" s="72" t="n">
        <v>23.2</v>
      </c>
      <c r="I348" s="72" t="n">
        <v>8110.08</v>
      </c>
      <c r="J348" s="70" t="inlineStr">
        <is>
          <t>Refunded</t>
        </is>
      </c>
      <c r="K348" s="70" t="inlineStr">
        <is>
          <t>Pune</t>
        </is>
      </c>
    </row>
    <row r="349" ht="14.25" customHeight="1" s="56">
      <c r="A349" s="70" t="inlineStr">
        <is>
          <t>ORD-00348</t>
        </is>
      </c>
      <c r="B349" s="71" t="n">
        <v>45626</v>
      </c>
      <c r="C349" s="70" t="inlineStr">
        <is>
          <t>CUST-0001</t>
        </is>
      </c>
      <c r="D349" s="70" t="inlineStr">
        <is>
          <t>PROD-052</t>
        </is>
      </c>
      <c r="E349" s="70" t="inlineStr">
        <is>
          <t>R024</t>
        </is>
      </c>
      <c r="F349" s="72" t="n">
        <v>6</v>
      </c>
      <c r="G349" s="72" t="n">
        <v>5410</v>
      </c>
      <c r="H349" s="72" t="n">
        <v>29.4</v>
      </c>
      <c r="I349" s="72" t="n">
        <v>22916.76</v>
      </c>
      <c r="J349" s="70" t="inlineStr">
        <is>
          <t>Completed</t>
        </is>
      </c>
      <c r="K349" s="70" t="inlineStr">
        <is>
          <t>Pune</t>
        </is>
      </c>
    </row>
    <row r="350" ht="14.25" customHeight="1" s="56">
      <c r="A350" s="70" t="inlineStr">
        <is>
          <t>ORD-00349</t>
        </is>
      </c>
      <c r="B350" s="71" t="n">
        <v>45459</v>
      </c>
      <c r="C350" s="70" t="inlineStr">
        <is>
          <t>CUST-0181</t>
        </is>
      </c>
      <c r="D350" s="70" t="inlineStr">
        <is>
          <t>PROD-003</t>
        </is>
      </c>
      <c r="E350" s="70" t="inlineStr">
        <is>
          <t>R027</t>
        </is>
      </c>
      <c r="F350" s="72" t="n">
        <v>1</v>
      </c>
      <c r="G350" s="72" t="n">
        <v>3570</v>
      </c>
      <c r="H350" s="72" t="n">
        <v>4.3</v>
      </c>
      <c r="I350" s="72" t="n">
        <v>3416.49</v>
      </c>
      <c r="J350" s="70" t="inlineStr">
        <is>
          <t>Completed</t>
        </is>
      </c>
      <c r="K350" s="70" t="inlineStr">
        <is>
          <t>Delhi</t>
        </is>
      </c>
    </row>
    <row r="351" ht="14.25" customHeight="1" s="56">
      <c r="A351" s="70" t="inlineStr">
        <is>
          <t>ORD-00350</t>
        </is>
      </c>
      <c r="B351" s="71" t="n">
        <v>45520</v>
      </c>
      <c r="C351" s="70" t="inlineStr">
        <is>
          <t>CUST-0044</t>
        </is>
      </c>
      <c r="D351" s="70" t="inlineStr">
        <is>
          <t>PROD-032</t>
        </is>
      </c>
      <c r="E351" s="70" t="inlineStr">
        <is>
          <t>R028</t>
        </is>
      </c>
      <c r="F351" s="72" t="n">
        <v>2</v>
      </c>
      <c r="G351" s="72" t="n">
        <v>370</v>
      </c>
      <c r="H351" s="72" t="n">
        <v>7.2</v>
      </c>
      <c r="I351" s="72" t="n">
        <v>686.72</v>
      </c>
      <c r="J351" s="70" t="inlineStr">
        <is>
          <t>Completed</t>
        </is>
      </c>
      <c r="K351" s="70" t="inlineStr">
        <is>
          <t>Hyderabad</t>
        </is>
      </c>
    </row>
    <row r="352" ht="14.25" customHeight="1" s="56">
      <c r="A352" s="70" t="inlineStr">
        <is>
          <t>ORD-00351</t>
        </is>
      </c>
      <c r="B352" s="71" t="n">
        <v>45314</v>
      </c>
      <c r="C352" s="70" t="inlineStr">
        <is>
          <t>CUST-0218</t>
        </is>
      </c>
      <c r="D352" s="70" t="inlineStr">
        <is>
          <t>PROD-017</t>
        </is>
      </c>
      <c r="E352" s="70" t="inlineStr">
        <is>
          <t>R017</t>
        </is>
      </c>
      <c r="F352" s="72" t="n">
        <v>1</v>
      </c>
      <c r="G352" s="72" t="n">
        <v>2510</v>
      </c>
      <c r="H352" s="72" t="n">
        <v>2.4</v>
      </c>
      <c r="I352" s="72" t="n">
        <v>2449.76</v>
      </c>
      <c r="J352" s="70" t="inlineStr">
        <is>
          <t>Completed</t>
        </is>
      </c>
      <c r="K352" s="70" t="inlineStr">
        <is>
          <t>Mumbai</t>
        </is>
      </c>
    </row>
    <row r="353" ht="14.25" customHeight="1" s="56">
      <c r="A353" s="70" t="inlineStr">
        <is>
          <t>ORD-00352</t>
        </is>
      </c>
      <c r="B353" s="71" t="n">
        <v>45480</v>
      </c>
      <c r="C353" s="70" t="inlineStr">
        <is>
          <t>CUST-0061</t>
        </is>
      </c>
      <c r="D353" s="70" t="inlineStr">
        <is>
          <t>PROD-013</t>
        </is>
      </c>
      <c r="E353" s="70" t="inlineStr">
        <is>
          <t>R022</t>
        </is>
      </c>
      <c r="F353" s="72" t="n">
        <v>8</v>
      </c>
      <c r="G353" s="72" t="n">
        <v>3640</v>
      </c>
      <c r="H353" s="72" t="n">
        <v>28.7</v>
      </c>
      <c r="I353" s="72" t="n">
        <v>20762.56</v>
      </c>
      <c r="J353" s="70" t="inlineStr">
        <is>
          <t>Pending</t>
        </is>
      </c>
      <c r="K353" s="70" t="inlineStr">
        <is>
          <t>Hyderabad</t>
        </is>
      </c>
    </row>
    <row r="354" ht="14.25" customHeight="1" s="56">
      <c r="A354" s="70" t="inlineStr">
        <is>
          <t>ORD-00353</t>
        </is>
      </c>
      <c r="B354" s="71" t="n">
        <v>45520</v>
      </c>
      <c r="C354" s="70" t="inlineStr">
        <is>
          <t>CUST-0143</t>
        </is>
      </c>
      <c r="D354" s="70" t="inlineStr">
        <is>
          <t>PROD-044</t>
        </is>
      </c>
      <c r="E354" s="70" t="inlineStr">
        <is>
          <t>R029</t>
        </is>
      </c>
      <c r="F354" s="72" t="n">
        <v>5</v>
      </c>
      <c r="G354" s="72" t="n">
        <v>1650</v>
      </c>
      <c r="H354" s="72" t="n">
        <v>13.4</v>
      </c>
      <c r="I354" s="72" t="n">
        <v>7144.5</v>
      </c>
      <c r="J354" s="70" t="inlineStr">
        <is>
          <t>Pending</t>
        </is>
      </c>
      <c r="K354" s="70" t="inlineStr">
        <is>
          <t>Chennai</t>
        </is>
      </c>
    </row>
    <row r="355" ht="14.25" customHeight="1" s="56">
      <c r="A355" s="70" t="inlineStr">
        <is>
          <t>ORD-00354</t>
        </is>
      </c>
      <c r="B355" s="71" t="n">
        <v>45360</v>
      </c>
      <c r="C355" s="70" t="inlineStr">
        <is>
          <t>CUST-0164</t>
        </is>
      </c>
      <c r="D355" s="70" t="inlineStr">
        <is>
          <t>PROD-049</t>
        </is>
      </c>
      <c r="E355" s="70" t="inlineStr">
        <is>
          <t>R024</t>
        </is>
      </c>
      <c r="F355" s="72" t="n">
        <v>9</v>
      </c>
      <c r="G355" s="72" t="n">
        <v>960</v>
      </c>
      <c r="H355" s="72" t="n">
        <v>28.6</v>
      </c>
      <c r="I355" s="72" t="n">
        <v>6168.96</v>
      </c>
      <c r="J355" s="70" t="inlineStr">
        <is>
          <t>Pending</t>
        </is>
      </c>
      <c r="K355" s="70" t="inlineStr">
        <is>
          <t>Chennai</t>
        </is>
      </c>
    </row>
    <row r="356" ht="14.25" customHeight="1" s="56">
      <c r="A356" s="70" t="inlineStr">
        <is>
          <t>ORD-00355</t>
        </is>
      </c>
      <c r="B356" s="71" t="n">
        <v>45486</v>
      </c>
      <c r="C356" s="70" t="inlineStr">
        <is>
          <t>CUST-0152</t>
        </is>
      </c>
      <c r="D356" s="70" t="inlineStr">
        <is>
          <t>PROD-027</t>
        </is>
      </c>
      <c r="E356" s="70" t="inlineStr">
        <is>
          <t>R021</t>
        </is>
      </c>
      <c r="F356" s="72" t="n">
        <v>4</v>
      </c>
      <c r="G356" s="72" t="n">
        <v>3780</v>
      </c>
      <c r="H356" s="72" t="n">
        <v>25.3</v>
      </c>
      <c r="I356" s="72" t="n">
        <v>11294.64</v>
      </c>
      <c r="J356" s="70" t="inlineStr">
        <is>
          <t>Completed</t>
        </is>
      </c>
      <c r="K356" s="70" t="inlineStr">
        <is>
          <t>Bengaluru</t>
        </is>
      </c>
    </row>
    <row r="357" ht="14.25" customHeight="1" s="56">
      <c r="A357" s="70" t="inlineStr">
        <is>
          <t>ORD-00356</t>
        </is>
      </c>
      <c r="B357" s="71" t="n">
        <v>45544</v>
      </c>
      <c r="C357" s="70" t="inlineStr">
        <is>
          <t>CUST-0143</t>
        </is>
      </c>
      <c r="D357" s="70" t="inlineStr">
        <is>
          <t>PROD-044</t>
        </is>
      </c>
      <c r="E357" s="70" t="inlineStr">
        <is>
          <t>R014</t>
        </is>
      </c>
      <c r="F357" s="72" t="n">
        <v>4</v>
      </c>
      <c r="G357" s="72" t="n">
        <v>1650</v>
      </c>
      <c r="H357" s="72" t="n">
        <v>13.7</v>
      </c>
      <c r="I357" s="72" t="n">
        <v>5695.8</v>
      </c>
      <c r="J357" s="70" t="inlineStr">
        <is>
          <t>Cancelled</t>
        </is>
      </c>
      <c r="K357" s="70" t="inlineStr">
        <is>
          <t>Chennai</t>
        </is>
      </c>
    </row>
    <row r="358" ht="14.25" customHeight="1" s="56">
      <c r="A358" s="70" t="inlineStr">
        <is>
          <t>ORD-00357</t>
        </is>
      </c>
      <c r="B358" s="71" t="n">
        <v>45580</v>
      </c>
      <c r="C358" s="70" t="inlineStr">
        <is>
          <t>CUST-0232</t>
        </is>
      </c>
      <c r="D358" s="70" t="inlineStr">
        <is>
          <t>PROD-014</t>
        </is>
      </c>
      <c r="E358" s="70" t="inlineStr">
        <is>
          <t>R012</t>
        </is>
      </c>
      <c r="F358" s="72" t="n">
        <v>6</v>
      </c>
      <c r="G358" s="72" t="n">
        <v>3620</v>
      </c>
      <c r="H358" s="72" t="n">
        <v>21.3</v>
      </c>
      <c r="I358" s="72" t="n">
        <v>17093.64</v>
      </c>
      <c r="J358" s="70" t="inlineStr">
        <is>
          <t>Pending</t>
        </is>
      </c>
      <c r="K358" s="70" t="inlineStr">
        <is>
          <t>Hyderabad</t>
        </is>
      </c>
    </row>
    <row r="359" ht="14.25" customHeight="1" s="56">
      <c r="A359" s="70" t="inlineStr">
        <is>
          <t>ORD-00358</t>
        </is>
      </c>
      <c r="B359" s="71" t="n">
        <v>45312</v>
      </c>
      <c r="C359" s="70" t="inlineStr">
        <is>
          <t>CUST-0067</t>
        </is>
      </c>
      <c r="D359" s="70" t="inlineStr">
        <is>
          <t>PROD-022</t>
        </is>
      </c>
      <c r="E359" s="70" t="inlineStr">
        <is>
          <t>R030</t>
        </is>
      </c>
      <c r="F359" s="72" t="n">
        <v>10</v>
      </c>
      <c r="G359" s="72" t="n">
        <v>2270</v>
      </c>
      <c r="H359" s="72" t="n">
        <v>17.7</v>
      </c>
      <c r="I359" s="72" t="n">
        <v>18682.1</v>
      </c>
      <c r="J359" s="70" t="inlineStr">
        <is>
          <t>Completed</t>
        </is>
      </c>
      <c r="K359" s="70" t="inlineStr">
        <is>
          <t>Delhi</t>
        </is>
      </c>
    </row>
    <row r="360" ht="14.25" customHeight="1" s="56">
      <c r="A360" s="70" t="inlineStr">
        <is>
          <t>ORD-00359</t>
        </is>
      </c>
      <c r="B360" s="71" t="n">
        <v>45447</v>
      </c>
      <c r="C360" s="70" t="inlineStr">
        <is>
          <t>CUST-0292</t>
        </is>
      </c>
      <c r="D360" s="70" t="inlineStr">
        <is>
          <t>PROD-041</t>
        </is>
      </c>
      <c r="E360" s="70" t="inlineStr">
        <is>
          <t>R013</t>
        </is>
      </c>
      <c r="F360" s="72" t="n">
        <v>9</v>
      </c>
      <c r="G360" s="72" t="n">
        <v>1540</v>
      </c>
      <c r="H360" s="72" t="n">
        <v>10.7</v>
      </c>
      <c r="I360" s="72" t="n">
        <v>12376.98</v>
      </c>
      <c r="J360" s="70" t="inlineStr">
        <is>
          <t>Completed</t>
        </is>
      </c>
      <c r="K360" s="70" t="inlineStr">
        <is>
          <t>Bengaluru</t>
        </is>
      </c>
    </row>
    <row r="361" ht="14.25" customHeight="1" s="56">
      <c r="A361" s="70" t="inlineStr">
        <is>
          <t>ORD-00360</t>
        </is>
      </c>
      <c r="B361" s="71" t="n">
        <v>45607</v>
      </c>
      <c r="C361" s="70" t="inlineStr">
        <is>
          <t>CUST-0118</t>
        </is>
      </c>
      <c r="D361" s="70" t="inlineStr">
        <is>
          <t>PROD-055</t>
        </is>
      </c>
      <c r="E361" s="70" t="inlineStr">
        <is>
          <t>R021</t>
        </is>
      </c>
      <c r="F361" s="72" t="n">
        <v>9</v>
      </c>
      <c r="G361" s="72" t="n">
        <v>2860</v>
      </c>
      <c r="H361" s="72" t="n">
        <v>12.9</v>
      </c>
      <c r="I361" s="72" t="n">
        <v>22419.54</v>
      </c>
      <c r="J361" s="70" t="inlineStr">
        <is>
          <t>Completed</t>
        </is>
      </c>
      <c r="K361" s="70" t="inlineStr">
        <is>
          <t>Hyderabad</t>
        </is>
      </c>
    </row>
    <row r="362" ht="14.25" customHeight="1" s="56">
      <c r="A362" s="70" t="inlineStr">
        <is>
          <t>ORD-00361</t>
        </is>
      </c>
      <c r="B362" s="71" t="n">
        <v>45379</v>
      </c>
      <c r="C362" s="70" t="inlineStr">
        <is>
          <t>CUST-0212</t>
        </is>
      </c>
      <c r="D362" s="70" t="inlineStr">
        <is>
          <t>PROD-029</t>
        </is>
      </c>
      <c r="E362" s="70" t="inlineStr">
        <is>
          <t>R016</t>
        </is>
      </c>
      <c r="F362" s="72" t="n">
        <v>5</v>
      </c>
      <c r="G362" s="72" t="n">
        <v>2210</v>
      </c>
      <c r="H362" s="72" t="n">
        <v>5.1</v>
      </c>
      <c r="I362" s="72" t="n">
        <v>10486.45</v>
      </c>
      <c r="J362" s="70" t="inlineStr">
        <is>
          <t>Completed</t>
        </is>
      </c>
      <c r="K362" s="70" t="inlineStr">
        <is>
          <t>Chennai</t>
        </is>
      </c>
    </row>
    <row r="363" ht="14.25" customHeight="1" s="56">
      <c r="A363" s="70" t="inlineStr">
        <is>
          <t>ORD-00362</t>
        </is>
      </c>
      <c r="B363" s="71" t="n">
        <v>45591</v>
      </c>
      <c r="C363" s="70" t="inlineStr">
        <is>
          <t>CUST-0287</t>
        </is>
      </c>
      <c r="D363" s="70" t="inlineStr">
        <is>
          <t>PROD-009</t>
        </is>
      </c>
      <c r="E363" s="70" t="inlineStr">
        <is>
          <t>R029</t>
        </is>
      </c>
      <c r="F363" s="72" t="n">
        <v>1</v>
      </c>
      <c r="G363" s="72" t="n">
        <v>1220</v>
      </c>
      <c r="H363" s="72" t="n">
        <v>16.1</v>
      </c>
      <c r="I363" s="72" t="n">
        <v>1023.58</v>
      </c>
      <c r="J363" s="70" t="inlineStr">
        <is>
          <t>Completed</t>
        </is>
      </c>
      <c r="K363" s="70" t="inlineStr">
        <is>
          <t>Chennai</t>
        </is>
      </c>
    </row>
    <row r="364" ht="14.25" customHeight="1" s="56">
      <c r="A364" s="70" t="inlineStr">
        <is>
          <t>ORD-00363</t>
        </is>
      </c>
      <c r="B364" s="71" t="n">
        <v>45561</v>
      </c>
      <c r="C364" s="70" t="inlineStr">
        <is>
          <t>CUST-0030</t>
        </is>
      </c>
      <c r="D364" s="70" t="inlineStr">
        <is>
          <t>PROD-003</t>
        </is>
      </c>
      <c r="E364" s="70" t="inlineStr">
        <is>
          <t>R006</t>
        </is>
      </c>
      <c r="F364" s="72" t="n">
        <v>2</v>
      </c>
      <c r="G364" s="72" t="n">
        <v>3570</v>
      </c>
      <c r="H364" s="72" t="n">
        <v>1.1</v>
      </c>
      <c r="I364" s="72" t="n">
        <v>7061.46</v>
      </c>
      <c r="J364" s="70" t="inlineStr">
        <is>
          <t>Completed</t>
        </is>
      </c>
      <c r="K364" s="70" t="inlineStr">
        <is>
          <t>Bengaluru</t>
        </is>
      </c>
    </row>
    <row r="365" ht="14.25" customHeight="1" s="56">
      <c r="A365" s="70" t="inlineStr">
        <is>
          <t>ORD-00364</t>
        </is>
      </c>
      <c r="B365" s="71" t="n">
        <v>45308</v>
      </c>
      <c r="C365" s="70" t="inlineStr">
        <is>
          <t>CUST-0270</t>
        </is>
      </c>
      <c r="D365" s="70" t="inlineStr">
        <is>
          <t>PROD-011</t>
        </is>
      </c>
      <c r="E365" s="70" t="inlineStr">
        <is>
          <t>R016</t>
        </is>
      </c>
      <c r="F365" s="72" t="n">
        <v>10</v>
      </c>
      <c r="G365" s="72" t="n">
        <v>3450</v>
      </c>
      <c r="H365" s="72" t="n">
        <v>12.6</v>
      </c>
      <c r="I365" s="72" t="n">
        <v>30153</v>
      </c>
      <c r="J365" s="70" t="inlineStr">
        <is>
          <t>Completed</t>
        </is>
      </c>
      <c r="K365" s="70" t="inlineStr">
        <is>
          <t>Bengaluru</t>
        </is>
      </c>
    </row>
    <row r="366" ht="14.25" customHeight="1" s="56">
      <c r="A366" s="70" t="inlineStr">
        <is>
          <t>ORD-00365</t>
        </is>
      </c>
      <c r="B366" s="71" t="n">
        <v>45563</v>
      </c>
      <c r="C366" s="70" t="inlineStr">
        <is>
          <t>CUST-0001</t>
        </is>
      </c>
      <c r="D366" s="70" t="inlineStr">
        <is>
          <t>PROD-029</t>
        </is>
      </c>
      <c r="E366" s="70" t="inlineStr">
        <is>
          <t>R021</t>
        </is>
      </c>
      <c r="F366" s="72" t="n">
        <v>4</v>
      </c>
      <c r="G366" s="72" t="n">
        <v>2210</v>
      </c>
      <c r="H366" s="72" t="n">
        <v>5.4</v>
      </c>
      <c r="I366" s="72" t="n">
        <v>8362.639999999999</v>
      </c>
      <c r="J366" s="70" t="inlineStr">
        <is>
          <t>Completed</t>
        </is>
      </c>
      <c r="K366" s="70" t="inlineStr">
        <is>
          <t>Pune</t>
        </is>
      </c>
    </row>
    <row r="367" ht="14.25" customHeight="1" s="56">
      <c r="A367" s="70" t="inlineStr">
        <is>
          <t>ORD-00366</t>
        </is>
      </c>
      <c r="B367" s="71" t="n">
        <v>45476</v>
      </c>
      <c r="C367" s="70" t="inlineStr">
        <is>
          <t>CUST-0215</t>
        </is>
      </c>
      <c r="D367" s="70" t="inlineStr">
        <is>
          <t>PROD-035</t>
        </is>
      </c>
      <c r="E367" s="70" t="inlineStr">
        <is>
          <t>R014</t>
        </is>
      </c>
      <c r="F367" s="72" t="n">
        <v>6</v>
      </c>
      <c r="G367" s="72" t="n">
        <v>1090</v>
      </c>
      <c r="H367" s="72" t="n">
        <v>2.9</v>
      </c>
      <c r="I367" s="72" t="n">
        <v>6350.34</v>
      </c>
      <c r="J367" s="70" t="inlineStr">
        <is>
          <t>Cancelled</t>
        </is>
      </c>
      <c r="K367" s="70" t="inlineStr">
        <is>
          <t>Hyderabad</t>
        </is>
      </c>
    </row>
    <row r="368" ht="14.25" customHeight="1" s="56">
      <c r="A368" s="70" t="inlineStr">
        <is>
          <t>ORD-00367</t>
        </is>
      </c>
      <c r="B368" s="71" t="n">
        <v>45364</v>
      </c>
      <c r="C368" s="70" t="inlineStr">
        <is>
          <t>CUST-0225</t>
        </is>
      </c>
      <c r="D368" s="70" t="inlineStr">
        <is>
          <t>PROD-041</t>
        </is>
      </c>
      <c r="E368" s="70" t="inlineStr">
        <is>
          <t>R017</t>
        </is>
      </c>
      <c r="F368" s="72" t="n">
        <v>8</v>
      </c>
      <c r="G368" s="72" t="n">
        <v>1540</v>
      </c>
      <c r="H368" s="72" t="n">
        <v>17.9</v>
      </c>
      <c r="I368" s="72" t="n">
        <v>10114.72</v>
      </c>
      <c r="J368" s="70" t="inlineStr">
        <is>
          <t>Pending</t>
        </is>
      </c>
      <c r="K368" s="70" t="inlineStr">
        <is>
          <t>Chennai</t>
        </is>
      </c>
    </row>
    <row r="369" ht="14.25" customHeight="1" s="56">
      <c r="A369" s="70" t="inlineStr">
        <is>
          <t>ORD-00368</t>
        </is>
      </c>
      <c r="B369" s="71" t="n">
        <v>45371</v>
      </c>
      <c r="C369" s="70" t="inlineStr">
        <is>
          <t>CUST-0163</t>
        </is>
      </c>
      <c r="D369" s="70" t="inlineStr">
        <is>
          <t>PROD-002</t>
        </is>
      </c>
      <c r="E369" s="70" t="inlineStr">
        <is>
          <t>R028</t>
        </is>
      </c>
      <c r="F369" s="72" t="n">
        <v>9</v>
      </c>
      <c r="G369" s="72" t="n">
        <v>2600</v>
      </c>
      <c r="H369" s="72" t="n">
        <v>4.1</v>
      </c>
      <c r="I369" s="72" t="n">
        <v>22440.6</v>
      </c>
      <c r="J369" s="70" t="inlineStr">
        <is>
          <t>Completed</t>
        </is>
      </c>
      <c r="K369" s="70" t="inlineStr">
        <is>
          <t>Pune</t>
        </is>
      </c>
    </row>
    <row r="370" ht="14.25" customHeight="1" s="56">
      <c r="A370" s="70" t="inlineStr">
        <is>
          <t>ORD-00369</t>
        </is>
      </c>
      <c r="B370" s="71" t="n">
        <v>45623</v>
      </c>
      <c r="C370" s="70" t="inlineStr">
        <is>
          <t>CUST-0196</t>
        </is>
      </c>
      <c r="D370" s="70" t="inlineStr">
        <is>
          <t>PROD-060</t>
        </is>
      </c>
      <c r="E370" s="70" t="inlineStr">
        <is>
          <t>R007</t>
        </is>
      </c>
      <c r="F370" s="72" t="n">
        <v>2</v>
      </c>
      <c r="G370" s="72" t="n">
        <v>190</v>
      </c>
      <c r="H370" s="72" t="n">
        <v>4.8</v>
      </c>
      <c r="I370" s="72" t="n">
        <v>361.76</v>
      </c>
      <c r="J370" s="70" t="inlineStr">
        <is>
          <t>Completed</t>
        </is>
      </c>
      <c r="K370" s="70" t="inlineStr">
        <is>
          <t>Chennai</t>
        </is>
      </c>
    </row>
    <row r="371" ht="14.25" customHeight="1" s="56">
      <c r="A371" s="70" t="inlineStr">
        <is>
          <t>ORD-00370</t>
        </is>
      </c>
      <c r="B371" s="71" t="n">
        <v>45441</v>
      </c>
      <c r="C371" s="70" t="inlineStr">
        <is>
          <t>CUST-0002</t>
        </is>
      </c>
      <c r="D371" s="70" t="inlineStr">
        <is>
          <t>PROD-019</t>
        </is>
      </c>
      <c r="E371" s="70" t="inlineStr">
        <is>
          <t>R014</t>
        </is>
      </c>
      <c r="F371" s="72" t="n">
        <v>9</v>
      </c>
      <c r="G371" s="72" t="n">
        <v>2480</v>
      </c>
      <c r="H371" s="72" t="n">
        <v>28.3</v>
      </c>
      <c r="I371" s="72" t="n">
        <v>16003.44</v>
      </c>
      <c r="J371" s="70" t="inlineStr">
        <is>
          <t>Completed</t>
        </is>
      </c>
      <c r="K371" s="70" t="inlineStr">
        <is>
          <t>Pune</t>
        </is>
      </c>
    </row>
    <row r="372" ht="14.25" customHeight="1" s="56">
      <c r="A372" s="70" t="inlineStr">
        <is>
          <t>ORD-00371</t>
        </is>
      </c>
      <c r="B372" s="71" t="n">
        <v>45442</v>
      </c>
      <c r="C372" s="70" t="inlineStr">
        <is>
          <t>CUST-0057</t>
        </is>
      </c>
      <c r="D372" s="70" t="inlineStr">
        <is>
          <t>PROD-042</t>
        </is>
      </c>
      <c r="E372" s="70" t="inlineStr">
        <is>
          <t>R006</t>
        </is>
      </c>
      <c r="F372" s="72" t="n">
        <v>7</v>
      </c>
      <c r="G372" s="72" t="n">
        <v>2290</v>
      </c>
      <c r="H372" s="72" t="n">
        <v>25</v>
      </c>
      <c r="I372" s="72" t="n">
        <v>12022.5</v>
      </c>
      <c r="J372" s="70" t="inlineStr">
        <is>
          <t>Cancelled</t>
        </is>
      </c>
      <c r="K372" s="70" t="inlineStr">
        <is>
          <t>Pune</t>
        </is>
      </c>
    </row>
    <row r="373" ht="14.25" customHeight="1" s="56">
      <c r="A373" s="70" t="inlineStr">
        <is>
          <t>ORD-00372</t>
        </is>
      </c>
      <c r="B373" s="71" t="n">
        <v>45567</v>
      </c>
      <c r="C373" s="70" t="inlineStr">
        <is>
          <t>CUST-0112</t>
        </is>
      </c>
      <c r="D373" s="70" t="inlineStr">
        <is>
          <t>PROD-041</t>
        </is>
      </c>
      <c r="E373" s="70" t="inlineStr">
        <is>
          <t>R015</t>
        </is>
      </c>
      <c r="F373" s="72" t="n">
        <v>9</v>
      </c>
      <c r="G373" s="72" t="n">
        <v>1540</v>
      </c>
      <c r="H373" s="72" t="n">
        <v>23.3</v>
      </c>
      <c r="I373" s="72" t="n">
        <v>10630.62</v>
      </c>
      <c r="J373" s="70" t="inlineStr">
        <is>
          <t>Completed</t>
        </is>
      </c>
      <c r="K373" s="70" t="inlineStr">
        <is>
          <t>Hyderabad</t>
        </is>
      </c>
    </row>
    <row r="374" ht="14.25" customHeight="1" s="56">
      <c r="A374" s="70" t="inlineStr">
        <is>
          <t>ORD-00373</t>
        </is>
      </c>
      <c r="B374" s="71" t="n">
        <v>45653</v>
      </c>
      <c r="C374" s="70" t="inlineStr">
        <is>
          <t>CUST-0131</t>
        </is>
      </c>
      <c r="D374" s="70" t="inlineStr">
        <is>
          <t>PROD-034</t>
        </is>
      </c>
      <c r="E374" s="70" t="inlineStr">
        <is>
          <t>R025</t>
        </is>
      </c>
      <c r="F374" s="72" t="n">
        <v>2</v>
      </c>
      <c r="G374" s="72" t="n">
        <v>5080</v>
      </c>
      <c r="H374" s="72" t="n">
        <v>2.5</v>
      </c>
      <c r="I374" s="72" t="n">
        <v>9906</v>
      </c>
      <c r="J374" s="70" t="inlineStr">
        <is>
          <t>Cancelled</t>
        </is>
      </c>
      <c r="K374" s="70" t="inlineStr">
        <is>
          <t>Delhi</t>
        </is>
      </c>
    </row>
    <row r="375" ht="14.25" customHeight="1" s="56">
      <c r="A375" s="70" t="inlineStr">
        <is>
          <t>ORD-00374</t>
        </is>
      </c>
      <c r="B375" s="71" t="n">
        <v>45331</v>
      </c>
      <c r="C375" s="70" t="inlineStr">
        <is>
          <t>CUST-0124</t>
        </is>
      </c>
      <c r="D375" s="70" t="inlineStr">
        <is>
          <t>PROD-017</t>
        </is>
      </c>
      <c r="E375" s="70" t="inlineStr">
        <is>
          <t>R016</t>
        </is>
      </c>
      <c r="F375" s="72" t="n">
        <v>4</v>
      </c>
      <c r="G375" s="72" t="n">
        <v>2510</v>
      </c>
      <c r="H375" s="72" t="n">
        <v>23.6</v>
      </c>
      <c r="I375" s="72" t="n">
        <v>7670.56</v>
      </c>
      <c r="J375" s="70" t="inlineStr">
        <is>
          <t>Completed</t>
        </is>
      </c>
      <c r="K375" s="70" t="inlineStr">
        <is>
          <t>Pune</t>
        </is>
      </c>
    </row>
    <row r="376" ht="14.25" customHeight="1" s="56">
      <c r="A376" s="70" t="inlineStr">
        <is>
          <t>ORD-00375</t>
        </is>
      </c>
      <c r="B376" s="71" t="n">
        <v>45332</v>
      </c>
      <c r="C376" s="70" t="inlineStr">
        <is>
          <t>CUST-0131</t>
        </is>
      </c>
      <c r="D376" s="70" t="inlineStr">
        <is>
          <t>PROD-042</t>
        </is>
      </c>
      <c r="E376" s="70" t="inlineStr">
        <is>
          <t>R011</t>
        </is>
      </c>
      <c r="F376" s="72" t="n">
        <v>5</v>
      </c>
      <c r="G376" s="72" t="n">
        <v>2290</v>
      </c>
      <c r="H376" s="72" t="n">
        <v>17</v>
      </c>
      <c r="I376" s="72" t="n">
        <v>9503.5</v>
      </c>
      <c r="J376" s="70" t="inlineStr">
        <is>
          <t>Completed</t>
        </is>
      </c>
      <c r="K376" s="70" t="inlineStr">
        <is>
          <t>Delhi</t>
        </is>
      </c>
    </row>
    <row r="377" ht="14.25" customHeight="1" s="56">
      <c r="A377" s="70" t="inlineStr">
        <is>
          <t>ORD-00376</t>
        </is>
      </c>
      <c r="B377" s="71" t="n">
        <v>45340</v>
      </c>
      <c r="C377" s="70" t="inlineStr">
        <is>
          <t>CUST-0084</t>
        </is>
      </c>
      <c r="D377" s="70" t="inlineStr">
        <is>
          <t>PROD-053</t>
        </is>
      </c>
      <c r="E377" s="70" t="inlineStr">
        <is>
          <t>R006</t>
        </is>
      </c>
      <c r="F377" s="72" t="n">
        <v>8</v>
      </c>
      <c r="G377" s="72" t="n">
        <v>470</v>
      </c>
      <c r="H377" s="72" t="n">
        <v>9.300000000000001</v>
      </c>
      <c r="I377" s="72" t="n">
        <v>3410.32</v>
      </c>
      <c r="J377" s="70" t="inlineStr">
        <is>
          <t>Completed</t>
        </is>
      </c>
      <c r="K377" s="70" t="inlineStr">
        <is>
          <t>Chennai</t>
        </is>
      </c>
    </row>
    <row r="378" ht="14.25" customHeight="1" s="56">
      <c r="A378" s="70" t="inlineStr">
        <is>
          <t>ORD-00377</t>
        </is>
      </c>
      <c r="B378" s="71" t="n">
        <v>45564</v>
      </c>
      <c r="C378" s="70" t="inlineStr">
        <is>
          <t>CUST-0082</t>
        </is>
      </c>
      <c r="D378" s="70" t="inlineStr">
        <is>
          <t>PROD-048</t>
        </is>
      </c>
      <c r="E378" s="70" t="inlineStr">
        <is>
          <t>R009</t>
        </is>
      </c>
      <c r="F378" s="72" t="n">
        <v>8</v>
      </c>
      <c r="G378" s="72" t="n">
        <v>5100</v>
      </c>
      <c r="H378" s="72" t="n">
        <v>4.6</v>
      </c>
      <c r="I378" s="72" t="n">
        <v>38923.2</v>
      </c>
      <c r="J378" s="70" t="inlineStr">
        <is>
          <t>Completed</t>
        </is>
      </c>
      <c r="K378" s="70" t="inlineStr">
        <is>
          <t>Hyderabad</t>
        </is>
      </c>
    </row>
    <row r="379" ht="14.25" customHeight="1" s="56">
      <c r="A379" s="70" t="inlineStr">
        <is>
          <t>ORD-00378</t>
        </is>
      </c>
      <c r="B379" s="71" t="n">
        <v>45296</v>
      </c>
      <c r="C379" s="70" t="inlineStr">
        <is>
          <t>CUST-0242</t>
        </is>
      </c>
      <c r="D379" s="70" t="inlineStr">
        <is>
          <t>PROD-001</t>
        </is>
      </c>
      <c r="E379" s="70" t="inlineStr">
        <is>
          <t>R010</t>
        </is>
      </c>
      <c r="F379" s="72" t="n">
        <v>7</v>
      </c>
      <c r="G379" s="72" t="n">
        <v>5330</v>
      </c>
      <c r="H379" s="72" t="n">
        <v>2.5</v>
      </c>
      <c r="I379" s="72" t="n">
        <v>36377.25</v>
      </c>
      <c r="J379" s="70" t="inlineStr">
        <is>
          <t>Completed</t>
        </is>
      </c>
      <c r="K379" s="70" t="inlineStr">
        <is>
          <t>Chennai</t>
        </is>
      </c>
    </row>
    <row r="380" ht="14.25" customHeight="1" s="56">
      <c r="A380" s="70" t="inlineStr">
        <is>
          <t>ORD-00379</t>
        </is>
      </c>
      <c r="B380" s="71" t="n">
        <v>45364</v>
      </c>
      <c r="C380" s="70" t="inlineStr">
        <is>
          <t>CUST-0074</t>
        </is>
      </c>
      <c r="D380" s="70" t="inlineStr">
        <is>
          <t>PROD-033</t>
        </is>
      </c>
      <c r="E380" s="70" t="inlineStr">
        <is>
          <t>R028</t>
        </is>
      </c>
      <c r="F380" s="72" t="n">
        <v>10</v>
      </c>
      <c r="G380" s="72" t="n">
        <v>2030</v>
      </c>
      <c r="H380" s="72" t="n">
        <v>8.5</v>
      </c>
      <c r="I380" s="72" t="n">
        <v>18574.5</v>
      </c>
      <c r="J380" s="70" t="inlineStr">
        <is>
          <t>Completed</t>
        </is>
      </c>
      <c r="K380" s="70" t="inlineStr">
        <is>
          <t>Bengaluru</t>
        </is>
      </c>
    </row>
    <row r="381" ht="14.25" customHeight="1" s="56">
      <c r="A381" s="70" t="inlineStr">
        <is>
          <t>ORD-00380</t>
        </is>
      </c>
      <c r="B381" s="71" t="n">
        <v>45560</v>
      </c>
      <c r="C381" s="70" t="inlineStr">
        <is>
          <t>CUST-0221</t>
        </is>
      </c>
      <c r="D381" s="70" t="inlineStr">
        <is>
          <t>PROD-034</t>
        </is>
      </c>
      <c r="E381" s="70" t="inlineStr">
        <is>
          <t>R003</t>
        </is>
      </c>
      <c r="F381" s="72" t="n">
        <v>8</v>
      </c>
      <c r="G381" s="72" t="n">
        <v>5080</v>
      </c>
      <c r="H381" s="72" t="n">
        <v>9.6</v>
      </c>
      <c r="I381" s="72" t="n">
        <v>36738.56</v>
      </c>
      <c r="J381" s="70" t="inlineStr">
        <is>
          <t>Cancelled</t>
        </is>
      </c>
      <c r="K381" s="70" t="inlineStr">
        <is>
          <t>Delhi</t>
        </is>
      </c>
    </row>
    <row r="382" ht="14.25" customHeight="1" s="56">
      <c r="A382" s="70" t="inlineStr">
        <is>
          <t>ORD-00381</t>
        </is>
      </c>
      <c r="B382" s="71" t="n">
        <v>45378</v>
      </c>
      <c r="C382" s="70" t="inlineStr">
        <is>
          <t>CUST-0101</t>
        </is>
      </c>
      <c r="D382" s="70" t="inlineStr">
        <is>
          <t>PROD-023</t>
        </is>
      </c>
      <c r="E382" s="70" t="inlineStr">
        <is>
          <t>R014</t>
        </is>
      </c>
      <c r="F382" s="72" t="n">
        <v>1</v>
      </c>
      <c r="G382" s="72" t="n">
        <v>2380</v>
      </c>
      <c r="H382" s="72" t="n">
        <v>11.6</v>
      </c>
      <c r="I382" s="72" t="n">
        <v>2103.92</v>
      </c>
      <c r="J382" s="70" t="inlineStr">
        <is>
          <t>Pending</t>
        </is>
      </c>
      <c r="K382" s="70" t="inlineStr">
        <is>
          <t>Hyderabad</t>
        </is>
      </c>
    </row>
    <row r="383" ht="14.25" customHeight="1" s="56">
      <c r="A383" s="70" t="inlineStr">
        <is>
          <t>ORD-00382</t>
        </is>
      </c>
      <c r="B383" s="71" t="n">
        <v>45590</v>
      </c>
      <c r="C383" s="70" t="inlineStr">
        <is>
          <t>CUST-0203</t>
        </is>
      </c>
      <c r="D383" s="70" t="inlineStr">
        <is>
          <t>PROD-041</t>
        </is>
      </c>
      <c r="E383" s="70" t="inlineStr">
        <is>
          <t>R027</t>
        </is>
      </c>
      <c r="F383" s="72" t="n">
        <v>8</v>
      </c>
      <c r="G383" s="72" t="n">
        <v>1540</v>
      </c>
      <c r="H383" s="72" t="n">
        <v>27.8</v>
      </c>
      <c r="I383" s="72" t="n">
        <v>8895.040000000001</v>
      </c>
      <c r="J383" s="70" t="inlineStr">
        <is>
          <t>Completed</t>
        </is>
      </c>
      <c r="K383" s="70" t="inlineStr">
        <is>
          <t>Chennai</t>
        </is>
      </c>
    </row>
    <row r="384" ht="14.25" customHeight="1" s="56">
      <c r="A384" s="70" t="inlineStr">
        <is>
          <t>ORD-00383</t>
        </is>
      </c>
      <c r="B384" s="71" t="n">
        <v>45591</v>
      </c>
      <c r="C384" s="70" t="inlineStr">
        <is>
          <t>CUST-0209</t>
        </is>
      </c>
      <c r="D384" s="70" t="inlineStr">
        <is>
          <t>PROD-024</t>
        </is>
      </c>
      <c r="E384" s="70" t="inlineStr">
        <is>
          <t>R024</t>
        </is>
      </c>
      <c r="F384" s="72" t="n">
        <v>1</v>
      </c>
      <c r="G384" s="72" t="n">
        <v>2270</v>
      </c>
      <c r="H384" s="72" t="n">
        <v>6.5</v>
      </c>
      <c r="I384" s="72" t="n">
        <v>2122.45</v>
      </c>
      <c r="J384" s="70" t="inlineStr">
        <is>
          <t>Pending</t>
        </is>
      </c>
      <c r="K384" s="70" t="inlineStr">
        <is>
          <t>pune</t>
        </is>
      </c>
    </row>
    <row r="385" ht="14.25" customHeight="1" s="56">
      <c r="A385" s="70" t="inlineStr">
        <is>
          <t>ORD-00384</t>
        </is>
      </c>
      <c r="B385" s="71" t="n">
        <v>45503</v>
      </c>
      <c r="C385" s="70" t="inlineStr">
        <is>
          <t>CUST-0094</t>
        </is>
      </c>
      <c r="D385" s="70" t="inlineStr">
        <is>
          <t>PROD-019</t>
        </is>
      </c>
      <c r="E385" s="70" t="inlineStr">
        <is>
          <t>R028</t>
        </is>
      </c>
      <c r="F385" s="72" t="n">
        <v>6</v>
      </c>
      <c r="G385" s="72" t="n">
        <v>2480</v>
      </c>
      <c r="H385" s="72" t="n">
        <v>25.9</v>
      </c>
      <c r="I385" s="72" t="n">
        <v>11026.08</v>
      </c>
      <c r="J385" s="70" t="inlineStr">
        <is>
          <t>Completed</t>
        </is>
      </c>
      <c r="K385" s="70" t="inlineStr">
        <is>
          <t>Pune</t>
        </is>
      </c>
    </row>
    <row r="386" ht="14.25" customHeight="1" s="56">
      <c r="A386" s="70" t="inlineStr">
        <is>
          <t>ORD-00385</t>
        </is>
      </c>
      <c r="B386" s="71" t="n">
        <v>45608</v>
      </c>
      <c r="C386" s="70" t="inlineStr">
        <is>
          <t>CUST-0248</t>
        </is>
      </c>
      <c r="D386" s="70" t="inlineStr">
        <is>
          <t>PROD-018</t>
        </is>
      </c>
      <c r="E386" s="70" t="inlineStr">
        <is>
          <t>R019</t>
        </is>
      </c>
      <c r="F386" s="72" t="n">
        <v>3</v>
      </c>
      <c r="G386" s="72" t="n">
        <v>3560</v>
      </c>
      <c r="H386" s="72" t="n">
        <v>0.4</v>
      </c>
      <c r="I386" s="72" t="n">
        <v>10637.28</v>
      </c>
      <c r="J386" s="70" t="inlineStr">
        <is>
          <t>Refunded</t>
        </is>
      </c>
      <c r="K386" s="70" t="inlineStr">
        <is>
          <t>Chennai</t>
        </is>
      </c>
    </row>
    <row r="387" ht="14.25" customHeight="1" s="56">
      <c r="A387" s="70" t="inlineStr">
        <is>
          <t>ORD-00386</t>
        </is>
      </c>
      <c r="B387" s="71" t="n">
        <v>45422</v>
      </c>
      <c r="C387" s="70" t="inlineStr">
        <is>
          <t>CUST-0297</t>
        </is>
      </c>
      <c r="D387" s="70" t="inlineStr">
        <is>
          <t>PROD-008</t>
        </is>
      </c>
      <c r="E387" s="70" t="inlineStr">
        <is>
          <t>R006</t>
        </is>
      </c>
      <c r="F387" s="72" t="n">
        <v>4</v>
      </c>
      <c r="G387" s="72" t="n">
        <v>2660</v>
      </c>
      <c r="H387" s="72" t="n">
        <v>19.7</v>
      </c>
      <c r="I387" s="72" t="n">
        <v>8543.92</v>
      </c>
      <c r="J387" s="70" t="inlineStr">
        <is>
          <t>Cancelled</t>
        </is>
      </c>
      <c r="K387" s="70" t="inlineStr">
        <is>
          <t>Hyderabad</t>
        </is>
      </c>
    </row>
    <row r="388" ht="14.25" customHeight="1" s="56">
      <c r="A388" s="70" t="inlineStr">
        <is>
          <t>ORD-00387</t>
        </is>
      </c>
      <c r="B388" s="71" t="n">
        <v>45386</v>
      </c>
      <c r="C388" s="70" t="inlineStr">
        <is>
          <t>CUST-0107</t>
        </is>
      </c>
      <c r="D388" s="70" t="inlineStr">
        <is>
          <t>PROD-009</t>
        </is>
      </c>
      <c r="E388" s="70" t="inlineStr">
        <is>
          <t>R013</t>
        </is>
      </c>
      <c r="F388" s="72" t="n">
        <v>10</v>
      </c>
      <c r="G388" s="72" t="n">
        <v>1220</v>
      </c>
      <c r="H388" s="72" t="n">
        <v>10.1</v>
      </c>
      <c r="I388" s="72" t="n">
        <v>10967.8</v>
      </c>
      <c r="J388" s="70" t="inlineStr">
        <is>
          <t>Cancelled</t>
        </is>
      </c>
      <c r="K388" s="70" t="inlineStr">
        <is>
          <t>Pune</t>
        </is>
      </c>
    </row>
    <row r="389" ht="14.25" customHeight="1" s="56">
      <c r="A389" s="70" t="inlineStr">
        <is>
          <t>ORD-00388</t>
        </is>
      </c>
      <c r="B389" s="71" t="n">
        <v>45584</v>
      </c>
      <c r="C389" s="70" t="inlineStr">
        <is>
          <t>CUST-0247</t>
        </is>
      </c>
      <c r="D389" s="70" t="inlineStr">
        <is>
          <t>PROD-002</t>
        </is>
      </c>
      <c r="E389" s="70" t="inlineStr">
        <is>
          <t>R014</t>
        </is>
      </c>
      <c r="F389" s="72" t="n">
        <v>8</v>
      </c>
      <c r="G389" s="72" t="n">
        <v>2600</v>
      </c>
      <c r="H389" s="72" t="n">
        <v>26.7</v>
      </c>
      <c r="I389" s="72" t="n">
        <v>15246.4</v>
      </c>
      <c r="J389" s="70" t="inlineStr">
        <is>
          <t>Completed</t>
        </is>
      </c>
      <c r="K389" s="70" t="inlineStr">
        <is>
          <t>Pune</t>
        </is>
      </c>
    </row>
    <row r="390" ht="14.25" customHeight="1" s="56">
      <c r="A390" s="70" t="inlineStr">
        <is>
          <t>ORD-00389</t>
        </is>
      </c>
      <c r="B390" s="71" t="n">
        <v>45440</v>
      </c>
      <c r="C390" s="70" t="inlineStr">
        <is>
          <t>CUST-0047</t>
        </is>
      </c>
      <c r="D390" s="70" t="inlineStr">
        <is>
          <t>PROD-011</t>
        </is>
      </c>
      <c r="E390" s="70" t="inlineStr">
        <is>
          <t>R020</t>
        </is>
      </c>
      <c r="F390" s="72" t="n">
        <v>10</v>
      </c>
      <c r="G390" s="72" t="n">
        <v>3450</v>
      </c>
      <c r="H390" s="72" t="n">
        <v>20.4</v>
      </c>
      <c r="I390" s="72" t="n">
        <v>27462</v>
      </c>
      <c r="J390" s="70" t="inlineStr">
        <is>
          <t>Completed</t>
        </is>
      </c>
      <c r="K390" s="70" t="inlineStr">
        <is>
          <t>Pune</t>
        </is>
      </c>
    </row>
    <row r="391" ht="14.25" customHeight="1" s="56">
      <c r="A391" s="70" t="inlineStr">
        <is>
          <t>ORD-00390</t>
        </is>
      </c>
      <c r="B391" s="71" t="n">
        <v>45440</v>
      </c>
      <c r="C391" s="70" t="inlineStr">
        <is>
          <t>CUST-0118</t>
        </is>
      </c>
      <c r="D391" s="70" t="inlineStr">
        <is>
          <t>PROD-056</t>
        </is>
      </c>
      <c r="E391" s="70" t="inlineStr">
        <is>
          <t>R019</t>
        </is>
      </c>
      <c r="F391" s="72" t="n">
        <v>1</v>
      </c>
      <c r="G391" s="72" t="n">
        <v>6940</v>
      </c>
      <c r="H391" s="72" t="n">
        <v>9.699999999999999</v>
      </c>
      <c r="I391" s="72" t="n">
        <v>6266.82</v>
      </c>
      <c r="J391" s="70" t="inlineStr">
        <is>
          <t>Completed</t>
        </is>
      </c>
      <c r="K391" s="70" t="inlineStr">
        <is>
          <t>Hyderabad</t>
        </is>
      </c>
    </row>
    <row r="392" ht="14.25" customHeight="1" s="56">
      <c r="A392" s="70" t="inlineStr">
        <is>
          <t>ORD-00391</t>
        </is>
      </c>
      <c r="B392" s="71" t="n">
        <v>45358</v>
      </c>
      <c r="C392" s="70" t="inlineStr">
        <is>
          <t>CUST-0019</t>
        </is>
      </c>
      <c r="D392" s="70" t="inlineStr">
        <is>
          <t>PROD-043</t>
        </is>
      </c>
      <c r="E392" s="70" t="inlineStr">
        <is>
          <t>R006</t>
        </is>
      </c>
      <c r="F392" s="72" t="n">
        <v>10</v>
      </c>
      <c r="G392" s="72" t="n">
        <v>3350</v>
      </c>
      <c r="H392" s="72" t="n">
        <v>3.2</v>
      </c>
      <c r="I392" s="72" t="n">
        <v>32428</v>
      </c>
      <c r="J392" s="70" t="inlineStr">
        <is>
          <t>Completed</t>
        </is>
      </c>
      <c r="K392" s="70" t="inlineStr">
        <is>
          <t>Chennai</t>
        </is>
      </c>
    </row>
    <row r="393" ht="14.25" customHeight="1" s="56">
      <c r="A393" s="70" t="inlineStr">
        <is>
          <t>ORD-00392</t>
        </is>
      </c>
      <c r="B393" s="71" t="n">
        <v>45387</v>
      </c>
      <c r="C393" s="70" t="inlineStr">
        <is>
          <t>CUST-0290</t>
        </is>
      </c>
      <c r="D393" s="70" t="inlineStr">
        <is>
          <t>PROD-041</t>
        </is>
      </c>
      <c r="E393" s="70" t="inlineStr">
        <is>
          <t>R026</t>
        </is>
      </c>
      <c r="F393" s="72" t="n">
        <v>7</v>
      </c>
      <c r="G393" s="72" t="n">
        <v>1540</v>
      </c>
      <c r="H393" s="72" t="n">
        <v>0.5</v>
      </c>
      <c r="I393" s="72" t="n">
        <v>10726.1</v>
      </c>
      <c r="J393" s="70" t="inlineStr">
        <is>
          <t>Completed</t>
        </is>
      </c>
      <c r="K393" s="70" t="inlineStr">
        <is>
          <t>Delhi</t>
        </is>
      </c>
    </row>
    <row r="394" ht="14.25" customHeight="1" s="56">
      <c r="A394" s="70" t="inlineStr">
        <is>
          <t>ORD-00393</t>
        </is>
      </c>
      <c r="B394" s="71" t="n">
        <v>45655</v>
      </c>
      <c r="C394" s="70" t="inlineStr">
        <is>
          <t>CUST-9557</t>
        </is>
      </c>
      <c r="D394" s="70" t="inlineStr">
        <is>
          <t>PROD-014</t>
        </is>
      </c>
      <c r="E394" s="70" t="inlineStr">
        <is>
          <t>R026</t>
        </is>
      </c>
      <c r="F394" s="72" t="n">
        <v>10</v>
      </c>
      <c r="G394" s="72" t="n">
        <v>3620</v>
      </c>
      <c r="H394" s="72" t="n">
        <v>22</v>
      </c>
      <c r="I394" s="72" t="n">
        <v>28236</v>
      </c>
      <c r="J394" s="70" t="inlineStr">
        <is>
          <t>Completed</t>
        </is>
      </c>
      <c r="K394" s="70" t="inlineStr">
        <is>
          <t>Pune</t>
        </is>
      </c>
    </row>
    <row r="395" ht="14.25" customHeight="1" s="56">
      <c r="A395" s="70" t="inlineStr">
        <is>
          <t>ORD-00394</t>
        </is>
      </c>
      <c r="B395" s="71" t="n">
        <v>45629</v>
      </c>
      <c r="C395" s="70" t="inlineStr">
        <is>
          <t>CUST-0291</t>
        </is>
      </c>
      <c r="D395" s="70" t="inlineStr">
        <is>
          <t>PROD-053</t>
        </is>
      </c>
      <c r="E395" s="70" t="inlineStr">
        <is>
          <t>R026</t>
        </is>
      </c>
      <c r="F395" s="72" t="n">
        <v>2</v>
      </c>
      <c r="G395" s="72" t="n">
        <v>470</v>
      </c>
      <c r="H395" s="72" t="n">
        <v>26.5</v>
      </c>
      <c r="I395" s="72" t="n">
        <v>690.9</v>
      </c>
      <c r="J395" s="70" t="inlineStr">
        <is>
          <t>Pending</t>
        </is>
      </c>
      <c r="K395" s="70" t="inlineStr">
        <is>
          <t>Pune</t>
        </is>
      </c>
    </row>
    <row r="396" ht="14.25" customHeight="1" s="56">
      <c r="A396" s="70" t="inlineStr">
        <is>
          <t>ORD-00395</t>
        </is>
      </c>
      <c r="B396" s="71" t="n">
        <v>45323</v>
      </c>
      <c r="C396" s="70" t="inlineStr">
        <is>
          <t>CUST-0045</t>
        </is>
      </c>
      <c r="D396" s="70" t="inlineStr">
        <is>
          <t>PROD-028</t>
        </is>
      </c>
      <c r="E396" s="70" t="inlineStr">
        <is>
          <t>R010</t>
        </is>
      </c>
      <c r="F396" s="72" t="n">
        <v>6</v>
      </c>
      <c r="G396" s="72" t="n">
        <v>3660</v>
      </c>
      <c r="H396" s="72" t="n">
        <v>1.5</v>
      </c>
      <c r="I396" s="72" t="n">
        <v>21630.6</v>
      </c>
      <c r="J396" s="70" t="inlineStr">
        <is>
          <t>Completed</t>
        </is>
      </c>
      <c r="K396" s="70" t="inlineStr">
        <is>
          <t>Chennai</t>
        </is>
      </c>
    </row>
    <row r="397" ht="14.25" customHeight="1" s="56">
      <c r="A397" s="70" t="inlineStr">
        <is>
          <t>ORD-00396</t>
        </is>
      </c>
      <c r="B397" s="71" t="n">
        <v>45432</v>
      </c>
      <c r="C397" s="70" t="inlineStr">
        <is>
          <t>CUST-0281</t>
        </is>
      </c>
      <c r="D397" s="70" t="inlineStr">
        <is>
          <t>PROD-056</t>
        </is>
      </c>
      <c r="E397" s="70" t="inlineStr">
        <is>
          <t>R017</t>
        </is>
      </c>
      <c r="F397" s="72" t="n">
        <v>10</v>
      </c>
      <c r="G397" s="72" t="n">
        <v>6940</v>
      </c>
      <c r="H397" s="72" t="n">
        <v>1.9</v>
      </c>
      <c r="I397" s="72" t="n">
        <v>68081.39999999999</v>
      </c>
      <c r="J397" s="70" t="inlineStr">
        <is>
          <t>Completed</t>
        </is>
      </c>
      <c r="K397" s="70" t="inlineStr">
        <is>
          <t>Bengaluru</t>
        </is>
      </c>
    </row>
    <row r="398" ht="14.25" customHeight="1" s="56">
      <c r="A398" s="70" t="inlineStr">
        <is>
          <t>ORD-00397</t>
        </is>
      </c>
      <c r="B398" s="71" t="n">
        <v>45397</v>
      </c>
      <c r="C398" s="70" t="inlineStr">
        <is>
          <t>CUST-0073</t>
        </is>
      </c>
      <c r="D398" s="70" t="inlineStr">
        <is>
          <t>PROD-042</t>
        </is>
      </c>
      <c r="E398" s="70" t="inlineStr">
        <is>
          <t>R005</t>
        </is>
      </c>
      <c r="F398" s="72" t="n">
        <v>8</v>
      </c>
      <c r="G398" s="72" t="n">
        <v>2290</v>
      </c>
      <c r="H398" s="72" t="n">
        <v>27.9</v>
      </c>
      <c r="I398" s="72" t="n">
        <v>13208.72</v>
      </c>
      <c r="J398" s="70" t="inlineStr">
        <is>
          <t>Completed</t>
        </is>
      </c>
      <c r="K398" s="70" t="inlineStr">
        <is>
          <t>Pune</t>
        </is>
      </c>
    </row>
    <row r="399" ht="14.25" customHeight="1" s="56">
      <c r="A399" s="70" t="inlineStr">
        <is>
          <t>ORD-00398</t>
        </is>
      </c>
      <c r="B399" s="71" t="n">
        <v>45573</v>
      </c>
      <c r="C399" s="70" t="inlineStr">
        <is>
          <t>CUST-0043</t>
        </is>
      </c>
      <c r="D399" s="70" t="inlineStr">
        <is>
          <t>PROD-012</t>
        </is>
      </c>
      <c r="E399" s="70" t="inlineStr">
        <is>
          <t>R024</t>
        </is>
      </c>
      <c r="F399" s="72" t="n">
        <v>9</v>
      </c>
      <c r="G399" s="72" t="n">
        <v>3160</v>
      </c>
      <c r="H399" s="72" t="n">
        <v>10.2</v>
      </c>
      <c r="I399" s="72" t="n">
        <v>25539.12</v>
      </c>
      <c r="J399" s="70" t="inlineStr">
        <is>
          <t>Completed</t>
        </is>
      </c>
      <c r="K399" s="70" t="inlineStr">
        <is>
          <t>Hyderabad</t>
        </is>
      </c>
    </row>
    <row r="400" ht="14.25" customHeight="1" s="56">
      <c r="A400" s="70" t="inlineStr">
        <is>
          <t>ORD-00399</t>
        </is>
      </c>
      <c r="B400" s="71" t="n">
        <v>45307</v>
      </c>
      <c r="C400" s="70" t="inlineStr">
        <is>
          <t>CUST-0154</t>
        </is>
      </c>
      <c r="D400" s="70" t="inlineStr">
        <is>
          <t>PROD-034</t>
        </is>
      </c>
      <c r="E400" s="70" t="inlineStr">
        <is>
          <t>R028</t>
        </is>
      </c>
      <c r="F400" s="72" t="n">
        <v>6</v>
      </c>
      <c r="G400" s="72" t="n">
        <v>5080</v>
      </c>
      <c r="H400" s="72" t="n">
        <v>25.4</v>
      </c>
      <c r="I400" s="72" t="n">
        <v>22738.08</v>
      </c>
      <c r="J400" s="70" t="inlineStr">
        <is>
          <t>Completed</t>
        </is>
      </c>
      <c r="K400" s="70" t="inlineStr">
        <is>
          <t>Pune</t>
        </is>
      </c>
    </row>
    <row r="401" ht="14.25" customHeight="1" s="56">
      <c r="A401" s="70" t="inlineStr">
        <is>
          <t>ORD-00400</t>
        </is>
      </c>
      <c r="B401" s="71" t="n">
        <v>45620</v>
      </c>
      <c r="C401" s="70" t="inlineStr">
        <is>
          <t>CUST-0061</t>
        </is>
      </c>
      <c r="D401" s="70" t="inlineStr">
        <is>
          <t>PROD-021</t>
        </is>
      </c>
      <c r="E401" s="70" t="inlineStr">
        <is>
          <t>R012</t>
        </is>
      </c>
      <c r="F401" s="72" t="n">
        <v>6</v>
      </c>
      <c r="G401" s="72" t="n">
        <v>2760</v>
      </c>
      <c r="H401" s="72" t="n">
        <v>21.3</v>
      </c>
      <c r="I401" s="72" t="n">
        <v>13032.72</v>
      </c>
      <c r="J401" s="70" t="inlineStr">
        <is>
          <t>Completed</t>
        </is>
      </c>
      <c r="K401" s="70" t="inlineStr">
        <is>
          <t>Hyderabad</t>
        </is>
      </c>
    </row>
    <row r="402" ht="14.25" customHeight="1" s="56">
      <c r="A402" s="70" t="inlineStr">
        <is>
          <t>ORD-00401</t>
        </is>
      </c>
      <c r="B402" s="71" t="n">
        <v>45462</v>
      </c>
      <c r="C402" s="70" t="inlineStr">
        <is>
          <t>CUST-9654</t>
        </is>
      </c>
      <c r="D402" s="70" t="inlineStr">
        <is>
          <t>PROD-009</t>
        </is>
      </c>
      <c r="E402" s="70" t="inlineStr">
        <is>
          <t>R012</t>
        </is>
      </c>
      <c r="F402" s="72" t="n">
        <v>5</v>
      </c>
      <c r="G402" s="72" t="n">
        <v>1220</v>
      </c>
      <c r="H402" s="72" t="n">
        <v>7.6</v>
      </c>
      <c r="I402" s="72" t="n">
        <v>5636.4</v>
      </c>
      <c r="J402" s="70" t="inlineStr">
        <is>
          <t>Completed</t>
        </is>
      </c>
      <c r="K402" s="70" t="inlineStr">
        <is>
          <t>Mumbai</t>
        </is>
      </c>
    </row>
    <row r="403" ht="14.25" customHeight="1" s="56">
      <c r="A403" s="70" t="inlineStr">
        <is>
          <t>ORD-00402</t>
        </is>
      </c>
      <c r="B403" s="71" t="n">
        <v>45622</v>
      </c>
      <c r="C403" s="70" t="inlineStr">
        <is>
          <t>CUST-0189</t>
        </is>
      </c>
      <c r="D403" s="70" t="inlineStr">
        <is>
          <t>PROD-046</t>
        </is>
      </c>
      <c r="E403" s="70" t="inlineStr">
        <is>
          <t>R028</t>
        </is>
      </c>
      <c r="F403" s="72" t="n">
        <v>5</v>
      </c>
      <c r="G403" s="72" t="n">
        <v>4880</v>
      </c>
      <c r="H403" s="72" t="n">
        <v>8.5</v>
      </c>
      <c r="I403" s="72" t="n">
        <v>22326</v>
      </c>
      <c r="J403" s="70" t="inlineStr">
        <is>
          <t>Completed</t>
        </is>
      </c>
      <c r="K403" s="70" t="inlineStr">
        <is>
          <t>Chennai</t>
        </is>
      </c>
    </row>
    <row r="404" ht="14.25" customHeight="1" s="56">
      <c r="A404" s="70" t="inlineStr">
        <is>
          <t>ORD-00403</t>
        </is>
      </c>
      <c r="B404" s="71" t="n">
        <v>45596</v>
      </c>
      <c r="C404" s="70" t="inlineStr">
        <is>
          <t>CUST-0152</t>
        </is>
      </c>
      <c r="D404" s="70" t="inlineStr">
        <is>
          <t>PROD-026</t>
        </is>
      </c>
      <c r="E404" s="70" t="inlineStr">
        <is>
          <t>R022</t>
        </is>
      </c>
      <c r="F404" s="72" t="n">
        <v>7</v>
      </c>
      <c r="G404" s="72" t="n">
        <v>4070</v>
      </c>
      <c r="H404" s="72" t="n">
        <v>28</v>
      </c>
      <c r="I404" s="72" t="n">
        <v>20512.8</v>
      </c>
      <c r="J404" s="70" t="inlineStr">
        <is>
          <t>Completed</t>
        </is>
      </c>
      <c r="K404" s="70" t="inlineStr">
        <is>
          <t>Bengaluru</t>
        </is>
      </c>
    </row>
    <row r="405" ht="14.25" customHeight="1" s="56">
      <c r="A405" s="70" t="inlineStr">
        <is>
          <t>ORD-00404</t>
        </is>
      </c>
      <c r="B405" s="71" t="n">
        <v>45506</v>
      </c>
      <c r="C405" s="70" t="inlineStr">
        <is>
          <t>CUST-0284</t>
        </is>
      </c>
      <c r="D405" s="70" t="inlineStr">
        <is>
          <t>PROD-006</t>
        </is>
      </c>
      <c r="E405" s="70" t="inlineStr">
        <is>
          <t>R028</t>
        </is>
      </c>
      <c r="F405" s="72" t="n">
        <v>2</v>
      </c>
      <c r="G405" s="72" t="n">
        <v>3970</v>
      </c>
      <c r="H405" s="72" t="n">
        <v>14</v>
      </c>
      <c r="I405" s="72" t="n">
        <v>6828.4</v>
      </c>
      <c r="J405" s="70" t="inlineStr">
        <is>
          <t>Completed</t>
        </is>
      </c>
      <c r="K405" s="70" t="inlineStr">
        <is>
          <t>Hyderabad</t>
        </is>
      </c>
    </row>
    <row r="406" ht="14.25" customHeight="1" s="56">
      <c r="A406" s="70" t="inlineStr">
        <is>
          <t>ORD-00405</t>
        </is>
      </c>
      <c r="B406" s="71" t="n">
        <v>45349</v>
      </c>
      <c r="C406" s="70" t="inlineStr">
        <is>
          <t>CUST-0175</t>
        </is>
      </c>
      <c r="D406" s="70" t="inlineStr">
        <is>
          <t>PROD-008</t>
        </is>
      </c>
      <c r="E406" s="70" t="inlineStr">
        <is>
          <t>R018</t>
        </is>
      </c>
      <c r="F406" s="72" t="n">
        <v>9</v>
      </c>
      <c r="G406" s="72" t="n">
        <v>2660</v>
      </c>
      <c r="H406" s="72" t="n">
        <v>10.1</v>
      </c>
      <c r="I406" s="72" t="n">
        <v>21522.06</v>
      </c>
      <c r="J406" s="70" t="inlineStr">
        <is>
          <t>Completed</t>
        </is>
      </c>
      <c r="K406" s="70" t="inlineStr">
        <is>
          <t>Delhi</t>
        </is>
      </c>
    </row>
    <row r="407" ht="14.25" customHeight="1" s="56">
      <c r="A407" s="70" t="inlineStr">
        <is>
          <t>ORD-00406</t>
        </is>
      </c>
      <c r="B407" s="71" t="n">
        <v>45407</v>
      </c>
      <c r="C407" s="70" t="inlineStr">
        <is>
          <t>CUST-0093</t>
        </is>
      </c>
      <c r="D407" s="70" t="inlineStr">
        <is>
          <t>PROD-055</t>
        </is>
      </c>
      <c r="E407" s="70" t="inlineStr">
        <is>
          <t>R022</t>
        </is>
      </c>
      <c r="F407" s="72" t="n">
        <v>9</v>
      </c>
      <c r="G407" s="72" t="n">
        <v>2860</v>
      </c>
      <c r="H407" s="72" t="n">
        <v>10.1</v>
      </c>
      <c r="I407" s="72" t="n">
        <v>23140.26</v>
      </c>
      <c r="J407" s="70" t="inlineStr">
        <is>
          <t>Refunded</t>
        </is>
      </c>
      <c r="K407" s="70" t="inlineStr">
        <is>
          <t>Pune</t>
        </is>
      </c>
    </row>
    <row r="408" ht="14.25" customHeight="1" s="56">
      <c r="A408" s="70" t="inlineStr">
        <is>
          <t>ORD-00407</t>
        </is>
      </c>
      <c r="B408" s="71" t="n">
        <v>45591</v>
      </c>
      <c r="C408" s="70" t="inlineStr">
        <is>
          <t>CUST-0033</t>
        </is>
      </c>
      <c r="D408" s="70" t="inlineStr">
        <is>
          <t>PROD-009</t>
        </is>
      </c>
      <c r="E408" s="70" t="inlineStr">
        <is>
          <t>R007</t>
        </is>
      </c>
      <c r="F408" s="72" t="n">
        <v>7</v>
      </c>
      <c r="G408" s="72" t="n">
        <v>1220</v>
      </c>
      <c r="H408" s="72" t="n">
        <v>23.5</v>
      </c>
      <c r="I408" s="72" t="n">
        <v>6533.1</v>
      </c>
      <c r="J408" s="70" t="inlineStr">
        <is>
          <t>Refunded</t>
        </is>
      </c>
      <c r="K408" s="70" t="inlineStr">
        <is>
          <t>Delhi</t>
        </is>
      </c>
    </row>
    <row r="409" ht="14.25" customHeight="1" s="56">
      <c r="A409" s="70" t="inlineStr">
        <is>
          <t>ORD-00408</t>
        </is>
      </c>
      <c r="B409" s="71" t="n">
        <v>45584</v>
      </c>
      <c r="C409" s="70" t="inlineStr">
        <is>
          <t>CUST-0294</t>
        </is>
      </c>
      <c r="D409" s="70" t="inlineStr">
        <is>
          <t>PROD-022</t>
        </is>
      </c>
      <c r="E409" s="70" t="inlineStr">
        <is>
          <t>R026</t>
        </is>
      </c>
      <c r="F409" s="72" t="n">
        <v>1</v>
      </c>
      <c r="G409" s="72" t="n">
        <v>2270</v>
      </c>
      <c r="H409" s="72" t="n">
        <v>5.8</v>
      </c>
      <c r="I409" s="72" t="n">
        <v>2138.34</v>
      </c>
      <c r="J409" s="70" t="inlineStr">
        <is>
          <t>Cancelled</t>
        </is>
      </c>
      <c r="K409" s="70" t="inlineStr">
        <is>
          <t>Delhi</t>
        </is>
      </c>
    </row>
    <row r="410" ht="14.25" customHeight="1" s="56">
      <c r="A410" s="70" t="inlineStr">
        <is>
          <t>ORD-00409</t>
        </is>
      </c>
      <c r="B410" s="71" t="n">
        <v>45581</v>
      </c>
      <c r="C410" s="70" t="inlineStr">
        <is>
          <t>CUST-0115</t>
        </is>
      </c>
      <c r="D410" s="70" t="inlineStr">
        <is>
          <t>PROD-037</t>
        </is>
      </c>
      <c r="E410" s="70" t="inlineStr">
        <is>
          <t>R002</t>
        </is>
      </c>
      <c r="F410" s="72" t="n">
        <v>2</v>
      </c>
      <c r="G410" s="72" t="n">
        <v>660</v>
      </c>
      <c r="H410" s="72" t="n">
        <v>2.3</v>
      </c>
      <c r="I410" s="72" t="n">
        <v>1289.64</v>
      </c>
      <c r="J410" s="70" t="inlineStr">
        <is>
          <t>Completed</t>
        </is>
      </c>
      <c r="K410" s="70" t="inlineStr">
        <is>
          <t>Mumbai</t>
        </is>
      </c>
    </row>
    <row r="411" ht="14.25" customHeight="1" s="56">
      <c r="A411" s="70" t="inlineStr">
        <is>
          <t>ORD-00410</t>
        </is>
      </c>
      <c r="B411" s="71" t="n">
        <v>45441</v>
      </c>
      <c r="C411" s="70" t="inlineStr">
        <is>
          <t>CUST-0219</t>
        </is>
      </c>
      <c r="D411" s="70" t="inlineStr">
        <is>
          <t>PROD-012</t>
        </is>
      </c>
      <c r="E411" s="70" t="inlineStr">
        <is>
          <t>R014</t>
        </is>
      </c>
      <c r="F411" s="72" t="n">
        <v>1</v>
      </c>
      <c r="G411" s="72" t="n">
        <v>3160</v>
      </c>
      <c r="H411" s="72" t="n">
        <v>5.6</v>
      </c>
      <c r="I411" s="72" t="n">
        <v>2983.04</v>
      </c>
      <c r="J411" s="70" t="inlineStr">
        <is>
          <t>Completed</t>
        </is>
      </c>
      <c r="K411" s="70" t="inlineStr">
        <is>
          <t>Chennai</t>
        </is>
      </c>
    </row>
    <row r="412" ht="14.25" customHeight="1" s="56">
      <c r="A412" s="70" t="inlineStr">
        <is>
          <t>ORD-00411</t>
        </is>
      </c>
      <c r="B412" s="71" t="n">
        <v>45408</v>
      </c>
      <c r="C412" s="70" t="inlineStr">
        <is>
          <t>CUST-0180</t>
        </is>
      </c>
      <c r="D412" s="70" t="inlineStr">
        <is>
          <t>PROD-002</t>
        </is>
      </c>
      <c r="E412" s="70" t="inlineStr">
        <is>
          <t>R013</t>
        </is>
      </c>
      <c r="F412" s="72" t="n">
        <v>1</v>
      </c>
      <c r="G412" s="72" t="n">
        <v>2600</v>
      </c>
      <c r="H412" s="72" t="n">
        <v>1</v>
      </c>
      <c r="I412" s="72" t="n">
        <v>2574</v>
      </c>
      <c r="J412" s="70" t="inlineStr">
        <is>
          <t>Completed</t>
        </is>
      </c>
      <c r="K412" s="70" t="inlineStr">
        <is>
          <t>Chennai</t>
        </is>
      </c>
    </row>
    <row r="413" ht="14.25" customHeight="1" s="56">
      <c r="A413" s="70" t="inlineStr">
        <is>
          <t>ORD-00412</t>
        </is>
      </c>
      <c r="B413" s="71" t="n">
        <v>45515</v>
      </c>
      <c r="C413" s="70" t="inlineStr">
        <is>
          <t>CUST-0148</t>
        </is>
      </c>
      <c r="D413" s="70" t="inlineStr">
        <is>
          <t>PROD-039</t>
        </is>
      </c>
      <c r="E413" s="70" t="inlineStr">
        <is>
          <t>R014</t>
        </is>
      </c>
      <c r="F413" s="72" t="n">
        <v>4</v>
      </c>
      <c r="G413" s="72" t="n">
        <v>4610</v>
      </c>
      <c r="H413" s="72" t="n">
        <v>18.7</v>
      </c>
      <c r="I413" s="72" t="n">
        <v>14991.72</v>
      </c>
      <c r="J413" s="70" t="inlineStr">
        <is>
          <t>Completed</t>
        </is>
      </c>
      <c r="K413" s="70" t="inlineStr">
        <is>
          <t>Chennai</t>
        </is>
      </c>
    </row>
    <row r="414" ht="14.25" customHeight="1" s="56">
      <c r="A414" s="70" t="inlineStr">
        <is>
          <t>ORD-00413</t>
        </is>
      </c>
      <c r="B414" s="71" t="n">
        <v>45412</v>
      </c>
      <c r="C414" s="70" t="inlineStr">
        <is>
          <t>CUST-0026</t>
        </is>
      </c>
      <c r="D414" s="70" t="inlineStr">
        <is>
          <t>PROD-013</t>
        </is>
      </c>
      <c r="E414" s="70" t="inlineStr">
        <is>
          <t>R018</t>
        </is>
      </c>
      <c r="F414" s="72" t="n">
        <v>3</v>
      </c>
      <c r="G414" s="72" t="n">
        <v>3640</v>
      </c>
      <c r="H414" s="72" t="n">
        <v>9.699999999999999</v>
      </c>
      <c r="I414" s="72" t="n">
        <v>9860.76</v>
      </c>
      <c r="J414" s="70" t="inlineStr">
        <is>
          <t>Cancelled</t>
        </is>
      </c>
      <c r="K414" s="70" t="inlineStr">
        <is>
          <t>Pune</t>
        </is>
      </c>
    </row>
    <row r="415" ht="14.25" customHeight="1" s="56">
      <c r="A415" s="70" t="inlineStr">
        <is>
          <t>ORD-00414</t>
        </is>
      </c>
      <c r="B415" s="71" t="n">
        <v>45448</v>
      </c>
      <c r="C415" s="70" t="inlineStr">
        <is>
          <t>CUST-0246</t>
        </is>
      </c>
      <c r="D415" s="70" t="inlineStr">
        <is>
          <t>PROD-015</t>
        </is>
      </c>
      <c r="E415" s="70" t="inlineStr">
        <is>
          <t>R004</t>
        </is>
      </c>
      <c r="F415" s="72" t="n">
        <v>6</v>
      </c>
      <c r="G415" s="72" t="n">
        <v>2720</v>
      </c>
      <c r="H415" s="72" t="n">
        <v>13</v>
      </c>
      <c r="I415" s="72" t="n">
        <v>14198.4</v>
      </c>
      <c r="J415" s="70" t="inlineStr">
        <is>
          <t>Pending</t>
        </is>
      </c>
      <c r="K415" s="70" t="inlineStr">
        <is>
          <t>Delhi</t>
        </is>
      </c>
    </row>
    <row r="416" ht="14.25" customHeight="1" s="56">
      <c r="A416" s="70" t="inlineStr">
        <is>
          <t>ORD-00415</t>
        </is>
      </c>
      <c r="B416" s="71" t="n">
        <v>45644</v>
      </c>
      <c r="C416" s="70" t="inlineStr">
        <is>
          <t>CUST-0125</t>
        </is>
      </c>
      <c r="D416" s="70" t="inlineStr">
        <is>
          <t>PROD-059</t>
        </is>
      </c>
      <c r="E416" s="70" t="inlineStr">
        <is>
          <t>R008</t>
        </is>
      </c>
      <c r="F416" s="72" t="n">
        <v>5</v>
      </c>
      <c r="G416" s="72" t="n">
        <v>3780</v>
      </c>
      <c r="H416" s="72" t="n">
        <v>15.2</v>
      </c>
      <c r="I416" s="72" t="n">
        <v>16027.2</v>
      </c>
      <c r="J416" s="70" t="inlineStr">
        <is>
          <t>Completed</t>
        </is>
      </c>
      <c r="K416" s="70" t="inlineStr">
        <is>
          <t>Delhi</t>
        </is>
      </c>
    </row>
    <row r="417" ht="14.25" customHeight="1" s="56">
      <c r="A417" s="70" t="inlineStr">
        <is>
          <t>ORD-00416</t>
        </is>
      </c>
      <c r="B417" s="71" t="n">
        <v>45407</v>
      </c>
      <c r="C417" s="70" t="inlineStr">
        <is>
          <t>CUST-0190</t>
        </is>
      </c>
      <c r="D417" s="70" t="inlineStr">
        <is>
          <t>PROD-035</t>
        </is>
      </c>
      <c r="E417" s="70" t="inlineStr">
        <is>
          <t>R030</t>
        </is>
      </c>
      <c r="F417" s="72" t="n">
        <v>9</v>
      </c>
      <c r="G417" s="72" t="n">
        <v>1090</v>
      </c>
      <c r="H417" s="72" t="n">
        <v>28.5</v>
      </c>
      <c r="I417" s="72" t="n">
        <v>7014.15</v>
      </c>
      <c r="J417" s="70" t="inlineStr">
        <is>
          <t>Completed</t>
        </is>
      </c>
      <c r="K417" s="70" t="inlineStr">
        <is>
          <t>Hyderabad</t>
        </is>
      </c>
    </row>
    <row r="418" ht="14.25" customHeight="1" s="56">
      <c r="A418" s="70" t="inlineStr">
        <is>
          <t>ORD-00417</t>
        </is>
      </c>
      <c r="B418" s="71" t="n">
        <v>45581</v>
      </c>
      <c r="C418" s="70" t="inlineStr">
        <is>
          <t>CUST-0085</t>
        </is>
      </c>
      <c r="D418" s="70" t="inlineStr">
        <is>
          <t>PROD-035</t>
        </is>
      </c>
      <c r="E418" s="70" t="inlineStr">
        <is>
          <t>R028</t>
        </is>
      </c>
      <c r="F418" s="72" t="n">
        <v>6</v>
      </c>
      <c r="G418" s="72" t="n">
        <v>1090</v>
      </c>
      <c r="H418" s="72" t="n">
        <v>28.7</v>
      </c>
      <c r="I418" s="72" t="n">
        <v>4663.02</v>
      </c>
      <c r="J418" s="70" t="inlineStr">
        <is>
          <t>Completed</t>
        </is>
      </c>
      <c r="K418" s="70" t="inlineStr">
        <is>
          <t>Chennai</t>
        </is>
      </c>
    </row>
    <row r="419" ht="14.25" customHeight="1" s="56">
      <c r="A419" s="70" t="inlineStr">
        <is>
          <t>ORD-00418</t>
        </is>
      </c>
      <c r="B419" s="71" t="n">
        <v>45366</v>
      </c>
      <c r="C419" s="70" t="inlineStr">
        <is>
          <t>CUST-0249</t>
        </is>
      </c>
      <c r="D419" s="70" t="inlineStr">
        <is>
          <t>PROD-017</t>
        </is>
      </c>
      <c r="E419" s="70" t="inlineStr">
        <is>
          <t>R030</t>
        </is>
      </c>
      <c r="F419" s="72" t="n">
        <v>5</v>
      </c>
      <c r="G419" s="72" t="n">
        <v>2510</v>
      </c>
      <c r="H419" s="72" t="n">
        <v>25</v>
      </c>
      <c r="I419" s="72" t="n">
        <v>9412.5</v>
      </c>
      <c r="J419" s="70" t="inlineStr">
        <is>
          <t>Completed</t>
        </is>
      </c>
      <c r="K419" s="70" t="inlineStr">
        <is>
          <t>Mumbai</t>
        </is>
      </c>
    </row>
    <row r="420" ht="14.25" customHeight="1" s="56">
      <c r="A420" s="70" t="inlineStr">
        <is>
          <t>ORD-00419</t>
        </is>
      </c>
      <c r="B420" s="71" t="n">
        <v>45577</v>
      </c>
      <c r="C420" s="70" t="inlineStr">
        <is>
          <t>CUST-0012</t>
        </is>
      </c>
      <c r="D420" s="70" t="inlineStr">
        <is>
          <t>PROD-006</t>
        </is>
      </c>
      <c r="E420" s="70" t="inlineStr">
        <is>
          <t>R010</t>
        </is>
      </c>
      <c r="F420" s="72" t="n">
        <v>5</v>
      </c>
      <c r="G420" s="72" t="n">
        <v>3970</v>
      </c>
      <c r="H420" s="72" t="n">
        <v>26</v>
      </c>
      <c r="I420" s="72" t="n">
        <v>14689</v>
      </c>
      <c r="J420" s="70" t="inlineStr">
        <is>
          <t>Completed</t>
        </is>
      </c>
      <c r="K420" s="70" t="inlineStr">
        <is>
          <t>Pune</t>
        </is>
      </c>
    </row>
    <row r="421" ht="14.25" customHeight="1" s="56">
      <c r="A421" s="70" t="inlineStr">
        <is>
          <t>ORD-00420</t>
        </is>
      </c>
      <c r="B421" s="71" t="n">
        <v>45333</v>
      </c>
      <c r="C421" s="70" t="inlineStr">
        <is>
          <t>CUST-0251</t>
        </is>
      </c>
      <c r="D421" s="70" t="inlineStr">
        <is>
          <t>PROD-026</t>
        </is>
      </c>
      <c r="E421" s="70" t="inlineStr">
        <is>
          <t>R001</t>
        </is>
      </c>
      <c r="F421" s="72" t="n">
        <v>9</v>
      </c>
      <c r="G421" s="72" t="n">
        <v>4070</v>
      </c>
      <c r="H421" s="72" t="n">
        <v>15.7</v>
      </c>
      <c r="I421" s="72" t="n">
        <v>30879.09</v>
      </c>
      <c r="J421" s="70" t="inlineStr">
        <is>
          <t>Completed</t>
        </is>
      </c>
      <c r="K421" s="70" t="inlineStr">
        <is>
          <t>Mumbai</t>
        </is>
      </c>
    </row>
    <row r="422" ht="14.25" customHeight="1" s="56">
      <c r="A422" s="70" t="inlineStr">
        <is>
          <t>ORD-00421</t>
        </is>
      </c>
      <c r="B422" s="71" t="n">
        <v>45418</v>
      </c>
      <c r="C422" s="70" t="inlineStr">
        <is>
          <t>CUST-0088</t>
        </is>
      </c>
      <c r="D422" s="70" t="inlineStr">
        <is>
          <t>PROD-038</t>
        </is>
      </c>
      <c r="E422" s="70" t="inlineStr">
        <is>
          <t>R004</t>
        </is>
      </c>
      <c r="F422" s="72" t="n">
        <v>6</v>
      </c>
      <c r="G422" s="72" t="n">
        <v>5490</v>
      </c>
      <c r="H422" s="72" t="n">
        <v>8.5</v>
      </c>
      <c r="I422" s="72" t="n">
        <v>30140.1</v>
      </c>
      <c r="J422" s="70" t="inlineStr">
        <is>
          <t>Refunded</t>
        </is>
      </c>
      <c r="K422" s="70" t="inlineStr">
        <is>
          <t>Chennai</t>
        </is>
      </c>
    </row>
    <row r="423" ht="14.25" customHeight="1" s="56">
      <c r="A423" s="70" t="inlineStr">
        <is>
          <t>ORD-00422</t>
        </is>
      </c>
      <c r="B423" s="71" t="n">
        <v>45615</v>
      </c>
      <c r="C423" s="70" t="inlineStr">
        <is>
          <t>CUST-0037</t>
        </is>
      </c>
      <c r="D423" s="70" t="inlineStr">
        <is>
          <t>PROD-054</t>
        </is>
      </c>
      <c r="E423" s="70" t="inlineStr">
        <is>
          <t>R022</t>
        </is>
      </c>
      <c r="F423" s="72" t="n">
        <v>9</v>
      </c>
      <c r="G423" s="72" t="n">
        <v>1010</v>
      </c>
      <c r="H423" s="72" t="n">
        <v>3.6</v>
      </c>
      <c r="I423" s="72" t="n">
        <v>8762.76</v>
      </c>
      <c r="J423" s="70" t="inlineStr">
        <is>
          <t>Completed</t>
        </is>
      </c>
      <c r="K423" s="70" t="inlineStr">
        <is>
          <t>Bengaluru</t>
        </is>
      </c>
    </row>
    <row r="424" ht="14.25" customHeight="1" s="56">
      <c r="A424" s="70" t="inlineStr">
        <is>
          <t>ORD-00423</t>
        </is>
      </c>
      <c r="B424" s="71" t="n">
        <v>45631</v>
      </c>
      <c r="C424" s="70" t="inlineStr">
        <is>
          <t>CUST-0039</t>
        </is>
      </c>
      <c r="D424" s="70" t="inlineStr">
        <is>
          <t>PROD-028</t>
        </is>
      </c>
      <c r="E424" s="70" t="inlineStr">
        <is>
          <t>R008</t>
        </is>
      </c>
      <c r="F424" s="72" t="n">
        <v>6</v>
      </c>
      <c r="G424" s="72" t="n">
        <v>3660</v>
      </c>
      <c r="H424" s="72" t="n">
        <v>10.8</v>
      </c>
      <c r="I424" s="72" t="n">
        <v>19588.32</v>
      </c>
      <c r="J424" s="70" t="inlineStr">
        <is>
          <t>Completed</t>
        </is>
      </c>
      <c r="K424" s="70" t="inlineStr">
        <is>
          <t>Bengaluru</t>
        </is>
      </c>
    </row>
    <row r="425" ht="14.25" customHeight="1" s="56">
      <c r="A425" s="70" t="inlineStr">
        <is>
          <t>ORD-00424</t>
        </is>
      </c>
      <c r="B425" s="71" t="n">
        <v>45524</v>
      </c>
      <c r="C425" s="70" t="inlineStr">
        <is>
          <t>CUST-0106</t>
        </is>
      </c>
      <c r="D425" s="70" t="inlineStr">
        <is>
          <t>PROD-047</t>
        </is>
      </c>
      <c r="E425" s="70" t="inlineStr">
        <is>
          <t>R016</t>
        </is>
      </c>
      <c r="F425" s="72" t="n">
        <v>6</v>
      </c>
      <c r="G425" s="72" t="n">
        <v>3450</v>
      </c>
      <c r="H425" s="72" t="n">
        <v>10.7</v>
      </c>
      <c r="I425" s="72" t="n">
        <v>18485.1</v>
      </c>
      <c r="J425" s="70" t="inlineStr">
        <is>
          <t>Completed</t>
        </is>
      </c>
      <c r="K425" s="70" t="inlineStr">
        <is>
          <t>Pune</t>
        </is>
      </c>
    </row>
    <row r="426" ht="14.25" customHeight="1" s="56">
      <c r="A426" s="70" t="inlineStr">
        <is>
          <t>ORD-00425</t>
        </is>
      </c>
      <c r="B426" s="71" t="n">
        <v>45379</v>
      </c>
      <c r="C426" s="70" t="inlineStr">
        <is>
          <t>CUST-0222</t>
        </is>
      </c>
      <c r="D426" s="70" t="inlineStr">
        <is>
          <t>PROD-026</t>
        </is>
      </c>
      <c r="E426" s="70" t="inlineStr">
        <is>
          <t>R011</t>
        </is>
      </c>
      <c r="F426" s="72" t="n">
        <v>10</v>
      </c>
      <c r="G426" s="72" t="n">
        <v>4070</v>
      </c>
      <c r="H426" s="72" t="n">
        <v>23.4</v>
      </c>
      <c r="I426" s="72" t="n">
        <v>31176.2</v>
      </c>
      <c r="J426" s="70" t="inlineStr">
        <is>
          <t>Refunded</t>
        </is>
      </c>
      <c r="K426" s="70" t="inlineStr">
        <is>
          <t>Chennai</t>
        </is>
      </c>
    </row>
    <row r="427" ht="14.25" customHeight="1" s="56">
      <c r="A427" s="70" t="inlineStr">
        <is>
          <t>ORD-00426</t>
        </is>
      </c>
      <c r="B427" s="71" t="n">
        <v>45454</v>
      </c>
      <c r="C427" s="70" t="inlineStr">
        <is>
          <t>CUST-0130</t>
        </is>
      </c>
      <c r="D427" s="70" t="inlineStr">
        <is>
          <t>PROD-003</t>
        </is>
      </c>
      <c r="E427" s="70" t="inlineStr">
        <is>
          <t>R025</t>
        </is>
      </c>
      <c r="F427" s="72" t="n">
        <v>9</v>
      </c>
      <c r="G427" s="72" t="n">
        <v>3570</v>
      </c>
      <c r="H427" s="72" t="n">
        <v>15.2</v>
      </c>
      <c r="I427" s="72" t="n">
        <v>27246.24</v>
      </c>
      <c r="J427" s="70" t="inlineStr">
        <is>
          <t>Completed</t>
        </is>
      </c>
      <c r="K427" s="70" t="inlineStr">
        <is>
          <t>Bengaluru</t>
        </is>
      </c>
    </row>
    <row r="428" ht="14.25" customHeight="1" s="56">
      <c r="A428" s="70" t="inlineStr">
        <is>
          <t>ORD-00427</t>
        </is>
      </c>
      <c r="B428" s="71" t="n">
        <v>45562</v>
      </c>
      <c r="C428" s="70" t="inlineStr">
        <is>
          <t>CUST-0281</t>
        </is>
      </c>
      <c r="D428" s="70" t="inlineStr">
        <is>
          <t>PROD-056</t>
        </is>
      </c>
      <c r="E428" s="70" t="inlineStr">
        <is>
          <t>R005</t>
        </is>
      </c>
      <c r="F428" s="72" t="n">
        <v>10</v>
      </c>
      <c r="G428" s="72" t="n">
        <v>6940</v>
      </c>
      <c r="H428" s="72" t="n">
        <v>21.8</v>
      </c>
      <c r="I428" s="72" t="n">
        <v>54270.8</v>
      </c>
      <c r="J428" s="70" t="inlineStr">
        <is>
          <t>Pending</t>
        </is>
      </c>
      <c r="K428" s="70" t="inlineStr">
        <is>
          <t>Bengaluru</t>
        </is>
      </c>
    </row>
    <row r="429" ht="14.25" customHeight="1" s="56">
      <c r="A429" s="70" t="inlineStr">
        <is>
          <t>ORD-00428</t>
        </is>
      </c>
      <c r="B429" s="71" t="n">
        <v>45489</v>
      </c>
      <c r="C429" s="70" t="inlineStr">
        <is>
          <t>CUST-0094</t>
        </is>
      </c>
      <c r="D429" s="70" t="inlineStr">
        <is>
          <t>PROD-044</t>
        </is>
      </c>
      <c r="E429" s="70" t="inlineStr">
        <is>
          <t>R014</t>
        </is>
      </c>
      <c r="F429" s="72" t="n">
        <v>9</v>
      </c>
      <c r="G429" s="72" t="n">
        <v>1650</v>
      </c>
      <c r="H429" s="72" t="n">
        <v>24.3</v>
      </c>
      <c r="I429" s="72" t="n">
        <v>11241.45</v>
      </c>
      <c r="J429" s="70" t="inlineStr">
        <is>
          <t>Completed</t>
        </is>
      </c>
      <c r="K429" s="70" t="inlineStr">
        <is>
          <t>Pune</t>
        </is>
      </c>
    </row>
    <row r="430" ht="14.25" customHeight="1" s="56">
      <c r="A430" s="70" t="inlineStr">
        <is>
          <t>ORD-00429</t>
        </is>
      </c>
      <c r="B430" s="71" t="n">
        <v>45624</v>
      </c>
      <c r="C430" s="70" t="inlineStr">
        <is>
          <t>CUST-0271</t>
        </is>
      </c>
      <c r="D430" s="70" t="inlineStr">
        <is>
          <t>PROD-007</t>
        </is>
      </c>
      <c r="E430" s="70" t="inlineStr">
        <is>
          <t>R014</t>
        </is>
      </c>
      <c r="F430" s="72" t="n">
        <v>10</v>
      </c>
      <c r="G430" s="72" t="n">
        <v>1430</v>
      </c>
      <c r="H430" s="72" t="n">
        <v>25.2</v>
      </c>
      <c r="I430" s="72" t="n">
        <v>10696.4</v>
      </c>
      <c r="J430" s="70" t="inlineStr">
        <is>
          <t>Completed</t>
        </is>
      </c>
      <c r="K430" s="70" t="inlineStr">
        <is>
          <t>Bengaluru</t>
        </is>
      </c>
    </row>
    <row r="431" ht="14.25" customHeight="1" s="56">
      <c r="A431" s="70" t="inlineStr">
        <is>
          <t>ORD-00430</t>
        </is>
      </c>
      <c r="B431" s="71" t="n">
        <v>45480</v>
      </c>
      <c r="C431" s="70" t="inlineStr">
        <is>
          <t>CUST-0110</t>
        </is>
      </c>
      <c r="D431" s="70" t="inlineStr">
        <is>
          <t>PROD-025</t>
        </is>
      </c>
      <c r="E431" s="70" t="inlineStr">
        <is>
          <t>R010</t>
        </is>
      </c>
      <c r="F431" s="72" t="n">
        <v>4</v>
      </c>
      <c r="G431" s="72" t="n">
        <v>4060</v>
      </c>
      <c r="H431" s="72" t="n">
        <v>1.6</v>
      </c>
      <c r="I431" s="72" t="n">
        <v>15980.16</v>
      </c>
      <c r="J431" s="70" t="inlineStr">
        <is>
          <t>Completed</t>
        </is>
      </c>
      <c r="K431" s="70" t="inlineStr">
        <is>
          <t>Pune</t>
        </is>
      </c>
    </row>
    <row r="432" ht="14.25" customHeight="1" s="56">
      <c r="A432" s="70" t="inlineStr">
        <is>
          <t>ORD-00431</t>
        </is>
      </c>
      <c r="B432" s="71" t="n">
        <v>45420</v>
      </c>
      <c r="C432" s="70" t="inlineStr">
        <is>
          <t>CUST-0262</t>
        </is>
      </c>
      <c r="D432" s="70" t="inlineStr">
        <is>
          <t>PROD-032</t>
        </is>
      </c>
      <c r="E432" s="70" t="inlineStr">
        <is>
          <t>R005</t>
        </is>
      </c>
      <c r="F432" s="72" t="n">
        <v>9</v>
      </c>
      <c r="G432" s="72" t="n">
        <v>370</v>
      </c>
      <c r="H432" s="72" t="n">
        <v>17</v>
      </c>
      <c r="I432" s="72" t="n">
        <v>2763.9</v>
      </c>
      <c r="J432" s="70" t="inlineStr">
        <is>
          <t>Completed</t>
        </is>
      </c>
      <c r="K432" s="70" t="inlineStr">
        <is>
          <t>Mumbai</t>
        </is>
      </c>
    </row>
    <row r="433" ht="14.25" customHeight="1" s="56">
      <c r="A433" s="70" t="inlineStr">
        <is>
          <t>ORD-00432</t>
        </is>
      </c>
      <c r="B433" s="71" t="n">
        <v>45322</v>
      </c>
      <c r="C433" s="70" t="inlineStr">
        <is>
          <t>CUST-0157</t>
        </is>
      </c>
      <c r="D433" s="70" t="inlineStr">
        <is>
          <t>PROD-041</t>
        </is>
      </c>
      <c r="E433" s="70" t="inlineStr">
        <is>
          <t>R010</t>
        </is>
      </c>
      <c r="F433" s="72" t="n">
        <v>1</v>
      </c>
      <c r="G433" s="72" t="n">
        <v>1540</v>
      </c>
      <c r="H433" s="72" t="n">
        <v>24</v>
      </c>
      <c r="I433" s="72" t="n">
        <v>1170.4</v>
      </c>
      <c r="J433" s="70" t="inlineStr">
        <is>
          <t>Cancelled</t>
        </is>
      </c>
      <c r="K433" s="70" t="inlineStr">
        <is>
          <t>Pune</t>
        </is>
      </c>
    </row>
    <row r="434" ht="14.25" customHeight="1" s="56">
      <c r="A434" s="70" t="inlineStr">
        <is>
          <t>ORD-00433</t>
        </is>
      </c>
      <c r="B434" s="71" t="n">
        <v>45382</v>
      </c>
      <c r="C434" s="70" t="inlineStr">
        <is>
          <t>CUST-0135</t>
        </is>
      </c>
      <c r="D434" s="70" t="inlineStr">
        <is>
          <t>PROD-002</t>
        </is>
      </c>
      <c r="E434" s="70" t="inlineStr">
        <is>
          <t>R025</t>
        </is>
      </c>
      <c r="F434" s="72" t="n">
        <v>9</v>
      </c>
      <c r="G434" s="72" t="n">
        <v>2600</v>
      </c>
      <c r="H434" s="72" t="n">
        <v>7.7</v>
      </c>
      <c r="I434" s="72" t="n">
        <v>21598.2</v>
      </c>
      <c r="J434" s="70" t="inlineStr">
        <is>
          <t>Completed</t>
        </is>
      </c>
      <c r="K434" s="70" t="inlineStr">
        <is>
          <t>Pune</t>
        </is>
      </c>
    </row>
    <row r="435" ht="14.25" customHeight="1" s="56">
      <c r="A435" s="70" t="inlineStr">
        <is>
          <t>ORD-00434</t>
        </is>
      </c>
      <c r="B435" s="71" t="n">
        <v>45497</v>
      </c>
      <c r="C435" s="70" t="inlineStr">
        <is>
          <t>CUST-0136</t>
        </is>
      </c>
      <c r="D435" s="70" t="inlineStr">
        <is>
          <t>PROD-017</t>
        </is>
      </c>
      <c r="E435" s="70" t="inlineStr">
        <is>
          <t>R015</t>
        </is>
      </c>
      <c r="F435" s="72" t="n">
        <v>8</v>
      </c>
      <c r="G435" s="72" t="n">
        <v>2510</v>
      </c>
      <c r="H435" s="72" t="n">
        <v>3.7</v>
      </c>
      <c r="I435" s="72" t="n">
        <v>19337.04</v>
      </c>
      <c r="J435" s="70" t="inlineStr">
        <is>
          <t>Completed</t>
        </is>
      </c>
      <c r="K435" s="70" t="inlineStr">
        <is>
          <t>Chennai</t>
        </is>
      </c>
    </row>
    <row r="436" ht="14.25" customHeight="1" s="56">
      <c r="A436" s="70" t="inlineStr">
        <is>
          <t>ORD-00435</t>
        </is>
      </c>
      <c r="B436" s="71" t="n">
        <v>45510</v>
      </c>
      <c r="C436" s="70" t="inlineStr">
        <is>
          <t>CUST-0110</t>
        </is>
      </c>
      <c r="D436" s="70" t="inlineStr">
        <is>
          <t>PROD-001</t>
        </is>
      </c>
      <c r="E436" s="70" t="inlineStr">
        <is>
          <t>R003</t>
        </is>
      </c>
      <c r="F436" s="72" t="n">
        <v>6</v>
      </c>
      <c r="G436" s="72" t="n">
        <v>5330</v>
      </c>
      <c r="H436" s="72" t="n">
        <v>8.4</v>
      </c>
      <c r="I436" s="72" t="n">
        <v>29293.68</v>
      </c>
      <c r="J436" s="70" t="inlineStr">
        <is>
          <t>Completed</t>
        </is>
      </c>
      <c r="K436" s="70" t="inlineStr">
        <is>
          <t>Pune</t>
        </is>
      </c>
    </row>
    <row r="437" ht="14.25" customHeight="1" s="56">
      <c r="A437" s="70" t="inlineStr">
        <is>
          <t>ORD-00436</t>
        </is>
      </c>
      <c r="B437" s="71" t="n">
        <v>45522</v>
      </c>
      <c r="C437" s="70" t="inlineStr">
        <is>
          <t>CUST-0192</t>
        </is>
      </c>
      <c r="D437" s="70" t="inlineStr">
        <is>
          <t>PROD-034</t>
        </is>
      </c>
      <c r="E437" s="70" t="inlineStr">
        <is>
          <t>R014</t>
        </is>
      </c>
      <c r="F437" s="72" t="n">
        <v>5</v>
      </c>
      <c r="G437" s="72" t="n">
        <v>5080</v>
      </c>
      <c r="H437" s="72" t="n">
        <v>10.3</v>
      </c>
      <c r="I437" s="72" t="n">
        <v>22783.8</v>
      </c>
      <c r="J437" s="70" t="inlineStr">
        <is>
          <t>Completed</t>
        </is>
      </c>
      <c r="K437" s="70" t="inlineStr">
        <is>
          <t>Bengaluru</t>
        </is>
      </c>
    </row>
    <row r="438" ht="14.25" customHeight="1" s="56">
      <c r="A438" s="70" t="inlineStr">
        <is>
          <t>ORD-00437</t>
        </is>
      </c>
      <c r="B438" s="71" t="n">
        <v>45381</v>
      </c>
      <c r="C438" s="70" t="inlineStr">
        <is>
          <t>CUST-0169</t>
        </is>
      </c>
      <c r="D438" s="70" t="inlineStr">
        <is>
          <t>PROD-026</t>
        </is>
      </c>
      <c r="E438" s="70" t="inlineStr">
        <is>
          <t>R025</t>
        </is>
      </c>
      <c r="F438" s="72" t="n">
        <v>3</v>
      </c>
      <c r="G438" s="72" t="n">
        <v>4070</v>
      </c>
      <c r="H438" s="72" t="n">
        <v>23.7</v>
      </c>
      <c r="I438" s="72" t="n">
        <v>9316.23</v>
      </c>
      <c r="J438" s="70" t="inlineStr">
        <is>
          <t>Completed</t>
        </is>
      </c>
      <c r="K438" s="70" t="inlineStr">
        <is>
          <t>Bengaluru</t>
        </is>
      </c>
    </row>
    <row r="439" ht="14.25" customHeight="1" s="56">
      <c r="A439" s="70" t="inlineStr">
        <is>
          <t>ORD-00438</t>
        </is>
      </c>
      <c r="B439" s="71" t="n">
        <v>45511</v>
      </c>
      <c r="C439" s="70" t="inlineStr">
        <is>
          <t>CUST-0086</t>
        </is>
      </c>
      <c r="D439" s="70" t="inlineStr">
        <is>
          <t>PROD-016</t>
        </is>
      </c>
      <c r="E439" s="70" t="inlineStr">
        <is>
          <t>R013</t>
        </is>
      </c>
      <c r="F439" s="72" t="n">
        <v>4</v>
      </c>
      <c r="G439" s="72" t="n">
        <v>620</v>
      </c>
      <c r="H439" s="72" t="n">
        <v>18.8</v>
      </c>
      <c r="I439" s="72" t="n">
        <v>2013.76</v>
      </c>
      <c r="J439" s="70" t="inlineStr">
        <is>
          <t>Completed</t>
        </is>
      </c>
      <c r="K439" s="70" t="inlineStr">
        <is>
          <t>Hyderabad</t>
        </is>
      </c>
    </row>
    <row r="440" ht="14.25" customHeight="1" s="56">
      <c r="A440" s="70" t="inlineStr">
        <is>
          <t>ORD-00439</t>
        </is>
      </c>
      <c r="B440" s="71" t="n">
        <v>45628</v>
      </c>
      <c r="C440" s="70" t="inlineStr">
        <is>
          <t>CUST-0217</t>
        </is>
      </c>
      <c r="D440" s="70" t="inlineStr">
        <is>
          <t>PROD-010</t>
        </is>
      </c>
      <c r="E440" s="70" t="inlineStr">
        <is>
          <t>R017</t>
        </is>
      </c>
      <c r="F440" s="72" t="n">
        <v>10</v>
      </c>
      <c r="G440" s="72" t="n">
        <v>2640</v>
      </c>
      <c r="H440" s="72" t="n">
        <v>12.7</v>
      </c>
      <c r="I440" s="72" t="n">
        <v>23047.2</v>
      </c>
      <c r="J440" s="70" t="inlineStr">
        <is>
          <t>Completed</t>
        </is>
      </c>
      <c r="K440" s="70" t="inlineStr">
        <is>
          <t>Pune</t>
        </is>
      </c>
    </row>
    <row r="441" ht="14.25" customHeight="1" s="56">
      <c r="A441" s="70" t="inlineStr">
        <is>
          <t>ORD-00440</t>
        </is>
      </c>
      <c r="B441" s="71" t="n">
        <v>45326</v>
      </c>
      <c r="C441" s="70" t="inlineStr">
        <is>
          <t>CUST-0119</t>
        </is>
      </c>
      <c r="D441" s="70" t="inlineStr">
        <is>
          <t>PROD-026</t>
        </is>
      </c>
      <c r="E441" s="70" t="inlineStr">
        <is>
          <t>R030</t>
        </is>
      </c>
      <c r="F441" s="72" t="n">
        <v>2</v>
      </c>
      <c r="G441" s="72" t="n">
        <v>4070</v>
      </c>
      <c r="H441" s="72" t="n">
        <v>29</v>
      </c>
      <c r="I441" s="72" t="n">
        <v>5779.4</v>
      </c>
      <c r="J441" s="70" t="inlineStr">
        <is>
          <t>Completed</t>
        </is>
      </c>
      <c r="K441" s="70" t="inlineStr">
        <is>
          <t>Bengaluru</t>
        </is>
      </c>
    </row>
    <row r="442" ht="14.25" customHeight="1" s="56">
      <c r="A442" s="70" t="inlineStr">
        <is>
          <t>ORD-00441</t>
        </is>
      </c>
      <c r="B442" s="71" t="n">
        <v>45561</v>
      </c>
      <c r="C442" s="70" t="inlineStr">
        <is>
          <t>CUST-0011</t>
        </is>
      </c>
      <c r="D442" s="70" t="inlineStr">
        <is>
          <t>PROD-054</t>
        </is>
      </c>
      <c r="E442" s="70" t="inlineStr">
        <is>
          <t>R007</t>
        </is>
      </c>
      <c r="F442" s="72" t="n">
        <v>8</v>
      </c>
      <c r="G442" s="72" t="n">
        <v>1010</v>
      </c>
      <c r="H442" s="72" t="n">
        <v>25.4</v>
      </c>
      <c r="I442" s="72" t="n">
        <v>6027.68</v>
      </c>
      <c r="J442" s="70" t="inlineStr">
        <is>
          <t>Completed</t>
        </is>
      </c>
      <c r="K442" s="70" t="inlineStr">
        <is>
          <t>Chennai</t>
        </is>
      </c>
    </row>
    <row r="443" ht="14.25" customHeight="1" s="56">
      <c r="A443" s="70" t="inlineStr">
        <is>
          <t>ORD-00442</t>
        </is>
      </c>
      <c r="B443" s="71" t="n">
        <v>45629</v>
      </c>
      <c r="C443" s="70" t="inlineStr">
        <is>
          <t>CUST-0059</t>
        </is>
      </c>
      <c r="D443" s="70" t="inlineStr">
        <is>
          <t>PROD-036</t>
        </is>
      </c>
      <c r="E443" s="70" t="inlineStr">
        <is>
          <t>R005</t>
        </is>
      </c>
      <c r="F443" s="72" t="n">
        <v>8</v>
      </c>
      <c r="G443" s="72" t="n">
        <v>3250</v>
      </c>
      <c r="H443" s="72" t="n">
        <v>5.4</v>
      </c>
      <c r="I443" s="72" t="n">
        <v>24596</v>
      </c>
      <c r="J443" s="70" t="inlineStr">
        <is>
          <t>Completed</t>
        </is>
      </c>
      <c r="K443" s="70" t="inlineStr">
        <is>
          <t>Pune</t>
        </is>
      </c>
    </row>
    <row r="444" ht="14.25" customHeight="1" s="56">
      <c r="A444" s="70" t="inlineStr">
        <is>
          <t>ORD-00443</t>
        </is>
      </c>
      <c r="B444" s="71" t="n">
        <v>45460</v>
      </c>
      <c r="C444" s="70" t="inlineStr">
        <is>
          <t>CUST-0210</t>
        </is>
      </c>
      <c r="D444" s="70" t="inlineStr">
        <is>
          <t>PROD-007</t>
        </is>
      </c>
      <c r="E444" s="70" t="inlineStr">
        <is>
          <t>R009</t>
        </is>
      </c>
      <c r="F444" s="72" t="n">
        <v>7</v>
      </c>
      <c r="G444" s="72" t="n">
        <v>1430</v>
      </c>
      <c r="H444" s="72" t="n">
        <v>19.3</v>
      </c>
      <c r="I444" s="72" t="n">
        <v>8078.07</v>
      </c>
      <c r="J444" s="70" t="inlineStr">
        <is>
          <t>Completed</t>
        </is>
      </c>
      <c r="K444" s="70" t="inlineStr">
        <is>
          <t>Pune</t>
        </is>
      </c>
    </row>
    <row r="445" ht="14.25" customHeight="1" s="56">
      <c r="A445" s="70" t="inlineStr">
        <is>
          <t>ORD-00444</t>
        </is>
      </c>
      <c r="B445" s="71" t="n">
        <v>45597</v>
      </c>
      <c r="C445" s="70" t="inlineStr">
        <is>
          <t>CUST-0145</t>
        </is>
      </c>
      <c r="D445" s="70" t="inlineStr">
        <is>
          <t>PROD-045</t>
        </is>
      </c>
      <c r="E445" s="70" t="inlineStr">
        <is>
          <t>R018</t>
        </is>
      </c>
      <c r="F445" s="72" t="n">
        <v>9</v>
      </c>
      <c r="G445" s="72" t="n">
        <v>3020</v>
      </c>
      <c r="H445" s="72" t="n">
        <v>15</v>
      </c>
      <c r="I445" s="72" t="n">
        <v>23103</v>
      </c>
      <c r="J445" s="70" t="inlineStr">
        <is>
          <t>Completed</t>
        </is>
      </c>
      <c r="K445" s="70" t="inlineStr">
        <is>
          <t>Bengaluru</t>
        </is>
      </c>
    </row>
    <row r="446" ht="14.25" customHeight="1" s="56">
      <c r="A446" s="70" t="inlineStr">
        <is>
          <t>ORD-00445</t>
        </is>
      </c>
      <c r="B446" s="71" t="n">
        <v>45324</v>
      </c>
      <c r="C446" s="70" t="inlineStr">
        <is>
          <t>CUST-9626</t>
        </is>
      </c>
      <c r="D446" s="70" t="inlineStr">
        <is>
          <t>PROD-008</t>
        </is>
      </c>
      <c r="E446" s="70" t="inlineStr">
        <is>
          <t>R002</t>
        </is>
      </c>
      <c r="F446" s="72" t="n">
        <v>2</v>
      </c>
      <c r="G446" s="72" t="n">
        <v>2660</v>
      </c>
      <c r="H446" s="72" t="n">
        <v>21.4</v>
      </c>
      <c r="I446" s="72" t="n">
        <v>4181.52</v>
      </c>
      <c r="J446" s="70" t="inlineStr">
        <is>
          <t>Completed</t>
        </is>
      </c>
      <c r="K446" s="70" t="inlineStr">
        <is>
          <t>Chennai</t>
        </is>
      </c>
    </row>
    <row r="447" ht="14.25" customHeight="1" s="56">
      <c r="A447" s="70" t="inlineStr">
        <is>
          <t>ORD-00446</t>
        </is>
      </c>
      <c r="B447" s="71" t="n">
        <v>45490</v>
      </c>
      <c r="C447" s="70" t="inlineStr">
        <is>
          <t>CUST-0250</t>
        </is>
      </c>
      <c r="D447" s="70" t="inlineStr">
        <is>
          <t>PROD-003</t>
        </is>
      </c>
      <c r="E447" s="70" t="inlineStr">
        <is>
          <t>R019</t>
        </is>
      </c>
      <c r="F447" s="72" t="n">
        <v>10</v>
      </c>
      <c r="G447" s="72" t="n">
        <v>3570</v>
      </c>
      <c r="H447" s="72" t="n">
        <v>20.3</v>
      </c>
      <c r="I447" s="72" t="n">
        <v>28452.9</v>
      </c>
      <c r="J447" s="70" t="inlineStr">
        <is>
          <t>Completed</t>
        </is>
      </c>
      <c r="K447" s="70" t="inlineStr">
        <is>
          <t>Delhi</t>
        </is>
      </c>
    </row>
    <row r="448" ht="14.25" customHeight="1" s="56">
      <c r="A448" s="70" t="inlineStr">
        <is>
          <t>ORD-00447</t>
        </is>
      </c>
      <c r="B448" s="71" t="n">
        <v>45330</v>
      </c>
      <c r="C448" s="70" t="inlineStr">
        <is>
          <t>CUST-0241</t>
        </is>
      </c>
      <c r="D448" s="70" t="inlineStr">
        <is>
          <t>PROD-043</t>
        </is>
      </c>
      <c r="E448" s="70" t="inlineStr">
        <is>
          <t>R010</t>
        </is>
      </c>
      <c r="F448" s="72" t="n">
        <v>4</v>
      </c>
      <c r="G448" s="72" t="n">
        <v>3350</v>
      </c>
      <c r="H448" s="72" t="n">
        <v>28.1</v>
      </c>
      <c r="I448" s="72" t="n">
        <v>9634.6</v>
      </c>
      <c r="J448" s="70" t="inlineStr">
        <is>
          <t>Completed</t>
        </is>
      </c>
      <c r="K448" s="70" t="inlineStr">
        <is>
          <t>Pune</t>
        </is>
      </c>
    </row>
    <row r="449" ht="14.25" customHeight="1" s="56">
      <c r="A449" s="70" t="inlineStr">
        <is>
          <t>ORD-00448</t>
        </is>
      </c>
      <c r="B449" s="71" t="n">
        <v>45336</v>
      </c>
      <c r="C449" s="70" t="inlineStr">
        <is>
          <t>CUST-0071</t>
        </is>
      </c>
      <c r="D449" s="70" t="inlineStr">
        <is>
          <t>PROD-019</t>
        </is>
      </c>
      <c r="E449" s="70" t="inlineStr">
        <is>
          <t>R021</t>
        </is>
      </c>
      <c r="F449" s="72" t="n">
        <v>1</v>
      </c>
      <c r="G449" s="72" t="n">
        <v>2480</v>
      </c>
      <c r="H449" s="72" t="n">
        <v>13.5</v>
      </c>
      <c r="I449" s="72" t="n">
        <v>2145.2</v>
      </c>
      <c r="J449" s="70" t="inlineStr">
        <is>
          <t>Completed</t>
        </is>
      </c>
      <c r="K449" s="70" t="inlineStr">
        <is>
          <t>Delhi</t>
        </is>
      </c>
    </row>
    <row r="450" ht="14.25" customHeight="1" s="56">
      <c r="A450" s="70" t="inlineStr">
        <is>
          <t>ORD-00449</t>
        </is>
      </c>
      <c r="B450" s="71" t="n">
        <v>45649</v>
      </c>
      <c r="C450" s="70" t="inlineStr">
        <is>
          <t>CUST-0017</t>
        </is>
      </c>
      <c r="D450" s="70" t="inlineStr">
        <is>
          <t>PROD-052</t>
        </is>
      </c>
      <c r="E450" s="70" t="inlineStr">
        <is>
          <t>R015</t>
        </is>
      </c>
      <c r="F450" s="72" t="n">
        <v>10</v>
      </c>
      <c r="G450" s="72" t="n">
        <v>5410</v>
      </c>
      <c r="H450" s="72" t="n">
        <v>26.1</v>
      </c>
      <c r="I450" s="72" t="n">
        <v>39979.9</v>
      </c>
      <c r="J450" s="70" t="inlineStr">
        <is>
          <t>Completed</t>
        </is>
      </c>
      <c r="K450" s="70" t="inlineStr">
        <is>
          <t>Delhi</t>
        </is>
      </c>
    </row>
    <row r="451" ht="14.25" customHeight="1" s="56">
      <c r="A451" s="70" t="inlineStr">
        <is>
          <t>ORD-00450</t>
        </is>
      </c>
      <c r="B451" s="71" t="n">
        <v>45586</v>
      </c>
      <c r="C451" s="70" t="inlineStr">
        <is>
          <t>CUST-0007</t>
        </is>
      </c>
      <c r="D451" s="70" t="inlineStr">
        <is>
          <t>PROD-037</t>
        </is>
      </c>
      <c r="E451" s="70" t="inlineStr">
        <is>
          <t>R023</t>
        </is>
      </c>
      <c r="F451" s="72" t="n">
        <v>2</v>
      </c>
      <c r="G451" s="72" t="n">
        <v>660</v>
      </c>
      <c r="H451" s="72" t="n">
        <v>5</v>
      </c>
      <c r="I451" s="72" t="n">
        <v>1254</v>
      </c>
      <c r="J451" s="70" t="inlineStr">
        <is>
          <t>Completed</t>
        </is>
      </c>
      <c r="K451" s="70" t="inlineStr">
        <is>
          <t>Bengaluru</t>
        </is>
      </c>
    </row>
    <row r="452" ht="14.25" customHeight="1" s="56">
      <c r="A452" s="70" t="inlineStr">
        <is>
          <t>ORD-00451</t>
        </is>
      </c>
      <c r="B452" s="71" t="n">
        <v>45647</v>
      </c>
      <c r="C452" s="70" t="inlineStr">
        <is>
          <t>CUST-0054</t>
        </is>
      </c>
      <c r="D452" s="70" t="inlineStr">
        <is>
          <t>PROD-054</t>
        </is>
      </c>
      <c r="E452" s="70" t="inlineStr">
        <is>
          <t>R007</t>
        </is>
      </c>
      <c r="F452" s="72" t="n">
        <v>10</v>
      </c>
      <c r="G452" s="72" t="n">
        <v>1010</v>
      </c>
      <c r="H452" s="72" t="n">
        <v>10</v>
      </c>
      <c r="I452" s="72" t="n">
        <v>9090</v>
      </c>
      <c r="J452" s="70" t="inlineStr">
        <is>
          <t>Completed</t>
        </is>
      </c>
      <c r="K452" s="70" t="inlineStr">
        <is>
          <t>Mumbai</t>
        </is>
      </c>
    </row>
    <row r="453" ht="14.25" customHeight="1" s="56">
      <c r="A453" s="70" t="inlineStr">
        <is>
          <t>ORD-00452</t>
        </is>
      </c>
      <c r="B453" s="71" t="n">
        <v>45496</v>
      </c>
      <c r="C453" s="70" t="inlineStr">
        <is>
          <t>CUST-0038</t>
        </is>
      </c>
      <c r="D453" s="70" t="inlineStr">
        <is>
          <t>PROD-042</t>
        </is>
      </c>
      <c r="E453" s="70" t="inlineStr">
        <is>
          <t>R001</t>
        </is>
      </c>
      <c r="F453" s="72" t="n">
        <v>3</v>
      </c>
      <c r="G453" s="72" t="n">
        <v>2290</v>
      </c>
      <c r="H453" s="72" t="n">
        <v>8.9</v>
      </c>
      <c r="I453" s="72" t="n">
        <v>6258.57</v>
      </c>
      <c r="J453" s="70" t="inlineStr">
        <is>
          <t>Completed</t>
        </is>
      </c>
      <c r="K453" s="70" t="inlineStr">
        <is>
          <t>Mumbai</t>
        </is>
      </c>
    </row>
    <row r="454" ht="14.25" customHeight="1" s="56">
      <c r="A454" s="70" t="inlineStr">
        <is>
          <t>ORD-00453</t>
        </is>
      </c>
      <c r="B454" s="71" t="n">
        <v>45369</v>
      </c>
      <c r="C454" s="70" t="inlineStr">
        <is>
          <t>CUST-0066</t>
        </is>
      </c>
      <c r="D454" s="70" t="inlineStr">
        <is>
          <t>PROD-047</t>
        </is>
      </c>
      <c r="E454" s="70" t="inlineStr">
        <is>
          <t>R001</t>
        </is>
      </c>
      <c r="F454" s="72" t="n">
        <v>9</v>
      </c>
      <c r="G454" s="72" t="n">
        <v>3450</v>
      </c>
      <c r="H454" s="72" t="n">
        <v>24.3</v>
      </c>
      <c r="I454" s="72" t="n">
        <v>23504.85</v>
      </c>
      <c r="J454" s="70" t="inlineStr">
        <is>
          <t>Completed</t>
        </is>
      </c>
      <c r="K454" s="70" t="inlineStr">
        <is>
          <t>Delhi</t>
        </is>
      </c>
    </row>
    <row r="455" ht="14.25" customHeight="1" s="56">
      <c r="A455" s="70" t="inlineStr">
        <is>
          <t>ORD-00454</t>
        </is>
      </c>
      <c r="B455" s="71" t="n">
        <v>45389</v>
      </c>
      <c r="C455" s="70" t="inlineStr">
        <is>
          <t>CUST-0161</t>
        </is>
      </c>
      <c r="D455" s="70" t="inlineStr">
        <is>
          <t>PROD-013</t>
        </is>
      </c>
      <c r="E455" s="70" t="inlineStr">
        <is>
          <t>R003</t>
        </is>
      </c>
      <c r="F455" s="72" t="n">
        <v>10</v>
      </c>
      <c r="G455" s="72" t="n">
        <v>3640</v>
      </c>
      <c r="H455" s="72" t="n">
        <v>21.4</v>
      </c>
      <c r="I455" s="72" t="n">
        <v>28610.4</v>
      </c>
      <c r="J455" s="70" t="inlineStr">
        <is>
          <t>Cancelled</t>
        </is>
      </c>
      <c r="K455" s="70" t="inlineStr">
        <is>
          <t>Chennai</t>
        </is>
      </c>
    </row>
    <row r="456" ht="14.25" customHeight="1" s="56">
      <c r="A456" s="70" t="inlineStr">
        <is>
          <t>ORD-00455</t>
        </is>
      </c>
      <c r="B456" s="71" t="n">
        <v>45336</v>
      </c>
      <c r="C456" s="70" t="inlineStr">
        <is>
          <t>CUST-0072</t>
        </is>
      </c>
      <c r="D456" s="70" t="inlineStr">
        <is>
          <t>PROD-023</t>
        </is>
      </c>
      <c r="E456" s="70" t="inlineStr">
        <is>
          <t>R015</t>
        </is>
      </c>
      <c r="F456" s="72" t="n">
        <v>5</v>
      </c>
      <c r="G456" s="72" t="n">
        <v>2380</v>
      </c>
      <c r="H456" s="72" t="n">
        <v>12.2</v>
      </c>
      <c r="I456" s="72" t="n">
        <v>10448.2</v>
      </c>
      <c r="J456" s="70" t="inlineStr">
        <is>
          <t>Completed</t>
        </is>
      </c>
      <c r="K456" s="70" t="inlineStr">
        <is>
          <t>Mumbai</t>
        </is>
      </c>
    </row>
    <row r="457" ht="14.25" customHeight="1" s="56">
      <c r="A457" s="70" t="inlineStr">
        <is>
          <t>ORD-00456</t>
        </is>
      </c>
      <c r="B457" s="71" t="n">
        <v>45505</v>
      </c>
      <c r="C457" s="70" t="inlineStr">
        <is>
          <t>CUST-0232</t>
        </is>
      </c>
      <c r="D457" s="70" t="inlineStr">
        <is>
          <t>PROD-052</t>
        </is>
      </c>
      <c r="E457" s="70" t="inlineStr">
        <is>
          <t>R017</t>
        </is>
      </c>
      <c r="F457" s="72" t="n">
        <v>10</v>
      </c>
      <c r="G457" s="72" t="n">
        <v>5410</v>
      </c>
      <c r="H457" s="72" t="n">
        <v>29.8</v>
      </c>
      <c r="I457" s="72" t="n">
        <v>37978.2</v>
      </c>
      <c r="J457" s="70" t="inlineStr">
        <is>
          <t>Completed</t>
        </is>
      </c>
      <c r="K457" s="70" t="inlineStr">
        <is>
          <t>Hyderabad</t>
        </is>
      </c>
    </row>
    <row r="458" ht="14.25" customHeight="1" s="56">
      <c r="A458" s="70" t="inlineStr">
        <is>
          <t>ORD-00457</t>
        </is>
      </c>
      <c r="B458" s="71" t="n">
        <v>45375</v>
      </c>
      <c r="C458" s="70" t="inlineStr">
        <is>
          <t>CUST-0054</t>
        </is>
      </c>
      <c r="D458" s="70" t="inlineStr">
        <is>
          <t>PROD-044</t>
        </is>
      </c>
      <c r="E458" s="70" t="inlineStr">
        <is>
          <t>R021</t>
        </is>
      </c>
      <c r="F458" s="72" t="n">
        <v>3</v>
      </c>
      <c r="G458" s="72" t="n">
        <v>1650</v>
      </c>
      <c r="H458" s="72" t="n">
        <v>9.4</v>
      </c>
      <c r="I458" s="72" t="n">
        <v>4484.7</v>
      </c>
      <c r="J458" s="70" t="inlineStr">
        <is>
          <t>Cancelled</t>
        </is>
      </c>
      <c r="K458" s="70" t="inlineStr">
        <is>
          <t>Mumbai</t>
        </is>
      </c>
    </row>
    <row r="459" ht="14.25" customHeight="1" s="56">
      <c r="A459" s="70" t="inlineStr">
        <is>
          <t>ORD-00458</t>
        </is>
      </c>
      <c r="B459" s="71" t="n">
        <v>45383</v>
      </c>
      <c r="C459" s="70" t="inlineStr">
        <is>
          <t>CUST-0214</t>
        </is>
      </c>
      <c r="D459" s="70" t="inlineStr">
        <is>
          <t>PROD-002</t>
        </is>
      </c>
      <c r="E459" s="70" t="inlineStr">
        <is>
          <t>R022</t>
        </is>
      </c>
      <c r="F459" s="72" t="n">
        <v>7</v>
      </c>
      <c r="G459" s="72" t="n">
        <v>2600</v>
      </c>
      <c r="H459" s="72" t="n">
        <v>19.9</v>
      </c>
      <c r="I459" s="72" t="n">
        <v>14578.2</v>
      </c>
      <c r="J459" s="70" t="inlineStr">
        <is>
          <t>Pending</t>
        </is>
      </c>
      <c r="K459" s="70" t="inlineStr">
        <is>
          <t>Mumbai</t>
        </is>
      </c>
    </row>
    <row r="460" ht="14.25" customHeight="1" s="56">
      <c r="A460" s="70" t="inlineStr">
        <is>
          <t>ORD-00135</t>
        </is>
      </c>
      <c r="B460" s="71" t="n">
        <v>45474</v>
      </c>
      <c r="C460" s="70" t="inlineStr">
        <is>
          <t>CUST-0236</t>
        </is>
      </c>
      <c r="D460" s="70" t="inlineStr">
        <is>
          <t>PROD-039</t>
        </is>
      </c>
      <c r="E460" s="70" t="inlineStr">
        <is>
          <t>R002</t>
        </is>
      </c>
      <c r="F460" s="72" t="n">
        <v>4</v>
      </c>
      <c r="G460" s="72" t="n">
        <v>4610</v>
      </c>
      <c r="H460" s="72" t="n">
        <v>13.2</v>
      </c>
      <c r="I460" s="72" t="n">
        <v>16005.92</v>
      </c>
      <c r="J460" s="70" t="inlineStr">
        <is>
          <t>Completed</t>
        </is>
      </c>
      <c r="K460" s="70" t="inlineStr">
        <is>
          <t>Hyderabad</t>
        </is>
      </c>
    </row>
    <row r="461" ht="14.25" customHeight="1" s="56">
      <c r="A461" s="70" t="inlineStr">
        <is>
          <t>ORD-00460</t>
        </is>
      </c>
      <c r="B461" s="71" t="n">
        <v>45361</v>
      </c>
      <c r="C461" s="70" t="inlineStr">
        <is>
          <t>CUST-0031</t>
        </is>
      </c>
      <c r="D461" s="70" t="inlineStr">
        <is>
          <t>PROD-039</t>
        </is>
      </c>
      <c r="E461" s="70" t="inlineStr">
        <is>
          <t>R021</t>
        </is>
      </c>
      <c r="F461" s="72" t="n">
        <v>9</v>
      </c>
      <c r="G461" s="72" t="n">
        <v>4610</v>
      </c>
      <c r="H461" s="72" t="n">
        <v>25.8</v>
      </c>
      <c r="I461" s="72" t="n">
        <v>30785.58</v>
      </c>
      <c r="J461" s="70" t="inlineStr">
        <is>
          <t>Completed</t>
        </is>
      </c>
      <c r="K461" s="70" t="inlineStr">
        <is>
          <t>Hyderabad</t>
        </is>
      </c>
    </row>
    <row r="462" ht="14.25" customHeight="1" s="56">
      <c r="A462" s="70" t="inlineStr">
        <is>
          <t>ORD-00461</t>
        </is>
      </c>
      <c r="B462" s="71" t="n">
        <v>45550</v>
      </c>
      <c r="C462" s="70" t="inlineStr">
        <is>
          <t>CUST-0123</t>
        </is>
      </c>
      <c r="D462" s="70" t="inlineStr">
        <is>
          <t>PROD-005</t>
        </is>
      </c>
      <c r="E462" s="70" t="inlineStr">
        <is>
          <t>R014</t>
        </is>
      </c>
      <c r="F462" s="72" t="n">
        <v>5</v>
      </c>
      <c r="G462" s="72" t="n">
        <v>300</v>
      </c>
      <c r="H462" s="72" t="n">
        <v>11.8</v>
      </c>
      <c r="I462" s="72" t="n">
        <v>1323</v>
      </c>
      <c r="J462" s="70" t="inlineStr">
        <is>
          <t>Completed</t>
        </is>
      </c>
      <c r="K462" s="70" t="inlineStr">
        <is>
          <t>Chennai</t>
        </is>
      </c>
    </row>
    <row r="463" ht="14.25" customHeight="1" s="56">
      <c r="A463" s="70" t="inlineStr">
        <is>
          <t>ORD-00462</t>
        </is>
      </c>
      <c r="B463" s="71" t="n">
        <v>45485</v>
      </c>
      <c r="C463" s="70" t="inlineStr">
        <is>
          <t>CUST-0019</t>
        </is>
      </c>
      <c r="D463" s="70" t="inlineStr">
        <is>
          <t>PROD-011</t>
        </is>
      </c>
      <c r="E463" s="70" t="inlineStr">
        <is>
          <t>R020</t>
        </is>
      </c>
      <c r="F463" s="72" t="n">
        <v>3</v>
      </c>
      <c r="G463" s="72" t="n">
        <v>3450</v>
      </c>
      <c r="H463" s="72" t="n">
        <v>14.2</v>
      </c>
      <c r="I463" s="72" t="n">
        <v>8880.299999999999</v>
      </c>
      <c r="J463" s="70" t="inlineStr">
        <is>
          <t>Completed</t>
        </is>
      </c>
      <c r="K463" s="70" t="inlineStr">
        <is>
          <t>Chennai</t>
        </is>
      </c>
    </row>
    <row r="464" ht="14.25" customHeight="1" s="56">
      <c r="A464" s="70" t="inlineStr">
        <is>
          <t>ORD-00463</t>
        </is>
      </c>
      <c r="B464" s="71" t="n">
        <v>45523</v>
      </c>
      <c r="C464" s="70" t="inlineStr">
        <is>
          <t>CUST-0171</t>
        </is>
      </c>
      <c r="D464" s="70" t="inlineStr">
        <is>
          <t>PROD-015</t>
        </is>
      </c>
      <c r="E464" s="70" t="inlineStr">
        <is>
          <t>R028</t>
        </is>
      </c>
      <c r="F464" s="72" t="n">
        <v>2</v>
      </c>
      <c r="G464" s="72" t="n">
        <v>2720</v>
      </c>
      <c r="H464" s="72" t="n">
        <v>14.6</v>
      </c>
      <c r="I464" s="72" t="n">
        <v>4645.76</v>
      </c>
      <c r="J464" s="70" t="inlineStr">
        <is>
          <t>Cancelled</t>
        </is>
      </c>
      <c r="K464" s="70" t="inlineStr">
        <is>
          <t>Chennai</t>
        </is>
      </c>
    </row>
    <row r="465" ht="14.25" customHeight="1" s="56">
      <c r="A465" s="70" t="inlineStr">
        <is>
          <t>ORD-00464</t>
        </is>
      </c>
      <c r="B465" s="71" t="n">
        <v>45626</v>
      </c>
      <c r="C465" s="70" t="inlineStr">
        <is>
          <t>CUST-0166</t>
        </is>
      </c>
      <c r="D465" s="70" t="inlineStr">
        <is>
          <t>PROD-008</t>
        </is>
      </c>
      <c r="E465" s="70" t="inlineStr">
        <is>
          <t>R017</t>
        </is>
      </c>
      <c r="F465" s="72" t="n">
        <v>7</v>
      </c>
      <c r="G465" s="72" t="n">
        <v>2660</v>
      </c>
      <c r="H465" s="72" t="n">
        <v>27.4</v>
      </c>
      <c r="I465" s="72" t="n">
        <v>13518.12</v>
      </c>
      <c r="J465" s="70" t="inlineStr">
        <is>
          <t>Cancelled</t>
        </is>
      </c>
      <c r="K465" s="70" t="inlineStr">
        <is>
          <t>Hyderabad</t>
        </is>
      </c>
    </row>
    <row r="466" ht="14.25" customHeight="1" s="56">
      <c r="A466" s="70" t="inlineStr">
        <is>
          <t>ORD-00465</t>
        </is>
      </c>
      <c r="B466" s="71" t="n">
        <v>45302</v>
      </c>
      <c r="C466" s="70" t="inlineStr">
        <is>
          <t>CUST-0151</t>
        </is>
      </c>
      <c r="D466" s="70" t="inlineStr">
        <is>
          <t>PROD-051</t>
        </is>
      </c>
      <c r="E466" s="70" t="inlineStr">
        <is>
          <t>R005</t>
        </is>
      </c>
      <c r="F466" s="72" t="n">
        <v>8</v>
      </c>
      <c r="G466" s="72" t="n">
        <v>3450</v>
      </c>
      <c r="H466" s="72" t="n">
        <v>20.4</v>
      </c>
      <c r="I466" s="72" t="n">
        <v>21969.6</v>
      </c>
      <c r="J466" s="70" t="inlineStr">
        <is>
          <t>Completed</t>
        </is>
      </c>
      <c r="K466" s="70" t="inlineStr">
        <is>
          <t>Mumbai</t>
        </is>
      </c>
    </row>
    <row r="467" ht="14.25" customHeight="1" s="56">
      <c r="A467" s="70" t="inlineStr">
        <is>
          <t>ORD-00466</t>
        </is>
      </c>
      <c r="B467" s="71" t="n">
        <v>45427</v>
      </c>
      <c r="C467" s="70" t="inlineStr">
        <is>
          <t>CUST-0027</t>
        </is>
      </c>
      <c r="D467" s="70" t="inlineStr">
        <is>
          <t>PROD-052</t>
        </is>
      </c>
      <c r="E467" s="70" t="inlineStr">
        <is>
          <t>R016</t>
        </is>
      </c>
      <c r="F467" s="72" t="n">
        <v>2</v>
      </c>
      <c r="G467" s="72" t="n">
        <v>5410</v>
      </c>
      <c r="H467" s="72" t="n">
        <v>7.2</v>
      </c>
      <c r="I467" s="72" t="n">
        <v>10040.96</v>
      </c>
      <c r="J467" s="70" t="inlineStr">
        <is>
          <t>Completed</t>
        </is>
      </c>
      <c r="K467" s="70" t="inlineStr">
        <is>
          <t>Hyderabad</t>
        </is>
      </c>
    </row>
    <row r="468" ht="14.25" customHeight="1" s="56">
      <c r="A468" s="70" t="inlineStr">
        <is>
          <t>ORD-00467</t>
        </is>
      </c>
      <c r="B468" s="71" t="n">
        <v>45315</v>
      </c>
      <c r="C468" s="70" t="inlineStr">
        <is>
          <t>CUST-0171</t>
        </is>
      </c>
      <c r="D468" s="70" t="inlineStr">
        <is>
          <t>PROD-004</t>
        </is>
      </c>
      <c r="E468" s="70" t="inlineStr">
        <is>
          <t>R013</t>
        </is>
      </c>
      <c r="F468" s="72" t="n">
        <v>3</v>
      </c>
      <c r="G468" s="72" t="n">
        <v>3870</v>
      </c>
      <c r="H468" s="72" t="n">
        <v>4.2</v>
      </c>
      <c r="I468" s="72" t="n">
        <v>11122.38</v>
      </c>
      <c r="J468" s="70" t="inlineStr">
        <is>
          <t>Completed</t>
        </is>
      </c>
      <c r="K468" s="70" t="inlineStr">
        <is>
          <t>Chennai</t>
        </is>
      </c>
    </row>
    <row r="469" ht="14.25" customHeight="1" s="56">
      <c r="A469" s="70" t="inlineStr">
        <is>
          <t>ORD-00468</t>
        </is>
      </c>
      <c r="B469" s="71" t="n">
        <v>45328</v>
      </c>
      <c r="C469" s="70" t="inlineStr">
        <is>
          <t>CUST-0094</t>
        </is>
      </c>
      <c r="D469" s="70" t="inlineStr">
        <is>
          <t>PROD-024</t>
        </is>
      </c>
      <c r="E469" s="70" t="inlineStr">
        <is>
          <t>R005</t>
        </is>
      </c>
      <c r="F469" s="72" t="n">
        <v>10</v>
      </c>
      <c r="G469" s="72" t="n">
        <v>2270</v>
      </c>
      <c r="H469" s="72" t="n">
        <v>17.3</v>
      </c>
      <c r="I469" s="72" t="n">
        <v>18772.9</v>
      </c>
      <c r="J469" s="70" t="inlineStr">
        <is>
          <t>Completed</t>
        </is>
      </c>
      <c r="K469" s="70" t="inlineStr">
        <is>
          <t>Pune</t>
        </is>
      </c>
    </row>
    <row r="470" ht="14.25" customHeight="1" s="56">
      <c r="A470" s="70" t="inlineStr">
        <is>
          <t>ORD-00469</t>
        </is>
      </c>
      <c r="B470" s="71" t="n">
        <v>45394</v>
      </c>
      <c r="C470" s="70" t="inlineStr">
        <is>
          <t>CUST-0223</t>
        </is>
      </c>
      <c r="D470" s="70" t="inlineStr">
        <is>
          <t>PROD-001</t>
        </is>
      </c>
      <c r="E470" s="70" t="inlineStr">
        <is>
          <t>R025</t>
        </is>
      </c>
      <c r="F470" s="72" t="n">
        <v>1</v>
      </c>
      <c r="G470" s="72" t="n">
        <v>5330</v>
      </c>
      <c r="H470" s="72" t="n">
        <v>24.2</v>
      </c>
      <c r="I470" s="72" t="n">
        <v>4040.14</v>
      </c>
      <c r="J470" s="70" t="inlineStr">
        <is>
          <t>Completed</t>
        </is>
      </c>
      <c r="K470" s="70" t="inlineStr">
        <is>
          <t>Bengaluru</t>
        </is>
      </c>
    </row>
    <row r="471" ht="14.25" customHeight="1" s="56">
      <c r="A471" s="70" t="inlineStr">
        <is>
          <t>ORD-00470</t>
        </is>
      </c>
      <c r="B471" s="71" t="n">
        <v>45414</v>
      </c>
      <c r="C471" s="70" t="inlineStr">
        <is>
          <t>CUST-0281</t>
        </is>
      </c>
      <c r="D471" s="70" t="inlineStr">
        <is>
          <t>PROD-043</t>
        </is>
      </c>
      <c r="E471" s="70" t="inlineStr">
        <is>
          <t>R015</t>
        </is>
      </c>
      <c r="F471" s="72" t="n">
        <v>2</v>
      </c>
      <c r="G471" s="72" t="n">
        <v>3350</v>
      </c>
      <c r="H471" s="72" t="n">
        <v>23.4</v>
      </c>
      <c r="I471" s="72" t="n">
        <v>5132.2</v>
      </c>
      <c r="J471" s="70" t="inlineStr">
        <is>
          <t>Completed</t>
        </is>
      </c>
      <c r="K471" s="70" t="inlineStr">
        <is>
          <t>Bengaluru</t>
        </is>
      </c>
    </row>
    <row r="472" ht="14.25" customHeight="1" s="56">
      <c r="A472" s="70" t="inlineStr">
        <is>
          <t>ORD-00471</t>
        </is>
      </c>
      <c r="B472" s="71" t="n">
        <v>45393</v>
      </c>
      <c r="C472" s="70" t="inlineStr">
        <is>
          <t>CUST-0148</t>
        </is>
      </c>
      <c r="D472" s="70" t="inlineStr">
        <is>
          <t>PROD-045</t>
        </is>
      </c>
      <c r="E472" s="70" t="inlineStr">
        <is>
          <t>R006</t>
        </is>
      </c>
      <c r="F472" s="72" t="n">
        <v>7</v>
      </c>
      <c r="G472" s="72" t="n">
        <v>3020</v>
      </c>
      <c r="H472" s="72" t="n">
        <v>23.7</v>
      </c>
      <c r="I472" s="72" t="n">
        <v>16129.82</v>
      </c>
      <c r="J472" s="70" t="inlineStr">
        <is>
          <t>Completed</t>
        </is>
      </c>
      <c r="K472" s="70" t="inlineStr">
        <is>
          <t>Chennai</t>
        </is>
      </c>
    </row>
    <row r="473" ht="14.25" customHeight="1" s="56">
      <c r="A473" s="70" t="inlineStr">
        <is>
          <t>ORD-00472</t>
        </is>
      </c>
      <c r="B473" s="71" t="n">
        <v>45535</v>
      </c>
      <c r="C473" s="70" t="inlineStr">
        <is>
          <t>CUST-0010</t>
        </is>
      </c>
      <c r="D473" s="70" t="inlineStr">
        <is>
          <t>PROD-012</t>
        </is>
      </c>
      <c r="E473" s="70" t="inlineStr">
        <is>
          <t>R020</t>
        </is>
      </c>
      <c r="F473" s="72" t="n">
        <v>7</v>
      </c>
      <c r="G473" s="72" t="n">
        <v>3160</v>
      </c>
      <c r="H473" s="72" t="n">
        <v>22.8</v>
      </c>
      <c r="I473" s="72" t="n">
        <v>17076.64</v>
      </c>
      <c r="J473" s="70" t="inlineStr">
        <is>
          <t>Completed</t>
        </is>
      </c>
      <c r="K473" s="70" t="inlineStr">
        <is>
          <t>Mumbai</t>
        </is>
      </c>
    </row>
    <row r="474" ht="14.25" customHeight="1" s="56">
      <c r="A474" s="70" t="inlineStr">
        <is>
          <t>ORD-00473</t>
        </is>
      </c>
      <c r="B474" s="71" t="n">
        <v>45541</v>
      </c>
      <c r="C474" s="70" t="inlineStr">
        <is>
          <t>CUST-0254</t>
        </is>
      </c>
      <c r="D474" s="70" t="inlineStr">
        <is>
          <t>PROD-053</t>
        </is>
      </c>
      <c r="E474" s="70" t="inlineStr">
        <is>
          <t>R020</t>
        </is>
      </c>
      <c r="F474" s="72" t="n">
        <v>2</v>
      </c>
      <c r="G474" s="72" t="n">
        <v>470</v>
      </c>
      <c r="H474" s="72" t="n">
        <v>28.8</v>
      </c>
      <c r="I474" s="72" t="n">
        <v>669.28</v>
      </c>
      <c r="J474" s="70" t="inlineStr">
        <is>
          <t>Cancelled</t>
        </is>
      </c>
      <c r="K474" s="70" t="inlineStr">
        <is>
          <t>Bengaluru</t>
        </is>
      </c>
    </row>
    <row r="475" ht="14.25" customHeight="1" s="56">
      <c r="A475" s="70" t="inlineStr">
        <is>
          <t>ORD-00474</t>
        </is>
      </c>
      <c r="B475" s="71" t="n">
        <v>45454</v>
      </c>
      <c r="C475" s="70" t="inlineStr">
        <is>
          <t>CUST-0126</t>
        </is>
      </c>
      <c r="D475" s="70" t="inlineStr">
        <is>
          <t>PROD-036</t>
        </is>
      </c>
      <c r="E475" s="70" t="inlineStr">
        <is>
          <t>R021</t>
        </is>
      </c>
      <c r="F475" s="72" t="n">
        <v>2</v>
      </c>
      <c r="G475" s="72" t="n">
        <v>3250</v>
      </c>
      <c r="H475" s="72" t="n">
        <v>24.7</v>
      </c>
      <c r="I475" s="72" t="n">
        <v>4894.5</v>
      </c>
      <c r="J475" s="70" t="inlineStr">
        <is>
          <t>Completed</t>
        </is>
      </c>
      <c r="K475" s="70" t="inlineStr">
        <is>
          <t>Mumbai</t>
        </is>
      </c>
    </row>
    <row r="476" ht="14.25" customHeight="1" s="56">
      <c r="A476" s="70" t="inlineStr">
        <is>
          <t>ORD-00475</t>
        </is>
      </c>
      <c r="B476" s="71" t="n">
        <v>45631</v>
      </c>
      <c r="C476" s="70" t="inlineStr">
        <is>
          <t>CUST-0018</t>
        </is>
      </c>
      <c r="D476" s="70" t="inlineStr">
        <is>
          <t>PROD-054</t>
        </is>
      </c>
      <c r="E476" s="70" t="inlineStr">
        <is>
          <t>R023</t>
        </is>
      </c>
      <c r="F476" s="72" t="n">
        <v>2</v>
      </c>
      <c r="G476" s="72" t="n">
        <v>1010</v>
      </c>
      <c r="H476" s="72" t="n">
        <v>5.2</v>
      </c>
      <c r="I476" s="72" t="n">
        <v>1914.96</v>
      </c>
      <c r="J476" s="70" t="inlineStr">
        <is>
          <t>Cancelled</t>
        </is>
      </c>
      <c r="K476" s="70" t="inlineStr">
        <is>
          <t>Pune</t>
        </is>
      </c>
    </row>
    <row r="477" ht="14.25" customHeight="1" s="56">
      <c r="A477" s="70" t="inlineStr">
        <is>
          <t>ORD-00476</t>
        </is>
      </c>
      <c r="B477" s="71" t="n">
        <v>45588</v>
      </c>
      <c r="C477" s="70" t="inlineStr">
        <is>
          <t>CUST-0089</t>
        </is>
      </c>
      <c r="D477" s="70" t="inlineStr">
        <is>
          <t>PROD-005</t>
        </is>
      </c>
      <c r="E477" s="70" t="inlineStr">
        <is>
          <t>R001</t>
        </is>
      </c>
      <c r="F477" s="72" t="n">
        <v>9</v>
      </c>
      <c r="G477" s="72" t="n">
        <v>300</v>
      </c>
      <c r="H477" s="72" t="n">
        <v>7.9</v>
      </c>
      <c r="I477" s="72" t="n">
        <v>2486.7</v>
      </c>
      <c r="J477" s="70" t="inlineStr">
        <is>
          <t>Completed</t>
        </is>
      </c>
      <c r="K477" s="70" t="inlineStr">
        <is>
          <t>Mumbai</t>
        </is>
      </c>
    </row>
    <row r="478" ht="14.25" customHeight="1" s="56">
      <c r="A478" s="70" t="inlineStr">
        <is>
          <t>ORD-00477</t>
        </is>
      </c>
      <c r="B478" s="71" t="n">
        <v>45469</v>
      </c>
      <c r="C478" s="70" t="inlineStr">
        <is>
          <t>CUST-0157</t>
        </is>
      </c>
      <c r="D478" s="70" t="inlineStr">
        <is>
          <t>PROD-048</t>
        </is>
      </c>
      <c r="E478" s="70" t="inlineStr">
        <is>
          <t>R006</t>
        </is>
      </c>
      <c r="F478" s="72" t="n">
        <v>10</v>
      </c>
      <c r="G478" s="72" t="n">
        <v>5100</v>
      </c>
      <c r="H478" s="72" t="n">
        <v>26.3</v>
      </c>
      <c r="I478" s="72" t="n">
        <v>37587</v>
      </c>
      <c r="J478" s="70" t="inlineStr">
        <is>
          <t>Pending</t>
        </is>
      </c>
      <c r="K478" s="70" t="inlineStr">
        <is>
          <t>Pune</t>
        </is>
      </c>
    </row>
    <row r="479" ht="14.25" customHeight="1" s="56">
      <c r="A479" s="70" t="inlineStr">
        <is>
          <t>ORD-00478</t>
        </is>
      </c>
      <c r="B479" s="71" t="n">
        <v>45552</v>
      </c>
      <c r="C479" s="70" t="inlineStr">
        <is>
          <t>CUST-0201</t>
        </is>
      </c>
      <c r="D479" s="70" t="inlineStr">
        <is>
          <t>PROD-043</t>
        </is>
      </c>
      <c r="E479" s="70" t="inlineStr">
        <is>
          <t>R028</t>
        </is>
      </c>
      <c r="F479" s="72" t="n">
        <v>1</v>
      </c>
      <c r="G479" s="72" t="n">
        <v>3350</v>
      </c>
      <c r="H479" s="72" t="n">
        <v>8.5</v>
      </c>
      <c r="I479" s="72" t="n">
        <v>3065.25</v>
      </c>
      <c r="J479" s="70" t="inlineStr">
        <is>
          <t>Cancelled</t>
        </is>
      </c>
      <c r="K479" s="70" t="inlineStr">
        <is>
          <t>Hyderabad</t>
        </is>
      </c>
    </row>
    <row r="480" ht="14.25" customHeight="1" s="56">
      <c r="A480" s="70" t="inlineStr">
        <is>
          <t>ORD-01195</t>
        </is>
      </c>
      <c r="B480" s="71" t="n">
        <v>45554</v>
      </c>
      <c r="C480" s="70" t="inlineStr">
        <is>
          <t>CUST-0091</t>
        </is>
      </c>
      <c r="D480" s="70" t="inlineStr">
        <is>
          <t>PROD-036</t>
        </is>
      </c>
      <c r="E480" s="70" t="inlineStr">
        <is>
          <t>R022</t>
        </is>
      </c>
      <c r="F480" s="72" t="n">
        <v>2</v>
      </c>
      <c r="G480" s="72" t="n">
        <v>3250</v>
      </c>
      <c r="H480" s="72" t="n">
        <v>25.7</v>
      </c>
      <c r="I480" s="72" t="n">
        <v>4829.5</v>
      </c>
      <c r="J480" s="70" t="inlineStr">
        <is>
          <t>Refunded</t>
        </is>
      </c>
      <c r="K480" s="70" t="inlineStr">
        <is>
          <t>Delhi</t>
        </is>
      </c>
    </row>
    <row r="481" ht="14.25" customHeight="1" s="56">
      <c r="A481" s="70" t="inlineStr">
        <is>
          <t>ORD-00480</t>
        </is>
      </c>
      <c r="B481" s="71" t="n">
        <v>45352</v>
      </c>
      <c r="C481" s="70" t="inlineStr">
        <is>
          <t>CUST-0052</t>
        </is>
      </c>
      <c r="D481" s="70" t="inlineStr">
        <is>
          <t>PROD-028</t>
        </is>
      </c>
      <c r="E481" s="70" t="inlineStr">
        <is>
          <t>R008</t>
        </is>
      </c>
      <c r="F481" s="72" t="n">
        <v>10</v>
      </c>
      <c r="G481" s="72" t="n">
        <v>3660</v>
      </c>
      <c r="H481" s="72" t="n">
        <v>12</v>
      </c>
      <c r="I481" s="72" t="n">
        <v>32208</v>
      </c>
      <c r="J481" s="70" t="inlineStr">
        <is>
          <t>Completed</t>
        </is>
      </c>
      <c r="K481" s="70" t="inlineStr">
        <is>
          <t>Pune</t>
        </is>
      </c>
    </row>
    <row r="482" ht="14.25" customHeight="1" s="56">
      <c r="A482" s="70" t="inlineStr">
        <is>
          <t>ORD-00481</t>
        </is>
      </c>
      <c r="B482" s="71" t="n">
        <v>45521</v>
      </c>
      <c r="C482" s="70" t="inlineStr">
        <is>
          <t>CUST-0069</t>
        </is>
      </c>
      <c r="D482" s="70" t="inlineStr">
        <is>
          <t>PROD-058</t>
        </is>
      </c>
      <c r="E482" s="70" t="inlineStr">
        <is>
          <t>R009</t>
        </is>
      </c>
      <c r="F482" s="72" t="n">
        <v>1</v>
      </c>
      <c r="G482" s="72" t="n">
        <v>2400</v>
      </c>
      <c r="H482" s="72" t="n">
        <v>24.5</v>
      </c>
      <c r="I482" s="72" t="n">
        <v>1812</v>
      </c>
      <c r="J482" s="70" t="inlineStr">
        <is>
          <t>Completed</t>
        </is>
      </c>
      <c r="K482" s="70" t="inlineStr">
        <is>
          <t>Chennai</t>
        </is>
      </c>
    </row>
    <row r="483" ht="14.25" customHeight="1" s="56">
      <c r="A483" s="70" t="inlineStr">
        <is>
          <t>ORD-00482</t>
        </is>
      </c>
      <c r="B483" s="71" t="n">
        <v>45496</v>
      </c>
      <c r="C483" s="70" t="inlineStr">
        <is>
          <t>CUST-0294</t>
        </is>
      </c>
      <c r="D483" s="70" t="inlineStr">
        <is>
          <t>PROD-035</t>
        </is>
      </c>
      <c r="E483" s="70" t="inlineStr">
        <is>
          <t>R010</t>
        </is>
      </c>
      <c r="F483" s="72" t="n">
        <v>1</v>
      </c>
      <c r="G483" s="72" t="n">
        <v>1090</v>
      </c>
      <c r="H483" s="72" t="n">
        <v>18.4</v>
      </c>
      <c r="I483" s="72" t="n">
        <v>889.4400000000001</v>
      </c>
      <c r="J483" s="70" t="inlineStr">
        <is>
          <t>Completed</t>
        </is>
      </c>
      <c r="K483" s="70" t="inlineStr">
        <is>
          <t>Delhi</t>
        </is>
      </c>
    </row>
    <row r="484" ht="14.25" customHeight="1" s="56">
      <c r="A484" s="70" t="inlineStr">
        <is>
          <t>ORD-00483</t>
        </is>
      </c>
      <c r="B484" s="71" t="n">
        <v>45404</v>
      </c>
      <c r="C484" s="70" t="inlineStr">
        <is>
          <t>CUST-0019</t>
        </is>
      </c>
      <c r="D484" s="70" t="inlineStr">
        <is>
          <t>PROD-059</t>
        </is>
      </c>
      <c r="E484" s="70" t="inlineStr">
        <is>
          <t>R015</t>
        </is>
      </c>
      <c r="F484" s="72" t="n">
        <v>6</v>
      </c>
      <c r="G484" s="72" t="n">
        <v>3780</v>
      </c>
      <c r="H484" s="72" t="n">
        <v>15.9</v>
      </c>
      <c r="I484" s="72" t="n">
        <v>19073.88</v>
      </c>
      <c r="J484" s="70" t="inlineStr">
        <is>
          <t>Completed</t>
        </is>
      </c>
      <c r="K484" s="70" t="inlineStr">
        <is>
          <t>Chennai</t>
        </is>
      </c>
    </row>
    <row r="485" ht="14.25" customHeight="1" s="56">
      <c r="A485" s="70" t="inlineStr">
        <is>
          <t>ORD-00484</t>
        </is>
      </c>
      <c r="B485" s="71" t="n">
        <v>45330</v>
      </c>
      <c r="C485" s="70" t="inlineStr">
        <is>
          <t>CUST-0087</t>
        </is>
      </c>
      <c r="D485" s="70" t="inlineStr">
        <is>
          <t>PROD-043</t>
        </is>
      </c>
      <c r="E485" s="70" t="inlineStr">
        <is>
          <t>R019</t>
        </is>
      </c>
      <c r="F485" s="72" t="n">
        <v>3</v>
      </c>
      <c r="G485" s="72" t="n">
        <v>3350</v>
      </c>
      <c r="H485" s="72" t="n">
        <v>18.8</v>
      </c>
      <c r="I485" s="72" t="n">
        <v>8160.6</v>
      </c>
      <c r="J485" s="70" t="inlineStr">
        <is>
          <t>Refunded</t>
        </is>
      </c>
      <c r="K485" s="70" t="inlineStr">
        <is>
          <t>Pune</t>
        </is>
      </c>
    </row>
    <row r="486" ht="14.25" customHeight="1" s="56">
      <c r="A486" s="70" t="inlineStr">
        <is>
          <t>ORD-00485</t>
        </is>
      </c>
      <c r="B486" s="71" t="n">
        <v>45323</v>
      </c>
      <c r="C486" s="70" t="inlineStr">
        <is>
          <t>CUST-0281</t>
        </is>
      </c>
      <c r="D486" s="70" t="inlineStr">
        <is>
          <t>PROD-040</t>
        </is>
      </c>
      <c r="E486" s="70" t="inlineStr">
        <is>
          <t>R030</t>
        </is>
      </c>
      <c r="F486" s="72" t="n">
        <v>3</v>
      </c>
      <c r="G486" s="72" t="n">
        <v>1080</v>
      </c>
      <c r="H486" s="72" t="n">
        <v>3.4</v>
      </c>
      <c r="I486" s="72" t="n">
        <v>3129.84</v>
      </c>
      <c r="J486" s="70" t="inlineStr">
        <is>
          <t>Completed</t>
        </is>
      </c>
      <c r="K486" s="70" t="inlineStr">
        <is>
          <t>Bengaluru</t>
        </is>
      </c>
    </row>
    <row r="487" ht="14.25" customHeight="1" s="56">
      <c r="A487" s="70" t="inlineStr">
        <is>
          <t>ORD-00486</t>
        </is>
      </c>
      <c r="B487" s="71" t="n">
        <v>45519</v>
      </c>
      <c r="C487" s="70" t="inlineStr">
        <is>
          <t>CUST-0248</t>
        </is>
      </c>
      <c r="D487" s="70" t="inlineStr">
        <is>
          <t>PROD-026</t>
        </is>
      </c>
      <c r="E487" s="70" t="inlineStr">
        <is>
          <t>R022</t>
        </is>
      </c>
      <c r="F487" s="72" t="n">
        <v>6</v>
      </c>
      <c r="G487" s="72" t="n">
        <v>4070</v>
      </c>
      <c r="H487" s="72" t="n">
        <v>27.7</v>
      </c>
      <c r="I487" s="72" t="n">
        <v>17655.66</v>
      </c>
      <c r="J487" s="70" t="inlineStr">
        <is>
          <t>Pending</t>
        </is>
      </c>
      <c r="K487" s="70" t="inlineStr">
        <is>
          <t>Chennai</t>
        </is>
      </c>
    </row>
    <row r="488" ht="14.25" customHeight="1" s="56">
      <c r="A488" s="70" t="inlineStr">
        <is>
          <t>ORD-00487</t>
        </is>
      </c>
      <c r="B488" s="71" t="n">
        <v>45514</v>
      </c>
      <c r="C488" s="70" t="inlineStr">
        <is>
          <t>CUST-0019</t>
        </is>
      </c>
      <c r="D488" s="70" t="inlineStr">
        <is>
          <t>PROD-041</t>
        </is>
      </c>
      <c r="E488" s="70" t="inlineStr">
        <is>
          <t>R026</t>
        </is>
      </c>
      <c r="F488" s="72" t="n">
        <v>5</v>
      </c>
      <c r="G488" s="72" t="n">
        <v>1540</v>
      </c>
      <c r="H488" s="72" t="n">
        <v>24.9</v>
      </c>
      <c r="I488" s="72" t="n">
        <v>5782.7</v>
      </c>
      <c r="J488" s="70" t="inlineStr">
        <is>
          <t>Completed</t>
        </is>
      </c>
      <c r="K488" s="70" t="inlineStr">
        <is>
          <t>Chennai</t>
        </is>
      </c>
    </row>
    <row r="489" ht="14.25" customHeight="1" s="56">
      <c r="A489" s="70" t="inlineStr">
        <is>
          <t>ORD-00488</t>
        </is>
      </c>
      <c r="B489" s="71" t="n">
        <v>45497</v>
      </c>
      <c r="C489" s="70" t="inlineStr">
        <is>
          <t>CUST-0092</t>
        </is>
      </c>
      <c r="D489" s="70" t="inlineStr">
        <is>
          <t>PROD-021</t>
        </is>
      </c>
      <c r="E489" s="70" t="inlineStr">
        <is>
          <t>R028</t>
        </is>
      </c>
      <c r="F489" s="72" t="n">
        <v>6</v>
      </c>
      <c r="G489" s="72" t="n">
        <v>2760</v>
      </c>
      <c r="H489" s="72" t="n">
        <v>29.9</v>
      </c>
      <c r="I489" s="72" t="n">
        <v>11608.56</v>
      </c>
      <c r="J489" s="70" t="inlineStr">
        <is>
          <t>Completed</t>
        </is>
      </c>
      <c r="K489" s="70" t="inlineStr">
        <is>
          <t>Bengaluru</t>
        </is>
      </c>
    </row>
    <row r="490" ht="14.25" customHeight="1" s="56">
      <c r="A490" s="70" t="inlineStr">
        <is>
          <t>ORD-00489</t>
        </is>
      </c>
      <c r="B490" s="71" t="n">
        <v>45639</v>
      </c>
      <c r="C490" s="70" t="inlineStr">
        <is>
          <t>CUST-0195</t>
        </is>
      </c>
      <c r="D490" s="70" t="inlineStr">
        <is>
          <t>PROD-006</t>
        </is>
      </c>
      <c r="E490" s="70" t="inlineStr">
        <is>
          <t>R022</t>
        </is>
      </c>
      <c r="F490" s="72" t="n">
        <v>8</v>
      </c>
      <c r="G490" s="72" t="n">
        <v>3970</v>
      </c>
      <c r="H490" s="72" t="n">
        <v>23.7</v>
      </c>
      <c r="I490" s="72" t="n">
        <v>24232.88</v>
      </c>
      <c r="J490" s="70" t="inlineStr">
        <is>
          <t>Completed</t>
        </is>
      </c>
      <c r="K490" s="70" t="inlineStr">
        <is>
          <t>Bengaluru</t>
        </is>
      </c>
    </row>
    <row r="491" ht="14.25" customHeight="1" s="56">
      <c r="A491" s="70" t="inlineStr">
        <is>
          <t>ORD-00490</t>
        </is>
      </c>
      <c r="B491" s="71" t="n">
        <v>45562</v>
      </c>
      <c r="C491" s="70" t="inlineStr">
        <is>
          <t>CUST-0126</t>
        </is>
      </c>
      <c r="D491" s="70" t="inlineStr">
        <is>
          <t>PROD-011</t>
        </is>
      </c>
      <c r="E491" s="70" t="inlineStr">
        <is>
          <t>R021</t>
        </is>
      </c>
      <c r="F491" s="72" t="n">
        <v>1</v>
      </c>
      <c r="G491" s="72" t="n">
        <v>3450</v>
      </c>
      <c r="H491" s="72" t="n">
        <v>7.4</v>
      </c>
      <c r="I491" s="72" t="n">
        <v>3194.7</v>
      </c>
      <c r="J491" s="70" t="inlineStr">
        <is>
          <t>Completed</t>
        </is>
      </c>
      <c r="K491" s="70" t="inlineStr">
        <is>
          <t>Mumbai</t>
        </is>
      </c>
    </row>
    <row r="492" ht="14.25" customHeight="1" s="56">
      <c r="A492" s="70" t="inlineStr">
        <is>
          <t>ORD-00491</t>
        </is>
      </c>
      <c r="B492" s="71" t="n">
        <v>45308</v>
      </c>
      <c r="C492" s="70" t="inlineStr">
        <is>
          <t>CUST-0274</t>
        </is>
      </c>
      <c r="D492" s="70" t="inlineStr">
        <is>
          <t>PROD-018</t>
        </is>
      </c>
      <c r="E492" s="70" t="inlineStr">
        <is>
          <t>R005</t>
        </is>
      </c>
      <c r="F492" s="72" t="n">
        <v>3</v>
      </c>
      <c r="G492" s="72" t="n">
        <v>3560</v>
      </c>
      <c r="H492" s="72" t="n">
        <v>15.2</v>
      </c>
      <c r="I492" s="72" t="n">
        <v>9056.639999999999</v>
      </c>
      <c r="J492" s="70" t="inlineStr">
        <is>
          <t>Completed</t>
        </is>
      </c>
      <c r="K492" s="70" t="inlineStr">
        <is>
          <t>Bengaluru</t>
        </is>
      </c>
    </row>
    <row r="493" ht="14.25" customHeight="1" s="56">
      <c r="A493" s="70" t="inlineStr">
        <is>
          <t>ORD-00492</t>
        </is>
      </c>
      <c r="B493" s="71" t="n">
        <v>45428</v>
      </c>
      <c r="C493" s="70" t="inlineStr">
        <is>
          <t>CUST-0059</t>
        </is>
      </c>
      <c r="D493" s="70" t="inlineStr">
        <is>
          <t>PROD-003</t>
        </is>
      </c>
      <c r="E493" s="70" t="inlineStr">
        <is>
          <t>R030</t>
        </is>
      </c>
      <c r="F493" s="72" t="n">
        <v>4</v>
      </c>
      <c r="G493" s="72" t="n">
        <v>3570</v>
      </c>
      <c r="H493" s="72" t="n">
        <v>18.9</v>
      </c>
      <c r="I493" s="72" t="n">
        <v>11581.08</v>
      </c>
      <c r="J493" s="70" t="inlineStr">
        <is>
          <t>Completed</t>
        </is>
      </c>
      <c r="K493" s="70" t="inlineStr">
        <is>
          <t>Pune</t>
        </is>
      </c>
    </row>
    <row r="494" ht="14.25" customHeight="1" s="56">
      <c r="A494" s="70" t="inlineStr">
        <is>
          <t>ORD-00493</t>
        </is>
      </c>
      <c r="B494" s="71" t="n">
        <v>45472</v>
      </c>
      <c r="C494" s="70" t="inlineStr">
        <is>
          <t>CUST-0264</t>
        </is>
      </c>
      <c r="D494" s="70" t="inlineStr">
        <is>
          <t>PROD-057</t>
        </is>
      </c>
      <c r="E494" s="70" t="inlineStr">
        <is>
          <t>R025</t>
        </is>
      </c>
      <c r="F494" s="72" t="n">
        <v>9</v>
      </c>
      <c r="G494" s="72" t="n">
        <v>960</v>
      </c>
      <c r="H494" s="72" t="n">
        <v>14</v>
      </c>
      <c r="I494" s="72" t="n">
        <v>7430.4</v>
      </c>
      <c r="J494" s="70" t="inlineStr">
        <is>
          <t>Refunded</t>
        </is>
      </c>
      <c r="K494" s="70" t="inlineStr">
        <is>
          <t>Pune</t>
        </is>
      </c>
    </row>
    <row r="495" ht="14.25" customHeight="1" s="56">
      <c r="A495" s="70" t="inlineStr">
        <is>
          <t>ORD-00494</t>
        </is>
      </c>
      <c r="B495" s="71" t="n">
        <v>45406</v>
      </c>
      <c r="C495" s="70" t="inlineStr">
        <is>
          <t>CUST-0157</t>
        </is>
      </c>
      <c r="D495" s="70" t="inlineStr">
        <is>
          <t>PROD-047</t>
        </is>
      </c>
      <c r="E495" s="70" t="inlineStr">
        <is>
          <t>R016</t>
        </is>
      </c>
      <c r="F495" s="72" t="n">
        <v>9</v>
      </c>
      <c r="G495" s="72" t="n">
        <v>3450</v>
      </c>
      <c r="H495" s="72" t="n">
        <v>6</v>
      </c>
      <c r="I495" s="72" t="n">
        <v>29187</v>
      </c>
      <c r="J495" s="70" t="inlineStr">
        <is>
          <t>Cancelled</t>
        </is>
      </c>
      <c r="K495" s="70" t="inlineStr">
        <is>
          <t>Pune</t>
        </is>
      </c>
    </row>
    <row r="496" ht="14.25" customHeight="1" s="56">
      <c r="A496" s="70" t="inlineStr">
        <is>
          <t>ORD-00495</t>
        </is>
      </c>
      <c r="B496" s="71" t="n">
        <v>45457</v>
      </c>
      <c r="C496" s="70" t="inlineStr">
        <is>
          <t>CUST-0028</t>
        </is>
      </c>
      <c r="D496" s="70" t="inlineStr">
        <is>
          <t>PROD-043</t>
        </is>
      </c>
      <c r="E496" s="70" t="inlineStr">
        <is>
          <t>R012</t>
        </is>
      </c>
      <c r="F496" s="72" t="n">
        <v>7</v>
      </c>
      <c r="G496" s="72" t="n">
        <v>3350</v>
      </c>
      <c r="H496" s="72" t="n">
        <v>14</v>
      </c>
      <c r="I496" s="72" t="n">
        <v>20167</v>
      </c>
      <c r="J496" s="70" t="inlineStr">
        <is>
          <t>Cancelled</t>
        </is>
      </c>
      <c r="K496" s="70" t="inlineStr">
        <is>
          <t>Bengaluru</t>
        </is>
      </c>
    </row>
    <row r="497" ht="14.25" customHeight="1" s="56">
      <c r="A497" s="70" t="inlineStr">
        <is>
          <t>ORD-00496</t>
        </is>
      </c>
      <c r="B497" s="71" t="n">
        <v>45298</v>
      </c>
      <c r="C497" s="70" t="inlineStr">
        <is>
          <t>CUST-0033</t>
        </is>
      </c>
      <c r="D497" s="70" t="inlineStr">
        <is>
          <t>PROD-049</t>
        </is>
      </c>
      <c r="E497" s="70" t="inlineStr">
        <is>
          <t>R004</t>
        </is>
      </c>
      <c r="F497" s="72" t="n">
        <v>6</v>
      </c>
      <c r="G497" s="72" t="n">
        <v>960</v>
      </c>
      <c r="H497" s="72" t="n">
        <v>10.1</v>
      </c>
      <c r="I497" s="72" t="n">
        <v>5178.24</v>
      </c>
      <c r="J497" s="70" t="inlineStr">
        <is>
          <t>Completed</t>
        </is>
      </c>
      <c r="K497" s="70" t="inlineStr">
        <is>
          <t>Delhi</t>
        </is>
      </c>
    </row>
    <row r="498" ht="14.25" customHeight="1" s="56">
      <c r="A498" s="70" t="inlineStr">
        <is>
          <t>ORD-00497</t>
        </is>
      </c>
      <c r="B498" s="71" t="n">
        <v>45337</v>
      </c>
      <c r="C498" s="70" t="inlineStr">
        <is>
          <t>CUST-0280</t>
        </is>
      </c>
      <c r="D498" s="70" t="inlineStr">
        <is>
          <t>PROD-005</t>
        </is>
      </c>
      <c r="E498" s="70" t="inlineStr">
        <is>
          <t>R016</t>
        </is>
      </c>
      <c r="F498" s="72" t="n">
        <v>7</v>
      </c>
      <c r="G498" s="72" t="n">
        <v>300</v>
      </c>
      <c r="H498" s="72" t="n">
        <v>21.9</v>
      </c>
      <c r="I498" s="72" t="n">
        <v>1640.1</v>
      </c>
      <c r="J498" s="70" t="inlineStr">
        <is>
          <t>Completed</t>
        </is>
      </c>
      <c r="K498" s="70" t="inlineStr">
        <is>
          <t>Delhi</t>
        </is>
      </c>
    </row>
    <row r="499" ht="14.25" customHeight="1" s="56">
      <c r="A499" s="70" t="inlineStr">
        <is>
          <t>ORD-00498</t>
        </is>
      </c>
      <c r="B499" s="71" t="n">
        <v>45389</v>
      </c>
      <c r="C499" s="70" t="inlineStr">
        <is>
          <t>CUST-0232</t>
        </is>
      </c>
      <c r="D499" s="70" t="inlineStr">
        <is>
          <t>PROD-023</t>
        </is>
      </c>
      <c r="E499" s="70" t="inlineStr">
        <is>
          <t>R019</t>
        </is>
      </c>
      <c r="F499" s="72" t="n">
        <v>2</v>
      </c>
      <c r="G499" s="72" t="n">
        <v>2380</v>
      </c>
      <c r="H499" s="72" t="n">
        <v>6.8</v>
      </c>
      <c r="I499" s="72" t="n">
        <v>4436.32</v>
      </c>
      <c r="J499" s="70" t="inlineStr">
        <is>
          <t>Completed</t>
        </is>
      </c>
      <c r="K499" s="70" t="inlineStr">
        <is>
          <t>Hyderabad</t>
        </is>
      </c>
    </row>
    <row r="500" ht="14.25" customHeight="1" s="56">
      <c r="A500" s="70" t="inlineStr">
        <is>
          <t>ORD-00499</t>
        </is>
      </c>
      <c r="B500" s="71" t="n">
        <v>45298</v>
      </c>
      <c r="C500" s="70" t="inlineStr">
        <is>
          <t>CUST-0270</t>
        </is>
      </c>
      <c r="D500" s="70" t="inlineStr">
        <is>
          <t>PROD-057</t>
        </is>
      </c>
      <c r="E500" s="70" t="inlineStr">
        <is>
          <t>R024</t>
        </is>
      </c>
      <c r="F500" s="72" t="n">
        <v>5</v>
      </c>
      <c r="G500" s="72" t="n">
        <v>960</v>
      </c>
      <c r="H500" s="72" t="n">
        <v>15</v>
      </c>
      <c r="I500" s="72" t="n">
        <v>4080</v>
      </c>
      <c r="J500" s="70" t="inlineStr">
        <is>
          <t>Cancelled</t>
        </is>
      </c>
      <c r="K500" s="70" t="inlineStr">
        <is>
          <t>Bengaluru</t>
        </is>
      </c>
    </row>
    <row r="501" ht="14.25" customHeight="1" s="56">
      <c r="A501" s="70" t="inlineStr">
        <is>
          <t>ORD-00500</t>
        </is>
      </c>
      <c r="B501" s="71" t="n">
        <v>45577</v>
      </c>
      <c r="C501" s="70" t="inlineStr">
        <is>
          <t>CUST-0203</t>
        </is>
      </c>
      <c r="D501" s="70" t="inlineStr">
        <is>
          <t>PROD-059</t>
        </is>
      </c>
      <c r="E501" s="70" t="inlineStr">
        <is>
          <t>R012</t>
        </is>
      </c>
      <c r="F501" s="72" t="n">
        <v>10</v>
      </c>
      <c r="G501" s="72" t="n">
        <v>3780</v>
      </c>
      <c r="H501" s="72" t="n">
        <v>24.1</v>
      </c>
      <c r="I501" s="72" t="n">
        <v>28690.2</v>
      </c>
      <c r="J501" s="70" t="inlineStr">
        <is>
          <t>Refunded</t>
        </is>
      </c>
      <c r="K501" s="70" t="inlineStr">
        <is>
          <t>Chennai</t>
        </is>
      </c>
    </row>
    <row r="502" ht="14.25" customHeight="1" s="56">
      <c r="A502" s="70" t="inlineStr">
        <is>
          <t>ORD-00501</t>
        </is>
      </c>
      <c r="B502" s="71" t="n">
        <v>45355</v>
      </c>
      <c r="C502" s="70" t="inlineStr">
        <is>
          <t>CUST-0069</t>
        </is>
      </c>
      <c r="D502" s="70" t="inlineStr">
        <is>
          <t>PROD-041</t>
        </is>
      </c>
      <c r="E502" s="70" t="inlineStr">
        <is>
          <t>R020</t>
        </is>
      </c>
      <c r="F502" s="72" t="n">
        <v>4</v>
      </c>
      <c r="G502" s="72" t="n">
        <v>1540</v>
      </c>
      <c r="H502" s="72" t="n">
        <v>14.2</v>
      </c>
      <c r="I502" s="72" t="n">
        <v>5285.28</v>
      </c>
      <c r="J502" s="70" t="inlineStr">
        <is>
          <t>Cancelled</t>
        </is>
      </c>
      <c r="K502" s="70" t="inlineStr">
        <is>
          <t>Chennai</t>
        </is>
      </c>
    </row>
    <row r="503" ht="14.25" customHeight="1" s="56">
      <c r="A503" s="70" t="inlineStr">
        <is>
          <t>ORD-00502</t>
        </is>
      </c>
      <c r="B503" s="71" t="n">
        <v>45463</v>
      </c>
      <c r="C503" s="70" t="inlineStr">
        <is>
          <t>CUST-0037</t>
        </is>
      </c>
      <c r="D503" s="70" t="inlineStr">
        <is>
          <t>PROD-017</t>
        </is>
      </c>
      <c r="E503" s="70" t="inlineStr">
        <is>
          <t>R005</t>
        </is>
      </c>
      <c r="F503" s="72" t="n">
        <v>10</v>
      </c>
      <c r="G503" s="72" t="n">
        <v>2510</v>
      </c>
      <c r="H503" s="72" t="n">
        <v>20.8</v>
      </c>
      <c r="I503" s="72" t="n">
        <v>19879.2</v>
      </c>
      <c r="J503" s="70" t="inlineStr">
        <is>
          <t>Completed</t>
        </is>
      </c>
      <c r="K503" s="70" t="inlineStr">
        <is>
          <t>Bengaluru</t>
        </is>
      </c>
    </row>
    <row r="504" ht="14.25" customHeight="1" s="56">
      <c r="A504" s="70" t="inlineStr">
        <is>
          <t>ORD-00503</t>
        </is>
      </c>
      <c r="B504" s="71" t="n">
        <v>45374</v>
      </c>
      <c r="C504" s="70" t="inlineStr">
        <is>
          <t>CUST-0149</t>
        </is>
      </c>
      <c r="D504" s="70" t="inlineStr">
        <is>
          <t>PROD-025</t>
        </is>
      </c>
      <c r="E504" s="70" t="inlineStr">
        <is>
          <t>R014</t>
        </is>
      </c>
      <c r="F504" s="72" t="n">
        <v>9</v>
      </c>
      <c r="G504" s="72" t="n">
        <v>4060</v>
      </c>
      <c r="H504" s="72" t="n">
        <v>27.1</v>
      </c>
      <c r="I504" s="72" t="n">
        <v>26637.66</v>
      </c>
      <c r="J504" s="70" t="inlineStr">
        <is>
          <t>Completed</t>
        </is>
      </c>
      <c r="K504" s="70" t="inlineStr">
        <is>
          <t>Hyderabad</t>
        </is>
      </c>
    </row>
    <row r="505" ht="14.25" customHeight="1" s="56">
      <c r="A505" s="70" t="inlineStr">
        <is>
          <t>ORD-00504</t>
        </is>
      </c>
      <c r="B505" s="71" t="n">
        <v>45638</v>
      </c>
      <c r="C505" s="70" t="inlineStr">
        <is>
          <t>CUST-0131</t>
        </is>
      </c>
      <c r="D505" s="70" t="inlineStr">
        <is>
          <t>PROD-058</t>
        </is>
      </c>
      <c r="E505" s="70" t="inlineStr">
        <is>
          <t>R025</t>
        </is>
      </c>
      <c r="F505" s="72" t="n">
        <v>4</v>
      </c>
      <c r="G505" s="72" t="n">
        <v>2400</v>
      </c>
      <c r="H505" s="72" t="n">
        <v>19.1</v>
      </c>
      <c r="I505" s="72" t="n">
        <v>7766.4</v>
      </c>
      <c r="J505" s="70" t="inlineStr">
        <is>
          <t>Completed</t>
        </is>
      </c>
      <c r="K505" s="70" t="inlineStr">
        <is>
          <t>Delhi</t>
        </is>
      </c>
    </row>
    <row r="506" ht="14.25" customHeight="1" s="56">
      <c r="A506" s="70" t="inlineStr">
        <is>
          <t>ORD-00505</t>
        </is>
      </c>
      <c r="B506" s="71" t="n">
        <v>45525</v>
      </c>
      <c r="C506" s="70" t="inlineStr">
        <is>
          <t>CUST-0071</t>
        </is>
      </c>
      <c r="D506" s="70" t="inlineStr">
        <is>
          <t>PROD-046</t>
        </is>
      </c>
      <c r="E506" s="70" t="inlineStr">
        <is>
          <t>R022</t>
        </is>
      </c>
      <c r="F506" s="72" t="n">
        <v>8</v>
      </c>
      <c r="G506" s="72" t="n">
        <v>4880</v>
      </c>
      <c r="H506" s="72" t="n">
        <v>9.199999999999999</v>
      </c>
      <c r="I506" s="72" t="n">
        <v>35448.32</v>
      </c>
      <c r="J506" s="70" t="inlineStr">
        <is>
          <t>Cancelled</t>
        </is>
      </c>
      <c r="K506" s="70" t="inlineStr">
        <is>
          <t>Delhi</t>
        </is>
      </c>
    </row>
    <row r="507" ht="14.25" customHeight="1" s="56">
      <c r="A507" s="70" t="inlineStr">
        <is>
          <t>ORD-00506</t>
        </is>
      </c>
      <c r="B507" s="71" t="n">
        <v>45586</v>
      </c>
      <c r="C507" s="70" t="inlineStr">
        <is>
          <t>CUST-0249</t>
        </is>
      </c>
      <c r="D507" s="70" t="inlineStr">
        <is>
          <t>PROD-048</t>
        </is>
      </c>
      <c r="E507" s="70" t="inlineStr">
        <is>
          <t>R019</t>
        </is>
      </c>
      <c r="F507" s="72" t="n">
        <v>9</v>
      </c>
      <c r="G507" s="72" t="n">
        <v>5100</v>
      </c>
      <c r="H507" s="72" t="n">
        <v>11.1</v>
      </c>
      <c r="I507" s="72" t="n">
        <v>40805.1</v>
      </c>
      <c r="J507" s="70" t="inlineStr">
        <is>
          <t>Cancelled</t>
        </is>
      </c>
      <c r="K507" s="70" t="inlineStr">
        <is>
          <t>Mumbai</t>
        </is>
      </c>
    </row>
    <row r="508" ht="14.25" customHeight="1" s="56">
      <c r="A508" s="70" t="inlineStr">
        <is>
          <t>ORD-00507</t>
        </is>
      </c>
      <c r="B508" s="71" t="n">
        <v>45637</v>
      </c>
      <c r="C508" s="70" t="inlineStr">
        <is>
          <t>CUST-0181</t>
        </is>
      </c>
      <c r="D508" s="70" t="inlineStr">
        <is>
          <t>PROD-005</t>
        </is>
      </c>
      <c r="E508" s="70" t="inlineStr">
        <is>
          <t>R028</t>
        </is>
      </c>
      <c r="F508" s="72" t="n">
        <v>4</v>
      </c>
      <c r="G508" s="72" t="n">
        <v>300</v>
      </c>
      <c r="H508" s="72" t="n">
        <v>16.7</v>
      </c>
      <c r="I508" s="72" t="n">
        <v>999.6</v>
      </c>
      <c r="J508" s="70" t="inlineStr">
        <is>
          <t>Completed</t>
        </is>
      </c>
      <c r="K508" s="70" t="inlineStr">
        <is>
          <t>Delhi</t>
        </is>
      </c>
    </row>
    <row r="509" ht="14.25" customHeight="1" s="56">
      <c r="A509" s="70" t="inlineStr">
        <is>
          <t>ORD-00508</t>
        </is>
      </c>
      <c r="B509" s="71" t="n">
        <v>45443</v>
      </c>
      <c r="C509" s="70" t="inlineStr">
        <is>
          <t>CUST-0085</t>
        </is>
      </c>
      <c r="D509" s="70" t="inlineStr">
        <is>
          <t>PROD-019</t>
        </is>
      </c>
      <c r="E509" s="70" t="inlineStr">
        <is>
          <t>R014</t>
        </is>
      </c>
      <c r="F509" s="72" t="n">
        <v>6</v>
      </c>
      <c r="G509" s="72" t="n">
        <v>2480</v>
      </c>
      <c r="H509" s="72" t="n">
        <v>3.3</v>
      </c>
      <c r="I509" s="72" t="n">
        <v>14388.96</v>
      </c>
      <c r="J509" s="70" t="inlineStr">
        <is>
          <t>Completed</t>
        </is>
      </c>
      <c r="K509" s="70" t="inlineStr">
        <is>
          <t>Chennai</t>
        </is>
      </c>
    </row>
    <row r="510" ht="14.25" customHeight="1" s="56">
      <c r="A510" s="70" t="inlineStr">
        <is>
          <t>ORD-00509</t>
        </is>
      </c>
      <c r="B510" s="71" t="n">
        <v>45569</v>
      </c>
      <c r="C510" s="70" t="inlineStr">
        <is>
          <t>CUST-0180</t>
        </is>
      </c>
      <c r="D510" s="70" t="inlineStr">
        <is>
          <t>PROD-044</t>
        </is>
      </c>
      <c r="E510" s="70" t="inlineStr">
        <is>
          <t>R023</t>
        </is>
      </c>
      <c r="F510" s="72" t="n">
        <v>10</v>
      </c>
      <c r="G510" s="72" t="n">
        <v>1650</v>
      </c>
      <c r="H510" s="72" t="n">
        <v>22.9</v>
      </c>
      <c r="I510" s="72" t="n">
        <v>12721.5</v>
      </c>
      <c r="J510" s="70" t="inlineStr">
        <is>
          <t>Refunded</t>
        </is>
      </c>
      <c r="K510" s="70" t="inlineStr">
        <is>
          <t>Chennai</t>
        </is>
      </c>
    </row>
    <row r="511" ht="14.25" customHeight="1" s="56">
      <c r="A511" s="70" t="inlineStr">
        <is>
          <t>ORD-00510</t>
        </is>
      </c>
      <c r="B511" s="71" t="n">
        <v>45319</v>
      </c>
      <c r="C511" s="70" t="inlineStr">
        <is>
          <t>CUST-0103</t>
        </is>
      </c>
      <c r="D511" s="70" t="inlineStr">
        <is>
          <t>PROD-029</t>
        </is>
      </c>
      <c r="E511" s="70" t="inlineStr">
        <is>
          <t>R012</t>
        </is>
      </c>
      <c r="F511" s="72" t="n">
        <v>3</v>
      </c>
      <c r="G511" s="72" t="n">
        <v>2210</v>
      </c>
      <c r="H511" s="72" t="n">
        <v>11.1</v>
      </c>
      <c r="I511" s="72" t="n">
        <v>5894.07</v>
      </c>
      <c r="J511" s="70" t="inlineStr">
        <is>
          <t>Completed</t>
        </is>
      </c>
      <c r="K511" s="70" t="inlineStr">
        <is>
          <t>Hyderabad</t>
        </is>
      </c>
    </row>
    <row r="512" ht="14.25" customHeight="1" s="56">
      <c r="A512" s="70" t="inlineStr">
        <is>
          <t>ORD-00511</t>
        </is>
      </c>
      <c r="B512" s="71" t="n">
        <v>45406</v>
      </c>
      <c r="C512" s="70" t="inlineStr">
        <is>
          <t>CUST-0174</t>
        </is>
      </c>
      <c r="D512" s="70" t="inlineStr">
        <is>
          <t>PROD-019</t>
        </is>
      </c>
      <c r="E512" s="70" t="inlineStr">
        <is>
          <t>R005</t>
        </is>
      </c>
      <c r="F512" s="72" t="n">
        <v>10</v>
      </c>
      <c r="G512" s="72" t="n">
        <v>2480</v>
      </c>
      <c r="H512" s="72" t="n">
        <v>13</v>
      </c>
      <c r="I512" s="72" t="n">
        <v>21576</v>
      </c>
      <c r="J512" s="70" t="inlineStr">
        <is>
          <t>Pending</t>
        </is>
      </c>
      <c r="K512" s="70" t="inlineStr">
        <is>
          <t>Pune</t>
        </is>
      </c>
    </row>
    <row r="513" ht="14.25" customHeight="1" s="56">
      <c r="A513" s="70" t="inlineStr">
        <is>
          <t>ORD-00512</t>
        </is>
      </c>
      <c r="B513" s="71" t="n">
        <v>45629</v>
      </c>
      <c r="C513" s="70" t="inlineStr">
        <is>
          <t>CUST-0071</t>
        </is>
      </c>
      <c r="D513" s="70" t="inlineStr">
        <is>
          <t>PROD-001</t>
        </is>
      </c>
      <c r="E513" s="70" t="inlineStr">
        <is>
          <t>R023</t>
        </is>
      </c>
      <c r="F513" s="72" t="n">
        <v>10</v>
      </c>
      <c r="G513" s="72" t="n">
        <v>5330</v>
      </c>
      <c r="H513" s="72" t="n">
        <v>0.7</v>
      </c>
      <c r="I513" s="72" t="n">
        <v>52926.9</v>
      </c>
      <c r="J513" s="70" t="inlineStr">
        <is>
          <t>Completed</t>
        </is>
      </c>
      <c r="K513" s="70" t="inlineStr">
        <is>
          <t>Delhi</t>
        </is>
      </c>
    </row>
    <row r="514" ht="14.25" customHeight="1" s="56">
      <c r="A514" s="70" t="inlineStr">
        <is>
          <t>ORD-00513</t>
        </is>
      </c>
      <c r="B514" s="71" t="n">
        <v>45612</v>
      </c>
      <c r="C514" s="70" t="inlineStr">
        <is>
          <t>CUST-0266</t>
        </is>
      </c>
      <c r="D514" s="70" t="inlineStr">
        <is>
          <t>PROD-026</t>
        </is>
      </c>
      <c r="E514" s="70" t="inlineStr">
        <is>
          <t>R012</t>
        </is>
      </c>
      <c r="F514" s="72" t="n">
        <v>9</v>
      </c>
      <c r="G514" s="72" t="n">
        <v>4070</v>
      </c>
      <c r="H514" s="72" t="n">
        <v>15.6</v>
      </c>
      <c r="I514" s="72" t="n">
        <v>30915.72</v>
      </c>
      <c r="J514" s="70" t="inlineStr">
        <is>
          <t>Completed</t>
        </is>
      </c>
      <c r="K514" s="70" t="inlineStr">
        <is>
          <t>Pune</t>
        </is>
      </c>
    </row>
    <row r="515" ht="14.25" customHeight="1" s="56">
      <c r="A515" s="70" t="inlineStr">
        <is>
          <t>ORD-00514</t>
        </is>
      </c>
      <c r="B515" s="71" t="n">
        <v>45613</v>
      </c>
      <c r="C515" s="70" t="inlineStr">
        <is>
          <t>CUST-0148</t>
        </is>
      </c>
      <c r="D515" s="70" t="inlineStr">
        <is>
          <t>PROD-015</t>
        </is>
      </c>
      <c r="E515" s="70" t="inlineStr">
        <is>
          <t>R001</t>
        </is>
      </c>
      <c r="F515" s="72" t="n">
        <v>5</v>
      </c>
      <c r="G515" s="72" t="n">
        <v>2720</v>
      </c>
      <c r="H515" s="72" t="n">
        <v>10.3</v>
      </c>
      <c r="I515" s="72" t="n">
        <v>12199.2</v>
      </c>
      <c r="J515" s="70" t="inlineStr">
        <is>
          <t>Cancelled</t>
        </is>
      </c>
      <c r="K515" s="70" t="inlineStr">
        <is>
          <t>Chennai</t>
        </is>
      </c>
    </row>
    <row r="516" ht="14.25" customHeight="1" s="56">
      <c r="A516" s="70" t="inlineStr">
        <is>
          <t>ORD-00515</t>
        </is>
      </c>
      <c r="B516" s="71" t="n">
        <v>45484</v>
      </c>
      <c r="C516" s="70" t="inlineStr">
        <is>
          <t>CUST-0030</t>
        </is>
      </c>
      <c r="D516" s="70" t="inlineStr">
        <is>
          <t>PROD-055</t>
        </is>
      </c>
      <c r="E516" s="70" t="inlineStr">
        <is>
          <t>R029</t>
        </is>
      </c>
      <c r="F516" s="72" t="n">
        <v>6</v>
      </c>
      <c r="G516" s="72" t="n">
        <v>2860</v>
      </c>
      <c r="H516" s="72" t="n">
        <v>28.9</v>
      </c>
      <c r="I516" s="72" t="n">
        <v>12200.76</v>
      </c>
      <c r="J516" s="70" t="inlineStr">
        <is>
          <t>Completed</t>
        </is>
      </c>
      <c r="K516" s="70" t="inlineStr">
        <is>
          <t>Bengaluru</t>
        </is>
      </c>
    </row>
    <row r="517" ht="14.25" customHeight="1" s="56">
      <c r="A517" s="70" t="inlineStr">
        <is>
          <t>ORD-00516</t>
        </is>
      </c>
      <c r="B517" s="71" t="n">
        <v>45656</v>
      </c>
      <c r="C517" s="70" t="inlineStr">
        <is>
          <t>CUST-0128</t>
        </is>
      </c>
      <c r="D517" s="70" t="inlineStr">
        <is>
          <t>PROD-014</t>
        </is>
      </c>
      <c r="E517" s="70" t="inlineStr">
        <is>
          <t>R012</t>
        </is>
      </c>
      <c r="F517" s="72" t="n">
        <v>5</v>
      </c>
      <c r="G517" s="72" t="n">
        <v>3620</v>
      </c>
      <c r="H517" s="72" t="n">
        <v>18.2</v>
      </c>
      <c r="I517" s="72" t="n">
        <v>14805.8</v>
      </c>
      <c r="J517" s="70" t="inlineStr">
        <is>
          <t>Completed</t>
        </is>
      </c>
      <c r="K517" s="70" t="inlineStr">
        <is>
          <t>Hyderabad</t>
        </is>
      </c>
    </row>
    <row r="518" ht="14.25" customHeight="1" s="56">
      <c r="A518" s="70" t="inlineStr">
        <is>
          <t>ORD-00517</t>
        </is>
      </c>
      <c r="B518" s="71" t="n">
        <v>45432</v>
      </c>
      <c r="C518" s="70" t="inlineStr">
        <is>
          <t>CUST-0056</t>
        </is>
      </c>
      <c r="D518" s="70" t="inlineStr">
        <is>
          <t>PROD-044</t>
        </is>
      </c>
      <c r="E518" s="70" t="inlineStr">
        <is>
          <t>R018</t>
        </is>
      </c>
      <c r="F518" s="72" t="n">
        <v>3</v>
      </c>
      <c r="G518" s="72" t="n">
        <v>1650</v>
      </c>
      <c r="H518" s="72" t="n">
        <v>10.7</v>
      </c>
      <c r="I518" s="72" t="n">
        <v>4420.35</v>
      </c>
      <c r="J518" s="70" t="inlineStr">
        <is>
          <t>Completed</t>
        </is>
      </c>
      <c r="K518" s="70" t="inlineStr">
        <is>
          <t>Bengaluru</t>
        </is>
      </c>
    </row>
    <row r="519" ht="14.25" customHeight="1" s="56">
      <c r="A519" s="70" t="inlineStr">
        <is>
          <t>ORD-00518</t>
        </is>
      </c>
      <c r="B519" s="71" t="n">
        <v>45495</v>
      </c>
      <c r="C519" s="70" t="inlineStr">
        <is>
          <t>CUST-0178</t>
        </is>
      </c>
      <c r="D519" s="70" t="inlineStr">
        <is>
          <t>PROD-060</t>
        </is>
      </c>
      <c r="E519" s="70" t="inlineStr">
        <is>
          <t>R029</t>
        </is>
      </c>
      <c r="F519" s="72" t="n">
        <v>8</v>
      </c>
      <c r="G519" s="72" t="n">
        <v>190</v>
      </c>
      <c r="H519" s="72" t="n">
        <v>18</v>
      </c>
      <c r="I519" s="72" t="n">
        <v>1246.4</v>
      </c>
      <c r="J519" s="70" t="inlineStr">
        <is>
          <t>Pending</t>
        </is>
      </c>
      <c r="K519" s="70" t="inlineStr">
        <is>
          <t>Hyderabad</t>
        </is>
      </c>
    </row>
    <row r="520" ht="14.25" customHeight="1" s="56">
      <c r="A520" s="70" t="inlineStr">
        <is>
          <t>ORD-00519</t>
        </is>
      </c>
      <c r="B520" s="71" t="n">
        <v>45443</v>
      </c>
      <c r="C520" s="70" t="inlineStr">
        <is>
          <t>CUST-0237</t>
        </is>
      </c>
      <c r="D520" s="70" t="inlineStr">
        <is>
          <t>PROD-042</t>
        </is>
      </c>
      <c r="E520" s="70" t="inlineStr">
        <is>
          <t>R029</t>
        </is>
      </c>
      <c r="F520" s="72" t="n">
        <v>7</v>
      </c>
      <c r="G520" s="72" t="n">
        <v>2290</v>
      </c>
      <c r="H520" s="72" t="n">
        <v>12.5</v>
      </c>
      <c r="I520" s="72" t="n">
        <v>14026.25</v>
      </c>
      <c r="J520" s="70" t="inlineStr">
        <is>
          <t>Completed</t>
        </is>
      </c>
      <c r="K520" s="70" t="inlineStr">
        <is>
          <t>Mumbai</t>
        </is>
      </c>
    </row>
    <row r="521" ht="14.25" customHeight="1" s="56">
      <c r="A521" s="70" t="inlineStr">
        <is>
          <t>ORD-00520</t>
        </is>
      </c>
      <c r="B521" s="71" t="n">
        <v>45638</v>
      </c>
      <c r="C521" s="70" t="inlineStr">
        <is>
          <t>CUST-0143</t>
        </is>
      </c>
      <c r="D521" s="70" t="inlineStr">
        <is>
          <t>PROD-001</t>
        </is>
      </c>
      <c r="E521" s="70" t="inlineStr">
        <is>
          <t>R017</t>
        </is>
      </c>
      <c r="F521" s="72" t="n">
        <v>2</v>
      </c>
      <c r="G521" s="72" t="n">
        <v>5330</v>
      </c>
      <c r="H521" s="72" t="n">
        <v>26.5</v>
      </c>
      <c r="I521" s="72" t="n">
        <v>7835.1</v>
      </c>
      <c r="J521" s="70" t="inlineStr">
        <is>
          <t>Completed</t>
        </is>
      </c>
      <c r="K521" s="70" t="inlineStr">
        <is>
          <t>Chennai</t>
        </is>
      </c>
    </row>
    <row r="522" ht="14.25" customHeight="1" s="56">
      <c r="A522" s="70" t="inlineStr">
        <is>
          <t>ORD-00521</t>
        </is>
      </c>
      <c r="B522" s="71" t="n">
        <v>45476</v>
      </c>
      <c r="C522" s="70" t="inlineStr">
        <is>
          <t>CUST-0233</t>
        </is>
      </c>
      <c r="D522" s="70" t="inlineStr">
        <is>
          <t>PROD-001</t>
        </is>
      </c>
      <c r="E522" s="70" t="inlineStr">
        <is>
          <t>R015</t>
        </is>
      </c>
      <c r="F522" s="72" t="n">
        <v>4</v>
      </c>
      <c r="G522" s="72" t="n">
        <v>5330</v>
      </c>
      <c r="H522" s="72" t="n">
        <v>25.6</v>
      </c>
      <c r="I522" s="72" t="n">
        <v>15862.08</v>
      </c>
      <c r="J522" s="70" t="inlineStr">
        <is>
          <t>Completed</t>
        </is>
      </c>
      <c r="K522" s="70" t="inlineStr">
        <is>
          <t>Mumbai</t>
        </is>
      </c>
    </row>
    <row r="523" ht="14.25" customHeight="1" s="56">
      <c r="A523" s="70" t="inlineStr">
        <is>
          <t>ORD-00522</t>
        </is>
      </c>
      <c r="B523" s="71" t="n">
        <v>45566</v>
      </c>
      <c r="C523" s="70" t="inlineStr">
        <is>
          <t>CUST-0161</t>
        </is>
      </c>
      <c r="D523" s="70" t="inlineStr">
        <is>
          <t>PROD-034</t>
        </is>
      </c>
      <c r="E523" s="70" t="inlineStr">
        <is>
          <t>R006</t>
        </is>
      </c>
      <c r="F523" s="72" t="n">
        <v>4</v>
      </c>
      <c r="G523" s="72" t="n">
        <v>5080</v>
      </c>
      <c r="H523" s="72" t="n">
        <v>28.6</v>
      </c>
      <c r="I523" s="72" t="n">
        <v>14508.48</v>
      </c>
      <c r="J523" s="70" t="inlineStr">
        <is>
          <t>Completed</t>
        </is>
      </c>
      <c r="K523" s="70" t="inlineStr">
        <is>
          <t>Chennai</t>
        </is>
      </c>
    </row>
    <row r="524" ht="14.25" customHeight="1" s="56">
      <c r="A524" s="70" t="inlineStr">
        <is>
          <t>ORD-00523</t>
        </is>
      </c>
      <c r="B524" s="71" t="n">
        <v>45392</v>
      </c>
      <c r="C524" s="70" t="inlineStr">
        <is>
          <t>CUST-0087</t>
        </is>
      </c>
      <c r="D524" s="70" t="inlineStr">
        <is>
          <t>PROD-032</t>
        </is>
      </c>
      <c r="E524" s="70" t="inlineStr">
        <is>
          <t>R002</t>
        </is>
      </c>
      <c r="F524" s="72" t="n">
        <v>4</v>
      </c>
      <c r="G524" s="72" t="n">
        <v>370</v>
      </c>
      <c r="H524" s="72" t="n">
        <v>12.6</v>
      </c>
      <c r="I524" s="72" t="n">
        <v>1293.52</v>
      </c>
      <c r="J524" s="70" t="inlineStr">
        <is>
          <t>Pending</t>
        </is>
      </c>
      <c r="K524" s="70" t="inlineStr">
        <is>
          <t>Pune</t>
        </is>
      </c>
    </row>
    <row r="525" ht="14.25" customHeight="1" s="56">
      <c r="A525" s="70" t="inlineStr">
        <is>
          <t>ORD-00524</t>
        </is>
      </c>
      <c r="B525" s="71" t="n">
        <v>45561</v>
      </c>
      <c r="C525" s="70" t="inlineStr">
        <is>
          <t>CUST-0235</t>
        </is>
      </c>
      <c r="D525" s="70" t="inlineStr">
        <is>
          <t>PROD-053</t>
        </is>
      </c>
      <c r="E525" s="70" t="inlineStr">
        <is>
          <t>R013</t>
        </is>
      </c>
      <c r="F525" s="72" t="n">
        <v>9</v>
      </c>
      <c r="G525" s="72" t="n">
        <v>470</v>
      </c>
      <c r="H525" s="72" t="n">
        <v>3.6</v>
      </c>
      <c r="I525" s="72" t="n">
        <v>4077.72</v>
      </c>
      <c r="J525" s="70" t="inlineStr">
        <is>
          <t>Completed</t>
        </is>
      </c>
      <c r="K525" s="70" t="inlineStr">
        <is>
          <t>Chennai</t>
        </is>
      </c>
    </row>
    <row r="526" ht="14.25" customHeight="1" s="56">
      <c r="A526" s="70" t="inlineStr">
        <is>
          <t>ORD-00525</t>
        </is>
      </c>
      <c r="B526" s="71" t="n">
        <v>45634</v>
      </c>
      <c r="C526" s="70" t="inlineStr">
        <is>
          <t>CUST-0183</t>
        </is>
      </c>
      <c r="D526" s="70" t="inlineStr">
        <is>
          <t>PROD-052</t>
        </is>
      </c>
      <c r="E526" s="70" t="inlineStr">
        <is>
          <t>R027</t>
        </is>
      </c>
      <c r="F526" s="72" t="n">
        <v>4</v>
      </c>
      <c r="G526" s="72" t="n">
        <v>5410</v>
      </c>
      <c r="H526" s="72" t="n">
        <v>11.3</v>
      </c>
      <c r="I526" s="72" t="n">
        <v>19194.68</v>
      </c>
      <c r="J526" s="70" t="inlineStr">
        <is>
          <t>Refunded</t>
        </is>
      </c>
      <c r="K526" s="70" t="inlineStr">
        <is>
          <t>Mumbai</t>
        </is>
      </c>
    </row>
    <row r="527" ht="14.25" customHeight="1" s="56">
      <c r="A527" s="70" t="inlineStr">
        <is>
          <t>ORD-00526</t>
        </is>
      </c>
      <c r="B527" s="71" t="n">
        <v>45311</v>
      </c>
      <c r="C527" s="70" t="inlineStr">
        <is>
          <t>CUST-0199</t>
        </is>
      </c>
      <c r="D527" s="70" t="inlineStr">
        <is>
          <t>PROD-014</t>
        </is>
      </c>
      <c r="E527" s="70" t="inlineStr">
        <is>
          <t>R007</t>
        </is>
      </c>
      <c r="F527" s="72" t="n">
        <v>10</v>
      </c>
      <c r="G527" s="72" t="n">
        <v>3620</v>
      </c>
      <c r="H527" s="72" t="n">
        <v>2.5</v>
      </c>
      <c r="I527" s="72" t="n">
        <v>35295</v>
      </c>
      <c r="J527" s="70" t="inlineStr">
        <is>
          <t>Completed</t>
        </is>
      </c>
      <c r="K527" s="70" t="inlineStr">
        <is>
          <t>Hyderabad</t>
        </is>
      </c>
    </row>
    <row r="528" ht="14.25" customHeight="1" s="56">
      <c r="A528" s="70" t="inlineStr">
        <is>
          <t>ORD-00527</t>
        </is>
      </c>
      <c r="B528" s="71" t="n">
        <v>45380</v>
      </c>
      <c r="C528" s="70" t="inlineStr">
        <is>
          <t>CUST-0034</t>
        </is>
      </c>
      <c r="D528" s="70" t="inlineStr">
        <is>
          <t>PROD-021</t>
        </is>
      </c>
      <c r="E528" s="70" t="inlineStr">
        <is>
          <t>R030</t>
        </is>
      </c>
      <c r="F528" s="72" t="n">
        <v>1</v>
      </c>
      <c r="G528" s="72" t="n">
        <v>2760</v>
      </c>
      <c r="H528" s="72" t="n">
        <v>22.2</v>
      </c>
      <c r="I528" s="72" t="n">
        <v>2147.28</v>
      </c>
      <c r="J528" s="70" t="inlineStr">
        <is>
          <t>Completed</t>
        </is>
      </c>
      <c r="K528" s="70" t="inlineStr">
        <is>
          <t>Delhi</t>
        </is>
      </c>
    </row>
    <row r="529" ht="14.25" customHeight="1" s="56">
      <c r="A529" s="70" t="inlineStr">
        <is>
          <t>ORD-00528</t>
        </is>
      </c>
      <c r="B529" s="71" t="n">
        <v>45549</v>
      </c>
      <c r="C529" s="70" t="inlineStr">
        <is>
          <t>CUST-0206</t>
        </is>
      </c>
      <c r="D529" s="70" t="inlineStr">
        <is>
          <t>PROD-047</t>
        </is>
      </c>
      <c r="E529" s="70" t="inlineStr">
        <is>
          <t>R001</t>
        </is>
      </c>
      <c r="F529" s="72" t="n">
        <v>7</v>
      </c>
      <c r="G529" s="72" t="n">
        <v>3450</v>
      </c>
      <c r="H529" s="72" t="n">
        <v>8.6</v>
      </c>
      <c r="I529" s="72" t="n">
        <v>22073.1</v>
      </c>
      <c r="J529" s="70" t="inlineStr">
        <is>
          <t>Completed</t>
        </is>
      </c>
      <c r="K529" s="70" t="inlineStr">
        <is>
          <t>Mumbai</t>
        </is>
      </c>
    </row>
    <row r="530" ht="14.25" customHeight="1" s="56">
      <c r="A530" s="70" t="inlineStr">
        <is>
          <t>ORD-00529</t>
        </is>
      </c>
      <c r="B530" s="71" t="n">
        <v>45418</v>
      </c>
      <c r="C530" s="70" t="inlineStr">
        <is>
          <t>CUST-0246</t>
        </is>
      </c>
      <c r="D530" s="70" t="inlineStr">
        <is>
          <t>PROD-028</t>
        </is>
      </c>
      <c r="E530" s="70" t="inlineStr">
        <is>
          <t>R028</t>
        </is>
      </c>
      <c r="F530" s="72" t="n">
        <v>6</v>
      </c>
      <c r="G530" s="72" t="n">
        <v>3660</v>
      </c>
      <c r="H530" s="72" t="n">
        <v>10.6</v>
      </c>
      <c r="I530" s="72" t="n">
        <v>19632.24</v>
      </c>
      <c r="J530" s="70" t="inlineStr">
        <is>
          <t>Completed</t>
        </is>
      </c>
      <c r="K530" s="70" t="inlineStr">
        <is>
          <t>Delhi</t>
        </is>
      </c>
    </row>
    <row r="531" ht="14.25" customHeight="1" s="56">
      <c r="A531" s="70" t="inlineStr">
        <is>
          <t>ORD-00530</t>
        </is>
      </c>
      <c r="B531" s="71" t="n">
        <v>45532</v>
      </c>
      <c r="C531" s="70" t="inlineStr">
        <is>
          <t>CUST-0075</t>
        </is>
      </c>
      <c r="D531" s="70" t="inlineStr">
        <is>
          <t>PROD-003</t>
        </is>
      </c>
      <c r="E531" s="70" t="inlineStr">
        <is>
          <t>R028</t>
        </is>
      </c>
      <c r="F531" s="72" t="n">
        <v>10</v>
      </c>
      <c r="G531" s="72" t="n">
        <v>3570</v>
      </c>
      <c r="H531" s="72" t="n">
        <v>1.2</v>
      </c>
      <c r="I531" s="72" t="n">
        <v>35271.6</v>
      </c>
      <c r="J531" s="70" t="inlineStr">
        <is>
          <t>Completed</t>
        </is>
      </c>
      <c r="K531" s="70" t="inlineStr">
        <is>
          <t>Mumbai</t>
        </is>
      </c>
    </row>
    <row r="532" ht="14.25" customHeight="1" s="56">
      <c r="A532" s="70" t="inlineStr">
        <is>
          <t>ORD-00531</t>
        </is>
      </c>
      <c r="B532" s="71" t="n">
        <v>45542</v>
      </c>
      <c r="C532" s="70" t="inlineStr">
        <is>
          <t>CUST-0298</t>
        </is>
      </c>
      <c r="D532" s="70" t="inlineStr">
        <is>
          <t>PROD-035</t>
        </is>
      </c>
      <c r="E532" s="70" t="inlineStr">
        <is>
          <t>R009</t>
        </is>
      </c>
      <c r="F532" s="72" t="n">
        <v>8</v>
      </c>
      <c r="G532" s="72" t="n">
        <v>1090</v>
      </c>
      <c r="H532" s="72" t="n">
        <v>13.2</v>
      </c>
      <c r="I532" s="72" t="n">
        <v>7568.96</v>
      </c>
      <c r="J532" s="70" t="inlineStr">
        <is>
          <t>Refunded</t>
        </is>
      </c>
      <c r="K532" s="70" t="inlineStr">
        <is>
          <t>Delhi</t>
        </is>
      </c>
    </row>
    <row r="533" ht="14.25" customHeight="1" s="56">
      <c r="A533" s="70" t="inlineStr">
        <is>
          <t>ORD-00532</t>
        </is>
      </c>
      <c r="B533" s="71" t="n">
        <v>45320</v>
      </c>
      <c r="C533" s="70" t="inlineStr">
        <is>
          <t>CUST-0165</t>
        </is>
      </c>
      <c r="D533" s="70" t="inlineStr">
        <is>
          <t>PROD-014</t>
        </is>
      </c>
      <c r="E533" s="70" t="inlineStr">
        <is>
          <t>R018</t>
        </is>
      </c>
      <c r="F533" s="72" t="n">
        <v>8</v>
      </c>
      <c r="G533" s="72" t="n">
        <v>3620</v>
      </c>
      <c r="H533" s="72" t="n">
        <v>29</v>
      </c>
      <c r="I533" s="72" t="n">
        <v>20561.6</v>
      </c>
      <c r="J533" s="70" t="inlineStr">
        <is>
          <t>Completed</t>
        </is>
      </c>
      <c r="K533" s="70" t="inlineStr">
        <is>
          <t>Pune</t>
        </is>
      </c>
    </row>
    <row r="534" ht="14.25" customHeight="1" s="56">
      <c r="A534" s="70" t="inlineStr">
        <is>
          <t>ORD-00533</t>
        </is>
      </c>
      <c r="B534" s="71" t="n">
        <v>45548</v>
      </c>
      <c r="C534" s="70" t="inlineStr">
        <is>
          <t>CUST-0033</t>
        </is>
      </c>
      <c r="D534" s="70" t="inlineStr">
        <is>
          <t>PROD-046</t>
        </is>
      </c>
      <c r="E534" s="70" t="inlineStr">
        <is>
          <t>R010</t>
        </is>
      </c>
      <c r="F534" s="72" t="n">
        <v>7</v>
      </c>
      <c r="G534" s="72" t="n">
        <v>4880</v>
      </c>
      <c r="H534" s="72" t="n">
        <v>25.6</v>
      </c>
      <c r="I534" s="72" t="n">
        <v>25415.04</v>
      </c>
      <c r="J534" s="70" t="inlineStr">
        <is>
          <t>Refunded</t>
        </is>
      </c>
      <c r="K534" s="70" t="inlineStr">
        <is>
          <t>Delhi</t>
        </is>
      </c>
    </row>
    <row r="535" ht="14.25" customHeight="1" s="56">
      <c r="A535" s="70" t="inlineStr">
        <is>
          <t>ORD-00534</t>
        </is>
      </c>
      <c r="B535" s="71" t="n">
        <v>45434</v>
      </c>
      <c r="C535" s="70" t="inlineStr">
        <is>
          <t>CUST-0205</t>
        </is>
      </c>
      <c r="D535" s="70" t="inlineStr">
        <is>
          <t>PROD-053</t>
        </is>
      </c>
      <c r="E535" s="70" t="inlineStr">
        <is>
          <t>R028</t>
        </is>
      </c>
      <c r="F535" s="72" t="n">
        <v>2</v>
      </c>
      <c r="G535" s="72" t="n">
        <v>470</v>
      </c>
      <c r="H535" s="72" t="n">
        <v>9.699999999999999</v>
      </c>
      <c r="I535" s="72" t="n">
        <v>848.8200000000001</v>
      </c>
      <c r="J535" s="70" t="inlineStr">
        <is>
          <t>Completed</t>
        </is>
      </c>
      <c r="K535" s="70" t="inlineStr">
        <is>
          <t>Pune</t>
        </is>
      </c>
    </row>
    <row r="536" ht="14.25" customHeight="1" s="56">
      <c r="A536" s="70" t="inlineStr">
        <is>
          <t>ORD-00535</t>
        </is>
      </c>
      <c r="B536" s="71" t="n">
        <v>45539</v>
      </c>
      <c r="C536" s="70" t="inlineStr">
        <is>
          <t>CUST-0037</t>
        </is>
      </c>
      <c r="D536" s="70" t="inlineStr">
        <is>
          <t>PROD-042</t>
        </is>
      </c>
      <c r="E536" s="70" t="inlineStr">
        <is>
          <t>R022</t>
        </is>
      </c>
      <c r="F536" s="72" t="n">
        <v>6</v>
      </c>
      <c r="G536" s="72" t="n">
        <v>2290</v>
      </c>
      <c r="H536" s="72" t="n">
        <v>8.9</v>
      </c>
      <c r="I536" s="72" t="n">
        <v>12517.14</v>
      </c>
      <c r="J536" s="70" t="inlineStr">
        <is>
          <t>Completed</t>
        </is>
      </c>
      <c r="K536" s="70" t="inlineStr">
        <is>
          <t>Bengaluru</t>
        </is>
      </c>
    </row>
    <row r="537" ht="14.25" customHeight="1" s="56">
      <c r="A537" s="70" t="inlineStr">
        <is>
          <t>ORD-00536</t>
        </is>
      </c>
      <c r="B537" s="71" t="n">
        <v>45468</v>
      </c>
      <c r="C537" s="70" t="inlineStr">
        <is>
          <t>CUST-0228</t>
        </is>
      </c>
      <c r="D537" s="70" t="inlineStr">
        <is>
          <t>PROD-023</t>
        </is>
      </c>
      <c r="E537" s="70" t="inlineStr">
        <is>
          <t>R010</t>
        </is>
      </c>
      <c r="F537" s="72" t="n">
        <v>3</v>
      </c>
      <c r="G537" s="72" t="n">
        <v>2380</v>
      </c>
      <c r="H537" s="72" t="n">
        <v>2.7</v>
      </c>
      <c r="I537" s="72" t="n">
        <v>6947.22</v>
      </c>
      <c r="J537" s="70" t="inlineStr">
        <is>
          <t>Pending</t>
        </is>
      </c>
      <c r="K537" s="70" t="inlineStr">
        <is>
          <t>Pune</t>
        </is>
      </c>
    </row>
    <row r="538" ht="14.25" customHeight="1" s="56">
      <c r="A538" s="70" t="inlineStr">
        <is>
          <t>ORD-00537</t>
        </is>
      </c>
      <c r="B538" s="71" t="n">
        <v>45485</v>
      </c>
      <c r="C538" s="70" t="inlineStr">
        <is>
          <t>CUST-0279</t>
        </is>
      </c>
      <c r="D538" s="70" t="inlineStr">
        <is>
          <t>PROD-023</t>
        </is>
      </c>
      <c r="E538" s="70" t="inlineStr">
        <is>
          <t>R008</t>
        </is>
      </c>
      <c r="F538" s="72" t="n">
        <v>9</v>
      </c>
      <c r="G538" s="72" t="n">
        <v>2380</v>
      </c>
      <c r="H538" s="72" t="n">
        <v>20.1</v>
      </c>
      <c r="I538" s="72" t="n">
        <v>17114.58</v>
      </c>
      <c r="J538" s="70" t="inlineStr">
        <is>
          <t>Completed</t>
        </is>
      </c>
      <c r="K538" s="70" t="inlineStr">
        <is>
          <t>Mumbai</t>
        </is>
      </c>
    </row>
    <row r="539" ht="14.25" customHeight="1" s="56">
      <c r="A539" s="70" t="inlineStr">
        <is>
          <t>ORD-00538</t>
        </is>
      </c>
      <c r="B539" s="71" t="n">
        <v>45303</v>
      </c>
      <c r="C539" s="70" t="inlineStr">
        <is>
          <t>CUST-0271</t>
        </is>
      </c>
      <c r="D539" s="70" t="inlineStr">
        <is>
          <t>PROD-052</t>
        </is>
      </c>
      <c r="E539" s="70" t="inlineStr">
        <is>
          <t>R014</t>
        </is>
      </c>
      <c r="F539" s="72" t="n">
        <v>8</v>
      </c>
      <c r="G539" s="72" t="n">
        <v>5410</v>
      </c>
      <c r="H539" s="72" t="n">
        <v>11.2</v>
      </c>
      <c r="I539" s="72" t="n">
        <v>38432.64</v>
      </c>
      <c r="J539" s="70" t="inlineStr">
        <is>
          <t>Completed</t>
        </is>
      </c>
      <c r="K539" s="70" t="inlineStr">
        <is>
          <t>Bengaluru</t>
        </is>
      </c>
    </row>
    <row r="540" ht="14.25" customHeight="1" s="56">
      <c r="A540" s="70" t="inlineStr">
        <is>
          <t>ORD-00539</t>
        </is>
      </c>
      <c r="B540" s="71" t="n">
        <v>45605</v>
      </c>
      <c r="C540" s="70" t="inlineStr">
        <is>
          <t>CUST-0127</t>
        </is>
      </c>
      <c r="D540" s="70" t="inlineStr">
        <is>
          <t>PROD-007</t>
        </is>
      </c>
      <c r="E540" s="70" t="inlineStr">
        <is>
          <t>R008</t>
        </is>
      </c>
      <c r="F540" s="72" t="n">
        <v>1</v>
      </c>
      <c r="G540" s="72" t="n">
        <v>1430</v>
      </c>
      <c r="H540" s="72" t="n">
        <v>19.6</v>
      </c>
      <c r="I540" s="72" t="n">
        <v>1149.72</v>
      </c>
      <c r="J540" s="70" t="inlineStr">
        <is>
          <t>Completed</t>
        </is>
      </c>
      <c r="K540" s="70" t="inlineStr">
        <is>
          <t>Bengaluru</t>
        </is>
      </c>
    </row>
    <row r="541" ht="14.25" customHeight="1" s="56">
      <c r="A541" s="70" t="inlineStr">
        <is>
          <t>ORD-00540</t>
        </is>
      </c>
      <c r="B541" s="71" t="n">
        <v>45421</v>
      </c>
      <c r="C541" s="70" t="inlineStr">
        <is>
          <t>CUST-0007</t>
        </is>
      </c>
      <c r="D541" s="70" t="inlineStr">
        <is>
          <t>PROD-058</t>
        </is>
      </c>
      <c r="E541" s="70" t="inlineStr">
        <is>
          <t>R027</t>
        </is>
      </c>
      <c r="F541" s="72" t="n">
        <v>9</v>
      </c>
      <c r="G541" s="72" t="n">
        <v>2400</v>
      </c>
      <c r="H541" s="72" t="n">
        <v>5</v>
      </c>
      <c r="I541" s="72" t="n">
        <v>20520</v>
      </c>
      <c r="J541" s="70" t="inlineStr">
        <is>
          <t>Completed</t>
        </is>
      </c>
      <c r="K541" s="70" t="inlineStr">
        <is>
          <t>Bengaluru</t>
        </is>
      </c>
    </row>
    <row r="542" ht="14.25" customHeight="1" s="56">
      <c r="A542" s="70" t="inlineStr">
        <is>
          <t>ORD-00541</t>
        </is>
      </c>
      <c r="B542" s="71" t="n">
        <v>45493</v>
      </c>
      <c r="C542" s="70" t="inlineStr">
        <is>
          <t>CUST-0005</t>
        </is>
      </c>
      <c r="D542" s="70" t="inlineStr">
        <is>
          <t>PROD-027</t>
        </is>
      </c>
      <c r="E542" s="70" t="inlineStr">
        <is>
          <t>R001</t>
        </is>
      </c>
      <c r="F542" s="72" t="n">
        <v>1</v>
      </c>
      <c r="G542" s="72" t="n">
        <v>3780</v>
      </c>
      <c r="H542" s="72" t="n">
        <v>4.7</v>
      </c>
      <c r="I542" s="72" t="n">
        <v>3602.34</v>
      </c>
      <c r="J542" s="70" t="inlineStr">
        <is>
          <t>Completed</t>
        </is>
      </c>
      <c r="K542" s="70" t="inlineStr">
        <is>
          <t>Chennai</t>
        </is>
      </c>
    </row>
    <row r="543" ht="14.25" customHeight="1" s="56">
      <c r="A543" s="70" t="inlineStr">
        <is>
          <t>ORD-00542</t>
        </is>
      </c>
      <c r="B543" s="71" t="n">
        <v>45592</v>
      </c>
      <c r="C543" s="70" t="inlineStr">
        <is>
          <t>CUST-0072</t>
        </is>
      </c>
      <c r="D543" s="70" t="inlineStr">
        <is>
          <t>PROD-016</t>
        </is>
      </c>
      <c r="E543" s="70" t="inlineStr">
        <is>
          <t>R019</t>
        </is>
      </c>
      <c r="F543" s="72" t="n">
        <v>2</v>
      </c>
      <c r="G543" s="72" t="n">
        <v>620</v>
      </c>
      <c r="H543" s="72" t="n">
        <v>8</v>
      </c>
      <c r="I543" s="72" t="n">
        <v>1140.8</v>
      </c>
      <c r="J543" s="70" t="inlineStr">
        <is>
          <t>Completed</t>
        </is>
      </c>
      <c r="K543" s="70" t="inlineStr">
        <is>
          <t>Mumbai</t>
        </is>
      </c>
    </row>
    <row r="544" ht="14.25" customHeight="1" s="56">
      <c r="A544" s="70" t="inlineStr">
        <is>
          <t>ORD-00543</t>
        </is>
      </c>
      <c r="B544" s="71" t="n">
        <v>45379</v>
      </c>
      <c r="C544" s="70" t="inlineStr">
        <is>
          <t>CUST-0167</t>
        </is>
      </c>
      <c r="D544" s="70" t="inlineStr">
        <is>
          <t>PROD-060</t>
        </is>
      </c>
      <c r="E544" s="70" t="inlineStr">
        <is>
          <t>R007</t>
        </is>
      </c>
      <c r="F544" s="72" t="n">
        <v>3</v>
      </c>
      <c r="G544" s="72" t="n">
        <v>190</v>
      </c>
      <c r="H544" s="72" t="n">
        <v>17.9</v>
      </c>
      <c r="I544" s="72" t="n">
        <v>467.97</v>
      </c>
      <c r="J544" s="70" t="inlineStr">
        <is>
          <t>Pending</t>
        </is>
      </c>
      <c r="K544" s="70" t="inlineStr">
        <is>
          <t>Delhi</t>
        </is>
      </c>
    </row>
    <row r="545" ht="14.25" customHeight="1" s="56">
      <c r="A545" s="70" t="inlineStr">
        <is>
          <t>ORD-00544</t>
        </is>
      </c>
      <c r="B545" s="71" t="n">
        <v>45332</v>
      </c>
      <c r="C545" s="70" t="inlineStr">
        <is>
          <t>CUST-0244</t>
        </is>
      </c>
      <c r="D545" s="70" t="inlineStr">
        <is>
          <t>PROD-014</t>
        </is>
      </c>
      <c r="E545" s="70" t="inlineStr">
        <is>
          <t>R019</t>
        </is>
      </c>
      <c r="F545" s="72" t="n">
        <v>2</v>
      </c>
      <c r="G545" s="72" t="n">
        <v>3620</v>
      </c>
      <c r="H545" s="72" t="n">
        <v>15.5</v>
      </c>
      <c r="I545" s="72" t="n">
        <v>6117.8</v>
      </c>
      <c r="J545" s="70" t="inlineStr">
        <is>
          <t>Completed</t>
        </is>
      </c>
      <c r="K545" s="70" t="inlineStr">
        <is>
          <t>Bengaluru</t>
        </is>
      </c>
    </row>
    <row r="546" ht="14.25" customHeight="1" s="56">
      <c r="A546" s="70" t="inlineStr">
        <is>
          <t>ORD-00545</t>
        </is>
      </c>
      <c r="B546" s="71" t="n">
        <v>45610</v>
      </c>
      <c r="C546" s="70" t="inlineStr">
        <is>
          <t>CUST-0086</t>
        </is>
      </c>
      <c r="D546" s="70" t="inlineStr">
        <is>
          <t>PROD-055</t>
        </is>
      </c>
      <c r="E546" s="70" t="inlineStr">
        <is>
          <t>R018</t>
        </is>
      </c>
      <c r="F546" s="72" t="n">
        <v>5</v>
      </c>
      <c r="G546" s="72" t="n">
        <v>2860</v>
      </c>
      <c r="H546" s="72" t="n">
        <v>26.8</v>
      </c>
      <c r="I546" s="72" t="n">
        <v>10467.6</v>
      </c>
      <c r="J546" s="70" t="inlineStr">
        <is>
          <t>Completed</t>
        </is>
      </c>
      <c r="K546" s="70" t="inlineStr">
        <is>
          <t>Hyderabad</t>
        </is>
      </c>
    </row>
    <row r="547" ht="14.25" customHeight="1" s="56">
      <c r="A547" s="70" t="inlineStr">
        <is>
          <t>ORD-00546</t>
        </is>
      </c>
      <c r="B547" s="71" t="n">
        <v>45638</v>
      </c>
      <c r="C547" s="70" t="inlineStr">
        <is>
          <t>CUST-0091</t>
        </is>
      </c>
      <c r="D547" s="70" t="inlineStr">
        <is>
          <t>PROD-058</t>
        </is>
      </c>
      <c r="E547" s="70" t="inlineStr">
        <is>
          <t>R023</t>
        </is>
      </c>
      <c r="F547" s="72" t="n">
        <v>6</v>
      </c>
      <c r="G547" s="72" t="n">
        <v>2400</v>
      </c>
      <c r="H547" s="72" t="n">
        <v>19.2</v>
      </c>
      <c r="I547" s="72" t="n">
        <v>11635.2</v>
      </c>
      <c r="J547" s="70" t="inlineStr">
        <is>
          <t>Cancelled</t>
        </is>
      </c>
      <c r="K547" s="70" t="inlineStr">
        <is>
          <t>Delhi</t>
        </is>
      </c>
    </row>
    <row r="548" ht="14.25" customHeight="1" s="56">
      <c r="A548" s="70" t="inlineStr">
        <is>
          <t>ORD-00547</t>
        </is>
      </c>
      <c r="B548" s="71" t="n">
        <v>45546</v>
      </c>
      <c r="C548" s="70" t="inlineStr">
        <is>
          <t>CUST-0169</t>
        </is>
      </c>
      <c r="D548" s="70" t="inlineStr">
        <is>
          <t>PROD-034</t>
        </is>
      </c>
      <c r="E548" s="70" t="inlineStr">
        <is>
          <t>R009</t>
        </is>
      </c>
      <c r="F548" s="72" t="n">
        <v>7</v>
      </c>
      <c r="G548" s="72" t="n">
        <v>5080</v>
      </c>
      <c r="H548" s="72" t="n">
        <v>16.6</v>
      </c>
      <c r="I548" s="72" t="n">
        <v>29657.04</v>
      </c>
      <c r="J548" s="70" t="inlineStr">
        <is>
          <t>Pending</t>
        </is>
      </c>
      <c r="K548" s="70" t="inlineStr">
        <is>
          <t>Bengaluru</t>
        </is>
      </c>
    </row>
    <row r="549" ht="14.25" customHeight="1" s="56">
      <c r="A549" s="70" t="inlineStr">
        <is>
          <t>ORD-00548</t>
        </is>
      </c>
      <c r="B549" s="71" t="n">
        <v>45436</v>
      </c>
      <c r="C549" s="70" t="inlineStr">
        <is>
          <t>CUST-0273</t>
        </is>
      </c>
      <c r="D549" s="70" t="inlineStr">
        <is>
          <t>PROD-034</t>
        </is>
      </c>
      <c r="E549" s="70" t="inlineStr">
        <is>
          <t>R015</t>
        </is>
      </c>
      <c r="F549" s="72" t="n">
        <v>10</v>
      </c>
      <c r="G549" s="72" t="n">
        <v>5080</v>
      </c>
      <c r="H549" s="72" t="n">
        <v>24.6</v>
      </c>
      <c r="I549" s="72" t="n">
        <v>38303.2</v>
      </c>
      <c r="J549" s="70" t="inlineStr">
        <is>
          <t>Completed</t>
        </is>
      </c>
      <c r="K549" s="70" t="inlineStr">
        <is>
          <t>Hyderabad</t>
        </is>
      </c>
    </row>
    <row r="550" ht="14.25" customHeight="1" s="56">
      <c r="A550" s="70" t="inlineStr">
        <is>
          <t>ORD-00549</t>
        </is>
      </c>
      <c r="B550" s="71" t="n">
        <v>45532</v>
      </c>
      <c r="C550" s="70" t="inlineStr">
        <is>
          <t>CUST-0233</t>
        </is>
      </c>
      <c r="D550" s="70" t="inlineStr">
        <is>
          <t>PROD-057</t>
        </is>
      </c>
      <c r="E550" s="70" t="inlineStr">
        <is>
          <t>R008</t>
        </is>
      </c>
      <c r="F550" s="72" t="n">
        <v>7</v>
      </c>
      <c r="G550" s="72" t="n">
        <v>960</v>
      </c>
      <c r="H550" s="72" t="n">
        <v>16.6</v>
      </c>
      <c r="I550" s="72" t="n">
        <v>5604.48</v>
      </c>
      <c r="J550" s="70" t="inlineStr">
        <is>
          <t>Completed</t>
        </is>
      </c>
      <c r="K550" s="70" t="inlineStr">
        <is>
          <t>Mumbai</t>
        </is>
      </c>
    </row>
    <row r="551" ht="14.25" customHeight="1" s="56">
      <c r="A551" s="70" t="inlineStr">
        <is>
          <t>ORD-00550</t>
        </is>
      </c>
      <c r="B551" s="71" t="n">
        <v>45568</v>
      </c>
      <c r="C551" s="70" t="inlineStr">
        <is>
          <t>CUST-0175</t>
        </is>
      </c>
      <c r="D551" s="70" t="inlineStr">
        <is>
          <t>PROD-028</t>
        </is>
      </c>
      <c r="E551" s="70" t="inlineStr">
        <is>
          <t>R028</t>
        </is>
      </c>
      <c r="F551" s="72" t="n">
        <v>3</v>
      </c>
      <c r="G551" s="72" t="n">
        <v>3660</v>
      </c>
      <c r="H551" s="72" t="n">
        <v>3.2</v>
      </c>
      <c r="I551" s="72" t="n">
        <v>10628.64</v>
      </c>
      <c r="J551" s="70" t="inlineStr">
        <is>
          <t>Pending</t>
        </is>
      </c>
      <c r="K551" s="70" t="inlineStr">
        <is>
          <t>Delhi</t>
        </is>
      </c>
    </row>
    <row r="552" ht="14.25" customHeight="1" s="56">
      <c r="A552" s="70" t="inlineStr">
        <is>
          <t>ORD-00551</t>
        </is>
      </c>
      <c r="B552" s="71" t="n">
        <v>45572</v>
      </c>
      <c r="C552" s="70" t="inlineStr">
        <is>
          <t>CUST-0241</t>
        </is>
      </c>
      <c r="D552" s="70" t="inlineStr">
        <is>
          <t>PROD-010</t>
        </is>
      </c>
      <c r="E552" s="70" t="inlineStr">
        <is>
          <t>R009</t>
        </is>
      </c>
      <c r="F552" s="72" t="n">
        <v>6</v>
      </c>
      <c r="G552" s="72" t="n">
        <v>2640</v>
      </c>
      <c r="H552" s="72" t="n">
        <v>26.3</v>
      </c>
      <c r="I552" s="72" t="n">
        <v>11674.08</v>
      </c>
      <c r="J552" s="70" t="inlineStr">
        <is>
          <t>Completed</t>
        </is>
      </c>
      <c r="K552" s="70" t="inlineStr">
        <is>
          <t>Pune</t>
        </is>
      </c>
    </row>
    <row r="553" ht="14.25" customHeight="1" s="56">
      <c r="A553" s="70" t="inlineStr">
        <is>
          <t>ORD-00552</t>
        </is>
      </c>
      <c r="B553" s="71" t="n">
        <v>45562</v>
      </c>
      <c r="C553" s="70" t="inlineStr">
        <is>
          <t>CUST-0024</t>
        </is>
      </c>
      <c r="D553" s="70" t="inlineStr">
        <is>
          <t>PROD-009</t>
        </is>
      </c>
      <c r="E553" s="70" t="inlineStr">
        <is>
          <t>R009</t>
        </is>
      </c>
      <c r="F553" s="72" t="n">
        <v>6</v>
      </c>
      <c r="G553" s="72" t="n">
        <v>1220</v>
      </c>
      <c r="H553" s="72" t="n">
        <v>22.3</v>
      </c>
      <c r="I553" s="72" t="n">
        <v>5687.64</v>
      </c>
      <c r="J553" s="70" t="inlineStr">
        <is>
          <t>Cancelled</t>
        </is>
      </c>
      <c r="K553" s="70" t="inlineStr">
        <is>
          <t>Chennai</t>
        </is>
      </c>
    </row>
    <row r="554" ht="14.25" customHeight="1" s="56">
      <c r="A554" s="70" t="inlineStr">
        <is>
          <t>ORD-00553</t>
        </is>
      </c>
      <c r="B554" s="71" t="n">
        <v>45345</v>
      </c>
      <c r="C554" s="70" t="inlineStr">
        <is>
          <t>CUST-0252</t>
        </is>
      </c>
      <c r="D554" s="70" t="inlineStr">
        <is>
          <t>PROD-005</t>
        </is>
      </c>
      <c r="E554" s="70" t="inlineStr">
        <is>
          <t>R013</t>
        </is>
      </c>
      <c r="F554" s="72" t="n">
        <v>1</v>
      </c>
      <c r="G554" s="72" t="n">
        <v>300</v>
      </c>
      <c r="H554" s="72" t="n">
        <v>0.7</v>
      </c>
      <c r="I554" s="72" t="n">
        <v>297.9</v>
      </c>
      <c r="J554" s="70" t="inlineStr">
        <is>
          <t>Completed</t>
        </is>
      </c>
      <c r="K554" s="70" t="inlineStr">
        <is>
          <t>Bengaluru</t>
        </is>
      </c>
    </row>
    <row r="555" ht="14.25" customHeight="1" s="56">
      <c r="A555" s="70" t="inlineStr">
        <is>
          <t>ORD-00554</t>
        </is>
      </c>
      <c r="B555" s="71" t="n">
        <v>45370</v>
      </c>
      <c r="C555" s="70" t="inlineStr">
        <is>
          <t>CUST-0245</t>
        </is>
      </c>
      <c r="D555" s="70" t="inlineStr">
        <is>
          <t>PROD-054</t>
        </is>
      </c>
      <c r="E555" s="70" t="inlineStr">
        <is>
          <t>R020</t>
        </is>
      </c>
      <c r="F555" s="72" t="n">
        <v>2</v>
      </c>
      <c r="G555" s="72" t="n">
        <v>1010</v>
      </c>
      <c r="H555" s="72" t="n">
        <v>28</v>
      </c>
      <c r="I555" s="72" t="n">
        <v>1454.4</v>
      </c>
      <c r="J555" s="70" t="inlineStr">
        <is>
          <t>Completed</t>
        </is>
      </c>
      <c r="K555" s="70" t="inlineStr">
        <is>
          <t>Hyderabad</t>
        </is>
      </c>
    </row>
    <row r="556" ht="14.25" customHeight="1" s="56">
      <c r="A556" s="70" t="inlineStr">
        <is>
          <t>ORD-00555</t>
        </is>
      </c>
      <c r="B556" s="71" t="n">
        <v>45407</v>
      </c>
      <c r="C556" s="70" t="inlineStr">
        <is>
          <t>CUST-0046</t>
        </is>
      </c>
      <c r="D556" s="70" t="inlineStr">
        <is>
          <t>PROD-002</t>
        </is>
      </c>
      <c r="E556" s="70" t="inlineStr">
        <is>
          <t>R011</t>
        </is>
      </c>
      <c r="F556" s="72" t="n">
        <v>5</v>
      </c>
      <c r="G556" s="72" t="n">
        <v>2600</v>
      </c>
      <c r="H556" s="72" t="n">
        <v>0.8</v>
      </c>
      <c r="I556" s="72" t="n">
        <v>12896</v>
      </c>
      <c r="J556" s="70" t="inlineStr">
        <is>
          <t>Cancelled</t>
        </is>
      </c>
      <c r="K556" s="70" t="inlineStr">
        <is>
          <t>Delhi</t>
        </is>
      </c>
    </row>
    <row r="557" ht="14.25" customHeight="1" s="56">
      <c r="A557" s="70" t="inlineStr">
        <is>
          <t>ORD-00556</t>
        </is>
      </c>
      <c r="B557" s="71" t="n">
        <v>45337</v>
      </c>
      <c r="C557" s="70" t="inlineStr">
        <is>
          <t>CUST-0050</t>
        </is>
      </c>
      <c r="D557" s="70" t="inlineStr">
        <is>
          <t>PROD-056</t>
        </is>
      </c>
      <c r="E557" s="70" t="inlineStr">
        <is>
          <t>R026</t>
        </is>
      </c>
      <c r="F557" s="72" t="n">
        <v>3</v>
      </c>
      <c r="G557" s="72" t="n">
        <v>6940</v>
      </c>
      <c r="H557" s="72" t="n">
        <v>10.7</v>
      </c>
      <c r="I557" s="72" t="n">
        <v>18592.26</v>
      </c>
      <c r="J557" s="70" t="inlineStr">
        <is>
          <t>Cancelled</t>
        </is>
      </c>
      <c r="K557" s="70" t="inlineStr">
        <is>
          <t>Mumbai</t>
        </is>
      </c>
    </row>
    <row r="558" ht="14.25" customHeight="1" s="56">
      <c r="A558" s="70" t="inlineStr">
        <is>
          <t>ORD-00557</t>
        </is>
      </c>
      <c r="B558" s="71" t="n">
        <v>45571</v>
      </c>
      <c r="C558" s="70" t="inlineStr">
        <is>
          <t>CUST-0227</t>
        </is>
      </c>
      <c r="D558" s="70" t="inlineStr">
        <is>
          <t>PROD-032</t>
        </is>
      </c>
      <c r="E558" s="70" t="inlineStr">
        <is>
          <t>R011</t>
        </is>
      </c>
      <c r="F558" s="72" t="n">
        <v>1</v>
      </c>
      <c r="G558" s="72" t="n">
        <v>370</v>
      </c>
      <c r="H558" s="72" t="n">
        <v>10.3</v>
      </c>
      <c r="I558" s="72" t="n">
        <v>331.89</v>
      </c>
      <c r="J558" s="70" t="inlineStr">
        <is>
          <t>Refunded</t>
        </is>
      </c>
      <c r="K558" s="70" t="inlineStr">
        <is>
          <t>Bengaluru</t>
        </is>
      </c>
    </row>
    <row r="559" ht="14.25" customHeight="1" s="56">
      <c r="A559" s="70" t="inlineStr">
        <is>
          <t>ORD-00558</t>
        </is>
      </c>
      <c r="B559" s="71" t="n">
        <v>45357</v>
      </c>
      <c r="C559" s="70" t="inlineStr">
        <is>
          <t>CUST-0218</t>
        </is>
      </c>
      <c r="D559" s="70" t="inlineStr">
        <is>
          <t>PROD-027</t>
        </is>
      </c>
      <c r="E559" s="70" t="inlineStr">
        <is>
          <t>R029</t>
        </is>
      </c>
      <c r="F559" s="72" t="n">
        <v>2</v>
      </c>
      <c r="G559" s="72" t="n">
        <v>3780</v>
      </c>
      <c r="H559" s="72" t="n">
        <v>29.4</v>
      </c>
      <c r="I559" s="72" t="n">
        <v>5337.36</v>
      </c>
      <c r="J559" s="70" t="inlineStr">
        <is>
          <t>Completed</t>
        </is>
      </c>
      <c r="K559" s="70" t="inlineStr">
        <is>
          <t>Mumbai</t>
        </is>
      </c>
    </row>
    <row r="560" ht="14.25" customHeight="1" s="56">
      <c r="A560" s="70" t="inlineStr">
        <is>
          <t>ORD-00559</t>
        </is>
      </c>
      <c r="B560" s="71" t="n">
        <v>45432</v>
      </c>
      <c r="C560" s="70" t="inlineStr">
        <is>
          <t>CUST-0087</t>
        </is>
      </c>
      <c r="D560" s="70" t="inlineStr">
        <is>
          <t>PROD-030</t>
        </is>
      </c>
      <c r="E560" s="70" t="inlineStr">
        <is>
          <t>R022</t>
        </is>
      </c>
      <c r="F560" s="72" t="n">
        <v>5</v>
      </c>
      <c r="G560" s="72" t="n">
        <v>970</v>
      </c>
      <c r="H560" s="72" t="n">
        <v>14.6</v>
      </c>
      <c r="I560" s="72" t="n">
        <v>4141.9</v>
      </c>
      <c r="J560" s="70" t="inlineStr">
        <is>
          <t>Completed</t>
        </is>
      </c>
      <c r="K560" s="70" t="inlineStr">
        <is>
          <t>Pune</t>
        </is>
      </c>
    </row>
    <row r="561" ht="14.25" customHeight="1" s="56">
      <c r="A561" s="70" t="inlineStr">
        <is>
          <t>ORD-00560</t>
        </is>
      </c>
      <c r="B561" s="71" t="n">
        <v>45604</v>
      </c>
      <c r="C561" s="70" t="inlineStr">
        <is>
          <t>CUST-0209</t>
        </is>
      </c>
      <c r="D561" s="70" t="inlineStr">
        <is>
          <t>PROD-022</t>
        </is>
      </c>
      <c r="E561" s="70" t="inlineStr">
        <is>
          <t>R002</t>
        </is>
      </c>
      <c r="F561" s="72" t="n">
        <v>3</v>
      </c>
      <c r="G561" s="72" t="n">
        <v>2270</v>
      </c>
      <c r="H561" s="72" t="n">
        <v>6.5</v>
      </c>
      <c r="I561" s="72" t="n">
        <v>6367.35</v>
      </c>
      <c r="J561" s="70" t="inlineStr">
        <is>
          <t>Completed</t>
        </is>
      </c>
      <c r="K561" s="70" t="inlineStr">
        <is>
          <t>Pune</t>
        </is>
      </c>
    </row>
    <row r="562" ht="14.25" customHeight="1" s="56">
      <c r="A562" s="70" t="inlineStr">
        <is>
          <t>ORD-00561</t>
        </is>
      </c>
      <c r="B562" s="71" t="n">
        <v>45467</v>
      </c>
      <c r="C562" s="70" t="inlineStr">
        <is>
          <t>CUST-0212</t>
        </is>
      </c>
      <c r="D562" s="70" t="inlineStr">
        <is>
          <t>PROD-041</t>
        </is>
      </c>
      <c r="E562" s="70" t="inlineStr">
        <is>
          <t>R029</t>
        </is>
      </c>
      <c r="F562" s="72" t="n">
        <v>10</v>
      </c>
      <c r="G562" s="72" t="n">
        <v>1540</v>
      </c>
      <c r="H562" s="72" t="n">
        <v>16.5</v>
      </c>
      <c r="I562" s="72" t="n">
        <v>12859</v>
      </c>
      <c r="J562" s="70" t="inlineStr">
        <is>
          <t>Completed</t>
        </is>
      </c>
      <c r="K562" s="70" t="inlineStr">
        <is>
          <t>Chennai</t>
        </is>
      </c>
    </row>
    <row r="563" ht="14.25" customHeight="1" s="56">
      <c r="A563" s="70" t="inlineStr">
        <is>
          <t>ORD-00562</t>
        </is>
      </c>
      <c r="B563" s="71" t="n">
        <v>45649</v>
      </c>
      <c r="C563" s="70" t="inlineStr">
        <is>
          <t>CUST-0180</t>
        </is>
      </c>
      <c r="D563" s="70" t="inlineStr">
        <is>
          <t>PROD-021</t>
        </is>
      </c>
      <c r="E563" s="70" t="inlineStr">
        <is>
          <t>R017</t>
        </is>
      </c>
      <c r="F563" s="72" t="n">
        <v>4</v>
      </c>
      <c r="G563" s="72" t="n">
        <v>2760</v>
      </c>
      <c r="H563" s="72" t="n">
        <v>19.8</v>
      </c>
      <c r="I563" s="72" t="n">
        <v>8854.08</v>
      </c>
      <c r="J563" s="70" t="inlineStr">
        <is>
          <t>Completed</t>
        </is>
      </c>
      <c r="K563" s="70" t="inlineStr">
        <is>
          <t>Chennai</t>
        </is>
      </c>
    </row>
    <row r="564" ht="14.25" customHeight="1" s="56">
      <c r="A564" s="70" t="inlineStr">
        <is>
          <t>ORD-00563</t>
        </is>
      </c>
      <c r="B564" s="71" t="n">
        <v>45332</v>
      </c>
      <c r="C564" s="70" t="inlineStr">
        <is>
          <t>CUST-0025</t>
        </is>
      </c>
      <c r="D564" s="70" t="inlineStr">
        <is>
          <t>PROD-024</t>
        </is>
      </c>
      <c r="E564" s="70" t="inlineStr">
        <is>
          <t>R030</t>
        </is>
      </c>
      <c r="F564" s="72" t="n">
        <v>3</v>
      </c>
      <c r="G564" s="72" t="n">
        <v>2270</v>
      </c>
      <c r="H564" s="72" t="n">
        <v>29.5</v>
      </c>
      <c r="I564" s="72" t="n">
        <v>4801.05</v>
      </c>
      <c r="J564" s="70" t="inlineStr">
        <is>
          <t>Refunded</t>
        </is>
      </c>
      <c r="K564" s="70" t="inlineStr">
        <is>
          <t>Bengaluru</t>
        </is>
      </c>
    </row>
    <row r="565" ht="14.25" customHeight="1" s="56">
      <c r="A565" s="70" t="inlineStr">
        <is>
          <t>ORD-00564</t>
        </is>
      </c>
      <c r="B565" s="71" t="n">
        <v>45418</v>
      </c>
      <c r="C565" s="70" t="inlineStr">
        <is>
          <t>CUST-0271</t>
        </is>
      </c>
      <c r="D565" s="70" t="inlineStr">
        <is>
          <t>PROD-045</t>
        </is>
      </c>
      <c r="E565" s="70" t="inlineStr">
        <is>
          <t>R015</t>
        </is>
      </c>
      <c r="F565" s="72" t="n">
        <v>8</v>
      </c>
      <c r="G565" s="72" t="n">
        <v>3020</v>
      </c>
      <c r="H565" s="72" t="n">
        <v>1.2</v>
      </c>
      <c r="I565" s="72" t="n">
        <v>23870.08</v>
      </c>
      <c r="J565" s="70" t="inlineStr">
        <is>
          <t>Completed</t>
        </is>
      </c>
      <c r="K565" s="70" t="inlineStr">
        <is>
          <t>Bengaluru</t>
        </is>
      </c>
    </row>
    <row r="566" ht="14.25" customHeight="1" s="56">
      <c r="A566" s="70" t="inlineStr">
        <is>
          <t>ORD-00565</t>
        </is>
      </c>
      <c r="B566" s="71" t="n">
        <v>45490</v>
      </c>
      <c r="C566" s="70" t="inlineStr">
        <is>
          <t>CUST-0026</t>
        </is>
      </c>
      <c r="D566" s="70" t="inlineStr">
        <is>
          <t>PROD-023</t>
        </is>
      </c>
      <c r="E566" s="70" t="inlineStr">
        <is>
          <t>R018</t>
        </is>
      </c>
      <c r="F566" s="72" t="n">
        <v>6</v>
      </c>
      <c r="G566" s="72" t="n">
        <v>2380</v>
      </c>
      <c r="H566" s="72" t="n">
        <v>20.4</v>
      </c>
      <c r="I566" s="72" t="n">
        <v>11366.88</v>
      </c>
      <c r="J566" s="70" t="inlineStr">
        <is>
          <t>Completed</t>
        </is>
      </c>
      <c r="K566" s="70" t="inlineStr">
        <is>
          <t>Pune</t>
        </is>
      </c>
    </row>
    <row r="567" ht="14.25" customHeight="1" s="56">
      <c r="A567" s="70" t="inlineStr">
        <is>
          <t>ORD-00566</t>
        </is>
      </c>
      <c r="B567" s="71" t="n">
        <v>45470</v>
      </c>
      <c r="C567" s="70" t="inlineStr">
        <is>
          <t>CUST-0058</t>
        </is>
      </c>
      <c r="D567" s="70" t="inlineStr">
        <is>
          <t>PROD-056</t>
        </is>
      </c>
      <c r="E567" s="70" t="inlineStr">
        <is>
          <t>R028</t>
        </is>
      </c>
      <c r="F567" s="72" t="n">
        <v>1</v>
      </c>
      <c r="G567" s="72" t="n">
        <v>6940</v>
      </c>
      <c r="H567" s="72" t="n">
        <v>15</v>
      </c>
      <c r="I567" s="72" t="n">
        <v>5899</v>
      </c>
      <c r="J567" s="70" t="inlineStr">
        <is>
          <t>Cancelled</t>
        </is>
      </c>
      <c r="K567" s="70" t="inlineStr">
        <is>
          <t>Bengaluru</t>
        </is>
      </c>
    </row>
    <row r="568" ht="14.25" customHeight="1" s="56">
      <c r="A568" s="70" t="inlineStr">
        <is>
          <t>ORD-00567</t>
        </is>
      </c>
      <c r="B568" s="71" t="n">
        <v>45654</v>
      </c>
      <c r="C568" s="70" t="inlineStr">
        <is>
          <t>CUST-0033</t>
        </is>
      </c>
      <c r="D568" s="70" t="inlineStr">
        <is>
          <t>PROD-008</t>
        </is>
      </c>
      <c r="E568" s="70" t="inlineStr">
        <is>
          <t>R010</t>
        </is>
      </c>
      <c r="F568" s="72" t="n">
        <v>1</v>
      </c>
      <c r="G568" s="72" t="n">
        <v>2660</v>
      </c>
      <c r="H568" s="72" t="n">
        <v>11.6</v>
      </c>
      <c r="I568" s="72" t="n">
        <v>2351.44</v>
      </c>
      <c r="J568" s="70" t="inlineStr">
        <is>
          <t>Completed</t>
        </is>
      </c>
      <c r="K568" s="70" t="inlineStr">
        <is>
          <t>Delhi</t>
        </is>
      </c>
    </row>
    <row r="569" ht="14.25" customHeight="1" s="56">
      <c r="A569" s="70" t="inlineStr">
        <is>
          <t>ORD-00568</t>
        </is>
      </c>
      <c r="B569" s="71" t="n">
        <v>45548</v>
      </c>
      <c r="C569" s="70" t="inlineStr">
        <is>
          <t>CUST-0057</t>
        </is>
      </c>
      <c r="D569" s="70" t="inlineStr">
        <is>
          <t>PROD-030</t>
        </is>
      </c>
      <c r="E569" s="70" t="inlineStr">
        <is>
          <t>R013</t>
        </is>
      </c>
      <c r="F569" s="72" t="n">
        <v>4</v>
      </c>
      <c r="G569" s="72" t="n">
        <v>970</v>
      </c>
      <c r="H569" s="72" t="n">
        <v>11.6</v>
      </c>
      <c r="I569" s="72" t="n">
        <v>3429.92</v>
      </c>
      <c r="J569" s="70" t="inlineStr">
        <is>
          <t>Completed</t>
        </is>
      </c>
      <c r="K569" s="70" t="inlineStr">
        <is>
          <t>Pune</t>
        </is>
      </c>
    </row>
    <row r="570" ht="14.25" customHeight="1" s="56">
      <c r="A570" s="70" t="inlineStr">
        <is>
          <t>ORD-00569</t>
        </is>
      </c>
      <c r="B570" s="71" t="n">
        <v>45632</v>
      </c>
      <c r="C570" s="70" t="inlineStr">
        <is>
          <t>CUST-0231</t>
        </is>
      </c>
      <c r="D570" s="70" t="inlineStr">
        <is>
          <t>PROD-022</t>
        </is>
      </c>
      <c r="E570" s="70" t="inlineStr">
        <is>
          <t>R002</t>
        </is>
      </c>
      <c r="F570" s="72" t="n">
        <v>7</v>
      </c>
      <c r="G570" s="72" t="n">
        <v>2270</v>
      </c>
      <c r="H570" s="72" t="n">
        <v>27.9</v>
      </c>
      <c r="I570" s="72" t="n">
        <v>11456.69</v>
      </c>
      <c r="J570" s="70" t="inlineStr">
        <is>
          <t>Completed</t>
        </is>
      </c>
      <c r="K570" s="70" t="inlineStr">
        <is>
          <t>Chennai</t>
        </is>
      </c>
    </row>
    <row r="571" ht="14.25" customHeight="1" s="56">
      <c r="A571" s="70" t="inlineStr">
        <is>
          <t>ORD-00570</t>
        </is>
      </c>
      <c r="B571" s="71" t="n">
        <v>45304</v>
      </c>
      <c r="C571" s="70" t="inlineStr">
        <is>
          <t>CUST-0031</t>
        </is>
      </c>
      <c r="D571" s="70" t="inlineStr">
        <is>
          <t>PROD-054</t>
        </is>
      </c>
      <c r="E571" s="70" t="inlineStr">
        <is>
          <t>R016</t>
        </is>
      </c>
      <c r="F571" s="72" t="n">
        <v>8</v>
      </c>
      <c r="G571" s="72" t="n">
        <v>1010</v>
      </c>
      <c r="H571" s="72" t="n">
        <v>13.7</v>
      </c>
      <c r="I571" s="72" t="n">
        <v>6973.04</v>
      </c>
      <c r="J571" s="70" t="inlineStr">
        <is>
          <t>Cancelled</t>
        </is>
      </c>
      <c r="K571" s="70" t="inlineStr">
        <is>
          <t>Hyderabad</t>
        </is>
      </c>
    </row>
    <row r="572" ht="14.25" customHeight="1" s="56">
      <c r="A572" s="70" t="inlineStr">
        <is>
          <t>ORD-00571</t>
        </is>
      </c>
      <c r="B572" s="71" t="n">
        <v>45330</v>
      </c>
      <c r="C572" s="70" t="inlineStr">
        <is>
          <t>CUST-0228</t>
        </is>
      </c>
      <c r="D572" s="70" t="inlineStr">
        <is>
          <t>PROD-023</t>
        </is>
      </c>
      <c r="E572" s="70" t="inlineStr">
        <is>
          <t>R001</t>
        </is>
      </c>
      <c r="F572" s="72" t="n">
        <v>8</v>
      </c>
      <c r="G572" s="72" t="n">
        <v>2380</v>
      </c>
      <c r="H572" s="72" t="n">
        <v>15.3</v>
      </c>
      <c r="I572" s="72" t="n">
        <v>16126.88</v>
      </c>
      <c r="J572" s="70" t="inlineStr">
        <is>
          <t>Cancelled</t>
        </is>
      </c>
      <c r="K572" s="70" t="inlineStr">
        <is>
          <t>Pune</t>
        </is>
      </c>
    </row>
    <row r="573" ht="14.25" customHeight="1" s="56">
      <c r="A573" s="70" t="inlineStr">
        <is>
          <t>ORD-00572</t>
        </is>
      </c>
      <c r="B573" s="71" t="n">
        <v>45633</v>
      </c>
      <c r="C573" s="70" t="inlineStr">
        <is>
          <t>CUST-0127</t>
        </is>
      </c>
      <c r="D573" s="70" t="inlineStr">
        <is>
          <t>PROD-053</t>
        </is>
      </c>
      <c r="E573" s="70" t="inlineStr">
        <is>
          <t>R018</t>
        </is>
      </c>
      <c r="F573" s="72" t="n">
        <v>10</v>
      </c>
      <c r="G573" s="72" t="n">
        <v>470</v>
      </c>
      <c r="H573" s="72" t="n">
        <v>2.1</v>
      </c>
      <c r="I573" s="72" t="n">
        <v>4601.3</v>
      </c>
      <c r="J573" s="70" t="inlineStr">
        <is>
          <t>Completed</t>
        </is>
      </c>
      <c r="K573" s="70" t="inlineStr">
        <is>
          <t>Bengaluru</t>
        </is>
      </c>
    </row>
    <row r="574" ht="14.25" customHeight="1" s="56">
      <c r="A574" s="70" t="inlineStr">
        <is>
          <t>ORD-00573</t>
        </is>
      </c>
      <c r="B574" s="71" t="n">
        <v>45480</v>
      </c>
      <c r="C574" s="70" t="inlineStr">
        <is>
          <t>CUST-0117</t>
        </is>
      </c>
      <c r="D574" s="70" t="inlineStr">
        <is>
          <t>PROD-048</t>
        </is>
      </c>
      <c r="E574" s="70" t="inlineStr">
        <is>
          <t>R025</t>
        </is>
      </c>
      <c r="F574" s="72" t="n">
        <v>5</v>
      </c>
      <c r="G574" s="72" t="n">
        <v>5100</v>
      </c>
      <c r="H574" s="72" t="n">
        <v>9.699999999999999</v>
      </c>
      <c r="I574" s="72" t="n">
        <v>23026.5</v>
      </c>
      <c r="J574" s="70" t="inlineStr">
        <is>
          <t>Completed</t>
        </is>
      </c>
      <c r="K574" s="70" t="inlineStr">
        <is>
          <t>Delhi</t>
        </is>
      </c>
    </row>
    <row r="575" ht="14.25" customHeight="1" s="56">
      <c r="A575" s="70" t="inlineStr">
        <is>
          <t>ORD-00574</t>
        </is>
      </c>
      <c r="B575" s="71" t="n">
        <v>45402</v>
      </c>
      <c r="C575" s="70" t="inlineStr">
        <is>
          <t>CUST-0159</t>
        </is>
      </c>
      <c r="D575" s="70" t="inlineStr">
        <is>
          <t>PROD-049</t>
        </is>
      </c>
      <c r="E575" s="70" t="inlineStr">
        <is>
          <t>R026</t>
        </is>
      </c>
      <c r="F575" s="72" t="n">
        <v>9</v>
      </c>
      <c r="G575" s="72" t="n">
        <v>960</v>
      </c>
      <c r="H575" s="72" t="n">
        <v>17.7</v>
      </c>
      <c r="I575" s="72" t="n">
        <v>7110.72</v>
      </c>
      <c r="J575" s="70" t="inlineStr">
        <is>
          <t>Completed</t>
        </is>
      </c>
      <c r="K575" s="70" t="inlineStr">
        <is>
          <t>Hyderabad</t>
        </is>
      </c>
    </row>
    <row r="576" ht="14.25" customHeight="1" s="56">
      <c r="A576" s="70" t="inlineStr">
        <is>
          <t>ORD-00575</t>
        </is>
      </c>
      <c r="B576" s="71" t="n">
        <v>45478</v>
      </c>
      <c r="C576" s="70" t="inlineStr">
        <is>
          <t>CUST-0064</t>
        </is>
      </c>
      <c r="D576" s="70" t="inlineStr">
        <is>
          <t>PROD-026</t>
        </is>
      </c>
      <c r="E576" s="70" t="inlineStr">
        <is>
          <t>R007</t>
        </is>
      </c>
      <c r="F576" s="72" t="n">
        <v>2</v>
      </c>
      <c r="G576" s="72" t="n">
        <v>4070</v>
      </c>
      <c r="H576" s="72" t="n">
        <v>2.1</v>
      </c>
      <c r="I576" s="72" t="n">
        <v>7969.06</v>
      </c>
      <c r="J576" s="70" t="inlineStr">
        <is>
          <t>Completed</t>
        </is>
      </c>
      <c r="K576" s="70" t="inlineStr">
        <is>
          <t>Hyderabad</t>
        </is>
      </c>
    </row>
    <row r="577" ht="14.25" customHeight="1" s="56">
      <c r="A577" s="70" t="inlineStr">
        <is>
          <t>ORD-00576</t>
        </is>
      </c>
      <c r="B577" s="71" t="n">
        <v>45358</v>
      </c>
      <c r="C577" s="70" t="inlineStr">
        <is>
          <t>CUST-0272</t>
        </is>
      </c>
      <c r="D577" s="70" t="inlineStr">
        <is>
          <t>PROD-031</t>
        </is>
      </c>
      <c r="E577" s="70" t="inlineStr">
        <is>
          <t>R021</t>
        </is>
      </c>
      <c r="F577" s="72" t="n">
        <v>5</v>
      </c>
      <c r="G577" s="72" t="n">
        <v>3730</v>
      </c>
      <c r="H577" s="72" t="n">
        <v>16.5</v>
      </c>
      <c r="I577" s="72" t="n">
        <v>15572.75</v>
      </c>
      <c r="J577" s="70" t="inlineStr">
        <is>
          <t>Completed</t>
        </is>
      </c>
      <c r="K577" s="70" t="inlineStr">
        <is>
          <t>Mumbai</t>
        </is>
      </c>
    </row>
    <row r="578" ht="14.25" customHeight="1" s="56">
      <c r="A578" s="70" t="inlineStr">
        <is>
          <t>ORD-00577</t>
        </is>
      </c>
      <c r="B578" s="71" t="n">
        <v>45589</v>
      </c>
      <c r="C578" s="70" t="inlineStr">
        <is>
          <t>CUST-0071</t>
        </is>
      </c>
      <c r="D578" s="70" t="inlineStr">
        <is>
          <t>PROD-055</t>
        </is>
      </c>
      <c r="E578" s="70" t="inlineStr">
        <is>
          <t>R022</t>
        </is>
      </c>
      <c r="F578" s="72" t="n">
        <v>1</v>
      </c>
      <c r="G578" s="72" t="n">
        <v>2860</v>
      </c>
      <c r="H578" s="72" t="n">
        <v>10.4</v>
      </c>
      <c r="I578" s="72" t="n">
        <v>2562.56</v>
      </c>
      <c r="J578" s="70" t="inlineStr">
        <is>
          <t>Cancelled</t>
        </is>
      </c>
      <c r="K578" s="70" t="inlineStr">
        <is>
          <t>Delhi</t>
        </is>
      </c>
    </row>
    <row r="579" ht="14.25" customHeight="1" s="56">
      <c r="A579" s="70" t="inlineStr">
        <is>
          <t>ORD-00578</t>
        </is>
      </c>
      <c r="B579" s="71" t="n">
        <v>45507</v>
      </c>
      <c r="C579" s="70" t="inlineStr">
        <is>
          <t>CUST-0045</t>
        </is>
      </c>
      <c r="D579" s="70" t="inlineStr">
        <is>
          <t>PROD-046</t>
        </is>
      </c>
      <c r="E579" s="70" t="inlineStr">
        <is>
          <t>R018</t>
        </is>
      </c>
      <c r="F579" s="72" t="n">
        <v>4</v>
      </c>
      <c r="G579" s="72" t="n">
        <v>4880</v>
      </c>
      <c r="H579" s="72" t="n">
        <v>27.5</v>
      </c>
      <c r="I579" s="72" t="n">
        <v>14152</v>
      </c>
      <c r="J579" s="70" t="inlineStr">
        <is>
          <t>Pending</t>
        </is>
      </c>
      <c r="K579" s="70" t="inlineStr">
        <is>
          <t>Chennai</t>
        </is>
      </c>
    </row>
    <row r="580" ht="14.25" customHeight="1" s="56">
      <c r="A580" s="70" t="inlineStr">
        <is>
          <t>ORD-00579</t>
        </is>
      </c>
      <c r="B580" s="71" t="n">
        <v>45470</v>
      </c>
      <c r="C580" s="70" t="inlineStr">
        <is>
          <t>CUST-0148</t>
        </is>
      </c>
      <c r="D580" s="70" t="inlineStr">
        <is>
          <t>PROD-022</t>
        </is>
      </c>
      <c r="E580" s="70" t="inlineStr">
        <is>
          <t>R022</t>
        </is>
      </c>
      <c r="F580" s="72" t="n">
        <v>3</v>
      </c>
      <c r="G580" s="72" t="n">
        <v>2270</v>
      </c>
      <c r="H580" s="72" t="n">
        <v>6.7</v>
      </c>
      <c r="I580" s="72" t="n">
        <v>6353.73</v>
      </c>
      <c r="J580" s="70" t="inlineStr">
        <is>
          <t>Completed</t>
        </is>
      </c>
      <c r="K580" s="70" t="inlineStr">
        <is>
          <t>Chennai</t>
        </is>
      </c>
    </row>
    <row r="581" ht="14.25" customHeight="1" s="56">
      <c r="A581" s="70" t="inlineStr">
        <is>
          <t>ORD-00580</t>
        </is>
      </c>
      <c r="B581" s="71" t="n">
        <v>45589</v>
      </c>
      <c r="C581" s="70" t="inlineStr">
        <is>
          <t>CUST-0097</t>
        </is>
      </c>
      <c r="D581" s="70" t="inlineStr">
        <is>
          <t>PROD-025</t>
        </is>
      </c>
      <c r="E581" s="70" t="inlineStr">
        <is>
          <t>R007</t>
        </is>
      </c>
      <c r="F581" s="72" t="n">
        <v>10</v>
      </c>
      <c r="G581" s="72" t="n">
        <v>4060</v>
      </c>
      <c r="H581" s="72" t="n">
        <v>3.6</v>
      </c>
      <c r="I581" s="72" t="n">
        <v>39138.4</v>
      </c>
      <c r="J581" s="70" t="inlineStr">
        <is>
          <t>Pending</t>
        </is>
      </c>
      <c r="K581" s="70" t="inlineStr">
        <is>
          <t>Mumbai</t>
        </is>
      </c>
    </row>
    <row r="582" ht="14.25" customHeight="1" s="56">
      <c r="A582" s="70" t="inlineStr">
        <is>
          <t>ORD-00581</t>
        </is>
      </c>
      <c r="B582" s="71" t="n">
        <v>45433</v>
      </c>
      <c r="C582" s="70" t="inlineStr">
        <is>
          <t>CUST-0151</t>
        </is>
      </c>
      <c r="D582" s="70" t="inlineStr">
        <is>
          <t>PROD-010</t>
        </is>
      </c>
      <c r="E582" s="70" t="inlineStr">
        <is>
          <t>R004</t>
        </is>
      </c>
      <c r="F582" s="72" t="n">
        <v>8</v>
      </c>
      <c r="G582" s="72" t="n">
        <v>2640</v>
      </c>
      <c r="H582" s="72" t="n">
        <v>28.8</v>
      </c>
      <c r="I582" s="72" t="n">
        <v>15037.44</v>
      </c>
      <c r="J582" s="70" t="inlineStr">
        <is>
          <t>Completed</t>
        </is>
      </c>
      <c r="K582" s="70" t="inlineStr">
        <is>
          <t>Mumbai</t>
        </is>
      </c>
    </row>
    <row r="583" ht="14.25" customHeight="1" s="56">
      <c r="A583" s="70" t="inlineStr">
        <is>
          <t>ORD-00582</t>
        </is>
      </c>
      <c r="B583" s="71" t="n">
        <v>45477</v>
      </c>
      <c r="C583" s="70" t="inlineStr">
        <is>
          <t>CUST-0048</t>
        </is>
      </c>
      <c r="D583" s="70" t="inlineStr">
        <is>
          <t>PROD-031</t>
        </is>
      </c>
      <c r="E583" s="70" t="inlineStr">
        <is>
          <t>R012</t>
        </is>
      </c>
      <c r="F583" s="72" t="n">
        <v>6</v>
      </c>
      <c r="G583" s="72" t="n">
        <v>3730</v>
      </c>
      <c r="H583" s="72" t="n">
        <v>21.9</v>
      </c>
      <c r="I583" s="72" t="n">
        <v>17478.78</v>
      </c>
      <c r="J583" s="70" t="inlineStr">
        <is>
          <t>Completed</t>
        </is>
      </c>
      <c r="K583" s="70" t="inlineStr">
        <is>
          <t>Delhi</t>
        </is>
      </c>
    </row>
    <row r="584" ht="14.25" customHeight="1" s="56">
      <c r="A584" s="70" t="inlineStr">
        <is>
          <t>ORD-00583</t>
        </is>
      </c>
      <c r="B584" s="71" t="n">
        <v>45443</v>
      </c>
      <c r="C584" s="70" t="inlineStr">
        <is>
          <t>CUST-0048</t>
        </is>
      </c>
      <c r="D584" s="70" t="inlineStr">
        <is>
          <t>PROD-001</t>
        </is>
      </c>
      <c r="E584" s="70" t="inlineStr">
        <is>
          <t>R006</t>
        </is>
      </c>
      <c r="F584" s="72" t="n">
        <v>9</v>
      </c>
      <c r="G584" s="72" t="n">
        <v>5330</v>
      </c>
      <c r="H584" s="72" t="n">
        <v>29.4</v>
      </c>
      <c r="I584" s="72" t="n">
        <v>33866.82</v>
      </c>
      <c r="J584" s="70" t="inlineStr">
        <is>
          <t>Cancelled</t>
        </is>
      </c>
      <c r="K584" s="70" t="inlineStr">
        <is>
          <t>Delhi</t>
        </is>
      </c>
    </row>
    <row r="585" ht="14.25" customHeight="1" s="56">
      <c r="A585" s="70" t="inlineStr">
        <is>
          <t>ORD-00584</t>
        </is>
      </c>
      <c r="B585" s="71" t="n">
        <v>45322</v>
      </c>
      <c r="C585" s="70" t="inlineStr">
        <is>
          <t>CUST-0156</t>
        </is>
      </c>
      <c r="D585" s="70" t="inlineStr">
        <is>
          <t>PROD-011</t>
        </is>
      </c>
      <c r="E585" s="70" t="inlineStr">
        <is>
          <t>R027</t>
        </is>
      </c>
      <c r="F585" s="72" t="n">
        <v>1</v>
      </c>
      <c r="G585" s="72" t="n">
        <v>3450</v>
      </c>
      <c r="H585" s="72" t="n">
        <v>23.3</v>
      </c>
      <c r="I585" s="72" t="n">
        <v>2646.15</v>
      </c>
      <c r="J585" s="70" t="inlineStr">
        <is>
          <t>Completed</t>
        </is>
      </c>
      <c r="K585" s="70" t="inlineStr">
        <is>
          <t>Mumbai</t>
        </is>
      </c>
    </row>
    <row r="586" ht="14.25" customHeight="1" s="56">
      <c r="A586" s="70" t="inlineStr">
        <is>
          <t>ORD-00585</t>
        </is>
      </c>
      <c r="B586" s="71" t="n">
        <v>45544</v>
      </c>
      <c r="C586" s="70" t="inlineStr">
        <is>
          <t>CUST-0022</t>
        </is>
      </c>
      <c r="D586" s="70" t="inlineStr">
        <is>
          <t>PROD-050</t>
        </is>
      </c>
      <c r="E586" s="70" t="inlineStr">
        <is>
          <t>R017</t>
        </is>
      </c>
      <c r="F586" s="72" t="n">
        <v>3</v>
      </c>
      <c r="G586" s="72" t="n">
        <v>6080</v>
      </c>
      <c r="H586" s="72" t="n">
        <v>14.5</v>
      </c>
      <c r="I586" s="72" t="n">
        <v>15595.2</v>
      </c>
      <c r="J586" s="70" t="inlineStr">
        <is>
          <t>Completed</t>
        </is>
      </c>
      <c r="K586" s="70" t="inlineStr">
        <is>
          <t>Bengaluru</t>
        </is>
      </c>
    </row>
    <row r="587" ht="14.25" customHeight="1" s="56">
      <c r="A587" s="70" t="inlineStr">
        <is>
          <t>ORD-00586</t>
        </is>
      </c>
      <c r="B587" s="71" t="n">
        <v>45609</v>
      </c>
      <c r="C587" s="70" t="inlineStr">
        <is>
          <t>CUST-0193</t>
        </is>
      </c>
      <c r="D587" s="70" t="inlineStr">
        <is>
          <t>PROD-031</t>
        </is>
      </c>
      <c r="E587" s="70" t="inlineStr">
        <is>
          <t>R002</t>
        </is>
      </c>
      <c r="F587" s="72" t="n">
        <v>4</v>
      </c>
      <c r="G587" s="72" t="n">
        <v>3730</v>
      </c>
      <c r="H587" s="72" t="n">
        <v>3.4</v>
      </c>
      <c r="I587" s="72" t="n">
        <v>14412.72</v>
      </c>
      <c r="J587" s="70" t="inlineStr">
        <is>
          <t>Cancelled</t>
        </is>
      </c>
      <c r="K587" s="70" t="inlineStr">
        <is>
          <t>Bengaluru</t>
        </is>
      </c>
    </row>
    <row r="588" ht="14.25" customHeight="1" s="56">
      <c r="A588" s="70" t="inlineStr">
        <is>
          <t>ORD-00587</t>
        </is>
      </c>
      <c r="B588" s="71" t="n">
        <v>45491</v>
      </c>
      <c r="C588" s="70" t="inlineStr">
        <is>
          <t>CUST-0189</t>
        </is>
      </c>
      <c r="D588" s="70" t="inlineStr">
        <is>
          <t>PROD-008</t>
        </is>
      </c>
      <c r="E588" s="70" t="inlineStr">
        <is>
          <t>R022</t>
        </is>
      </c>
      <c r="F588" s="72" t="n">
        <v>10</v>
      </c>
      <c r="G588" s="72" t="n">
        <v>2660</v>
      </c>
      <c r="H588" s="72" t="n">
        <v>2.1</v>
      </c>
      <c r="I588" s="72" t="n">
        <v>26041.4</v>
      </c>
      <c r="J588" s="70" t="inlineStr">
        <is>
          <t>Completed</t>
        </is>
      </c>
      <c r="K588" s="70" t="inlineStr">
        <is>
          <t>Chennai</t>
        </is>
      </c>
    </row>
    <row r="589" ht="14.25" customHeight="1" s="56">
      <c r="A589" s="70" t="inlineStr">
        <is>
          <t>ORD-00588</t>
        </is>
      </c>
      <c r="B589" s="71" t="n">
        <v>45373</v>
      </c>
      <c r="C589" s="70" t="inlineStr">
        <is>
          <t>CUST-0101</t>
        </is>
      </c>
      <c r="D589" s="70" t="inlineStr">
        <is>
          <t>PROD-029</t>
        </is>
      </c>
      <c r="E589" s="70" t="inlineStr">
        <is>
          <t>R021</t>
        </is>
      </c>
      <c r="F589" s="72" t="n">
        <v>7</v>
      </c>
      <c r="G589" s="72" t="n">
        <v>2210</v>
      </c>
      <c r="H589" s="72" t="n">
        <v>17.1</v>
      </c>
      <c r="I589" s="72" t="n">
        <v>12824.63</v>
      </c>
      <c r="J589" s="70" t="inlineStr">
        <is>
          <t>Completed</t>
        </is>
      </c>
      <c r="K589" s="70" t="inlineStr">
        <is>
          <t>Hyderabad</t>
        </is>
      </c>
    </row>
    <row r="590" ht="14.25" customHeight="1" s="56">
      <c r="A590" s="70" t="inlineStr">
        <is>
          <t>ORD-00589</t>
        </is>
      </c>
      <c r="B590" s="71" t="n">
        <v>45607</v>
      </c>
      <c r="C590" s="70" t="inlineStr">
        <is>
          <t>CUST-0006</t>
        </is>
      </c>
      <c r="D590" s="70" t="inlineStr">
        <is>
          <t>PROD-059</t>
        </is>
      </c>
      <c r="E590" s="70" t="inlineStr">
        <is>
          <t>R013</t>
        </is>
      </c>
      <c r="F590" s="72" t="n">
        <v>6</v>
      </c>
      <c r="G590" s="72" t="n">
        <v>3780</v>
      </c>
      <c r="H590" s="72" t="n">
        <v>12.7</v>
      </c>
      <c r="I590" s="72" t="n">
        <v>19799.64</v>
      </c>
      <c r="J590" s="70" t="inlineStr">
        <is>
          <t>Completed</t>
        </is>
      </c>
      <c r="K590" s="70" t="inlineStr">
        <is>
          <t>Pune</t>
        </is>
      </c>
    </row>
    <row r="591" ht="14.25" customHeight="1" s="56">
      <c r="A591" s="70" t="inlineStr">
        <is>
          <t>ORD-00590</t>
        </is>
      </c>
      <c r="B591" s="71" t="n">
        <v>45412</v>
      </c>
      <c r="C591" s="70" t="inlineStr">
        <is>
          <t>CUST-0235</t>
        </is>
      </c>
      <c r="D591" s="70" t="inlineStr">
        <is>
          <t>PROD-038</t>
        </is>
      </c>
      <c r="E591" s="70" t="inlineStr">
        <is>
          <t>R029</t>
        </is>
      </c>
      <c r="F591" s="72" t="n">
        <v>4</v>
      </c>
      <c r="G591" s="72" t="n">
        <v>5490</v>
      </c>
      <c r="H591" s="72" t="n">
        <v>26.9</v>
      </c>
      <c r="I591" s="72" t="n">
        <v>16052.76</v>
      </c>
      <c r="J591" s="70" t="inlineStr">
        <is>
          <t>Completed</t>
        </is>
      </c>
      <c r="K591" s="70" t="inlineStr">
        <is>
          <t>Chennai</t>
        </is>
      </c>
    </row>
    <row r="592" ht="14.25" customHeight="1" s="56">
      <c r="A592" s="70" t="inlineStr">
        <is>
          <t>ORD-00591</t>
        </is>
      </c>
      <c r="B592" s="71" t="n">
        <v>45351</v>
      </c>
      <c r="C592" s="70" t="inlineStr">
        <is>
          <t>CUST-0045</t>
        </is>
      </c>
      <c r="D592" s="70" t="inlineStr">
        <is>
          <t>PROD-008</t>
        </is>
      </c>
      <c r="E592" s="70" t="inlineStr">
        <is>
          <t>R013</t>
        </is>
      </c>
      <c r="F592" s="72" t="n">
        <v>9</v>
      </c>
      <c r="G592" s="72" t="n">
        <v>2660</v>
      </c>
      <c r="H592" s="72" t="n">
        <v>21.9</v>
      </c>
      <c r="I592" s="72" t="n">
        <v>18697.14</v>
      </c>
      <c r="J592" s="70" t="inlineStr">
        <is>
          <t>Completed</t>
        </is>
      </c>
      <c r="K592" s="70" t="inlineStr">
        <is>
          <t>Chennai</t>
        </is>
      </c>
    </row>
    <row r="593" ht="14.25" customHeight="1" s="56">
      <c r="A593" s="70" t="inlineStr">
        <is>
          <t>ORD-00592</t>
        </is>
      </c>
      <c r="B593" s="71" t="n">
        <v>45572</v>
      </c>
      <c r="C593" s="70" t="inlineStr">
        <is>
          <t>CUST-0028</t>
        </is>
      </c>
      <c r="D593" s="70" t="inlineStr">
        <is>
          <t>PROD-056</t>
        </is>
      </c>
      <c r="E593" s="70" t="inlineStr">
        <is>
          <t>R028</t>
        </is>
      </c>
      <c r="F593" s="72" t="n">
        <v>9</v>
      </c>
      <c r="G593" s="72" t="n">
        <v>6940</v>
      </c>
      <c r="H593" s="72" t="n">
        <v>8</v>
      </c>
      <c r="I593" s="72" t="n">
        <v>57463.2</v>
      </c>
      <c r="J593" s="70" t="inlineStr">
        <is>
          <t>Completed</t>
        </is>
      </c>
      <c r="K593" s="70" t="inlineStr">
        <is>
          <t>Bengaluru</t>
        </is>
      </c>
    </row>
    <row r="594" ht="14.25" customHeight="1" s="56">
      <c r="A594" s="70" t="inlineStr">
        <is>
          <t>ORD-00593</t>
        </is>
      </c>
      <c r="B594" s="71" t="n">
        <v>45402</v>
      </c>
      <c r="C594" s="70" t="inlineStr">
        <is>
          <t>CUST-0241</t>
        </is>
      </c>
      <c r="D594" s="70" t="inlineStr">
        <is>
          <t>PROD-004</t>
        </is>
      </c>
      <c r="E594" s="70" t="inlineStr">
        <is>
          <t>R006</t>
        </is>
      </c>
      <c r="F594" s="72" t="n">
        <v>1</v>
      </c>
      <c r="G594" s="72" t="n">
        <v>3870</v>
      </c>
      <c r="H594" s="72" t="n">
        <v>22.6</v>
      </c>
      <c r="I594" s="72" t="n">
        <v>2995.38</v>
      </c>
      <c r="J594" s="70" t="inlineStr">
        <is>
          <t>Completed</t>
        </is>
      </c>
      <c r="K594" s="70" t="inlineStr">
        <is>
          <t>Pune</t>
        </is>
      </c>
    </row>
    <row r="595" ht="14.25" customHeight="1" s="56">
      <c r="A595" s="70" t="inlineStr">
        <is>
          <t>ORD-00594</t>
        </is>
      </c>
      <c r="B595" s="71" t="n">
        <v>45503</v>
      </c>
      <c r="C595" s="70" t="inlineStr">
        <is>
          <t>CUST-0278</t>
        </is>
      </c>
      <c r="D595" s="70" t="inlineStr">
        <is>
          <t>PROD-035</t>
        </is>
      </c>
      <c r="E595" s="70" t="inlineStr">
        <is>
          <t>R008</t>
        </is>
      </c>
      <c r="F595" s="72" t="n">
        <v>3</v>
      </c>
      <c r="G595" s="72" t="n">
        <v>1090</v>
      </c>
      <c r="H595" s="72" t="n">
        <v>28.1</v>
      </c>
      <c r="I595" s="72" t="n">
        <v>2351.13</v>
      </c>
      <c r="J595" s="70" t="inlineStr">
        <is>
          <t>Completed</t>
        </is>
      </c>
      <c r="K595" s="70" t="inlineStr">
        <is>
          <t>Hyderabad</t>
        </is>
      </c>
    </row>
    <row r="596" ht="14.25" customHeight="1" s="56">
      <c r="A596" s="70" t="inlineStr">
        <is>
          <t>ORD-00595</t>
        </is>
      </c>
      <c r="B596" s="71" t="n">
        <v>45524</v>
      </c>
      <c r="C596" s="70" t="inlineStr">
        <is>
          <t>CUST-0009</t>
        </is>
      </c>
      <c r="D596" s="70" t="inlineStr">
        <is>
          <t>PROD-002</t>
        </is>
      </c>
      <c r="E596" s="70" t="inlineStr">
        <is>
          <t>R001</t>
        </is>
      </c>
      <c r="F596" s="72" t="n">
        <v>2</v>
      </c>
      <c r="G596" s="72" t="n">
        <v>2600</v>
      </c>
      <c r="H596" s="72" t="n">
        <v>5.6</v>
      </c>
      <c r="I596" s="72" t="n">
        <v>4908.8</v>
      </c>
      <c r="J596" s="70" t="inlineStr">
        <is>
          <t>Completed</t>
        </is>
      </c>
      <c r="K596" s="70" t="inlineStr">
        <is>
          <t>Mumbai</t>
        </is>
      </c>
    </row>
    <row r="597" ht="14.25" customHeight="1" s="56">
      <c r="A597" s="70" t="inlineStr">
        <is>
          <t>ORD-00596</t>
        </is>
      </c>
      <c r="B597" s="71" t="n">
        <v>45425</v>
      </c>
      <c r="C597" s="70" t="inlineStr">
        <is>
          <t>CUST-0217</t>
        </is>
      </c>
      <c r="D597" s="70" t="inlineStr">
        <is>
          <t>PROD-057</t>
        </is>
      </c>
      <c r="E597" s="70" t="inlineStr">
        <is>
          <t>R020</t>
        </is>
      </c>
      <c r="F597" s="72" t="n">
        <v>4</v>
      </c>
      <c r="G597" s="72" t="n">
        <v>960</v>
      </c>
      <c r="H597" s="72" t="n">
        <v>21.7</v>
      </c>
      <c r="I597" s="72" t="n">
        <v>3006.72</v>
      </c>
      <c r="J597" s="70" t="inlineStr">
        <is>
          <t>Completed</t>
        </is>
      </c>
      <c r="K597" s="70" t="inlineStr">
        <is>
          <t>Pune</t>
        </is>
      </c>
    </row>
    <row r="598" ht="14.25" customHeight="1" s="56">
      <c r="A598" s="70" t="inlineStr">
        <is>
          <t>ORD-00597</t>
        </is>
      </c>
      <c r="B598" s="71" t="n">
        <v>45533</v>
      </c>
      <c r="C598" s="70" t="inlineStr">
        <is>
          <t>CUST-0289</t>
        </is>
      </c>
      <c r="D598" s="70" t="inlineStr">
        <is>
          <t>PROD-032</t>
        </is>
      </c>
      <c r="E598" s="70" t="inlineStr">
        <is>
          <t>R026</t>
        </is>
      </c>
      <c r="F598" s="72" t="n">
        <v>6</v>
      </c>
      <c r="G598" s="72" t="n">
        <v>370</v>
      </c>
      <c r="H598" s="72" t="n">
        <v>22.5</v>
      </c>
      <c r="I598" s="72" t="n">
        <v>1720.5</v>
      </c>
      <c r="J598" s="70" t="inlineStr">
        <is>
          <t>Completed</t>
        </is>
      </c>
      <c r="K598" s="70" t="inlineStr">
        <is>
          <t>Mumbai</t>
        </is>
      </c>
    </row>
    <row r="599" ht="14.25" customHeight="1" s="56">
      <c r="A599" s="70" t="inlineStr">
        <is>
          <t>ORD-00598</t>
        </is>
      </c>
      <c r="B599" s="71" t="n">
        <v>45649</v>
      </c>
      <c r="C599" s="70" t="inlineStr">
        <is>
          <t>CUST-0176</t>
        </is>
      </c>
      <c r="D599" s="70" t="inlineStr">
        <is>
          <t>PROD-034</t>
        </is>
      </c>
      <c r="E599" s="70" t="inlineStr">
        <is>
          <t>R006</t>
        </is>
      </c>
      <c r="F599" s="72" t="n">
        <v>5</v>
      </c>
      <c r="G599" s="72" t="n">
        <v>5080</v>
      </c>
      <c r="H599" s="72" t="n">
        <v>23.8</v>
      </c>
      <c r="I599" s="72" t="n">
        <v>19354.8</v>
      </c>
      <c r="J599" s="70" t="inlineStr">
        <is>
          <t>Completed</t>
        </is>
      </c>
      <c r="K599" s="70" t="inlineStr">
        <is>
          <t>Bengaluru</t>
        </is>
      </c>
    </row>
    <row r="600" ht="14.25" customHeight="1" s="56">
      <c r="A600" s="70" t="inlineStr">
        <is>
          <t>ORD-00599</t>
        </is>
      </c>
      <c r="B600" s="71" t="n">
        <v>45375</v>
      </c>
      <c r="C600" s="70" t="inlineStr">
        <is>
          <t>CUST-0026</t>
        </is>
      </c>
      <c r="D600" s="70" t="inlineStr">
        <is>
          <t>PROD-041</t>
        </is>
      </c>
      <c r="E600" s="70" t="inlineStr">
        <is>
          <t>R003</t>
        </is>
      </c>
      <c r="F600" s="72" t="n">
        <v>5</v>
      </c>
      <c r="G600" s="72" t="n">
        <v>1540</v>
      </c>
      <c r="H600" s="72" t="n">
        <v>6.1</v>
      </c>
      <c r="I600" s="72" t="n">
        <v>7230.3</v>
      </c>
      <c r="J600" s="70" t="inlineStr">
        <is>
          <t>Completed</t>
        </is>
      </c>
      <c r="K600" s="70" t="inlineStr">
        <is>
          <t>Pune</t>
        </is>
      </c>
    </row>
    <row r="601" ht="14.25" customHeight="1" s="56">
      <c r="A601" s="70" t="inlineStr">
        <is>
          <t>ORD-00600</t>
        </is>
      </c>
      <c r="B601" s="71" t="n">
        <v>45342</v>
      </c>
      <c r="C601" s="70" t="inlineStr">
        <is>
          <t>CUST-0213</t>
        </is>
      </c>
      <c r="D601" s="70" t="inlineStr">
        <is>
          <t>PROD-024</t>
        </is>
      </c>
      <c r="E601" s="70" t="inlineStr">
        <is>
          <t>R015</t>
        </is>
      </c>
      <c r="F601" s="72" t="n">
        <v>7</v>
      </c>
      <c r="G601" s="72" t="n">
        <v>2270</v>
      </c>
      <c r="H601" s="72" t="n">
        <v>0.4</v>
      </c>
      <c r="I601" s="72" t="n">
        <v>15826.44</v>
      </c>
      <c r="J601" s="70" t="inlineStr">
        <is>
          <t>Completed</t>
        </is>
      </c>
      <c r="K601" s="70" t="inlineStr">
        <is>
          <t>Mumbai</t>
        </is>
      </c>
    </row>
    <row r="602" ht="14.25" customHeight="1" s="56">
      <c r="A602" s="70" t="inlineStr">
        <is>
          <t>ORD-00601</t>
        </is>
      </c>
      <c r="B602" s="71" t="n">
        <v>45441</v>
      </c>
      <c r="C602" s="70" t="inlineStr">
        <is>
          <t>CUST-0190</t>
        </is>
      </c>
      <c r="D602" s="70" t="inlineStr">
        <is>
          <t>PROD-057</t>
        </is>
      </c>
      <c r="E602" s="70" t="inlineStr">
        <is>
          <t>R015</t>
        </is>
      </c>
      <c r="F602" s="72" t="n">
        <v>2</v>
      </c>
      <c r="G602" s="72" t="n">
        <v>960</v>
      </c>
      <c r="H602" s="72" t="n">
        <v>3.7</v>
      </c>
      <c r="I602" s="72" t="n">
        <v>1848.96</v>
      </c>
      <c r="J602" s="70" t="inlineStr">
        <is>
          <t>Completed</t>
        </is>
      </c>
      <c r="K602" s="70" t="inlineStr">
        <is>
          <t>Hyderabad</t>
        </is>
      </c>
    </row>
    <row r="603" ht="14.25" customHeight="1" s="56">
      <c r="A603" s="70" t="inlineStr">
        <is>
          <t>ORD-00602</t>
        </is>
      </c>
      <c r="B603" s="71" t="n">
        <v>45410</v>
      </c>
      <c r="C603" s="70" t="inlineStr">
        <is>
          <t>CUST-0150</t>
        </is>
      </c>
      <c r="D603" s="70" t="inlineStr">
        <is>
          <t>PROD-007</t>
        </is>
      </c>
      <c r="E603" s="70" t="inlineStr">
        <is>
          <t>R027</t>
        </is>
      </c>
      <c r="F603" s="72" t="n">
        <v>6</v>
      </c>
      <c r="G603" s="72" t="n">
        <v>1430</v>
      </c>
      <c r="H603" s="72" t="n">
        <v>2</v>
      </c>
      <c r="I603" s="72" t="n">
        <v>8408.4</v>
      </c>
      <c r="J603" s="70" t="inlineStr">
        <is>
          <t>Pending</t>
        </is>
      </c>
      <c r="K603" s="70" t="inlineStr">
        <is>
          <t>Pune</t>
        </is>
      </c>
    </row>
    <row r="604" ht="14.25" customHeight="1" s="56">
      <c r="A604" s="70" t="inlineStr">
        <is>
          <t>ORD-00603</t>
        </is>
      </c>
      <c r="B604" s="71" t="n">
        <v>45588</v>
      </c>
      <c r="C604" s="70" t="inlineStr">
        <is>
          <t>CUST-0129</t>
        </is>
      </c>
      <c r="D604" s="70" t="inlineStr">
        <is>
          <t>PROD-047</t>
        </is>
      </c>
      <c r="E604" s="70" t="inlineStr">
        <is>
          <t>R006</t>
        </is>
      </c>
      <c r="F604" s="72" t="n">
        <v>10</v>
      </c>
      <c r="G604" s="72" t="n">
        <v>3450</v>
      </c>
      <c r="H604" s="72" t="n">
        <v>19.1</v>
      </c>
      <c r="I604" s="72" t="n">
        <v>27910.5</v>
      </c>
      <c r="J604" s="70" t="inlineStr">
        <is>
          <t>Completed</t>
        </is>
      </c>
      <c r="K604" s="70" t="inlineStr">
        <is>
          <t>Hyderabad</t>
        </is>
      </c>
    </row>
    <row r="605" ht="14.25" customHeight="1" s="56">
      <c r="A605" s="70" t="inlineStr">
        <is>
          <t>ORD-00604</t>
        </is>
      </c>
      <c r="B605" s="71" t="n">
        <v>45412</v>
      </c>
      <c r="C605" s="70" t="inlineStr">
        <is>
          <t>CUST-0080</t>
        </is>
      </c>
      <c r="D605" s="70" t="inlineStr">
        <is>
          <t>PROD-009</t>
        </is>
      </c>
      <c r="E605" s="70" t="inlineStr">
        <is>
          <t>R026</t>
        </is>
      </c>
      <c r="F605" s="72" t="n">
        <v>8</v>
      </c>
      <c r="G605" s="72" t="n">
        <v>1220</v>
      </c>
      <c r="H605" s="72" t="n">
        <v>16.9</v>
      </c>
      <c r="I605" s="72" t="n">
        <v>8110.56</v>
      </c>
      <c r="J605" s="70" t="inlineStr">
        <is>
          <t>Completed</t>
        </is>
      </c>
      <c r="K605" s="70" t="inlineStr">
        <is>
          <t>Pune</t>
        </is>
      </c>
    </row>
    <row r="606" ht="14.25" customHeight="1" s="56">
      <c r="A606" s="70" t="inlineStr">
        <is>
          <t>ORD-00605</t>
        </is>
      </c>
      <c r="B606" s="71" t="n">
        <v>45439</v>
      </c>
      <c r="C606" s="70" t="inlineStr">
        <is>
          <t>CUST-0034</t>
        </is>
      </c>
      <c r="D606" s="70" t="inlineStr">
        <is>
          <t>PROD-021</t>
        </is>
      </c>
      <c r="E606" s="70" t="inlineStr">
        <is>
          <t>R020</t>
        </is>
      </c>
      <c r="F606" s="72" t="n">
        <v>9</v>
      </c>
      <c r="G606" s="72" t="n">
        <v>2760</v>
      </c>
      <c r="H606" s="72" t="n">
        <v>16.9</v>
      </c>
      <c r="I606" s="72" t="n">
        <v>20642.04</v>
      </c>
      <c r="J606" s="70" t="inlineStr">
        <is>
          <t>Completed</t>
        </is>
      </c>
      <c r="K606" s="70" t="inlineStr">
        <is>
          <t>Delhi</t>
        </is>
      </c>
    </row>
    <row r="607" ht="14.25" customHeight="1" s="56">
      <c r="A607" s="70" t="inlineStr">
        <is>
          <t>ORD-00606</t>
        </is>
      </c>
      <c r="B607" s="71" t="n">
        <v>45593</v>
      </c>
      <c r="C607" s="70" t="inlineStr">
        <is>
          <t>CUST-0179</t>
        </is>
      </c>
      <c r="D607" s="70" t="inlineStr">
        <is>
          <t>PROD-043</t>
        </is>
      </c>
      <c r="E607" s="70" t="inlineStr">
        <is>
          <t>R017</t>
        </is>
      </c>
      <c r="F607" s="72" t="n">
        <v>6</v>
      </c>
      <c r="G607" s="72" t="n">
        <v>3350</v>
      </c>
      <c r="H607" s="72" t="n">
        <v>11.8</v>
      </c>
      <c r="I607" s="72" t="n">
        <v>17728.2</v>
      </c>
      <c r="J607" s="70" t="inlineStr">
        <is>
          <t>Pending</t>
        </is>
      </c>
      <c r="K607" s="70" t="inlineStr">
        <is>
          <t>Mumbai</t>
        </is>
      </c>
    </row>
    <row r="608" ht="14.25" customHeight="1" s="56">
      <c r="A608" s="70" t="inlineStr">
        <is>
          <t>ORD-00607</t>
        </is>
      </c>
      <c r="B608" s="71" t="n">
        <v>45570</v>
      </c>
      <c r="C608" s="70" t="inlineStr">
        <is>
          <t>CUST-0176</t>
        </is>
      </c>
      <c r="D608" s="70" t="inlineStr">
        <is>
          <t>PROD-048</t>
        </is>
      </c>
      <c r="E608" s="70" t="inlineStr">
        <is>
          <t>R013</t>
        </is>
      </c>
      <c r="F608" s="72" t="n">
        <v>6</v>
      </c>
      <c r="G608" s="72" t="n">
        <v>5100</v>
      </c>
      <c r="H608" s="72" t="n">
        <v>13.2</v>
      </c>
      <c r="I608" s="72" t="n">
        <v>26560.8</v>
      </c>
      <c r="J608" s="70" t="inlineStr">
        <is>
          <t>Completed</t>
        </is>
      </c>
      <c r="K608" s="70" t="inlineStr">
        <is>
          <t>Bengaluru</t>
        </is>
      </c>
    </row>
    <row r="609" ht="14.25" customHeight="1" s="56">
      <c r="A609" s="70" t="inlineStr">
        <is>
          <t>ORD-00608</t>
        </is>
      </c>
      <c r="B609" s="71" t="n">
        <v>45474</v>
      </c>
      <c r="C609" s="70" t="inlineStr">
        <is>
          <t>CUST-0144</t>
        </is>
      </c>
      <c r="D609" s="70" t="inlineStr">
        <is>
          <t>PROD-010</t>
        </is>
      </c>
      <c r="E609" s="70" t="inlineStr">
        <is>
          <t>R027</t>
        </is>
      </c>
      <c r="F609" s="72" t="n">
        <v>6</v>
      </c>
      <c r="G609" s="72" t="n">
        <v>2640</v>
      </c>
      <c r="H609" s="72" t="n">
        <v>26.2</v>
      </c>
      <c r="I609" s="72" t="n">
        <v>11689.92</v>
      </c>
      <c r="J609" s="70" t="inlineStr">
        <is>
          <t>Completed</t>
        </is>
      </c>
      <c r="K609" s="70" t="inlineStr">
        <is>
          <t>Chennai</t>
        </is>
      </c>
    </row>
    <row r="610" ht="14.25" customHeight="1" s="56">
      <c r="A610" s="70" t="inlineStr">
        <is>
          <t>ORD-00609</t>
        </is>
      </c>
      <c r="B610" s="71" t="n">
        <v>45524</v>
      </c>
      <c r="C610" s="70" t="inlineStr">
        <is>
          <t>CUST-0218</t>
        </is>
      </c>
      <c r="D610" s="70" t="inlineStr">
        <is>
          <t>PROD-028</t>
        </is>
      </c>
      <c r="E610" s="70" t="inlineStr">
        <is>
          <t>R016</t>
        </is>
      </c>
      <c r="F610" s="72" t="n">
        <v>1</v>
      </c>
      <c r="G610" s="72" t="n">
        <v>3660</v>
      </c>
      <c r="H610" s="72" t="n">
        <v>19.7</v>
      </c>
      <c r="I610" s="72" t="n">
        <v>2938.98</v>
      </c>
      <c r="J610" s="70" t="inlineStr">
        <is>
          <t>Completed</t>
        </is>
      </c>
      <c r="K610" s="70" t="inlineStr">
        <is>
          <t>Mumbai</t>
        </is>
      </c>
    </row>
    <row r="611" ht="14.25" customHeight="1" s="56">
      <c r="A611" s="70" t="inlineStr">
        <is>
          <t>ORD-00610</t>
        </is>
      </c>
      <c r="B611" s="71" t="n">
        <v>45468</v>
      </c>
      <c r="C611" s="70" t="inlineStr">
        <is>
          <t>CUST-0249</t>
        </is>
      </c>
      <c r="D611" s="70" t="inlineStr">
        <is>
          <t>PROD-032</t>
        </is>
      </c>
      <c r="E611" s="70" t="inlineStr">
        <is>
          <t>R027</t>
        </is>
      </c>
      <c r="F611" s="72" t="n">
        <v>5</v>
      </c>
      <c r="G611" s="72" t="n">
        <v>370</v>
      </c>
      <c r="H611" s="72" t="n">
        <v>21.7</v>
      </c>
      <c r="I611" s="72" t="n">
        <v>1448.55</v>
      </c>
      <c r="J611" s="70" t="inlineStr">
        <is>
          <t>Completed</t>
        </is>
      </c>
      <c r="K611" s="70" t="inlineStr">
        <is>
          <t>Mumbai</t>
        </is>
      </c>
    </row>
    <row r="612" ht="14.25" customHeight="1" s="56">
      <c r="A612" s="70" t="inlineStr">
        <is>
          <t>ORD-00611</t>
        </is>
      </c>
      <c r="B612" s="71" t="n">
        <v>45336</v>
      </c>
      <c r="C612" s="70" t="inlineStr">
        <is>
          <t>CUST-0092</t>
        </is>
      </c>
      <c r="D612" s="70" t="inlineStr">
        <is>
          <t>PROD-016</t>
        </is>
      </c>
      <c r="E612" s="70" t="inlineStr">
        <is>
          <t>R025</t>
        </is>
      </c>
      <c r="F612" s="72" t="n">
        <v>5</v>
      </c>
      <c r="G612" s="72" t="n">
        <v>620</v>
      </c>
      <c r="H612" s="72" t="n">
        <v>10.2</v>
      </c>
      <c r="I612" s="72" t="n">
        <v>2783.8</v>
      </c>
      <c r="J612" s="70" t="inlineStr">
        <is>
          <t>Completed</t>
        </is>
      </c>
      <c r="K612" s="70" t="inlineStr">
        <is>
          <t>Bengaluru</t>
        </is>
      </c>
    </row>
    <row r="613" ht="14.25" customHeight="1" s="56">
      <c r="A613" s="70" t="inlineStr">
        <is>
          <t>ORD-00612</t>
        </is>
      </c>
      <c r="B613" s="71" t="n">
        <v>45392</v>
      </c>
      <c r="C613" s="70" t="inlineStr">
        <is>
          <t>CUST-0245</t>
        </is>
      </c>
      <c r="D613" s="70" t="inlineStr">
        <is>
          <t>PROD-053</t>
        </is>
      </c>
      <c r="E613" s="70" t="inlineStr">
        <is>
          <t>R018</t>
        </is>
      </c>
      <c r="F613" s="72" t="n">
        <v>8</v>
      </c>
      <c r="G613" s="72" t="n">
        <v>470</v>
      </c>
      <c r="H613" s="72" t="n">
        <v>2.4</v>
      </c>
      <c r="I613" s="72" t="n">
        <v>3669.76</v>
      </c>
      <c r="J613" s="70" t="inlineStr">
        <is>
          <t>Completed</t>
        </is>
      </c>
      <c r="K613" s="70" t="inlineStr">
        <is>
          <t>Hyderabad</t>
        </is>
      </c>
    </row>
    <row r="614" ht="14.25" customHeight="1" s="56">
      <c r="A614" s="70" t="inlineStr">
        <is>
          <t>ORD-00613</t>
        </is>
      </c>
      <c r="B614" s="71" t="n">
        <v>45610</v>
      </c>
      <c r="C614" s="70" t="inlineStr">
        <is>
          <t>CUST-0134</t>
        </is>
      </c>
      <c r="D614" s="70" t="inlineStr">
        <is>
          <t>PROD-042</t>
        </is>
      </c>
      <c r="E614" s="70" t="inlineStr">
        <is>
          <t>R005</t>
        </is>
      </c>
      <c r="F614" s="72" t="n">
        <v>3</v>
      </c>
      <c r="G614" s="72" t="n">
        <v>2290</v>
      </c>
      <c r="H614" s="72" t="n">
        <v>20.8</v>
      </c>
      <c r="I614" s="72" t="n">
        <v>5441.04</v>
      </c>
      <c r="J614" s="70" t="inlineStr">
        <is>
          <t>Completed</t>
        </is>
      </c>
      <c r="K614" s="70" t="inlineStr">
        <is>
          <t>Delhi</t>
        </is>
      </c>
    </row>
    <row r="615" ht="14.25" customHeight="1" s="56">
      <c r="A615" s="70" t="inlineStr">
        <is>
          <t>ORD-00614</t>
        </is>
      </c>
      <c r="B615" s="71" t="n">
        <v>45297</v>
      </c>
      <c r="C615" s="70" t="inlineStr">
        <is>
          <t>CUST-0063</t>
        </is>
      </c>
      <c r="D615" s="70" t="inlineStr">
        <is>
          <t>PROD-057</t>
        </is>
      </c>
      <c r="E615" s="70" t="inlineStr">
        <is>
          <t>R024</t>
        </is>
      </c>
      <c r="F615" s="72" t="n">
        <v>4</v>
      </c>
      <c r="G615" s="72" t="n">
        <v>960</v>
      </c>
      <c r="H615" s="72" t="n">
        <v>28.8</v>
      </c>
      <c r="I615" s="72" t="n">
        <v>2734.08</v>
      </c>
      <c r="J615" s="70" t="inlineStr">
        <is>
          <t>Pending</t>
        </is>
      </c>
      <c r="K615" s="70" t="inlineStr">
        <is>
          <t>Mumbai</t>
        </is>
      </c>
    </row>
    <row r="616" ht="14.25" customHeight="1" s="56">
      <c r="A616" s="70" t="inlineStr">
        <is>
          <t>ORD-00615</t>
        </is>
      </c>
      <c r="B616" s="71" t="n">
        <v>45558</v>
      </c>
      <c r="C616" s="70" t="inlineStr">
        <is>
          <t>CUST-0172</t>
        </is>
      </c>
      <c r="D616" s="70" t="inlineStr">
        <is>
          <t>PROD-028</t>
        </is>
      </c>
      <c r="E616" s="70" t="inlineStr">
        <is>
          <t>R010</t>
        </is>
      </c>
      <c r="F616" s="72" t="n">
        <v>5</v>
      </c>
      <c r="G616" s="72" t="n">
        <v>3660</v>
      </c>
      <c r="H616" s="72" t="n">
        <v>11.9</v>
      </c>
      <c r="I616" s="72" t="n">
        <v>16122.3</v>
      </c>
      <c r="J616" s="70" t="inlineStr">
        <is>
          <t>Pending</t>
        </is>
      </c>
      <c r="K616" s="70" t="inlineStr">
        <is>
          <t>Pune</t>
        </is>
      </c>
    </row>
    <row r="617" ht="14.25" customHeight="1" s="56">
      <c r="A617" s="70" t="inlineStr">
        <is>
          <t>ORD-00616</t>
        </is>
      </c>
      <c r="B617" s="71" t="n">
        <v>45487</v>
      </c>
      <c r="C617" s="70" t="inlineStr">
        <is>
          <t>CUST-0139</t>
        </is>
      </c>
      <c r="D617" s="70" t="inlineStr">
        <is>
          <t>PROD-003</t>
        </is>
      </c>
      <c r="E617" s="70" t="inlineStr">
        <is>
          <t>R019</t>
        </is>
      </c>
      <c r="F617" s="72" t="n">
        <v>5</v>
      </c>
      <c r="G617" s="72" t="n">
        <v>3570</v>
      </c>
      <c r="H617" s="72" t="n">
        <v>12.4</v>
      </c>
      <c r="I617" s="72" t="n">
        <v>15636.6</v>
      </c>
      <c r="J617" s="70" t="inlineStr">
        <is>
          <t>Completed</t>
        </is>
      </c>
      <c r="K617" s="70" t="inlineStr">
        <is>
          <t>Hyderabad</t>
        </is>
      </c>
    </row>
    <row r="618" ht="14.25" customHeight="1" s="56">
      <c r="A618" s="70" t="inlineStr">
        <is>
          <t>ORD-00617</t>
        </is>
      </c>
      <c r="B618" s="71" t="n">
        <v>45307</v>
      </c>
      <c r="C618" s="70" t="inlineStr">
        <is>
          <t>CUST-0275</t>
        </is>
      </c>
      <c r="D618" s="70" t="inlineStr">
        <is>
          <t>PROD-033</t>
        </is>
      </c>
      <c r="E618" s="70" t="inlineStr">
        <is>
          <t>R017</t>
        </is>
      </c>
      <c r="F618" s="72" t="n">
        <v>9</v>
      </c>
      <c r="G618" s="72" t="n">
        <v>2030</v>
      </c>
      <c r="H618" s="72" t="n">
        <v>23.4</v>
      </c>
      <c r="I618" s="72" t="n">
        <v>13994.82</v>
      </c>
      <c r="J618" s="70" t="inlineStr">
        <is>
          <t>Completed</t>
        </is>
      </c>
      <c r="K618" s="70" t="inlineStr">
        <is>
          <t>Mumbai</t>
        </is>
      </c>
    </row>
    <row r="619" ht="14.25" customHeight="1" s="56">
      <c r="A619" s="70" t="inlineStr">
        <is>
          <t>ORD-00618</t>
        </is>
      </c>
      <c r="B619" s="71" t="n">
        <v>45328</v>
      </c>
      <c r="C619" s="70" t="inlineStr">
        <is>
          <t>CUST-0006</t>
        </is>
      </c>
      <c r="D619" s="70" t="inlineStr">
        <is>
          <t>PROD-015</t>
        </is>
      </c>
      <c r="E619" s="70" t="inlineStr">
        <is>
          <t>R024</t>
        </is>
      </c>
      <c r="F619" s="72" t="n">
        <v>7</v>
      </c>
      <c r="G619" s="72" t="n">
        <v>2720</v>
      </c>
      <c r="H619" s="72" t="n">
        <v>11.2</v>
      </c>
      <c r="I619" s="72" t="n">
        <v>16907.52</v>
      </c>
      <c r="J619" s="70" t="inlineStr">
        <is>
          <t>Refunded</t>
        </is>
      </c>
      <c r="K619" s="70" t="inlineStr">
        <is>
          <t>Pune</t>
        </is>
      </c>
    </row>
    <row r="620" ht="14.25" customHeight="1" s="56">
      <c r="A620" s="70" t="inlineStr">
        <is>
          <t>ORD-00619</t>
        </is>
      </c>
      <c r="B620" s="71" t="n">
        <v>45627</v>
      </c>
      <c r="C620" s="70" t="inlineStr">
        <is>
          <t>CUST-0279</t>
        </is>
      </c>
      <c r="D620" s="70" t="inlineStr">
        <is>
          <t>PROD-003</t>
        </is>
      </c>
      <c r="E620" s="70" t="inlineStr">
        <is>
          <t>R008</t>
        </is>
      </c>
      <c r="F620" s="72" t="n">
        <v>2</v>
      </c>
      <c r="G620" s="72" t="n">
        <v>3570</v>
      </c>
      <c r="H620" s="72" t="n">
        <v>6.1</v>
      </c>
      <c r="I620" s="72" t="n">
        <v>6704.46</v>
      </c>
      <c r="J620" s="70" t="inlineStr">
        <is>
          <t>Cancelled</t>
        </is>
      </c>
      <c r="K620" s="70" t="inlineStr">
        <is>
          <t>Mumbai</t>
        </is>
      </c>
    </row>
    <row r="621" ht="14.25" customHeight="1" s="56">
      <c r="A621" s="70" t="inlineStr">
        <is>
          <t>ORD-00620</t>
        </is>
      </c>
      <c r="B621" s="71" t="n">
        <v>45574</v>
      </c>
      <c r="C621" s="70" t="inlineStr">
        <is>
          <t>CUST-0093</t>
        </is>
      </c>
      <c r="D621" s="70" t="inlineStr">
        <is>
          <t>PROD-058</t>
        </is>
      </c>
      <c r="E621" s="70" t="inlineStr">
        <is>
          <t>R001</t>
        </is>
      </c>
      <c r="F621" s="72" t="n">
        <v>5</v>
      </c>
      <c r="G621" s="72" t="n">
        <v>2400</v>
      </c>
      <c r="H621" s="72" t="n">
        <v>16.1</v>
      </c>
      <c r="I621" s="72" t="n">
        <v>10068</v>
      </c>
      <c r="J621" s="70" t="inlineStr">
        <is>
          <t>Completed</t>
        </is>
      </c>
      <c r="K621" s="70" t="inlineStr">
        <is>
          <t>Pune</t>
        </is>
      </c>
    </row>
    <row r="622" ht="14.25" customHeight="1" s="56">
      <c r="A622" s="70" t="inlineStr">
        <is>
          <t>ORD-00621</t>
        </is>
      </c>
      <c r="B622" s="71" t="n">
        <v>45592</v>
      </c>
      <c r="C622" s="70" t="inlineStr">
        <is>
          <t>CUST-0063</t>
        </is>
      </c>
      <c r="D622" s="70" t="inlineStr">
        <is>
          <t>PROD-024</t>
        </is>
      </c>
      <c r="E622" s="70" t="inlineStr">
        <is>
          <t>R002</t>
        </is>
      </c>
      <c r="F622" s="72" t="n">
        <v>4</v>
      </c>
      <c r="G622" s="72" t="n">
        <v>2270</v>
      </c>
      <c r="H622" s="72" t="n">
        <v>27.5</v>
      </c>
      <c r="I622" s="72" t="n">
        <v>6583</v>
      </c>
      <c r="J622" s="70" t="inlineStr">
        <is>
          <t>Pending</t>
        </is>
      </c>
      <c r="K622" s="70" t="inlineStr">
        <is>
          <t>Mumbai</t>
        </is>
      </c>
    </row>
    <row r="623" ht="14.25" customHeight="1" s="56">
      <c r="A623" s="70" t="inlineStr">
        <is>
          <t>ORD-00622</t>
        </is>
      </c>
      <c r="B623" s="71" t="n">
        <v>45509</v>
      </c>
      <c r="C623" s="70" t="inlineStr">
        <is>
          <t>CUST-0071</t>
        </is>
      </c>
      <c r="D623" s="70" t="inlineStr">
        <is>
          <t>PROD-030</t>
        </is>
      </c>
      <c r="E623" s="70" t="inlineStr">
        <is>
          <t>R012</t>
        </is>
      </c>
      <c r="F623" s="72" t="n">
        <v>1</v>
      </c>
      <c r="G623" s="72" t="n">
        <v>970</v>
      </c>
      <c r="H623" s="72" t="n">
        <v>12.7</v>
      </c>
      <c r="I623" s="72" t="n">
        <v>846.8099999999999</v>
      </c>
      <c r="J623" s="70" t="inlineStr">
        <is>
          <t>Completed</t>
        </is>
      </c>
      <c r="K623" s="70" t="inlineStr">
        <is>
          <t>Delhi</t>
        </is>
      </c>
    </row>
    <row r="624" ht="14.25" customHeight="1" s="56">
      <c r="A624" s="70" t="inlineStr">
        <is>
          <t>ORD-00623</t>
        </is>
      </c>
      <c r="B624" s="71" t="n">
        <v>45307</v>
      </c>
      <c r="C624" s="70" t="inlineStr">
        <is>
          <t>CUST-0119</t>
        </is>
      </c>
      <c r="D624" s="70" t="inlineStr">
        <is>
          <t>PROD-056</t>
        </is>
      </c>
      <c r="E624" s="70" t="inlineStr">
        <is>
          <t>R018</t>
        </is>
      </c>
      <c r="F624" s="72" t="n">
        <v>5</v>
      </c>
      <c r="G624" s="72" t="n">
        <v>6940</v>
      </c>
      <c r="H624" s="72" t="n">
        <v>16.2</v>
      </c>
      <c r="I624" s="72" t="n">
        <v>29078.6</v>
      </c>
      <c r="J624" s="70" t="inlineStr">
        <is>
          <t>Completed</t>
        </is>
      </c>
      <c r="K624" s="70" t="inlineStr">
        <is>
          <t>Bengaluru</t>
        </is>
      </c>
    </row>
    <row r="625" ht="14.25" customHeight="1" s="56">
      <c r="A625" s="70" t="inlineStr">
        <is>
          <t>ORD-00624</t>
        </is>
      </c>
      <c r="B625" s="71" t="n">
        <v>45586</v>
      </c>
      <c r="C625" s="70" t="inlineStr">
        <is>
          <t>CUST-0035</t>
        </is>
      </c>
      <c r="D625" s="70" t="inlineStr">
        <is>
          <t>PROD-056</t>
        </is>
      </c>
      <c r="E625" s="70" t="inlineStr">
        <is>
          <t>R009</t>
        </is>
      </c>
      <c r="F625" s="72" t="n">
        <v>4</v>
      </c>
      <c r="G625" s="72" t="n">
        <v>6940</v>
      </c>
      <c r="H625" s="72" t="n">
        <v>15.1</v>
      </c>
      <c r="I625" s="72" t="n">
        <v>23568.24</v>
      </c>
      <c r="J625" s="70" t="inlineStr">
        <is>
          <t>Completed</t>
        </is>
      </c>
      <c r="K625" s="70" t="inlineStr">
        <is>
          <t>Hyderabad</t>
        </is>
      </c>
    </row>
    <row r="626" ht="14.25" customHeight="1" s="56">
      <c r="A626" s="70" t="inlineStr">
        <is>
          <t>ORD-00625</t>
        </is>
      </c>
      <c r="B626" s="71" t="n">
        <v>45587</v>
      </c>
      <c r="C626" s="70" t="inlineStr">
        <is>
          <t>CUST-0042</t>
        </is>
      </c>
      <c r="D626" s="70" t="inlineStr">
        <is>
          <t>PROD-054</t>
        </is>
      </c>
      <c r="E626" s="70" t="inlineStr">
        <is>
          <t>R006</t>
        </is>
      </c>
      <c r="F626" s="72" t="n">
        <v>1</v>
      </c>
      <c r="G626" s="72" t="n">
        <v>1010</v>
      </c>
      <c r="H626" s="72" t="n">
        <v>1.7</v>
      </c>
      <c r="I626" s="72" t="n">
        <v>992.83</v>
      </c>
      <c r="J626" s="70" t="inlineStr">
        <is>
          <t>Completed</t>
        </is>
      </c>
      <c r="K626" s="70" t="inlineStr">
        <is>
          <t>Pune</t>
        </is>
      </c>
    </row>
    <row r="627" ht="14.25" customHeight="1" s="56">
      <c r="A627" s="70" t="inlineStr">
        <is>
          <t>ORD-00626</t>
        </is>
      </c>
      <c r="B627" s="71" t="n">
        <v>45609</v>
      </c>
      <c r="C627" s="70" t="inlineStr">
        <is>
          <t>CUST-0033</t>
        </is>
      </c>
      <c r="D627" s="70" t="inlineStr">
        <is>
          <t>PROD-004</t>
        </is>
      </c>
      <c r="E627" s="70" t="inlineStr">
        <is>
          <t>R007</t>
        </is>
      </c>
      <c r="F627" s="72" t="n">
        <v>6</v>
      </c>
      <c r="G627" s="72" t="n">
        <v>3870</v>
      </c>
      <c r="H627" s="72" t="n">
        <v>12.2</v>
      </c>
      <c r="I627" s="72" t="n">
        <v>20387.16</v>
      </c>
      <c r="J627" s="70" t="inlineStr">
        <is>
          <t>Completed</t>
        </is>
      </c>
      <c r="K627" s="70" t="inlineStr">
        <is>
          <t>Delhi</t>
        </is>
      </c>
    </row>
    <row r="628" ht="14.25" customHeight="1" s="56">
      <c r="A628" s="70" t="inlineStr">
        <is>
          <t>ORD-00627</t>
        </is>
      </c>
      <c r="B628" s="71" t="n">
        <v>45316</v>
      </c>
      <c r="C628" s="70" t="inlineStr">
        <is>
          <t>CUST-0077</t>
        </is>
      </c>
      <c r="D628" s="70" t="inlineStr">
        <is>
          <t>PROD-048</t>
        </is>
      </c>
      <c r="E628" s="70" t="inlineStr">
        <is>
          <t>R011</t>
        </is>
      </c>
      <c r="F628" s="72" t="n">
        <v>9</v>
      </c>
      <c r="G628" s="72" t="n">
        <v>5100</v>
      </c>
      <c r="H628" s="72" t="n">
        <v>26.4</v>
      </c>
      <c r="I628" s="72" t="n">
        <v>33782.4</v>
      </c>
      <c r="J628" s="70" t="inlineStr">
        <is>
          <t>Completed</t>
        </is>
      </c>
      <c r="K628" s="70" t="inlineStr">
        <is>
          <t>Hyderabad</t>
        </is>
      </c>
    </row>
    <row r="629" ht="14.25" customHeight="1" s="56">
      <c r="A629" s="70" t="inlineStr">
        <is>
          <t>ORD-00628</t>
        </is>
      </c>
      <c r="B629" s="71" t="n">
        <v>45451</v>
      </c>
      <c r="C629" s="70" t="inlineStr">
        <is>
          <t>CUST-0266</t>
        </is>
      </c>
      <c r="D629" s="70" t="inlineStr">
        <is>
          <t>PROD-012</t>
        </is>
      </c>
      <c r="E629" s="70" t="inlineStr">
        <is>
          <t>R008</t>
        </is>
      </c>
      <c r="F629" s="72" t="n">
        <v>2</v>
      </c>
      <c r="G629" s="72" t="n">
        <v>3160</v>
      </c>
      <c r="H629" s="72" t="n">
        <v>13.4</v>
      </c>
      <c r="I629" s="72" t="n">
        <v>5473.12</v>
      </c>
      <c r="J629" s="70" t="inlineStr">
        <is>
          <t>Refunded</t>
        </is>
      </c>
      <c r="K629" s="70" t="inlineStr">
        <is>
          <t>Pune</t>
        </is>
      </c>
    </row>
    <row r="630" ht="14.25" customHeight="1" s="56">
      <c r="A630" s="70" t="inlineStr">
        <is>
          <t>ORD-00629</t>
        </is>
      </c>
      <c r="B630" s="71" t="n">
        <v>45554</v>
      </c>
      <c r="C630" s="70" t="inlineStr">
        <is>
          <t>CUST-0272</t>
        </is>
      </c>
      <c r="D630" s="70" t="inlineStr">
        <is>
          <t>PROD-029</t>
        </is>
      </c>
      <c r="E630" s="70" t="inlineStr">
        <is>
          <t>R011</t>
        </is>
      </c>
      <c r="F630" s="72" t="n">
        <v>8</v>
      </c>
      <c r="G630" s="72" t="n">
        <v>2210</v>
      </c>
      <c r="H630" s="72" t="n">
        <v>26</v>
      </c>
      <c r="I630" s="72" t="n">
        <v>13083.2</v>
      </c>
      <c r="J630" s="70" t="inlineStr">
        <is>
          <t>Completed</t>
        </is>
      </c>
      <c r="K630" s="70" t="inlineStr">
        <is>
          <t>Mumbai</t>
        </is>
      </c>
    </row>
    <row r="631" ht="14.25" customHeight="1" s="56">
      <c r="A631" s="70" t="inlineStr">
        <is>
          <t>ORD-00630</t>
        </is>
      </c>
      <c r="B631" s="71" t="n">
        <v>45567</v>
      </c>
      <c r="C631" s="70" t="inlineStr">
        <is>
          <t>CUST-0253</t>
        </is>
      </c>
      <c r="D631" s="70" t="inlineStr">
        <is>
          <t>PROD-018</t>
        </is>
      </c>
      <c r="E631" s="70" t="inlineStr">
        <is>
          <t>R026</t>
        </is>
      </c>
      <c r="F631" s="72" t="n">
        <v>5</v>
      </c>
      <c r="G631" s="72" t="n">
        <v>3560</v>
      </c>
      <c r="H631" s="72" t="n">
        <v>15</v>
      </c>
      <c r="I631" s="72" t="n">
        <v>15130</v>
      </c>
      <c r="J631" s="70" t="inlineStr">
        <is>
          <t>Completed</t>
        </is>
      </c>
      <c r="K631" s="70" t="inlineStr">
        <is>
          <t>Delhi</t>
        </is>
      </c>
    </row>
    <row r="632" ht="14.25" customHeight="1" s="56">
      <c r="A632" s="70" t="inlineStr">
        <is>
          <t>ORD-00631</t>
        </is>
      </c>
      <c r="B632" s="71" t="n">
        <v>45633</v>
      </c>
      <c r="C632" s="70" t="inlineStr">
        <is>
          <t>CUST-0252</t>
        </is>
      </c>
      <c r="D632" s="70" t="inlineStr">
        <is>
          <t>PROD-016</t>
        </is>
      </c>
      <c r="E632" s="70" t="inlineStr">
        <is>
          <t>R010</t>
        </is>
      </c>
      <c r="F632" s="72" t="n">
        <v>10</v>
      </c>
      <c r="G632" s="72" t="n">
        <v>620</v>
      </c>
      <c r="H632" s="72" t="n">
        <v>15.8</v>
      </c>
      <c r="I632" s="72" t="n">
        <v>5220.4</v>
      </c>
      <c r="J632" s="70" t="inlineStr">
        <is>
          <t>Refunded</t>
        </is>
      </c>
      <c r="K632" s="70" t="inlineStr">
        <is>
          <t>Bengaluru</t>
        </is>
      </c>
    </row>
    <row r="633" ht="14.25" customHeight="1" s="56">
      <c r="A633" s="70" t="inlineStr">
        <is>
          <t>ORD-00632</t>
        </is>
      </c>
      <c r="B633" s="71" t="n">
        <v>45588</v>
      </c>
      <c r="C633" s="70" t="inlineStr">
        <is>
          <t>CUST-0097</t>
        </is>
      </c>
      <c r="D633" s="70" t="inlineStr">
        <is>
          <t>PROD-021</t>
        </is>
      </c>
      <c r="E633" s="70" t="inlineStr">
        <is>
          <t>R002</t>
        </is>
      </c>
      <c r="F633" s="72" t="n">
        <v>3</v>
      </c>
      <c r="G633" s="72" t="n">
        <v>2760</v>
      </c>
      <c r="H633" s="72" t="n">
        <v>1.9</v>
      </c>
      <c r="I633" s="72" t="n">
        <v>8122.68</v>
      </c>
      <c r="J633" s="70" t="inlineStr">
        <is>
          <t>Cancelled</t>
        </is>
      </c>
      <c r="K633" s="70" t="inlineStr">
        <is>
          <t>Mumbai</t>
        </is>
      </c>
    </row>
    <row r="634" ht="14.25" customHeight="1" s="56">
      <c r="A634" s="70" t="inlineStr">
        <is>
          <t>ORD-00633</t>
        </is>
      </c>
      <c r="B634" s="71" t="n">
        <v>45634</v>
      </c>
      <c r="C634" s="70" t="inlineStr">
        <is>
          <t>CUST-0283</t>
        </is>
      </c>
      <c r="D634" s="70" t="inlineStr">
        <is>
          <t>PROD-054</t>
        </is>
      </c>
      <c r="E634" s="70" t="inlineStr">
        <is>
          <t>R005</t>
        </is>
      </c>
      <c r="F634" s="72" t="n">
        <v>10</v>
      </c>
      <c r="G634" s="72" t="n">
        <v>1010</v>
      </c>
      <c r="H634" s="72" t="n">
        <v>28.9</v>
      </c>
      <c r="I634" s="72" t="n">
        <v>7181.1</v>
      </c>
      <c r="J634" s="70" t="inlineStr">
        <is>
          <t>Completed</t>
        </is>
      </c>
      <c r="K634" s="70" t="inlineStr">
        <is>
          <t>Delhi</t>
        </is>
      </c>
    </row>
    <row r="635" ht="14.25" customHeight="1" s="56">
      <c r="A635" s="70" t="inlineStr">
        <is>
          <t>ORD-00634</t>
        </is>
      </c>
      <c r="B635" s="71" t="n">
        <v>45352</v>
      </c>
      <c r="C635" s="70" t="inlineStr">
        <is>
          <t>CUST-0064</t>
        </is>
      </c>
      <c r="D635" s="70" t="inlineStr">
        <is>
          <t>PROD-013</t>
        </is>
      </c>
      <c r="E635" s="70" t="inlineStr">
        <is>
          <t>R002</t>
        </is>
      </c>
      <c r="F635" s="72" t="n">
        <v>1</v>
      </c>
      <c r="G635" s="72" t="n">
        <v>3640</v>
      </c>
      <c r="H635" s="72" t="n">
        <v>9.699999999999999</v>
      </c>
      <c r="I635" s="72" t="n">
        <v>3286.92</v>
      </c>
      <c r="J635" s="70" t="inlineStr">
        <is>
          <t>Completed</t>
        </is>
      </c>
      <c r="K635" s="70" t="inlineStr">
        <is>
          <t>Hyderabad</t>
        </is>
      </c>
    </row>
    <row r="636" ht="14.25" customHeight="1" s="56">
      <c r="A636" s="70" t="inlineStr">
        <is>
          <t>ORD-00635</t>
        </is>
      </c>
      <c r="B636" s="71" t="n">
        <v>45489</v>
      </c>
      <c r="C636" s="70" t="inlineStr">
        <is>
          <t>CUST-0143</t>
        </is>
      </c>
      <c r="D636" s="70" t="inlineStr">
        <is>
          <t>PROD-020</t>
        </is>
      </c>
      <c r="E636" s="70" t="inlineStr">
        <is>
          <t>R010</t>
        </is>
      </c>
      <c r="F636" s="72" t="n">
        <v>1</v>
      </c>
      <c r="G636" s="72" t="n">
        <v>820</v>
      </c>
      <c r="H636" s="72" t="n">
        <v>15</v>
      </c>
      <c r="I636" s="72" t="n">
        <v>697</v>
      </c>
      <c r="J636" s="70" t="inlineStr">
        <is>
          <t>Completed</t>
        </is>
      </c>
      <c r="K636" s="70" t="inlineStr">
        <is>
          <t>Chennai</t>
        </is>
      </c>
    </row>
    <row r="637" ht="14.25" customHeight="1" s="56">
      <c r="A637" s="70" t="inlineStr">
        <is>
          <t>ORD-00636</t>
        </is>
      </c>
      <c r="B637" s="71" t="n">
        <v>45342</v>
      </c>
      <c r="C637" s="70" t="inlineStr">
        <is>
          <t>CUST-0265</t>
        </is>
      </c>
      <c r="D637" s="70" t="inlineStr">
        <is>
          <t>PROD-013</t>
        </is>
      </c>
      <c r="E637" s="70" t="inlineStr">
        <is>
          <t>R011</t>
        </is>
      </c>
      <c r="F637" s="72" t="n">
        <v>4</v>
      </c>
      <c r="G637" s="72" t="n">
        <v>3640</v>
      </c>
      <c r="H637" s="72" t="n">
        <v>17</v>
      </c>
      <c r="I637" s="72" t="n">
        <v>12084.8</v>
      </c>
      <c r="J637" s="70" t="inlineStr">
        <is>
          <t>Completed</t>
        </is>
      </c>
      <c r="K637" s="70" t="inlineStr">
        <is>
          <t>Chennai</t>
        </is>
      </c>
    </row>
    <row r="638" ht="14.25" customHeight="1" s="56">
      <c r="A638" s="70" t="inlineStr">
        <is>
          <t>ORD-00637</t>
        </is>
      </c>
      <c r="B638" s="71" t="n">
        <v>45425</v>
      </c>
      <c r="C638" s="70" t="inlineStr">
        <is>
          <t>CUST-0158</t>
        </is>
      </c>
      <c r="D638" s="70" t="inlineStr">
        <is>
          <t>PROD-023</t>
        </is>
      </c>
      <c r="E638" s="70" t="inlineStr">
        <is>
          <t>R002</t>
        </is>
      </c>
      <c r="F638" s="72" t="n">
        <v>7</v>
      </c>
      <c r="G638" s="72" t="n">
        <v>2380</v>
      </c>
      <c r="H638" s="72" t="n">
        <v>25.5</v>
      </c>
      <c r="I638" s="72" t="n">
        <v>12411.7</v>
      </c>
      <c r="J638" s="70" t="inlineStr">
        <is>
          <t>Completed</t>
        </is>
      </c>
      <c r="K638" s="70" t="inlineStr">
        <is>
          <t>Pune</t>
        </is>
      </c>
    </row>
    <row r="639" ht="14.25" customHeight="1" s="56">
      <c r="A639" s="70" t="inlineStr">
        <is>
          <t>ORD-00638</t>
        </is>
      </c>
      <c r="B639" s="71" t="n">
        <v>45598</v>
      </c>
      <c r="C639" s="70" t="inlineStr">
        <is>
          <t>CUST-0154</t>
        </is>
      </c>
      <c r="D639" s="70" t="inlineStr">
        <is>
          <t>PROD-037</t>
        </is>
      </c>
      <c r="E639" s="70" t="inlineStr">
        <is>
          <t>R008</t>
        </is>
      </c>
      <c r="F639" s="72" t="n">
        <v>1</v>
      </c>
      <c r="G639" s="72" t="n">
        <v>660</v>
      </c>
      <c r="H639" s="72" t="n">
        <v>2.5</v>
      </c>
      <c r="I639" s="72" t="n">
        <v>643.5</v>
      </c>
      <c r="J639" s="70" t="inlineStr">
        <is>
          <t>Completed</t>
        </is>
      </c>
      <c r="K639" s="70" t="inlineStr">
        <is>
          <t>Pune</t>
        </is>
      </c>
    </row>
    <row r="640" ht="14.25" customHeight="1" s="56">
      <c r="A640" s="70" t="inlineStr">
        <is>
          <t>ORD-00639</t>
        </is>
      </c>
      <c r="B640" s="71" t="n">
        <v>45353</v>
      </c>
      <c r="C640" s="70" t="inlineStr">
        <is>
          <t>CUST-0057</t>
        </is>
      </c>
      <c r="D640" s="70" t="inlineStr">
        <is>
          <t>PROD-004</t>
        </is>
      </c>
      <c r="E640" s="70" t="inlineStr">
        <is>
          <t>R020</t>
        </is>
      </c>
      <c r="F640" s="72" t="n">
        <v>7</v>
      </c>
      <c r="G640" s="72" t="n">
        <v>3870</v>
      </c>
      <c r="H640" s="72" t="n">
        <v>20.3</v>
      </c>
      <c r="I640" s="72" t="n">
        <v>21590.73</v>
      </c>
      <c r="J640" s="70" t="inlineStr">
        <is>
          <t>Pending</t>
        </is>
      </c>
      <c r="K640" s="70" t="inlineStr">
        <is>
          <t>Pune</t>
        </is>
      </c>
    </row>
    <row r="641" ht="14.25" customHeight="1" s="56">
      <c r="A641" s="70" t="inlineStr">
        <is>
          <t>ORD-00640</t>
        </is>
      </c>
      <c r="B641" s="71" t="n">
        <v>45542</v>
      </c>
      <c r="C641" s="70" t="inlineStr">
        <is>
          <t>CUST-0088</t>
        </is>
      </c>
      <c r="D641" s="70" t="inlineStr">
        <is>
          <t>PROD-032</t>
        </is>
      </c>
      <c r="E641" s="70" t="inlineStr">
        <is>
          <t>R016</t>
        </is>
      </c>
      <c r="F641" s="72" t="n">
        <v>10</v>
      </c>
      <c r="G641" s="72" t="n">
        <v>370</v>
      </c>
      <c r="H641" s="72" t="n">
        <v>1.3</v>
      </c>
      <c r="I641" s="72" t="n">
        <v>3651.9</v>
      </c>
      <c r="J641" s="70" t="inlineStr">
        <is>
          <t>Refunded</t>
        </is>
      </c>
      <c r="K641" s="70" t="inlineStr">
        <is>
          <t>Chennai</t>
        </is>
      </c>
    </row>
    <row r="642" ht="14.25" customHeight="1" s="56">
      <c r="A642" s="70" t="inlineStr">
        <is>
          <t>ORD-00641</t>
        </is>
      </c>
      <c r="B642" s="71" t="n">
        <v>45365</v>
      </c>
      <c r="C642" s="70" t="inlineStr">
        <is>
          <t>CUST-0064</t>
        </is>
      </c>
      <c r="D642" s="70" t="inlineStr">
        <is>
          <t>PROD-014</t>
        </is>
      </c>
      <c r="E642" s="70" t="inlineStr">
        <is>
          <t>R018</t>
        </is>
      </c>
      <c r="F642" s="72" t="n">
        <v>1</v>
      </c>
      <c r="G642" s="72" t="n">
        <v>3620</v>
      </c>
      <c r="H642" s="72" t="n">
        <v>1.4</v>
      </c>
      <c r="I642" s="72" t="n">
        <v>3569.32</v>
      </c>
      <c r="J642" s="70" t="inlineStr">
        <is>
          <t>Completed</t>
        </is>
      </c>
      <c r="K642" s="70" t="inlineStr">
        <is>
          <t>Hyderabad</t>
        </is>
      </c>
    </row>
    <row r="643" ht="14.25" customHeight="1" s="56">
      <c r="A643" s="70" t="inlineStr">
        <is>
          <t>ORD-00642</t>
        </is>
      </c>
      <c r="B643" s="71" t="n">
        <v>45574</v>
      </c>
      <c r="C643" s="70" t="inlineStr">
        <is>
          <t>CUST-0192</t>
        </is>
      </c>
      <c r="D643" s="70" t="inlineStr">
        <is>
          <t>PROD-008</t>
        </is>
      </c>
      <c r="E643" s="70" t="inlineStr">
        <is>
          <t>R005</t>
        </is>
      </c>
      <c r="F643" s="72" t="n">
        <v>10</v>
      </c>
      <c r="G643" s="72" t="n">
        <v>2660</v>
      </c>
      <c r="H643" s="72" t="n">
        <v>20.2</v>
      </c>
      <c r="I643" s="72" t="n">
        <v>21226.8</v>
      </c>
      <c r="J643" s="70" t="inlineStr">
        <is>
          <t>Completed</t>
        </is>
      </c>
      <c r="K643" s="70" t="inlineStr">
        <is>
          <t>Bengaluru</t>
        </is>
      </c>
    </row>
    <row r="644" ht="14.25" customHeight="1" s="56">
      <c r="A644" s="70" t="inlineStr">
        <is>
          <t>ORD-00643</t>
        </is>
      </c>
      <c r="B644" s="71" t="n">
        <v>45614</v>
      </c>
      <c r="C644" s="70" t="inlineStr">
        <is>
          <t>CUST-0175</t>
        </is>
      </c>
      <c r="D644" s="70" t="inlineStr">
        <is>
          <t>PROD-051</t>
        </is>
      </c>
      <c r="E644" s="70" t="inlineStr">
        <is>
          <t>R015</t>
        </is>
      </c>
      <c r="F644" s="72" t="n">
        <v>10</v>
      </c>
      <c r="G644" s="72" t="n">
        <v>3450</v>
      </c>
      <c r="H644" s="72" t="n">
        <v>25.1</v>
      </c>
      <c r="I644" s="72" t="n">
        <v>25840.5</v>
      </c>
      <c r="J644" s="70" t="inlineStr">
        <is>
          <t>Completed</t>
        </is>
      </c>
      <c r="K644" s="70" t="inlineStr">
        <is>
          <t>Delhi</t>
        </is>
      </c>
    </row>
    <row r="645" ht="14.25" customHeight="1" s="56">
      <c r="A645" s="70" t="inlineStr">
        <is>
          <t>ORD-00644</t>
        </is>
      </c>
      <c r="B645" s="71" t="n">
        <v>45629</v>
      </c>
      <c r="C645" s="70" t="inlineStr">
        <is>
          <t>CUST-0083</t>
        </is>
      </c>
      <c r="D645" s="70" t="inlineStr">
        <is>
          <t>PROD-025</t>
        </is>
      </c>
      <c r="E645" s="70" t="inlineStr">
        <is>
          <t>R013</t>
        </is>
      </c>
      <c r="F645" s="72" t="n">
        <v>3</v>
      </c>
      <c r="G645" s="72" t="n">
        <v>4060</v>
      </c>
      <c r="H645" s="72" t="n">
        <v>2.5</v>
      </c>
      <c r="I645" s="72" t="n">
        <v>11875.5</v>
      </c>
      <c r="J645" s="70" t="inlineStr">
        <is>
          <t>Refunded</t>
        </is>
      </c>
      <c r="K645" s="70" t="inlineStr">
        <is>
          <t>Bengaluru</t>
        </is>
      </c>
    </row>
    <row r="646" ht="14.25" customHeight="1" s="56">
      <c r="A646" s="70" t="inlineStr">
        <is>
          <t>ORD-00645</t>
        </is>
      </c>
      <c r="B646" s="71" t="n">
        <v>45294</v>
      </c>
      <c r="C646" s="70" t="inlineStr">
        <is>
          <t>CUST-0142</t>
        </is>
      </c>
      <c r="D646" s="70" t="inlineStr">
        <is>
          <t>PROD-057</t>
        </is>
      </c>
      <c r="E646" s="70" t="inlineStr">
        <is>
          <t>R021</t>
        </is>
      </c>
      <c r="F646" s="72" t="n">
        <v>3</v>
      </c>
      <c r="G646" s="72" t="n">
        <v>960</v>
      </c>
      <c r="H646" s="72" t="n">
        <v>6.6</v>
      </c>
      <c r="I646" s="72" t="n">
        <v>2689.92</v>
      </c>
      <c r="J646" s="70" t="inlineStr">
        <is>
          <t>Cancelled</t>
        </is>
      </c>
      <c r="K646" s="70" t="inlineStr">
        <is>
          <t>Chennai</t>
        </is>
      </c>
    </row>
    <row r="647" ht="14.25" customHeight="1" s="56">
      <c r="A647" s="70" t="inlineStr">
        <is>
          <t>ORD-00646</t>
        </is>
      </c>
      <c r="B647" s="71" t="n">
        <v>45418</v>
      </c>
      <c r="C647" s="70" t="inlineStr">
        <is>
          <t>CUST-0185</t>
        </is>
      </c>
      <c r="D647" s="70" t="inlineStr">
        <is>
          <t>PROD-008</t>
        </is>
      </c>
      <c r="E647" s="70" t="inlineStr">
        <is>
          <t>R008</t>
        </is>
      </c>
      <c r="F647" s="72" t="n">
        <v>4</v>
      </c>
      <c r="G647" s="72" t="n">
        <v>2660</v>
      </c>
      <c r="H647" s="72" t="n">
        <v>16.9</v>
      </c>
      <c r="I647" s="72" t="n">
        <v>8841.84</v>
      </c>
      <c r="J647" s="70" t="inlineStr">
        <is>
          <t>Completed</t>
        </is>
      </c>
      <c r="K647" s="70" t="inlineStr">
        <is>
          <t>Hyderabad</t>
        </is>
      </c>
    </row>
    <row r="648" ht="14.25" customHeight="1" s="56">
      <c r="A648" s="70" t="inlineStr">
        <is>
          <t>ORD-00647</t>
        </is>
      </c>
      <c r="B648" s="71" t="n">
        <v>45369</v>
      </c>
      <c r="C648" s="70" t="inlineStr">
        <is>
          <t>CUST-0284</t>
        </is>
      </c>
      <c r="D648" s="70" t="inlineStr">
        <is>
          <t>PROD-024</t>
        </is>
      </c>
      <c r="E648" s="70" t="inlineStr">
        <is>
          <t>R018</t>
        </is>
      </c>
      <c r="F648" s="72" t="n">
        <v>6</v>
      </c>
      <c r="G648" s="72" t="n">
        <v>2270</v>
      </c>
      <c r="H648" s="72" t="n">
        <v>16.7</v>
      </c>
      <c r="I648" s="72" t="n">
        <v>11345.46</v>
      </c>
      <c r="J648" s="70" t="inlineStr">
        <is>
          <t>Completed</t>
        </is>
      </c>
      <c r="K648" s="70" t="inlineStr">
        <is>
          <t>Hyderabad</t>
        </is>
      </c>
    </row>
    <row r="649" ht="14.25" customHeight="1" s="56">
      <c r="A649" s="70" t="inlineStr">
        <is>
          <t>ORD-00648</t>
        </is>
      </c>
      <c r="B649" s="71" t="n">
        <v>45549</v>
      </c>
      <c r="C649" s="70" t="inlineStr">
        <is>
          <t>CUST-0092</t>
        </is>
      </c>
      <c r="D649" s="70" t="inlineStr">
        <is>
          <t>PROD-027</t>
        </is>
      </c>
      <c r="E649" s="70" t="inlineStr">
        <is>
          <t>R025</t>
        </is>
      </c>
      <c r="F649" s="72" t="n">
        <v>5</v>
      </c>
      <c r="G649" s="72" t="n">
        <v>3780</v>
      </c>
      <c r="H649" s="72" t="n">
        <v>21.5</v>
      </c>
      <c r="I649" s="72" t="n">
        <v>14836.5</v>
      </c>
      <c r="J649" s="70" t="inlineStr">
        <is>
          <t>Completed</t>
        </is>
      </c>
      <c r="K649" s="70" t="inlineStr">
        <is>
          <t>Bengaluru</t>
        </is>
      </c>
    </row>
    <row r="650" ht="14.25" customHeight="1" s="56">
      <c r="A650" s="70" t="inlineStr">
        <is>
          <t>ORD-00649</t>
        </is>
      </c>
      <c r="B650" s="71" t="n">
        <v>45505</v>
      </c>
      <c r="C650" s="70" t="inlineStr">
        <is>
          <t>CUST-0091</t>
        </is>
      </c>
      <c r="D650" s="70" t="inlineStr">
        <is>
          <t>PROD-037</t>
        </is>
      </c>
      <c r="E650" s="70" t="inlineStr">
        <is>
          <t>R019</t>
        </is>
      </c>
      <c r="F650" s="72" t="n">
        <v>10</v>
      </c>
      <c r="G650" s="72" t="n">
        <v>660</v>
      </c>
      <c r="H650" s="72" t="n">
        <v>18.8</v>
      </c>
      <c r="I650" s="72" t="n">
        <v>5359.2</v>
      </c>
      <c r="J650" s="70" t="inlineStr">
        <is>
          <t>Completed</t>
        </is>
      </c>
      <c r="K650" s="70" t="inlineStr">
        <is>
          <t>Delhi</t>
        </is>
      </c>
    </row>
    <row r="651" ht="14.25" customHeight="1" s="56">
      <c r="A651" s="70" t="inlineStr">
        <is>
          <t>ORD-00650</t>
        </is>
      </c>
      <c r="B651" s="71" t="n">
        <v>45413</v>
      </c>
      <c r="C651" s="70" t="inlineStr">
        <is>
          <t>CUST-0155</t>
        </is>
      </c>
      <c r="D651" s="70" t="inlineStr">
        <is>
          <t>PROD-031</t>
        </is>
      </c>
      <c r="E651" s="70" t="inlineStr">
        <is>
          <t>R024</t>
        </is>
      </c>
      <c r="F651" s="72" t="n">
        <v>10</v>
      </c>
      <c r="G651" s="72" t="n">
        <v>3730</v>
      </c>
      <c r="H651" s="72" t="n">
        <v>15.1</v>
      </c>
      <c r="I651" s="72" t="n">
        <v>31667.7</v>
      </c>
      <c r="J651" s="70" t="inlineStr">
        <is>
          <t>Completed</t>
        </is>
      </c>
      <c r="K651" s="70" t="inlineStr">
        <is>
          <t>Pune</t>
        </is>
      </c>
    </row>
    <row r="652" ht="14.25" customHeight="1" s="56">
      <c r="A652" s="70" t="inlineStr">
        <is>
          <t>ORD-00651</t>
        </is>
      </c>
      <c r="B652" s="71" t="n">
        <v>45559</v>
      </c>
      <c r="C652" s="70" t="inlineStr">
        <is>
          <t>CUST-0280</t>
        </is>
      </c>
      <c r="D652" s="70" t="inlineStr">
        <is>
          <t>PROD-025</t>
        </is>
      </c>
      <c r="E652" s="70" t="inlineStr">
        <is>
          <t>R021</t>
        </is>
      </c>
      <c r="F652" s="72" t="n">
        <v>6</v>
      </c>
      <c r="G652" s="72" t="n">
        <v>4060</v>
      </c>
      <c r="H652" s="72" t="n">
        <v>20.1</v>
      </c>
      <c r="I652" s="72" t="n">
        <v>19463.64</v>
      </c>
      <c r="J652" s="70" t="inlineStr">
        <is>
          <t>Pending</t>
        </is>
      </c>
      <c r="K652" s="70" t="inlineStr">
        <is>
          <t>DELHI</t>
        </is>
      </c>
    </row>
    <row r="653" ht="14.25" customHeight="1" s="56">
      <c r="A653" s="70" t="inlineStr">
        <is>
          <t>ORD-00652</t>
        </is>
      </c>
      <c r="B653" s="71" t="n">
        <v>45525</v>
      </c>
      <c r="C653" s="70" t="inlineStr">
        <is>
          <t>CUST-0127</t>
        </is>
      </c>
      <c r="D653" s="70" t="inlineStr">
        <is>
          <t>PROD-024</t>
        </is>
      </c>
      <c r="E653" s="70" t="inlineStr">
        <is>
          <t>R003</t>
        </is>
      </c>
      <c r="F653" s="72" t="n">
        <v>2</v>
      </c>
      <c r="G653" s="72" t="n">
        <v>2270</v>
      </c>
      <c r="H653" s="72" t="n">
        <v>17.7</v>
      </c>
      <c r="I653" s="72" t="n">
        <v>3736.42</v>
      </c>
      <c r="J653" s="70" t="inlineStr">
        <is>
          <t>Completed</t>
        </is>
      </c>
      <c r="K653" s="70" t="inlineStr">
        <is>
          <t>Bengaluru</t>
        </is>
      </c>
    </row>
    <row r="654" ht="14.25" customHeight="1" s="56">
      <c r="A654" s="70" t="inlineStr">
        <is>
          <t>ORD-00653</t>
        </is>
      </c>
      <c r="B654" s="71" t="n">
        <v>45610</v>
      </c>
      <c r="C654" s="70" t="inlineStr">
        <is>
          <t>CUST-0077</t>
        </is>
      </c>
      <c r="D654" s="70" t="inlineStr">
        <is>
          <t>PROD-003</t>
        </is>
      </c>
      <c r="E654" s="70" t="inlineStr">
        <is>
          <t>R028</t>
        </is>
      </c>
      <c r="F654" s="72" t="n">
        <v>9</v>
      </c>
      <c r="G654" s="72" t="n">
        <v>3570</v>
      </c>
      <c r="H654" s="72" t="n">
        <v>29.9</v>
      </c>
      <c r="I654" s="72" t="n">
        <v>22523.13</v>
      </c>
      <c r="J654" s="70" t="inlineStr">
        <is>
          <t>Completed</t>
        </is>
      </c>
      <c r="K654" s="70" t="inlineStr">
        <is>
          <t>Hyderabad</t>
        </is>
      </c>
    </row>
    <row r="655" ht="14.25" customHeight="1" s="56">
      <c r="A655" s="70" t="inlineStr">
        <is>
          <t>ORD-00654</t>
        </is>
      </c>
      <c r="B655" s="71" t="n">
        <v>45521</v>
      </c>
      <c r="C655" s="70" t="inlineStr">
        <is>
          <t>CUST-0190</t>
        </is>
      </c>
      <c r="D655" s="70" t="inlineStr">
        <is>
          <t>PROD-029</t>
        </is>
      </c>
      <c r="E655" s="70" t="inlineStr">
        <is>
          <t>R004</t>
        </is>
      </c>
      <c r="F655" s="72" t="n">
        <v>7</v>
      </c>
      <c r="G655" s="72" t="n">
        <v>2210</v>
      </c>
      <c r="H655" s="72" t="n">
        <v>25</v>
      </c>
      <c r="I655" s="72" t="n">
        <v>11602.5</v>
      </c>
      <c r="J655" s="70" t="inlineStr">
        <is>
          <t>Completed</t>
        </is>
      </c>
      <c r="K655" s="70" t="inlineStr">
        <is>
          <t>Hyderabad</t>
        </is>
      </c>
    </row>
    <row r="656" ht="14.25" customHeight="1" s="56">
      <c r="A656" s="70" t="inlineStr">
        <is>
          <t>ORD-00655</t>
        </is>
      </c>
      <c r="B656" s="71" t="n">
        <v>45381</v>
      </c>
      <c r="C656" s="70" t="inlineStr">
        <is>
          <t>CUST-0089</t>
        </is>
      </c>
      <c r="D656" s="70" t="inlineStr">
        <is>
          <t>PROD-057</t>
        </is>
      </c>
      <c r="E656" s="70" t="inlineStr">
        <is>
          <t>R026</t>
        </is>
      </c>
      <c r="F656" s="72" t="n">
        <v>2</v>
      </c>
      <c r="G656" s="72" t="n">
        <v>960</v>
      </c>
      <c r="H656" s="72" t="n">
        <v>8.199999999999999</v>
      </c>
      <c r="I656" s="72" t="n">
        <v>1762.56</v>
      </c>
      <c r="J656" s="70" t="inlineStr">
        <is>
          <t>Cancelled</t>
        </is>
      </c>
      <c r="K656" s="70" t="inlineStr">
        <is>
          <t>Mumbai</t>
        </is>
      </c>
    </row>
    <row r="657" ht="14.25" customHeight="1" s="56">
      <c r="A657" s="70" t="inlineStr">
        <is>
          <t>ORD-00656</t>
        </is>
      </c>
      <c r="B657" s="71" t="n">
        <v>45401</v>
      </c>
      <c r="C657" s="70" t="inlineStr">
        <is>
          <t>CUST-0141</t>
        </is>
      </c>
      <c r="D657" s="70" t="inlineStr">
        <is>
          <t>PROD-059</t>
        </is>
      </c>
      <c r="E657" s="70" t="inlineStr">
        <is>
          <t>R026</t>
        </is>
      </c>
      <c r="F657" s="72" t="n">
        <v>9</v>
      </c>
      <c r="G657" s="72" t="n">
        <v>3780</v>
      </c>
      <c r="H657" s="72" t="n">
        <v>28.4</v>
      </c>
      <c r="I657" s="72" t="n">
        <v>24358.32</v>
      </c>
      <c r="J657" s="70" t="inlineStr">
        <is>
          <t>Pending</t>
        </is>
      </c>
      <c r="K657" s="70" t="inlineStr">
        <is>
          <t>Hyderabad</t>
        </is>
      </c>
    </row>
    <row r="658" ht="14.25" customHeight="1" s="56">
      <c r="A658" s="70" t="inlineStr">
        <is>
          <t>ORD-00657</t>
        </is>
      </c>
      <c r="B658" s="71" t="n">
        <v>45581</v>
      </c>
      <c r="C658" s="70" t="inlineStr">
        <is>
          <t>CUST-0123</t>
        </is>
      </c>
      <c r="D658" s="70" t="inlineStr">
        <is>
          <t>PROD-048</t>
        </is>
      </c>
      <c r="E658" s="70" t="inlineStr">
        <is>
          <t>R014</t>
        </is>
      </c>
      <c r="F658" s="72" t="n">
        <v>2</v>
      </c>
      <c r="G658" s="72" t="n">
        <v>5100</v>
      </c>
      <c r="H658" s="72" t="n">
        <v>8.6</v>
      </c>
      <c r="I658" s="72" t="n">
        <v>9322.799999999999</v>
      </c>
      <c r="J658" s="70" t="inlineStr">
        <is>
          <t>Completed</t>
        </is>
      </c>
      <c r="K658" s="70" t="inlineStr">
        <is>
          <t>Chennai</t>
        </is>
      </c>
    </row>
    <row r="659" ht="14.25" customHeight="1" s="56">
      <c r="A659" s="70" t="inlineStr">
        <is>
          <t>ORD-00658</t>
        </is>
      </c>
      <c r="B659" s="71" t="n">
        <v>45414</v>
      </c>
      <c r="C659" s="70" t="inlineStr">
        <is>
          <t>CUST-0041</t>
        </is>
      </c>
      <c r="D659" s="70" t="inlineStr">
        <is>
          <t>PROD-019</t>
        </is>
      </c>
      <c r="E659" s="70" t="inlineStr">
        <is>
          <t>R021</t>
        </is>
      </c>
      <c r="F659" s="72" t="n">
        <v>4</v>
      </c>
      <c r="G659" s="72" t="n">
        <v>2480</v>
      </c>
      <c r="H659" s="72" t="n">
        <v>16.6</v>
      </c>
      <c r="I659" s="72" t="n">
        <v>8273.280000000001</v>
      </c>
      <c r="J659" s="70" t="inlineStr">
        <is>
          <t>Completed</t>
        </is>
      </c>
      <c r="K659" s="70" t="inlineStr">
        <is>
          <t>Bengaluru</t>
        </is>
      </c>
    </row>
    <row r="660" ht="14.25" customHeight="1" s="56">
      <c r="A660" s="70" t="inlineStr">
        <is>
          <t>ORD-00659</t>
        </is>
      </c>
      <c r="B660" s="71" t="n">
        <v>45443</v>
      </c>
      <c r="C660" s="70" t="inlineStr">
        <is>
          <t>CUST-0257</t>
        </is>
      </c>
      <c r="D660" s="70" t="inlineStr">
        <is>
          <t>PROD-040</t>
        </is>
      </c>
      <c r="E660" s="70" t="inlineStr">
        <is>
          <t>R018</t>
        </is>
      </c>
      <c r="F660" s="72" t="n">
        <v>10</v>
      </c>
      <c r="G660" s="72" t="n">
        <v>1080</v>
      </c>
      <c r="H660" s="72" t="n">
        <v>14.5</v>
      </c>
      <c r="I660" s="72" t="n">
        <v>9234</v>
      </c>
      <c r="J660" s="70" t="inlineStr">
        <is>
          <t>Completed</t>
        </is>
      </c>
      <c r="K660" s="70" t="inlineStr">
        <is>
          <t>Mumbai</t>
        </is>
      </c>
    </row>
    <row r="661" ht="14.25" customHeight="1" s="56">
      <c r="A661" s="70" t="inlineStr">
        <is>
          <t>ORD-00660</t>
        </is>
      </c>
      <c r="B661" s="71" t="n">
        <v>45377</v>
      </c>
      <c r="C661" s="70" t="inlineStr">
        <is>
          <t>CUST-0134</t>
        </is>
      </c>
      <c r="D661" s="70" t="inlineStr">
        <is>
          <t>PROD-002</t>
        </is>
      </c>
      <c r="E661" s="70" t="inlineStr">
        <is>
          <t>R029</t>
        </is>
      </c>
      <c r="F661" s="72" t="n">
        <v>7</v>
      </c>
      <c r="G661" s="72" t="n">
        <v>2600</v>
      </c>
      <c r="H661" s="72" t="n">
        <v>21</v>
      </c>
      <c r="I661" s="72" t="n">
        <v>14378</v>
      </c>
      <c r="J661" s="70" t="inlineStr">
        <is>
          <t>Completed</t>
        </is>
      </c>
      <c r="K661" s="70" t="inlineStr">
        <is>
          <t>Delhi</t>
        </is>
      </c>
    </row>
    <row r="662" ht="14.25" customHeight="1" s="56">
      <c r="A662" s="70" t="inlineStr">
        <is>
          <t>ORD-00661</t>
        </is>
      </c>
      <c r="B662" s="71" t="n">
        <v>45622</v>
      </c>
      <c r="C662" s="70" t="inlineStr">
        <is>
          <t>CUST-0180</t>
        </is>
      </c>
      <c r="D662" s="70" t="inlineStr">
        <is>
          <t>PROD-002</t>
        </is>
      </c>
      <c r="E662" s="70" t="inlineStr">
        <is>
          <t>R015</t>
        </is>
      </c>
      <c r="F662" s="72" t="n">
        <v>7</v>
      </c>
      <c r="G662" s="72" t="n">
        <v>2600</v>
      </c>
      <c r="H662" s="72" t="n">
        <v>6.7</v>
      </c>
      <c r="I662" s="72" t="n">
        <v>16980.6</v>
      </c>
      <c r="J662" s="70" t="inlineStr">
        <is>
          <t>Pending</t>
        </is>
      </c>
      <c r="K662" s="70" t="inlineStr">
        <is>
          <t>Chennai</t>
        </is>
      </c>
    </row>
    <row r="663" ht="14.25" customHeight="1" s="56">
      <c r="A663" s="70" t="inlineStr">
        <is>
          <t>ORD-00662</t>
        </is>
      </c>
      <c r="B663" s="71" t="n">
        <v>45403</v>
      </c>
      <c r="C663" s="70" t="inlineStr">
        <is>
          <t>CUST-0283</t>
        </is>
      </c>
      <c r="D663" s="70" t="inlineStr">
        <is>
          <t>PROD-020</t>
        </is>
      </c>
      <c r="E663" s="70" t="inlineStr">
        <is>
          <t>R023</t>
        </is>
      </c>
      <c r="F663" s="72" t="n">
        <v>8</v>
      </c>
      <c r="G663" s="72" t="n">
        <v>820</v>
      </c>
      <c r="H663" s="72" t="n">
        <v>17.8</v>
      </c>
      <c r="I663" s="72" t="n">
        <v>5392.32</v>
      </c>
      <c r="J663" s="70" t="inlineStr">
        <is>
          <t>Pending</t>
        </is>
      </c>
      <c r="K663" s="70" t="inlineStr">
        <is>
          <t>Delhi</t>
        </is>
      </c>
    </row>
    <row r="664" ht="14.25" customHeight="1" s="56">
      <c r="A664" s="70" t="inlineStr">
        <is>
          <t>ORD-00663</t>
        </is>
      </c>
      <c r="B664" s="71" t="n">
        <v>45532</v>
      </c>
      <c r="C664" s="70" t="inlineStr">
        <is>
          <t>CUST-0047</t>
        </is>
      </c>
      <c r="D664" s="70" t="inlineStr">
        <is>
          <t>PROD-057</t>
        </is>
      </c>
      <c r="E664" s="70" t="inlineStr">
        <is>
          <t>R009</t>
        </is>
      </c>
      <c r="F664" s="72" t="n">
        <v>3</v>
      </c>
      <c r="G664" s="72" t="n">
        <v>960</v>
      </c>
      <c r="H664" s="72" t="n">
        <v>17.8</v>
      </c>
      <c r="I664" s="72" t="n">
        <v>2367.36</v>
      </c>
      <c r="J664" s="70" t="inlineStr">
        <is>
          <t>Completed</t>
        </is>
      </c>
      <c r="K664" s="70" t="inlineStr">
        <is>
          <t>Pune</t>
        </is>
      </c>
    </row>
    <row r="665" ht="14.25" customHeight="1" s="56">
      <c r="A665" s="70" t="inlineStr">
        <is>
          <t>ORD-00664</t>
        </is>
      </c>
      <c r="B665" s="71" t="n">
        <v>45301</v>
      </c>
      <c r="C665" s="70" t="inlineStr">
        <is>
          <t>CUST-0175</t>
        </is>
      </c>
      <c r="D665" s="70" t="inlineStr">
        <is>
          <t>PROD-041</t>
        </is>
      </c>
      <c r="E665" s="70" t="inlineStr">
        <is>
          <t>R023</t>
        </is>
      </c>
      <c r="F665" s="72" t="n">
        <v>2</v>
      </c>
      <c r="G665" s="72" t="n">
        <v>1540</v>
      </c>
      <c r="H665" s="72" t="n">
        <v>1.8</v>
      </c>
      <c r="I665" s="72" t="n">
        <v>3024.56</v>
      </c>
      <c r="J665" s="70" t="inlineStr">
        <is>
          <t>Cancelled</t>
        </is>
      </c>
      <c r="K665" s="70" t="inlineStr">
        <is>
          <t>Delhi</t>
        </is>
      </c>
    </row>
    <row r="666" ht="14.25" customHeight="1" s="56">
      <c r="A666" s="70" t="inlineStr">
        <is>
          <t>ORD-00665</t>
        </is>
      </c>
      <c r="B666" s="71" t="n">
        <v>45622</v>
      </c>
      <c r="C666" s="70" t="inlineStr">
        <is>
          <t>CUST-0227</t>
        </is>
      </c>
      <c r="D666" s="70" t="inlineStr">
        <is>
          <t>PROD-056</t>
        </is>
      </c>
      <c r="E666" s="70" t="inlineStr">
        <is>
          <t>R030</t>
        </is>
      </c>
      <c r="F666" s="72" t="n">
        <v>5</v>
      </c>
      <c r="G666" s="72" t="n">
        <v>6940</v>
      </c>
      <c r="H666" s="72" t="n">
        <v>2.9</v>
      </c>
      <c r="I666" s="72" t="n">
        <v>33693.7</v>
      </c>
      <c r="J666" s="70" t="inlineStr">
        <is>
          <t>Completed</t>
        </is>
      </c>
      <c r="K666" s="70" t="inlineStr">
        <is>
          <t>Bengaluru</t>
        </is>
      </c>
    </row>
    <row r="667" ht="14.25" customHeight="1" s="56">
      <c r="A667" s="70" t="inlineStr">
        <is>
          <t>ORD-00666</t>
        </is>
      </c>
      <c r="B667" s="71" t="n">
        <v>45531</v>
      </c>
      <c r="C667" s="70" t="inlineStr">
        <is>
          <t>CUST-0287</t>
        </is>
      </c>
      <c r="D667" s="70" t="inlineStr">
        <is>
          <t>PROD-041</t>
        </is>
      </c>
      <c r="E667" s="70" t="inlineStr">
        <is>
          <t>R013</t>
        </is>
      </c>
      <c r="F667" s="72" t="n">
        <v>5</v>
      </c>
      <c r="G667" s="72" t="n">
        <v>1540</v>
      </c>
      <c r="H667" s="72" t="n">
        <v>28.8</v>
      </c>
      <c r="I667" s="72" t="n">
        <v>5482.4</v>
      </c>
      <c r="J667" s="70" t="inlineStr">
        <is>
          <t>Completed</t>
        </is>
      </c>
      <c r="K667" s="70" t="inlineStr">
        <is>
          <t>Chennai</t>
        </is>
      </c>
    </row>
    <row r="668" ht="14.25" customHeight="1" s="56">
      <c r="A668" s="70" t="inlineStr">
        <is>
          <t>ORD-00667</t>
        </is>
      </c>
      <c r="B668" s="71" t="n">
        <v>45326</v>
      </c>
      <c r="C668" s="70" t="inlineStr">
        <is>
          <t>CUST-0004</t>
        </is>
      </c>
      <c r="D668" s="70" t="inlineStr">
        <is>
          <t>PROD-031</t>
        </is>
      </c>
      <c r="E668" s="70" t="inlineStr">
        <is>
          <t>R012</t>
        </is>
      </c>
      <c r="F668" s="72" t="n">
        <v>8</v>
      </c>
      <c r="G668" s="72" t="n">
        <v>3730</v>
      </c>
      <c r="H668" s="72" t="n">
        <v>21.1</v>
      </c>
      <c r="I668" s="72" t="n">
        <v>23543.76</v>
      </c>
      <c r="J668" s="70" t="inlineStr">
        <is>
          <t>Completed</t>
        </is>
      </c>
      <c r="K668" s="70" t="inlineStr">
        <is>
          <t>Delhi</t>
        </is>
      </c>
    </row>
    <row r="669" ht="14.25" customHeight="1" s="56">
      <c r="A669" s="70" t="inlineStr">
        <is>
          <t>ORD-00668</t>
        </is>
      </c>
      <c r="B669" s="71" t="n">
        <v>45635</v>
      </c>
      <c r="C669" s="70" t="inlineStr">
        <is>
          <t>CUST-0234</t>
        </is>
      </c>
      <c r="D669" s="70" t="inlineStr">
        <is>
          <t>PROD-021</t>
        </is>
      </c>
      <c r="E669" s="70" t="inlineStr">
        <is>
          <t>R023</t>
        </is>
      </c>
      <c r="F669" s="72" t="n">
        <v>7</v>
      </c>
      <c r="G669" s="72" t="n">
        <v>2760</v>
      </c>
      <c r="H669" s="72" t="n">
        <v>1.2</v>
      </c>
      <c r="I669" s="72" t="n">
        <v>19088.16</v>
      </c>
      <c r="J669" s="70" t="inlineStr">
        <is>
          <t>Cancelled</t>
        </is>
      </c>
      <c r="K669" s="70" t="inlineStr">
        <is>
          <t>Bengaluru</t>
        </is>
      </c>
    </row>
    <row r="670" ht="14.25" customHeight="1" s="56">
      <c r="A670" s="70" t="inlineStr">
        <is>
          <t>ORD-00669</t>
        </is>
      </c>
      <c r="B670" s="71" t="n">
        <v>45431</v>
      </c>
      <c r="C670" s="70" t="inlineStr">
        <is>
          <t>CUST-0255</t>
        </is>
      </c>
      <c r="D670" s="70" t="inlineStr">
        <is>
          <t>PROD-006</t>
        </is>
      </c>
      <c r="E670" s="70" t="inlineStr">
        <is>
          <t>R020</t>
        </is>
      </c>
      <c r="F670" s="72" t="n">
        <v>3</v>
      </c>
      <c r="G670" s="72" t="n">
        <v>3970</v>
      </c>
      <c r="H670" s="72" t="n">
        <v>18.3</v>
      </c>
      <c r="I670" s="72" t="n">
        <v>9730.469999999999</v>
      </c>
      <c r="J670" s="70" t="inlineStr">
        <is>
          <t>Completed</t>
        </is>
      </c>
      <c r="K670" s="70" t="inlineStr">
        <is>
          <t>Chennai</t>
        </is>
      </c>
    </row>
    <row r="671" ht="14.25" customHeight="1" s="56">
      <c r="A671" s="70" t="inlineStr">
        <is>
          <t>ORD-00670</t>
        </is>
      </c>
      <c r="B671" s="71" t="n">
        <v>45393</v>
      </c>
      <c r="C671" s="70" t="inlineStr">
        <is>
          <t>CUST-0092</t>
        </is>
      </c>
      <c r="D671" s="70" t="inlineStr">
        <is>
          <t>PROD-027</t>
        </is>
      </c>
      <c r="E671" s="70" t="inlineStr">
        <is>
          <t>R023</t>
        </is>
      </c>
      <c r="F671" s="72" t="n">
        <v>4</v>
      </c>
      <c r="G671" s="72" t="n">
        <v>3780</v>
      </c>
      <c r="H671" s="72" t="n">
        <v>24.6</v>
      </c>
      <c r="I671" s="72" t="n">
        <v>11400.48</v>
      </c>
      <c r="J671" s="70" t="inlineStr">
        <is>
          <t>Completed</t>
        </is>
      </c>
      <c r="K671" s="70" t="inlineStr">
        <is>
          <t>Bengaluru</t>
        </is>
      </c>
    </row>
    <row r="672" ht="14.25" customHeight="1" s="56">
      <c r="A672" s="70" t="inlineStr">
        <is>
          <t>ORD-00671</t>
        </is>
      </c>
      <c r="B672" s="71" t="n">
        <v>45295</v>
      </c>
      <c r="C672" s="70" t="inlineStr">
        <is>
          <t>CUST-0037</t>
        </is>
      </c>
      <c r="D672" s="70" t="inlineStr">
        <is>
          <t>PROD-015</t>
        </is>
      </c>
      <c r="E672" s="70" t="inlineStr">
        <is>
          <t>R008</t>
        </is>
      </c>
      <c r="F672" s="72" t="n">
        <v>10</v>
      </c>
      <c r="G672" s="72" t="n">
        <v>2720</v>
      </c>
      <c r="H672" s="72" t="n">
        <v>12.8</v>
      </c>
      <c r="I672" s="72" t="n">
        <v>23718.4</v>
      </c>
      <c r="J672" s="70" t="inlineStr">
        <is>
          <t>Completed</t>
        </is>
      </c>
      <c r="K672" s="70" t="inlineStr">
        <is>
          <t>Bengaluru</t>
        </is>
      </c>
    </row>
    <row r="673" ht="14.25" customHeight="1" s="56">
      <c r="A673" s="70" t="inlineStr">
        <is>
          <t>ORD-00672</t>
        </is>
      </c>
      <c r="B673" s="71" t="n">
        <v>45371</v>
      </c>
      <c r="C673" s="70" t="inlineStr">
        <is>
          <t>CUST-0208</t>
        </is>
      </c>
      <c r="D673" s="70" t="inlineStr">
        <is>
          <t>PROD-006</t>
        </is>
      </c>
      <c r="E673" s="70" t="inlineStr">
        <is>
          <t>R017</t>
        </is>
      </c>
      <c r="F673" s="72" t="n">
        <v>5</v>
      </c>
      <c r="G673" s="72" t="n">
        <v>3970</v>
      </c>
      <c r="H673" s="72" t="n">
        <v>5.9</v>
      </c>
      <c r="I673" s="72" t="n">
        <v>18678.85</v>
      </c>
      <c r="J673" s="70" t="inlineStr">
        <is>
          <t>Completed</t>
        </is>
      </c>
      <c r="K673" s="70" t="inlineStr">
        <is>
          <t>Mumbai</t>
        </is>
      </c>
    </row>
    <row r="674" ht="14.25" customHeight="1" s="56">
      <c r="A674" s="70" t="inlineStr">
        <is>
          <t>ORD-00673</t>
        </is>
      </c>
      <c r="B674" s="71" t="n">
        <v>45601</v>
      </c>
      <c r="C674" s="70" t="inlineStr">
        <is>
          <t>CUST-0008</t>
        </is>
      </c>
      <c r="D674" s="70" t="inlineStr">
        <is>
          <t>PROD-020</t>
        </is>
      </c>
      <c r="E674" s="70" t="inlineStr">
        <is>
          <t>R011</t>
        </is>
      </c>
      <c r="F674" s="72" t="n">
        <v>3</v>
      </c>
      <c r="G674" s="72" t="n">
        <v>820</v>
      </c>
      <c r="H674" s="72" t="n">
        <v>19.4</v>
      </c>
      <c r="I674" s="72" t="n">
        <v>1982.76</v>
      </c>
      <c r="J674" s="70" t="inlineStr">
        <is>
          <t>Completed</t>
        </is>
      </c>
      <c r="K674" s="70" t="inlineStr">
        <is>
          <t>Pune</t>
        </is>
      </c>
    </row>
    <row r="675" ht="14.25" customHeight="1" s="56">
      <c r="A675" s="70" t="inlineStr">
        <is>
          <t>ORD-00674</t>
        </is>
      </c>
      <c r="B675" s="71" t="n">
        <v>45471</v>
      </c>
      <c r="C675" s="70" t="inlineStr">
        <is>
          <t>CUST-0050</t>
        </is>
      </c>
      <c r="D675" s="70" t="inlineStr">
        <is>
          <t>PROD-016</t>
        </is>
      </c>
      <c r="E675" s="70" t="inlineStr">
        <is>
          <t>R010</t>
        </is>
      </c>
      <c r="F675" s="72" t="n">
        <v>7</v>
      </c>
      <c r="G675" s="72" t="n">
        <v>620</v>
      </c>
      <c r="H675" s="72" t="n">
        <v>9.9</v>
      </c>
      <c r="I675" s="72" t="n">
        <v>3910.34</v>
      </c>
      <c r="J675" s="70" t="inlineStr">
        <is>
          <t>Completed</t>
        </is>
      </c>
      <c r="K675" s="70" t="inlineStr">
        <is>
          <t>Mumbai</t>
        </is>
      </c>
    </row>
    <row r="676" ht="14.25" customHeight="1" s="56">
      <c r="A676" s="70" t="inlineStr">
        <is>
          <t>ORD-00675</t>
        </is>
      </c>
      <c r="B676" s="71" t="n">
        <v>45318</v>
      </c>
      <c r="C676" s="70" t="inlineStr">
        <is>
          <t>CUST-0166</t>
        </is>
      </c>
      <c r="D676" s="70" t="inlineStr">
        <is>
          <t>PROD-042</t>
        </is>
      </c>
      <c r="E676" s="70" t="inlineStr">
        <is>
          <t>R027</t>
        </is>
      </c>
      <c r="F676" s="72" t="n">
        <v>8</v>
      </c>
      <c r="G676" s="72" t="n">
        <v>2290</v>
      </c>
      <c r="H676" s="72" t="n">
        <v>18.3</v>
      </c>
      <c r="I676" s="72" t="n">
        <v>14967.44</v>
      </c>
      <c r="J676" s="70" t="inlineStr">
        <is>
          <t>Completed</t>
        </is>
      </c>
      <c r="K676" s="70" t="inlineStr">
        <is>
          <t>Hyderabad</t>
        </is>
      </c>
    </row>
    <row r="677" ht="14.25" customHeight="1" s="56">
      <c r="A677" s="70" t="inlineStr">
        <is>
          <t>ORD-00676</t>
        </is>
      </c>
      <c r="B677" s="71" t="n">
        <v>45364</v>
      </c>
      <c r="C677" s="70" t="inlineStr">
        <is>
          <t>CUST-0271</t>
        </is>
      </c>
      <c r="D677" s="70" t="inlineStr">
        <is>
          <t>PROD-030</t>
        </is>
      </c>
      <c r="E677" s="70" t="inlineStr">
        <is>
          <t>R025</t>
        </is>
      </c>
      <c r="F677" s="72" t="n">
        <v>3</v>
      </c>
      <c r="G677" s="72" t="n">
        <v>970</v>
      </c>
      <c r="H677" s="72" t="n">
        <v>18.4</v>
      </c>
      <c r="I677" s="72" t="n">
        <v>2374.56</v>
      </c>
      <c r="J677" s="70" t="inlineStr">
        <is>
          <t>Completed</t>
        </is>
      </c>
      <c r="K677" s="70" t="inlineStr">
        <is>
          <t>Bengaluru</t>
        </is>
      </c>
    </row>
    <row r="678" ht="14.25" customHeight="1" s="56">
      <c r="A678" s="70" t="inlineStr">
        <is>
          <t>ORD-00677</t>
        </is>
      </c>
      <c r="B678" s="71" t="n">
        <v>45419</v>
      </c>
      <c r="C678" s="70" t="inlineStr">
        <is>
          <t>CUST-0034</t>
        </is>
      </c>
      <c r="D678" s="70" t="inlineStr">
        <is>
          <t>PROD-032</t>
        </is>
      </c>
      <c r="E678" s="70" t="inlineStr">
        <is>
          <t>R014</t>
        </is>
      </c>
      <c r="F678" s="72" t="n">
        <v>2</v>
      </c>
      <c r="G678" s="72" t="n">
        <v>370</v>
      </c>
      <c r="H678" s="72" t="n">
        <v>8.9</v>
      </c>
      <c r="I678" s="72" t="n">
        <v>674.14</v>
      </c>
      <c r="J678" s="70" t="inlineStr">
        <is>
          <t>Completed</t>
        </is>
      </c>
      <c r="K678" s="70" t="inlineStr">
        <is>
          <t>Delhi</t>
        </is>
      </c>
    </row>
    <row r="679" ht="14.25" customHeight="1" s="56">
      <c r="A679" s="70" t="inlineStr">
        <is>
          <t>ORD-00678</t>
        </is>
      </c>
      <c r="B679" s="71" t="n">
        <v>45632</v>
      </c>
      <c r="C679" s="70" t="inlineStr">
        <is>
          <t>CUST-0016</t>
        </is>
      </c>
      <c r="D679" s="70" t="inlineStr">
        <is>
          <t>PROD-007</t>
        </is>
      </c>
      <c r="E679" s="70" t="inlineStr">
        <is>
          <t>R007</t>
        </is>
      </c>
      <c r="F679" s="72" t="n">
        <v>1</v>
      </c>
      <c r="G679" s="72" t="n">
        <v>1430</v>
      </c>
      <c r="H679" s="72" t="n">
        <v>5.9</v>
      </c>
      <c r="I679" s="72" t="n">
        <v>1345.63</v>
      </c>
      <c r="J679" s="70" t="inlineStr">
        <is>
          <t>Cancelled</t>
        </is>
      </c>
      <c r="K679" s="70" t="inlineStr">
        <is>
          <t>Delhi</t>
        </is>
      </c>
    </row>
    <row r="680" ht="14.25" customHeight="1" s="56">
      <c r="A680" s="70" t="inlineStr">
        <is>
          <t>ORD-00679</t>
        </is>
      </c>
      <c r="B680" s="71" t="n">
        <v>45494</v>
      </c>
      <c r="C680" s="70" t="inlineStr">
        <is>
          <t>CUST-0039</t>
        </is>
      </c>
      <c r="D680" s="70" t="inlineStr">
        <is>
          <t>PROD-058</t>
        </is>
      </c>
      <c r="E680" s="70" t="inlineStr">
        <is>
          <t>R030</t>
        </is>
      </c>
      <c r="F680" s="72" t="n">
        <v>2</v>
      </c>
      <c r="G680" s="72" t="n">
        <v>2400</v>
      </c>
      <c r="H680" s="72" t="n">
        <v>29.1</v>
      </c>
      <c r="I680" s="72" t="n">
        <v>3403.2</v>
      </c>
      <c r="J680" s="70" t="inlineStr">
        <is>
          <t>Completed</t>
        </is>
      </c>
      <c r="K680" s="70" t="inlineStr">
        <is>
          <t>Bengaluru</t>
        </is>
      </c>
    </row>
    <row r="681" ht="14.25" customHeight="1" s="56">
      <c r="A681" s="70" t="inlineStr">
        <is>
          <t>ORD-00680</t>
        </is>
      </c>
      <c r="B681" s="71" t="n">
        <v>45337</v>
      </c>
      <c r="C681" s="70" t="inlineStr">
        <is>
          <t>CUST-0253</t>
        </is>
      </c>
      <c r="D681" s="70" t="inlineStr">
        <is>
          <t>PROD-007</t>
        </is>
      </c>
      <c r="E681" s="70" t="inlineStr">
        <is>
          <t>R011</t>
        </is>
      </c>
      <c r="F681" s="72" t="n">
        <v>9</v>
      </c>
      <c r="G681" s="72" t="n">
        <v>1430</v>
      </c>
      <c r="H681" s="72" t="n">
        <v>6</v>
      </c>
      <c r="I681" s="72" t="n">
        <v>12097.8</v>
      </c>
      <c r="J681" s="70" t="inlineStr">
        <is>
          <t>Completed</t>
        </is>
      </c>
      <c r="K681" s="70" t="inlineStr">
        <is>
          <t>Delhi</t>
        </is>
      </c>
    </row>
    <row r="682" ht="14.25" customHeight="1" s="56">
      <c r="A682" s="70" t="inlineStr">
        <is>
          <t>ORD-00681</t>
        </is>
      </c>
      <c r="B682" s="71" t="n">
        <v>45510</v>
      </c>
      <c r="C682" s="70" t="inlineStr">
        <is>
          <t>CUST-0295</t>
        </is>
      </c>
      <c r="D682" s="70" t="inlineStr">
        <is>
          <t>PROD-015</t>
        </is>
      </c>
      <c r="E682" s="70" t="inlineStr">
        <is>
          <t>R007</t>
        </is>
      </c>
      <c r="F682" s="72" t="n">
        <v>8</v>
      </c>
      <c r="G682" s="72" t="n">
        <v>2720</v>
      </c>
      <c r="H682" s="72" t="n">
        <v>25.7</v>
      </c>
      <c r="I682" s="72" t="n">
        <v>16167.68</v>
      </c>
      <c r="J682" s="70" t="inlineStr">
        <is>
          <t>Completed</t>
        </is>
      </c>
      <c r="K682" s="70" t="inlineStr">
        <is>
          <t>Delhi</t>
        </is>
      </c>
    </row>
    <row r="683" ht="14.25" customHeight="1" s="56">
      <c r="A683" s="70" t="inlineStr">
        <is>
          <t>ORD-00682</t>
        </is>
      </c>
      <c r="B683" s="71" t="n">
        <v>45572</v>
      </c>
      <c r="C683" s="70" t="inlineStr">
        <is>
          <t>CUST-0138</t>
        </is>
      </c>
      <c r="D683" s="70" t="inlineStr">
        <is>
          <t>PROD-056</t>
        </is>
      </c>
      <c r="E683" s="70" t="inlineStr">
        <is>
          <t>R027</t>
        </is>
      </c>
      <c r="F683" s="72" t="n">
        <v>6</v>
      </c>
      <c r="G683" s="72" t="n">
        <v>6940</v>
      </c>
      <c r="H683" s="72" t="n">
        <v>25.7</v>
      </c>
      <c r="I683" s="72" t="n">
        <v>30938.52</v>
      </c>
      <c r="J683" s="70" t="inlineStr">
        <is>
          <t>Completed</t>
        </is>
      </c>
      <c r="K683" s="70" t="inlineStr">
        <is>
          <t>Chennai</t>
        </is>
      </c>
    </row>
    <row r="684" ht="14.25" customHeight="1" s="56">
      <c r="A684" s="70" t="inlineStr">
        <is>
          <t>ORD-00683</t>
        </is>
      </c>
      <c r="B684" s="71" t="n">
        <v>45472</v>
      </c>
      <c r="C684" s="70" t="inlineStr">
        <is>
          <t>CUST-0002</t>
        </is>
      </c>
      <c r="D684" s="70" t="inlineStr">
        <is>
          <t>PROD-014</t>
        </is>
      </c>
      <c r="E684" s="70" t="inlineStr">
        <is>
          <t>R007</t>
        </is>
      </c>
      <c r="F684" s="72" t="n">
        <v>3</v>
      </c>
      <c r="G684" s="72" t="n">
        <v>3620</v>
      </c>
      <c r="H684" s="72" t="n">
        <v>29.7</v>
      </c>
      <c r="I684" s="72" t="n">
        <v>7634.58</v>
      </c>
      <c r="J684" s="70" t="inlineStr">
        <is>
          <t>Completed</t>
        </is>
      </c>
      <c r="K684" s="70" t="inlineStr">
        <is>
          <t>Pune</t>
        </is>
      </c>
    </row>
    <row r="685" ht="14.25" customHeight="1" s="56">
      <c r="A685" s="70" t="inlineStr">
        <is>
          <t>ORD-00684</t>
        </is>
      </c>
      <c r="B685" s="71" t="n">
        <v>45615</v>
      </c>
      <c r="C685" s="70" t="inlineStr">
        <is>
          <t>CUST-0287</t>
        </is>
      </c>
      <c r="D685" s="70" t="inlineStr">
        <is>
          <t>PROD-010</t>
        </is>
      </c>
      <c r="E685" s="70" t="inlineStr">
        <is>
          <t>R025</t>
        </is>
      </c>
      <c r="F685" s="72" t="n">
        <v>8</v>
      </c>
      <c r="G685" s="72" t="n">
        <v>2640</v>
      </c>
      <c r="H685" s="72" t="n">
        <v>24.4</v>
      </c>
      <c r="I685" s="72" t="n">
        <v>15966.72</v>
      </c>
      <c r="J685" s="70" t="inlineStr">
        <is>
          <t>Completed</t>
        </is>
      </c>
      <c r="K685" s="70" t="inlineStr">
        <is>
          <t>Chennai</t>
        </is>
      </c>
    </row>
    <row r="686" ht="14.25" customHeight="1" s="56">
      <c r="A686" s="70" t="inlineStr">
        <is>
          <t>ORD-00685</t>
        </is>
      </c>
      <c r="B686" s="71" t="n">
        <v>45349</v>
      </c>
      <c r="C686" s="70" t="inlineStr">
        <is>
          <t>CUST-0279</t>
        </is>
      </c>
      <c r="D686" s="70" t="inlineStr">
        <is>
          <t>PROD-038</t>
        </is>
      </c>
      <c r="E686" s="70" t="inlineStr">
        <is>
          <t>R006</t>
        </is>
      </c>
      <c r="F686" s="72" t="n">
        <v>3</v>
      </c>
      <c r="G686" s="72" t="n">
        <v>5490</v>
      </c>
      <c r="H686" s="72" t="n">
        <v>13.5</v>
      </c>
      <c r="I686" s="72" t="n">
        <v>14246.55</v>
      </c>
      <c r="J686" s="70" t="inlineStr">
        <is>
          <t>Completed</t>
        </is>
      </c>
      <c r="K686" s="70" t="inlineStr">
        <is>
          <t>Mumbai</t>
        </is>
      </c>
    </row>
    <row r="687" ht="14.25" customHeight="1" s="56">
      <c r="A687" s="70" t="inlineStr">
        <is>
          <t>ORD-00686</t>
        </is>
      </c>
      <c r="B687" s="71" t="n">
        <v>45413</v>
      </c>
      <c r="C687" s="70" t="inlineStr">
        <is>
          <t>CUST-0008</t>
        </is>
      </c>
      <c r="D687" s="70" t="inlineStr">
        <is>
          <t>PROD-034</t>
        </is>
      </c>
      <c r="E687" s="70" t="inlineStr">
        <is>
          <t>R017</t>
        </is>
      </c>
      <c r="F687" s="72" t="n">
        <v>3</v>
      </c>
      <c r="G687" s="72" t="n">
        <v>5080</v>
      </c>
      <c r="H687" s="72" t="n">
        <v>9.300000000000001</v>
      </c>
      <c r="I687" s="72" t="n">
        <v>13822.68</v>
      </c>
      <c r="J687" s="70" t="inlineStr">
        <is>
          <t>Completed</t>
        </is>
      </c>
      <c r="K687" s="70" t="inlineStr">
        <is>
          <t>Pune</t>
        </is>
      </c>
    </row>
    <row r="688" ht="14.25" customHeight="1" s="56">
      <c r="A688" s="70" t="inlineStr">
        <is>
          <t>ORD-00687</t>
        </is>
      </c>
      <c r="B688" s="71" t="n">
        <v>45515</v>
      </c>
      <c r="C688" s="70" t="inlineStr">
        <is>
          <t>CUST-0092</t>
        </is>
      </c>
      <c r="D688" s="70" t="inlineStr">
        <is>
          <t>PROD-042</t>
        </is>
      </c>
      <c r="E688" s="70" t="inlineStr">
        <is>
          <t>R030</t>
        </is>
      </c>
      <c r="F688" s="72" t="n">
        <v>4</v>
      </c>
      <c r="G688" s="72" t="n">
        <v>2290</v>
      </c>
      <c r="H688" s="72" t="n">
        <v>24.4</v>
      </c>
      <c r="I688" s="72" t="n">
        <v>6924.96</v>
      </c>
      <c r="J688" s="70" t="inlineStr">
        <is>
          <t>Completed</t>
        </is>
      </c>
      <c r="K688" s="70" t="inlineStr">
        <is>
          <t>Bengaluru</t>
        </is>
      </c>
    </row>
    <row r="689" ht="14.25" customHeight="1" s="56">
      <c r="A689" s="70" t="inlineStr">
        <is>
          <t>ORD-00688</t>
        </is>
      </c>
      <c r="B689" s="71" t="n">
        <v>45463</v>
      </c>
      <c r="C689" s="70" t="inlineStr">
        <is>
          <t>CUST-0106</t>
        </is>
      </c>
      <c r="D689" s="70" t="inlineStr">
        <is>
          <t>PROD-033</t>
        </is>
      </c>
      <c r="E689" s="70" t="inlineStr">
        <is>
          <t>R011</t>
        </is>
      </c>
      <c r="F689" s="72" t="n">
        <v>10</v>
      </c>
      <c r="G689" s="72" t="n">
        <v>2030</v>
      </c>
      <c r="H689" s="72" t="n">
        <v>13.6</v>
      </c>
      <c r="I689" s="72" t="n">
        <v>17539.2</v>
      </c>
      <c r="J689" s="70" t="inlineStr">
        <is>
          <t>Pending</t>
        </is>
      </c>
      <c r="K689" s="70" t="inlineStr">
        <is>
          <t>Pune</t>
        </is>
      </c>
    </row>
    <row r="690" ht="14.25" customHeight="1" s="56">
      <c r="A690" s="70" t="inlineStr">
        <is>
          <t>ORD-00689</t>
        </is>
      </c>
      <c r="B690" s="71" t="n">
        <v>45607</v>
      </c>
      <c r="C690" s="70" t="inlineStr">
        <is>
          <t>CUST-0010</t>
        </is>
      </c>
      <c r="D690" s="70" t="inlineStr">
        <is>
          <t>PROD-007</t>
        </is>
      </c>
      <c r="E690" s="70" t="inlineStr">
        <is>
          <t>R012</t>
        </is>
      </c>
      <c r="F690" s="72" t="n">
        <v>10</v>
      </c>
      <c r="G690" s="72" t="n">
        <v>1430</v>
      </c>
      <c r="H690" s="72" t="n">
        <v>16.1</v>
      </c>
      <c r="I690" s="72" t="n">
        <v>11997.7</v>
      </c>
      <c r="J690" s="70" t="inlineStr">
        <is>
          <t>Cancelled</t>
        </is>
      </c>
      <c r="K690" s="70" t="inlineStr">
        <is>
          <t>Mumbai</t>
        </is>
      </c>
    </row>
    <row r="691" ht="14.25" customHeight="1" s="56">
      <c r="A691" s="70" t="inlineStr">
        <is>
          <t>ORD-00690</t>
        </is>
      </c>
      <c r="B691" s="71" t="n">
        <v>45357</v>
      </c>
      <c r="C691" s="70" t="inlineStr">
        <is>
          <t>CUST-0179</t>
        </is>
      </c>
      <c r="D691" s="70" t="inlineStr">
        <is>
          <t>PROD-027</t>
        </is>
      </c>
      <c r="E691" s="70" t="inlineStr">
        <is>
          <t>R009</t>
        </is>
      </c>
      <c r="F691" s="72" t="n">
        <v>1</v>
      </c>
      <c r="G691" s="72" t="n">
        <v>3780</v>
      </c>
      <c r="H691" s="72" t="n">
        <v>22.7</v>
      </c>
      <c r="I691" s="72" t="n">
        <v>2921.94</v>
      </c>
      <c r="J691" s="70" t="inlineStr">
        <is>
          <t>Completed</t>
        </is>
      </c>
      <c r="K691" s="70" t="inlineStr">
        <is>
          <t>Mumbai</t>
        </is>
      </c>
    </row>
    <row r="692" ht="14.25" customHeight="1" s="56">
      <c r="A692" s="70" t="inlineStr">
        <is>
          <t>ORD-00691</t>
        </is>
      </c>
      <c r="B692" s="71" t="n">
        <v>45443</v>
      </c>
      <c r="C692" s="70" t="inlineStr">
        <is>
          <t>CUST-0216</t>
        </is>
      </c>
      <c r="D692" s="70" t="inlineStr">
        <is>
          <t>PROD-012</t>
        </is>
      </c>
      <c r="E692" s="70" t="inlineStr">
        <is>
          <t>R021</t>
        </is>
      </c>
      <c r="F692" s="72" t="n">
        <v>10</v>
      </c>
      <c r="G692" s="72" t="n">
        <v>3160</v>
      </c>
      <c r="H692" s="72" t="n">
        <v>13.4</v>
      </c>
      <c r="I692" s="72" t="n">
        <v>27365.6</v>
      </c>
      <c r="J692" s="70" t="inlineStr">
        <is>
          <t>Completed</t>
        </is>
      </c>
      <c r="K692" s="70" t="inlineStr">
        <is>
          <t>Mumbai</t>
        </is>
      </c>
    </row>
    <row r="693" ht="14.25" customHeight="1" s="56">
      <c r="A693" s="70" t="inlineStr">
        <is>
          <t>ORD-00692</t>
        </is>
      </c>
      <c r="B693" s="71" t="n">
        <v>45422</v>
      </c>
      <c r="C693" s="70" t="inlineStr">
        <is>
          <t>CUST-0172</t>
        </is>
      </c>
      <c r="D693" s="70" t="inlineStr">
        <is>
          <t>PROD-007</t>
        </is>
      </c>
      <c r="E693" s="70" t="inlineStr">
        <is>
          <t>R003</t>
        </is>
      </c>
      <c r="F693" s="72" t="n">
        <v>2</v>
      </c>
      <c r="G693" s="72" t="n">
        <v>1430</v>
      </c>
      <c r="H693" s="72" t="n">
        <v>7.4</v>
      </c>
      <c r="I693" s="72" t="n">
        <v>2648.36</v>
      </c>
      <c r="J693" s="70" t="inlineStr">
        <is>
          <t>Completed</t>
        </is>
      </c>
      <c r="K693" s="70" t="inlineStr">
        <is>
          <t>Pune</t>
        </is>
      </c>
    </row>
    <row r="694" ht="14.25" customHeight="1" s="56">
      <c r="A694" s="70" t="inlineStr">
        <is>
          <t>ORD-00693</t>
        </is>
      </c>
      <c r="B694" s="71" t="n">
        <v>45640</v>
      </c>
      <c r="C694" s="70" t="inlineStr">
        <is>
          <t>CUST-0152</t>
        </is>
      </c>
      <c r="D694" s="70" t="inlineStr">
        <is>
          <t>PROD-012</t>
        </is>
      </c>
      <c r="E694" s="70" t="inlineStr">
        <is>
          <t>R006</t>
        </is>
      </c>
      <c r="F694" s="72" t="n">
        <v>5</v>
      </c>
      <c r="G694" s="72" t="n">
        <v>3160</v>
      </c>
      <c r="H694" s="72" t="n">
        <v>3.6</v>
      </c>
      <c r="I694" s="72" t="n">
        <v>15231.2</v>
      </c>
      <c r="J694" s="70" t="inlineStr">
        <is>
          <t>Pending</t>
        </is>
      </c>
      <c r="K694" s="70" t="inlineStr">
        <is>
          <t>Bengaluru</t>
        </is>
      </c>
    </row>
    <row r="695" ht="14.25" customHeight="1" s="56">
      <c r="A695" s="70" t="inlineStr">
        <is>
          <t>ORD-00694</t>
        </is>
      </c>
      <c r="B695" s="71" t="n">
        <v>45521</v>
      </c>
      <c r="C695" s="70" t="inlineStr">
        <is>
          <t>CUST-0154</t>
        </is>
      </c>
      <c r="D695" s="70" t="inlineStr">
        <is>
          <t>PROD-042</t>
        </is>
      </c>
      <c r="E695" s="70" t="inlineStr">
        <is>
          <t>R004</t>
        </is>
      </c>
      <c r="F695" s="72" t="n">
        <v>2</v>
      </c>
      <c r="G695" s="72" t="n">
        <v>2290</v>
      </c>
      <c r="H695" s="72" t="n">
        <v>28.2</v>
      </c>
      <c r="I695" s="72" t="n">
        <v>3288.44</v>
      </c>
      <c r="J695" s="70" t="inlineStr">
        <is>
          <t>Completed</t>
        </is>
      </c>
      <c r="K695" s="70" t="inlineStr">
        <is>
          <t>Pune</t>
        </is>
      </c>
    </row>
    <row r="696" ht="14.25" customHeight="1" s="56">
      <c r="A696" s="70" t="inlineStr">
        <is>
          <t>ORD-00695</t>
        </is>
      </c>
      <c r="B696" s="71" t="n">
        <v>45366</v>
      </c>
      <c r="C696" s="70" t="inlineStr">
        <is>
          <t>CUST-0001</t>
        </is>
      </c>
      <c r="D696" s="70" t="inlineStr">
        <is>
          <t>PROD-011</t>
        </is>
      </c>
      <c r="E696" s="70" t="inlineStr">
        <is>
          <t>R015</t>
        </is>
      </c>
      <c r="F696" s="72" t="n">
        <v>5</v>
      </c>
      <c r="G696" s="72" t="n">
        <v>3450</v>
      </c>
      <c r="H696" s="72" t="n">
        <v>18.1</v>
      </c>
      <c r="I696" s="72" t="n">
        <v>14127.75</v>
      </c>
      <c r="J696" s="70" t="inlineStr">
        <is>
          <t>Cancelled</t>
        </is>
      </c>
      <c r="K696" s="70" t="inlineStr">
        <is>
          <t>Pune</t>
        </is>
      </c>
    </row>
    <row r="697" ht="14.25" customHeight="1" s="56">
      <c r="A697" s="70" t="inlineStr">
        <is>
          <t>ORD-00696</t>
        </is>
      </c>
      <c r="B697" s="71" t="n">
        <v>45439</v>
      </c>
      <c r="C697" s="70" t="inlineStr">
        <is>
          <t>CUST-0069</t>
        </is>
      </c>
      <c r="D697" s="70" t="inlineStr">
        <is>
          <t>PROD-018</t>
        </is>
      </c>
      <c r="E697" s="70" t="inlineStr">
        <is>
          <t>R001</t>
        </is>
      </c>
      <c r="F697" s="72" t="n">
        <v>1</v>
      </c>
      <c r="G697" s="72" t="n">
        <v>3560</v>
      </c>
      <c r="H697" s="72" t="n">
        <v>18.7</v>
      </c>
      <c r="I697" s="72" t="n">
        <v>2894.28</v>
      </c>
      <c r="J697" s="70" t="inlineStr">
        <is>
          <t>Completed</t>
        </is>
      </c>
      <c r="K697" s="70" t="inlineStr">
        <is>
          <t>Chennai</t>
        </is>
      </c>
    </row>
    <row r="698" ht="14.25" customHeight="1" s="56">
      <c r="A698" s="70" t="inlineStr">
        <is>
          <t>ORD-00697</t>
        </is>
      </c>
      <c r="B698" s="71" t="n">
        <v>45426</v>
      </c>
      <c r="C698" s="70" t="inlineStr">
        <is>
          <t>CUST-0200</t>
        </is>
      </c>
      <c r="D698" s="70" t="inlineStr">
        <is>
          <t>PROD-058</t>
        </is>
      </c>
      <c r="E698" s="70" t="inlineStr">
        <is>
          <t>R009</t>
        </is>
      </c>
      <c r="F698" s="72" t="n">
        <v>9</v>
      </c>
      <c r="G698" s="72" t="n">
        <v>2400</v>
      </c>
      <c r="H698" s="72" t="n">
        <v>18.5</v>
      </c>
      <c r="I698" s="72" t="n">
        <v>17604</v>
      </c>
      <c r="J698" s="70" t="inlineStr">
        <is>
          <t>Completed</t>
        </is>
      </c>
      <c r="K698" s="70" t="inlineStr">
        <is>
          <t>Hyderabad</t>
        </is>
      </c>
    </row>
    <row r="699" ht="14.25" customHeight="1" s="56">
      <c r="A699" s="70" t="inlineStr">
        <is>
          <t>ORD-00698</t>
        </is>
      </c>
      <c r="B699" s="71" t="n">
        <v>45415</v>
      </c>
      <c r="C699" s="70" t="inlineStr">
        <is>
          <t>CUST-0164</t>
        </is>
      </c>
      <c r="D699" s="70" t="inlineStr">
        <is>
          <t>PROD-004</t>
        </is>
      </c>
      <c r="E699" s="70" t="inlineStr">
        <is>
          <t>R023</t>
        </is>
      </c>
      <c r="F699" s="72" t="n">
        <v>9</v>
      </c>
      <c r="G699" s="72" t="n">
        <v>3870</v>
      </c>
      <c r="H699" s="72" t="n">
        <v>6.9</v>
      </c>
      <c r="I699" s="72" t="n">
        <v>32426.73</v>
      </c>
      <c r="J699" s="70" t="inlineStr">
        <is>
          <t>Refunded</t>
        </is>
      </c>
      <c r="K699" s="70" t="inlineStr">
        <is>
          <t>Chennai</t>
        </is>
      </c>
    </row>
    <row r="700" ht="14.25" customHeight="1" s="56">
      <c r="A700" s="70" t="inlineStr">
        <is>
          <t>ORD-00699</t>
        </is>
      </c>
      <c r="B700" s="71" t="n">
        <v>45620</v>
      </c>
      <c r="C700" s="70" t="inlineStr">
        <is>
          <t>CUST-0004</t>
        </is>
      </c>
      <c r="D700" s="70" t="inlineStr">
        <is>
          <t>PROD-028</t>
        </is>
      </c>
      <c r="E700" s="70" t="inlineStr">
        <is>
          <t>R022</t>
        </is>
      </c>
      <c r="F700" s="72" t="n">
        <v>5</v>
      </c>
      <c r="G700" s="72" t="n">
        <v>3660</v>
      </c>
      <c r="H700" s="72" t="n">
        <v>11.7</v>
      </c>
      <c r="I700" s="72" t="n">
        <v>16158.9</v>
      </c>
      <c r="J700" s="70" t="inlineStr">
        <is>
          <t>Completed</t>
        </is>
      </c>
      <c r="K700" s="70" t="inlineStr">
        <is>
          <t>Delhi</t>
        </is>
      </c>
    </row>
    <row r="701" ht="14.25" customHeight="1" s="56">
      <c r="A701" s="70" t="inlineStr">
        <is>
          <t>ORD-00700</t>
        </is>
      </c>
      <c r="B701" s="71" t="n">
        <v>45346</v>
      </c>
      <c r="C701" s="70" t="inlineStr">
        <is>
          <t>CUST-0224</t>
        </is>
      </c>
      <c r="D701" s="70" t="inlineStr">
        <is>
          <t>PROD-040</t>
        </is>
      </c>
      <c r="E701" s="70" t="inlineStr">
        <is>
          <t>R030</t>
        </is>
      </c>
      <c r="F701" s="72" t="n">
        <v>4</v>
      </c>
      <c r="G701" s="72" t="n">
        <v>1080</v>
      </c>
      <c r="H701" s="72" t="n">
        <v>17.5</v>
      </c>
      <c r="I701" s="72" t="n">
        <v>3564</v>
      </c>
      <c r="J701" s="70" t="inlineStr">
        <is>
          <t>Completed</t>
        </is>
      </c>
      <c r="K701" s="70" t="inlineStr">
        <is>
          <t>Chennai</t>
        </is>
      </c>
    </row>
    <row r="702" ht="14.25" customHeight="1" s="56">
      <c r="A702" s="70" t="inlineStr">
        <is>
          <t>ORD-01185</t>
        </is>
      </c>
      <c r="B702" s="71" t="n">
        <v>45297</v>
      </c>
      <c r="C702" s="70" t="inlineStr">
        <is>
          <t>CUST-0037</t>
        </is>
      </c>
      <c r="D702" s="70" t="inlineStr">
        <is>
          <t>PROD-059</t>
        </is>
      </c>
      <c r="E702" s="70" t="inlineStr">
        <is>
          <t>R006</t>
        </is>
      </c>
      <c r="F702" s="72" t="n">
        <v>6</v>
      </c>
      <c r="G702" s="72" t="n">
        <v>3780</v>
      </c>
      <c r="H702" s="72" t="n">
        <v>27.8</v>
      </c>
      <c r="I702" s="72" t="n">
        <v>16374.96</v>
      </c>
      <c r="J702" s="70" t="inlineStr">
        <is>
          <t>Completed</t>
        </is>
      </c>
      <c r="K702" s="70" t="inlineStr">
        <is>
          <t>Bengaluru</t>
        </is>
      </c>
    </row>
    <row r="703" ht="14.25" customHeight="1" s="56">
      <c r="A703" s="70" t="inlineStr">
        <is>
          <t>ORD-00702</t>
        </is>
      </c>
      <c r="B703" s="71" t="n">
        <v>45521</v>
      </c>
      <c r="C703" s="70" t="inlineStr">
        <is>
          <t>CUST-0179</t>
        </is>
      </c>
      <c r="D703" s="70" t="inlineStr">
        <is>
          <t>PROD-019</t>
        </is>
      </c>
      <c r="E703" s="70" t="inlineStr">
        <is>
          <t>R022</t>
        </is>
      </c>
      <c r="F703" s="72" t="n">
        <v>8</v>
      </c>
      <c r="G703" s="72" t="n">
        <v>2480</v>
      </c>
      <c r="H703" s="72" t="n">
        <v>15.7</v>
      </c>
      <c r="I703" s="72" t="n">
        <v>16725.12</v>
      </c>
      <c r="J703" s="70" t="inlineStr">
        <is>
          <t>Pending</t>
        </is>
      </c>
      <c r="K703" s="70" t="inlineStr">
        <is>
          <t>Mumbai</t>
        </is>
      </c>
    </row>
    <row r="704" ht="14.25" customHeight="1" s="56">
      <c r="A704" s="70" t="inlineStr">
        <is>
          <t>ORD-00703</t>
        </is>
      </c>
      <c r="B704" s="71" t="n">
        <v>45409</v>
      </c>
      <c r="C704" s="70" t="inlineStr">
        <is>
          <t>CUST-0018</t>
        </is>
      </c>
      <c r="D704" s="70" t="inlineStr">
        <is>
          <t>PROD-054</t>
        </is>
      </c>
      <c r="E704" s="70" t="inlineStr">
        <is>
          <t>R014</t>
        </is>
      </c>
      <c r="F704" s="72" t="n">
        <v>10</v>
      </c>
      <c r="G704" s="72" t="n">
        <v>1010</v>
      </c>
      <c r="H704" s="72" t="n">
        <v>0.1</v>
      </c>
      <c r="I704" s="72" t="n">
        <v>10089.9</v>
      </c>
      <c r="J704" s="70" t="inlineStr">
        <is>
          <t>Pending</t>
        </is>
      </c>
      <c r="K704" s="70" t="inlineStr">
        <is>
          <t>Pune</t>
        </is>
      </c>
    </row>
    <row r="705" ht="14.25" customHeight="1" s="56">
      <c r="A705" s="70" t="inlineStr">
        <is>
          <t>ORD-00704</t>
        </is>
      </c>
      <c r="B705" s="71" t="n">
        <v>45406</v>
      </c>
      <c r="C705" s="70" t="inlineStr">
        <is>
          <t>CUST-0184</t>
        </is>
      </c>
      <c r="D705" s="70" t="inlineStr">
        <is>
          <t>PROD-053</t>
        </is>
      </c>
      <c r="E705" s="70" t="inlineStr">
        <is>
          <t>R015</t>
        </is>
      </c>
      <c r="F705" s="72" t="n">
        <v>3</v>
      </c>
      <c r="G705" s="72" t="n">
        <v>470</v>
      </c>
      <c r="H705" s="72" t="n">
        <v>1.1</v>
      </c>
      <c r="I705" s="72" t="n">
        <v>1394.49</v>
      </c>
      <c r="J705" s="70" t="inlineStr">
        <is>
          <t>Completed</t>
        </is>
      </c>
      <c r="K705" s="70" t="inlineStr">
        <is>
          <t>Pune</t>
        </is>
      </c>
    </row>
    <row r="706" ht="14.25" customHeight="1" s="56">
      <c r="A706" s="70" t="inlineStr">
        <is>
          <t>ORD-00705</t>
        </is>
      </c>
      <c r="B706" s="71" t="n">
        <v>45474</v>
      </c>
      <c r="C706" s="70" t="inlineStr">
        <is>
          <t>CUST-0066</t>
        </is>
      </c>
      <c r="D706" s="70" t="inlineStr">
        <is>
          <t>PROD-024</t>
        </is>
      </c>
      <c r="E706" s="70" t="inlineStr">
        <is>
          <t>R019</t>
        </is>
      </c>
      <c r="F706" s="72" t="n">
        <v>4</v>
      </c>
      <c r="G706" s="72" t="n">
        <v>2270</v>
      </c>
      <c r="H706" s="72" t="n">
        <v>17.1</v>
      </c>
      <c r="I706" s="72" t="n">
        <v>7527.32</v>
      </c>
      <c r="J706" s="70" t="inlineStr">
        <is>
          <t>Completed</t>
        </is>
      </c>
      <c r="K706" s="70" t="inlineStr">
        <is>
          <t>Delhi</t>
        </is>
      </c>
    </row>
    <row r="707" ht="14.25" customHeight="1" s="56">
      <c r="A707" s="70" t="inlineStr">
        <is>
          <t>ORD-00706</t>
        </is>
      </c>
      <c r="B707" s="71" t="n">
        <v>45588</v>
      </c>
      <c r="C707" s="70" t="inlineStr">
        <is>
          <t>CUST-0053</t>
        </is>
      </c>
      <c r="D707" s="70" t="inlineStr">
        <is>
          <t>PROD-021</t>
        </is>
      </c>
      <c r="E707" s="70" t="inlineStr">
        <is>
          <t>R010</t>
        </is>
      </c>
      <c r="F707" s="72" t="n">
        <v>7</v>
      </c>
      <c r="G707" s="72" t="n">
        <v>2760</v>
      </c>
      <c r="H707" s="72" t="n">
        <v>17.1</v>
      </c>
      <c r="I707" s="72" t="n">
        <v>16016.28</v>
      </c>
      <c r="J707" s="70" t="inlineStr">
        <is>
          <t>Completed</t>
        </is>
      </c>
      <c r="K707" s="70" t="inlineStr">
        <is>
          <t>Delhi</t>
        </is>
      </c>
    </row>
    <row r="708" ht="14.25" customHeight="1" s="56">
      <c r="A708" s="70" t="inlineStr">
        <is>
          <t>ORD-00707</t>
        </is>
      </c>
      <c r="B708" s="71" t="n">
        <v>45530</v>
      </c>
      <c r="C708" s="70" t="inlineStr">
        <is>
          <t>CUST-0278</t>
        </is>
      </c>
      <c r="D708" s="70" t="inlineStr">
        <is>
          <t>PROD-051</t>
        </is>
      </c>
      <c r="E708" s="70" t="inlineStr">
        <is>
          <t>R008</t>
        </is>
      </c>
      <c r="F708" s="72" t="n">
        <v>6</v>
      </c>
      <c r="G708" s="72" t="n">
        <v>3450</v>
      </c>
      <c r="H708" s="72" t="n">
        <v>6.6</v>
      </c>
      <c r="I708" s="72" t="n">
        <v>19333.8</v>
      </c>
      <c r="J708" s="70" t="inlineStr">
        <is>
          <t>Refunded</t>
        </is>
      </c>
      <c r="K708" s="70" t="inlineStr">
        <is>
          <t>Hyderabad</t>
        </is>
      </c>
    </row>
    <row r="709" ht="14.25" customHeight="1" s="56">
      <c r="A709" s="70" t="inlineStr">
        <is>
          <t>ORD-00708</t>
        </is>
      </c>
      <c r="B709" s="71" t="n">
        <v>45630</v>
      </c>
      <c r="C709" s="70" t="inlineStr">
        <is>
          <t>CUST-0285</t>
        </is>
      </c>
      <c r="D709" s="70" t="inlineStr">
        <is>
          <t>PROD-028</t>
        </is>
      </c>
      <c r="E709" s="70" t="inlineStr">
        <is>
          <t>R007</t>
        </is>
      </c>
      <c r="F709" s="72" t="n">
        <v>8</v>
      </c>
      <c r="G709" s="72" t="n">
        <v>3660</v>
      </c>
      <c r="H709" s="72" t="n">
        <v>7.2</v>
      </c>
      <c r="I709" s="72" t="n">
        <v>27171.84</v>
      </c>
      <c r="J709" s="70" t="inlineStr">
        <is>
          <t>Completed</t>
        </is>
      </c>
      <c r="K709" s="70" t="inlineStr">
        <is>
          <t>Hyderabad</t>
        </is>
      </c>
    </row>
    <row r="710" ht="14.25" customHeight="1" s="56">
      <c r="A710" s="70" t="inlineStr">
        <is>
          <t>ORD-00709</t>
        </is>
      </c>
      <c r="B710" s="71" t="n">
        <v>45551</v>
      </c>
      <c r="C710" s="70" t="inlineStr">
        <is>
          <t>CUST-0060</t>
        </is>
      </c>
      <c r="D710" s="70" t="inlineStr">
        <is>
          <t>PROD-009</t>
        </is>
      </c>
      <c r="E710" s="70" t="inlineStr">
        <is>
          <t>R030</t>
        </is>
      </c>
      <c r="F710" s="72" t="n">
        <v>4</v>
      </c>
      <c r="G710" s="72" t="n">
        <v>1220</v>
      </c>
      <c r="H710" s="72" t="n">
        <v>24.3</v>
      </c>
      <c r="I710" s="72" t="n">
        <v>3694.16</v>
      </c>
      <c r="J710" s="70" t="inlineStr">
        <is>
          <t>Cancelled</t>
        </is>
      </c>
      <c r="K710" s="70" t="inlineStr">
        <is>
          <t>Pune</t>
        </is>
      </c>
    </row>
    <row r="711" ht="14.25" customHeight="1" s="56">
      <c r="A711" s="70" t="inlineStr">
        <is>
          <t>ORD-00710</t>
        </is>
      </c>
      <c r="B711" s="71" t="n">
        <v>45610</v>
      </c>
      <c r="C711" s="70" t="inlineStr">
        <is>
          <t>CUST-0236</t>
        </is>
      </c>
      <c r="D711" s="70" t="inlineStr">
        <is>
          <t>PROD-052</t>
        </is>
      </c>
      <c r="E711" s="70" t="inlineStr">
        <is>
          <t>R007</t>
        </is>
      </c>
      <c r="F711" s="72" t="n">
        <v>2</v>
      </c>
      <c r="G711" s="72" t="n">
        <v>5410</v>
      </c>
      <c r="H711" s="72" t="n">
        <v>0.9</v>
      </c>
      <c r="I711" s="72" t="n">
        <v>10722.62</v>
      </c>
      <c r="J711" s="70" t="inlineStr">
        <is>
          <t>Pending</t>
        </is>
      </c>
      <c r="K711" s="70" t="inlineStr">
        <is>
          <t>Hyderabad</t>
        </is>
      </c>
    </row>
    <row r="712" ht="14.25" customHeight="1" s="56">
      <c r="A712" s="70" t="inlineStr">
        <is>
          <t>ORD-00711</t>
        </is>
      </c>
      <c r="B712" s="71" t="n">
        <v>45322</v>
      </c>
      <c r="C712" s="70" t="inlineStr">
        <is>
          <t>CUST-0106</t>
        </is>
      </c>
      <c r="D712" s="70" t="inlineStr">
        <is>
          <t>PROD-033</t>
        </is>
      </c>
      <c r="E712" s="70" t="inlineStr">
        <is>
          <t>R009</t>
        </is>
      </c>
      <c r="F712" s="72" t="n">
        <v>5</v>
      </c>
      <c r="G712" s="72" t="n">
        <v>2030</v>
      </c>
      <c r="H712" s="72" t="n">
        <v>25.2</v>
      </c>
      <c r="I712" s="72" t="n">
        <v>7592.2</v>
      </c>
      <c r="J712" s="70" t="inlineStr">
        <is>
          <t>Completed</t>
        </is>
      </c>
      <c r="K712" s="70" t="inlineStr">
        <is>
          <t>Pune</t>
        </is>
      </c>
    </row>
    <row r="713" ht="14.25" customHeight="1" s="56">
      <c r="A713" s="70" t="inlineStr">
        <is>
          <t>ORD-00712</t>
        </is>
      </c>
      <c r="B713" s="71" t="n">
        <v>45363</v>
      </c>
      <c r="C713" s="70" t="inlineStr">
        <is>
          <t>CUST-0085</t>
        </is>
      </c>
      <c r="D713" s="70" t="inlineStr">
        <is>
          <t>PROD-009</t>
        </is>
      </c>
      <c r="E713" s="70" t="inlineStr">
        <is>
          <t>R012</t>
        </is>
      </c>
      <c r="F713" s="72" t="n">
        <v>5</v>
      </c>
      <c r="G713" s="72" t="n">
        <v>1220</v>
      </c>
      <c r="H713" s="72" t="n">
        <v>2.6</v>
      </c>
      <c r="I713" s="72" t="n">
        <v>5941.4</v>
      </c>
      <c r="J713" s="70" t="inlineStr">
        <is>
          <t>Completed</t>
        </is>
      </c>
      <c r="K713" s="70" t="inlineStr">
        <is>
          <t>Chennai</t>
        </is>
      </c>
    </row>
    <row r="714" ht="14.25" customHeight="1" s="56">
      <c r="A714" s="70" t="inlineStr">
        <is>
          <t>ORD-00713</t>
        </is>
      </c>
      <c r="B714" s="71" t="n">
        <v>45600</v>
      </c>
      <c r="C714" s="70" t="inlineStr">
        <is>
          <t>CUST-0075</t>
        </is>
      </c>
      <c r="D714" s="70" t="inlineStr">
        <is>
          <t>PROD-008</t>
        </is>
      </c>
      <c r="E714" s="70" t="inlineStr">
        <is>
          <t>R006</t>
        </is>
      </c>
      <c r="F714" s="72" t="n">
        <v>4</v>
      </c>
      <c r="G714" s="72" t="n">
        <v>2660</v>
      </c>
      <c r="H714" s="72" t="n">
        <v>19.1</v>
      </c>
      <c r="I714" s="72" t="n">
        <v>8607.76</v>
      </c>
      <c r="J714" s="70" t="inlineStr">
        <is>
          <t>Refunded</t>
        </is>
      </c>
      <c r="K714" s="70" t="inlineStr">
        <is>
          <t>Mumbai</t>
        </is>
      </c>
    </row>
    <row r="715" ht="14.25" customHeight="1" s="56">
      <c r="A715" s="70" t="inlineStr">
        <is>
          <t>ORD-00714</t>
        </is>
      </c>
      <c r="B715" s="71" t="n">
        <v>45351</v>
      </c>
      <c r="C715" s="70" t="inlineStr">
        <is>
          <t>CUST-0169</t>
        </is>
      </c>
      <c r="D715" s="70" t="inlineStr">
        <is>
          <t>PROD-026</t>
        </is>
      </c>
      <c r="E715" s="70" t="inlineStr">
        <is>
          <t>R016</t>
        </is>
      </c>
      <c r="F715" s="72" t="n">
        <v>3</v>
      </c>
      <c r="G715" s="72" t="n">
        <v>4070</v>
      </c>
      <c r="H715" s="72" t="n">
        <v>25.2</v>
      </c>
      <c r="I715" s="72" t="n">
        <v>9133.08</v>
      </c>
      <c r="J715" s="70" t="inlineStr">
        <is>
          <t>Completed</t>
        </is>
      </c>
      <c r="K715" s="70" t="inlineStr">
        <is>
          <t>Bengaluru</t>
        </is>
      </c>
    </row>
    <row r="716" ht="14.25" customHeight="1" s="56">
      <c r="A716" s="70" t="inlineStr">
        <is>
          <t>ORD-00715</t>
        </is>
      </c>
      <c r="B716" s="71" t="n">
        <v>45461</v>
      </c>
      <c r="C716" s="70" t="inlineStr">
        <is>
          <t>CUST-0166</t>
        </is>
      </c>
      <c r="D716" s="70" t="inlineStr">
        <is>
          <t>PROD-049</t>
        </is>
      </c>
      <c r="E716" s="70" t="inlineStr">
        <is>
          <t>R014</t>
        </is>
      </c>
      <c r="F716" s="72" t="n">
        <v>10</v>
      </c>
      <c r="G716" s="72" t="n">
        <v>960</v>
      </c>
      <c r="H716" s="72" t="n">
        <v>0.3</v>
      </c>
      <c r="I716" s="72" t="n">
        <v>9571.200000000001</v>
      </c>
      <c r="J716" s="70" t="inlineStr">
        <is>
          <t>Completed</t>
        </is>
      </c>
      <c r="K716" s="70" t="inlineStr">
        <is>
          <t>Hyderabad</t>
        </is>
      </c>
    </row>
    <row r="717" ht="14.25" customHeight="1" s="56">
      <c r="A717" s="70" t="inlineStr">
        <is>
          <t>ORD-00716</t>
        </is>
      </c>
      <c r="B717" s="71" t="n">
        <v>45431</v>
      </c>
      <c r="C717" s="70" t="inlineStr">
        <is>
          <t>CUST-0065</t>
        </is>
      </c>
      <c r="D717" s="70" t="inlineStr">
        <is>
          <t>PROD-031</t>
        </is>
      </c>
      <c r="E717" s="70" t="inlineStr">
        <is>
          <t>R029</t>
        </is>
      </c>
      <c r="F717" s="72" t="n">
        <v>2</v>
      </c>
      <c r="G717" s="72" t="n">
        <v>3730</v>
      </c>
      <c r="H717" s="72" t="n">
        <v>29.9</v>
      </c>
      <c r="I717" s="72" t="n">
        <v>5229.46</v>
      </c>
      <c r="J717" s="70" t="inlineStr">
        <is>
          <t>Completed</t>
        </is>
      </c>
      <c r="K717" s="70" t="inlineStr">
        <is>
          <t>Chennai</t>
        </is>
      </c>
    </row>
    <row r="718" ht="14.25" customHeight="1" s="56">
      <c r="A718" s="70" t="inlineStr">
        <is>
          <t>ORD-00717</t>
        </is>
      </c>
      <c r="B718" s="71" t="n">
        <v>45592</v>
      </c>
      <c r="C718" s="70" t="inlineStr">
        <is>
          <t>CUST-0102</t>
        </is>
      </c>
      <c r="D718" s="70" t="inlineStr">
        <is>
          <t>PROD-057</t>
        </is>
      </c>
      <c r="E718" s="70" t="inlineStr">
        <is>
          <t>R004</t>
        </is>
      </c>
      <c r="F718" s="72" t="n">
        <v>9</v>
      </c>
      <c r="G718" s="72" t="n">
        <v>960</v>
      </c>
      <c r="H718" s="72" t="n">
        <v>1.9</v>
      </c>
      <c r="I718" s="72" t="n">
        <v>8475.84</v>
      </c>
      <c r="J718" s="70" t="inlineStr">
        <is>
          <t>Completed</t>
        </is>
      </c>
      <c r="K718" s="70" t="inlineStr">
        <is>
          <t>Chennai</t>
        </is>
      </c>
    </row>
    <row r="719" ht="14.25" customHeight="1" s="56">
      <c r="A719" s="70" t="inlineStr">
        <is>
          <t>ORD-00718</t>
        </is>
      </c>
      <c r="B719" s="71" t="n">
        <v>45454</v>
      </c>
      <c r="C719" s="70" t="inlineStr">
        <is>
          <t>CUST-0052</t>
        </is>
      </c>
      <c r="D719" s="70" t="inlineStr">
        <is>
          <t>PROD-011</t>
        </is>
      </c>
      <c r="E719" s="70" t="inlineStr">
        <is>
          <t>R004</t>
        </is>
      </c>
      <c r="F719" s="72" t="n">
        <v>2</v>
      </c>
      <c r="G719" s="72" t="n">
        <v>3450</v>
      </c>
      <c r="H719" s="72" t="n">
        <v>22.9</v>
      </c>
      <c r="I719" s="72" t="n">
        <v>5319.9</v>
      </c>
      <c r="J719" s="70" t="inlineStr">
        <is>
          <t>Pending</t>
        </is>
      </c>
      <c r="K719" s="70" t="inlineStr">
        <is>
          <t>Pune</t>
        </is>
      </c>
    </row>
    <row r="720" ht="14.25" customHeight="1" s="56">
      <c r="A720" s="70" t="inlineStr">
        <is>
          <t>ORD-00719</t>
        </is>
      </c>
      <c r="B720" s="71" t="n">
        <v>45616</v>
      </c>
      <c r="C720" s="70" t="inlineStr">
        <is>
          <t>CUST-0130</t>
        </is>
      </c>
      <c r="D720" s="70" t="inlineStr">
        <is>
          <t>PROD-052</t>
        </is>
      </c>
      <c r="E720" s="70" t="inlineStr">
        <is>
          <t>R010</t>
        </is>
      </c>
      <c r="F720" s="72" t="n">
        <v>3</v>
      </c>
      <c r="G720" s="72" t="n">
        <v>5410</v>
      </c>
      <c r="H720" s="72" t="n">
        <v>15.5</v>
      </c>
      <c r="I720" s="72" t="n">
        <v>13714.35</v>
      </c>
      <c r="J720" s="70" t="inlineStr">
        <is>
          <t>Completed</t>
        </is>
      </c>
      <c r="K720" s="70" t="inlineStr">
        <is>
          <t>Bengaluru</t>
        </is>
      </c>
    </row>
    <row r="721" ht="14.25" customHeight="1" s="56">
      <c r="A721" s="70" t="inlineStr">
        <is>
          <t>ORD-00720</t>
        </is>
      </c>
      <c r="B721" s="71" t="n">
        <v>45448</v>
      </c>
      <c r="C721" s="70" t="inlineStr">
        <is>
          <t>CUST-0284</t>
        </is>
      </c>
      <c r="D721" s="70" t="inlineStr">
        <is>
          <t>PROD-043</t>
        </is>
      </c>
      <c r="E721" s="70" t="inlineStr">
        <is>
          <t>R019</t>
        </is>
      </c>
      <c r="F721" s="72" t="n">
        <v>8</v>
      </c>
      <c r="G721" s="72" t="n">
        <v>3350</v>
      </c>
      <c r="H721" s="72" t="n">
        <v>18.4</v>
      </c>
      <c r="I721" s="72" t="n">
        <v>21868.8</v>
      </c>
      <c r="J721" s="70" t="inlineStr">
        <is>
          <t>Completed</t>
        </is>
      </c>
      <c r="K721" s="70" t="inlineStr">
        <is>
          <t>Hyderabad</t>
        </is>
      </c>
    </row>
    <row r="722" ht="14.25" customHeight="1" s="56">
      <c r="A722" s="70" t="inlineStr">
        <is>
          <t>ORD-00721</t>
        </is>
      </c>
      <c r="B722" s="71" t="n">
        <v>45611</v>
      </c>
      <c r="C722" s="70" t="inlineStr">
        <is>
          <t>CUST-0053</t>
        </is>
      </c>
      <c r="D722" s="70" t="inlineStr">
        <is>
          <t>PROD-015</t>
        </is>
      </c>
      <c r="E722" s="70" t="inlineStr">
        <is>
          <t>R008</t>
        </is>
      </c>
      <c r="F722" s="72" t="n">
        <v>5</v>
      </c>
      <c r="G722" s="72" t="n">
        <v>2720</v>
      </c>
      <c r="H722" s="72" t="n">
        <v>17.3</v>
      </c>
      <c r="I722" s="72" t="n">
        <v>11247.2</v>
      </c>
      <c r="J722" s="70" t="inlineStr">
        <is>
          <t>Cancelled</t>
        </is>
      </c>
      <c r="K722" s="70" t="inlineStr">
        <is>
          <t>Delhi</t>
        </is>
      </c>
    </row>
    <row r="723" ht="14.25" customHeight="1" s="56">
      <c r="A723" s="70" t="inlineStr">
        <is>
          <t>ORD-00722</t>
        </is>
      </c>
      <c r="B723" s="71" t="n">
        <v>45403</v>
      </c>
      <c r="C723" s="70" t="inlineStr">
        <is>
          <t>CUST-0293</t>
        </is>
      </c>
      <c r="D723" s="70" t="inlineStr">
        <is>
          <t>PROD-028</t>
        </is>
      </c>
      <c r="E723" s="70" t="inlineStr">
        <is>
          <t>R017</t>
        </is>
      </c>
      <c r="F723" s="72" t="n">
        <v>8</v>
      </c>
      <c r="G723" s="72" t="n">
        <v>3660</v>
      </c>
      <c r="H723" s="72" t="n">
        <v>28.8</v>
      </c>
      <c r="I723" s="72" t="n">
        <v>20847.36</v>
      </c>
      <c r="J723" s="70" t="inlineStr">
        <is>
          <t>Completed</t>
        </is>
      </c>
      <c r="K723" s="70" t="inlineStr">
        <is>
          <t>Bengaluru</t>
        </is>
      </c>
    </row>
    <row r="724" ht="14.25" customHeight="1" s="56">
      <c r="A724" s="70" t="inlineStr">
        <is>
          <t>ORD-00723</t>
        </is>
      </c>
      <c r="B724" s="71" t="n">
        <v>45530</v>
      </c>
      <c r="C724" s="70" t="inlineStr">
        <is>
          <t>CUST-0242</t>
        </is>
      </c>
      <c r="D724" s="70" t="inlineStr">
        <is>
          <t>PROD-005</t>
        </is>
      </c>
      <c r="E724" s="70" t="inlineStr">
        <is>
          <t>R013</t>
        </is>
      </c>
      <c r="F724" s="72" t="n">
        <v>6</v>
      </c>
      <c r="G724" s="72" t="n">
        <v>300</v>
      </c>
      <c r="H724" s="72" t="n">
        <v>23.9</v>
      </c>
      <c r="I724" s="72" t="n">
        <v>1369.8</v>
      </c>
      <c r="J724" s="70" t="inlineStr">
        <is>
          <t>Cancelled</t>
        </is>
      </c>
      <c r="K724" s="70" t="inlineStr">
        <is>
          <t>Chennai</t>
        </is>
      </c>
    </row>
    <row r="725" ht="14.25" customHeight="1" s="56">
      <c r="A725" s="70" t="inlineStr">
        <is>
          <t>ORD-00724</t>
        </is>
      </c>
      <c r="B725" s="71" t="n">
        <v>45548</v>
      </c>
      <c r="C725" s="70" t="inlineStr">
        <is>
          <t>CUST-0226</t>
        </is>
      </c>
      <c r="D725" s="70" t="inlineStr">
        <is>
          <t>PROD-042</t>
        </is>
      </c>
      <c r="E725" s="70" t="inlineStr">
        <is>
          <t>R026</t>
        </is>
      </c>
      <c r="F725" s="72" t="n">
        <v>3</v>
      </c>
      <c r="G725" s="72" t="n">
        <v>2290</v>
      </c>
      <c r="H725" s="72" t="n">
        <v>2.4</v>
      </c>
      <c r="I725" s="72" t="n">
        <v>6705.12</v>
      </c>
      <c r="J725" s="70" t="inlineStr">
        <is>
          <t>Completed</t>
        </is>
      </c>
      <c r="K725" s="70" t="inlineStr">
        <is>
          <t>Chennai</t>
        </is>
      </c>
    </row>
    <row r="726" ht="14.25" customHeight="1" s="56">
      <c r="A726" s="70" t="inlineStr">
        <is>
          <t>ORD-00725</t>
        </is>
      </c>
      <c r="B726" s="71" t="n">
        <v>45403</v>
      </c>
      <c r="C726" s="70" t="inlineStr">
        <is>
          <t>CUST-0005</t>
        </is>
      </c>
      <c r="D726" s="70" t="inlineStr">
        <is>
          <t>PROD-046</t>
        </is>
      </c>
      <c r="E726" s="70" t="inlineStr">
        <is>
          <t>R014</t>
        </is>
      </c>
      <c r="F726" s="72" t="n">
        <v>6</v>
      </c>
      <c r="G726" s="72" t="n">
        <v>4880</v>
      </c>
      <c r="H726" s="72" t="n">
        <v>11.1</v>
      </c>
      <c r="I726" s="72" t="n">
        <v>26029.92</v>
      </c>
      <c r="J726" s="70" t="inlineStr">
        <is>
          <t>Pending</t>
        </is>
      </c>
      <c r="K726" s="70" t="inlineStr">
        <is>
          <t>Chennai</t>
        </is>
      </c>
    </row>
    <row r="727" ht="14.25" customHeight="1" s="56">
      <c r="A727" s="70" t="inlineStr">
        <is>
          <t>ORD-00726</t>
        </is>
      </c>
      <c r="B727" s="71" t="n">
        <v>45562</v>
      </c>
      <c r="C727" s="70" t="inlineStr">
        <is>
          <t>CUST-0211</t>
        </is>
      </c>
      <c r="D727" s="70" t="inlineStr">
        <is>
          <t>PROD-005</t>
        </is>
      </c>
      <c r="E727" s="70" t="inlineStr">
        <is>
          <t>R007</t>
        </is>
      </c>
      <c r="F727" s="72" t="n">
        <v>5</v>
      </c>
      <c r="G727" s="72" t="n">
        <v>300</v>
      </c>
      <c r="H727" s="72" t="n">
        <v>19.4</v>
      </c>
      <c r="I727" s="72" t="n">
        <v>1209</v>
      </c>
      <c r="J727" s="70" t="inlineStr">
        <is>
          <t>Completed</t>
        </is>
      </c>
      <c r="K727" s="70" t="inlineStr">
        <is>
          <t>Bengaluru</t>
        </is>
      </c>
    </row>
    <row r="728" ht="14.25" customHeight="1" s="56">
      <c r="A728" s="70" t="inlineStr">
        <is>
          <t>ORD-00727</t>
        </is>
      </c>
      <c r="B728" s="71" t="n">
        <v>45635</v>
      </c>
      <c r="C728" s="70" t="inlineStr">
        <is>
          <t>CUST-0229</t>
        </is>
      </c>
      <c r="D728" s="70" t="inlineStr">
        <is>
          <t>PROD-008</t>
        </is>
      </c>
      <c r="E728" s="70" t="inlineStr">
        <is>
          <t>R030</t>
        </is>
      </c>
      <c r="F728" s="72" t="n">
        <v>3</v>
      </c>
      <c r="G728" s="72" t="n">
        <v>2660</v>
      </c>
      <c r="H728" s="72" t="n">
        <v>28.5</v>
      </c>
      <c r="I728" s="72" t="n">
        <v>5705.7</v>
      </c>
      <c r="J728" s="70" t="inlineStr">
        <is>
          <t>Pending</t>
        </is>
      </c>
      <c r="K728" s="70" t="inlineStr">
        <is>
          <t>Hyderabad</t>
        </is>
      </c>
    </row>
    <row r="729" ht="14.25" customHeight="1" s="56">
      <c r="A729" s="70" t="inlineStr">
        <is>
          <t>ORD-00728</t>
        </is>
      </c>
      <c r="B729" s="71" t="n">
        <v>45434</v>
      </c>
      <c r="C729" s="70" t="inlineStr">
        <is>
          <t>CUST-0037</t>
        </is>
      </c>
      <c r="D729" s="70" t="inlineStr">
        <is>
          <t>PROD-035</t>
        </is>
      </c>
      <c r="E729" s="70" t="inlineStr">
        <is>
          <t>R024</t>
        </is>
      </c>
      <c r="F729" s="72" t="n">
        <v>7</v>
      </c>
      <c r="G729" s="72" t="n">
        <v>1090</v>
      </c>
      <c r="H729" s="72" t="n">
        <v>10.3</v>
      </c>
      <c r="I729" s="72" t="n">
        <v>6844.11</v>
      </c>
      <c r="J729" s="70" t="inlineStr">
        <is>
          <t>Completed</t>
        </is>
      </c>
      <c r="K729" s="70" t="inlineStr">
        <is>
          <t>Bengaluru</t>
        </is>
      </c>
    </row>
    <row r="730" ht="14.25" customHeight="1" s="56">
      <c r="A730" s="70" t="inlineStr">
        <is>
          <t>ORD-00729</t>
        </is>
      </c>
      <c r="B730" s="71" t="n">
        <v>45350</v>
      </c>
      <c r="C730" s="70" t="inlineStr">
        <is>
          <t>CUST-0059</t>
        </is>
      </c>
      <c r="D730" s="70" t="inlineStr">
        <is>
          <t>PROD-007</t>
        </is>
      </c>
      <c r="E730" s="70" t="inlineStr">
        <is>
          <t>R012</t>
        </is>
      </c>
      <c r="F730" s="72" t="n">
        <v>9</v>
      </c>
      <c r="G730" s="72" t="n">
        <v>1430</v>
      </c>
      <c r="H730" s="72" t="n">
        <v>12.1</v>
      </c>
      <c r="I730" s="72" t="n">
        <v>11312.73</v>
      </c>
      <c r="J730" s="70" t="inlineStr">
        <is>
          <t>Cancelled</t>
        </is>
      </c>
      <c r="K730" s="70" t="inlineStr">
        <is>
          <t>Pune</t>
        </is>
      </c>
    </row>
    <row r="731" ht="14.25" customHeight="1" s="56">
      <c r="A731" s="70" t="inlineStr">
        <is>
          <t>ORD-00730</t>
        </is>
      </c>
      <c r="B731" s="71" t="n">
        <v>45344</v>
      </c>
      <c r="C731" s="70" t="inlineStr">
        <is>
          <t>CUST-0222</t>
        </is>
      </c>
      <c r="D731" s="70" t="inlineStr">
        <is>
          <t>PROD-010</t>
        </is>
      </c>
      <c r="E731" s="70" t="inlineStr">
        <is>
          <t>R005</t>
        </is>
      </c>
      <c r="F731" s="72" t="n">
        <v>5</v>
      </c>
      <c r="G731" s="72" t="n">
        <v>2640</v>
      </c>
      <c r="H731" s="72" t="n">
        <v>26.8</v>
      </c>
      <c r="I731" s="72" t="n">
        <v>9662.4</v>
      </c>
      <c r="J731" s="70" t="inlineStr">
        <is>
          <t>Completed</t>
        </is>
      </c>
      <c r="K731" s="70" t="inlineStr">
        <is>
          <t>Chennai</t>
        </is>
      </c>
    </row>
    <row r="732" ht="14.25" customHeight="1" s="56">
      <c r="A732" s="70" t="inlineStr">
        <is>
          <t>ORD-00731</t>
        </is>
      </c>
      <c r="B732" s="71" t="n">
        <v>45498</v>
      </c>
      <c r="C732" s="70" t="inlineStr">
        <is>
          <t>CUST-0157</t>
        </is>
      </c>
      <c r="D732" s="70" t="inlineStr">
        <is>
          <t>PROD-015</t>
        </is>
      </c>
      <c r="E732" s="70" t="inlineStr">
        <is>
          <t>R001</t>
        </is>
      </c>
      <c r="F732" s="72" t="n">
        <v>8</v>
      </c>
      <c r="G732" s="72" t="n">
        <v>2720</v>
      </c>
      <c r="H732" s="72" t="n">
        <v>17.5</v>
      </c>
      <c r="I732" s="72" t="n">
        <v>17952</v>
      </c>
      <c r="J732" s="70" t="inlineStr">
        <is>
          <t>Completed</t>
        </is>
      </c>
      <c r="K732" s="70" t="inlineStr">
        <is>
          <t>Pune</t>
        </is>
      </c>
    </row>
    <row r="733" ht="14.25" customHeight="1" s="56">
      <c r="A733" s="70" t="inlineStr">
        <is>
          <t>ORD-00732</t>
        </is>
      </c>
      <c r="B733" s="71" t="n">
        <v>45520</v>
      </c>
      <c r="C733" s="70" t="inlineStr">
        <is>
          <t>CUST-0027</t>
        </is>
      </c>
      <c r="D733" s="70" t="inlineStr">
        <is>
          <t>PROD-013</t>
        </is>
      </c>
      <c r="E733" s="70" t="inlineStr">
        <is>
          <t>R016</t>
        </is>
      </c>
      <c r="F733" s="72" t="n">
        <v>9</v>
      </c>
      <c r="G733" s="72" t="n">
        <v>3640</v>
      </c>
      <c r="H733" s="72" t="n">
        <v>3.6</v>
      </c>
      <c r="I733" s="72" t="n">
        <v>31580.64</v>
      </c>
      <c r="J733" s="70" t="inlineStr">
        <is>
          <t>Completed</t>
        </is>
      </c>
      <c r="K733" s="70" t="inlineStr">
        <is>
          <t>Hyderabad</t>
        </is>
      </c>
    </row>
    <row r="734" ht="14.25" customHeight="1" s="56">
      <c r="A734" s="70" t="inlineStr">
        <is>
          <t>ORD-00733</t>
        </is>
      </c>
      <c r="B734" s="71" t="n">
        <v>45554</v>
      </c>
      <c r="C734" s="70" t="inlineStr">
        <is>
          <t>CUST-9846</t>
        </is>
      </c>
      <c r="D734" s="70" t="inlineStr">
        <is>
          <t>PROD-050</t>
        </is>
      </c>
      <c r="E734" s="70" t="inlineStr">
        <is>
          <t>R021</t>
        </is>
      </c>
      <c r="F734" s="72" t="n">
        <v>7</v>
      </c>
      <c r="G734" s="72" t="n">
        <v>6080</v>
      </c>
      <c r="H734" s="72" t="n">
        <v>23.6</v>
      </c>
      <c r="I734" s="72" t="n">
        <v>32515.84</v>
      </c>
      <c r="J734" s="70" t="inlineStr">
        <is>
          <t>Completed</t>
        </is>
      </c>
      <c r="K734" s="70" t="inlineStr">
        <is>
          <t>Mumbai</t>
        </is>
      </c>
    </row>
    <row r="735" ht="14.25" customHeight="1" s="56">
      <c r="A735" s="70" t="inlineStr">
        <is>
          <t>ORD-00734</t>
        </is>
      </c>
      <c r="B735" s="71" t="n">
        <v>45584</v>
      </c>
      <c r="C735" s="70" t="inlineStr">
        <is>
          <t>CUST-0011</t>
        </is>
      </c>
      <c r="D735" s="70" t="inlineStr">
        <is>
          <t>PROD-001</t>
        </is>
      </c>
      <c r="E735" s="70" t="inlineStr">
        <is>
          <t>R015</t>
        </is>
      </c>
      <c r="F735" s="72" t="n">
        <v>7</v>
      </c>
      <c r="G735" s="72" t="n">
        <v>5330</v>
      </c>
      <c r="H735" s="72" t="n">
        <v>19.7</v>
      </c>
      <c r="I735" s="72" t="n">
        <v>29959.93</v>
      </c>
      <c r="J735" s="70" t="inlineStr">
        <is>
          <t>Cancelled</t>
        </is>
      </c>
      <c r="K735" s="70" t="inlineStr">
        <is>
          <t>Chennai</t>
        </is>
      </c>
    </row>
    <row r="736" ht="14.25" customHeight="1" s="56">
      <c r="A736" s="70" t="inlineStr">
        <is>
          <t>ORD-00735</t>
        </is>
      </c>
      <c r="B736" s="71" t="n">
        <v>45593</v>
      </c>
      <c r="C736" s="70" t="inlineStr">
        <is>
          <t>CUST-0043</t>
        </is>
      </c>
      <c r="D736" s="70" t="inlineStr">
        <is>
          <t>PROD-039</t>
        </is>
      </c>
      <c r="E736" s="70" t="inlineStr">
        <is>
          <t>R024</t>
        </is>
      </c>
      <c r="F736" s="72" t="n">
        <v>5</v>
      </c>
      <c r="G736" s="72" t="n">
        <v>4610</v>
      </c>
      <c r="H736" s="72" t="n">
        <v>3.6</v>
      </c>
      <c r="I736" s="72" t="n">
        <v>22220.2</v>
      </c>
      <c r="J736" s="70" t="inlineStr">
        <is>
          <t>Completed</t>
        </is>
      </c>
      <c r="K736" s="70" t="inlineStr">
        <is>
          <t>Hyderabad</t>
        </is>
      </c>
    </row>
    <row r="737" ht="14.25" customHeight="1" s="56">
      <c r="A737" s="70" t="inlineStr">
        <is>
          <t>ORD-00736</t>
        </is>
      </c>
      <c r="B737" s="71" t="n">
        <v>45302</v>
      </c>
      <c r="C737" s="70" t="inlineStr">
        <is>
          <t>CUST-0154</t>
        </is>
      </c>
      <c r="D737" s="70" t="inlineStr">
        <is>
          <t>PROD-001</t>
        </is>
      </c>
      <c r="E737" s="70" t="inlineStr">
        <is>
          <t>R030</t>
        </is>
      </c>
      <c r="F737" s="72" t="n">
        <v>9</v>
      </c>
      <c r="G737" s="72" t="n">
        <v>5330</v>
      </c>
      <c r="H737" s="72" t="n">
        <v>22.9</v>
      </c>
      <c r="I737" s="72" t="n">
        <v>36984.87</v>
      </c>
      <c r="J737" s="70" t="inlineStr">
        <is>
          <t>Completed</t>
        </is>
      </c>
      <c r="K737" s="70" t="inlineStr">
        <is>
          <t>Pune</t>
        </is>
      </c>
    </row>
    <row r="738" ht="14.25" customHeight="1" s="56">
      <c r="A738" s="70" t="inlineStr">
        <is>
          <t>ORD-00737</t>
        </is>
      </c>
      <c r="B738" s="71" t="n">
        <v>45440</v>
      </c>
      <c r="C738" s="70" t="inlineStr">
        <is>
          <t>CUST-0163</t>
        </is>
      </c>
      <c r="D738" s="70" t="inlineStr">
        <is>
          <t>PROD-050</t>
        </is>
      </c>
      <c r="E738" s="70" t="inlineStr">
        <is>
          <t>R018</t>
        </is>
      </c>
      <c r="F738" s="72" t="n">
        <v>5</v>
      </c>
      <c r="G738" s="72" t="n">
        <v>6080</v>
      </c>
      <c r="H738" s="72" t="n">
        <v>6</v>
      </c>
      <c r="I738" s="72" t="n">
        <v>28576</v>
      </c>
      <c r="J738" s="70" t="inlineStr">
        <is>
          <t>Refunded</t>
        </is>
      </c>
      <c r="K738" s="70" t="inlineStr">
        <is>
          <t>Pune</t>
        </is>
      </c>
    </row>
    <row r="739" ht="14.25" customHeight="1" s="56">
      <c r="A739" s="70" t="inlineStr">
        <is>
          <t>ORD-00738</t>
        </is>
      </c>
      <c r="B739" s="71" t="n">
        <v>45299</v>
      </c>
      <c r="C739" s="70" t="inlineStr">
        <is>
          <t>CUST-0299</t>
        </is>
      </c>
      <c r="D739" s="70" t="inlineStr">
        <is>
          <t>PROD-013</t>
        </is>
      </c>
      <c r="E739" s="70" t="inlineStr">
        <is>
          <t>R017</t>
        </is>
      </c>
      <c r="F739" s="72" t="n">
        <v>7</v>
      </c>
      <c r="G739" s="72" t="n">
        <v>3640</v>
      </c>
      <c r="H739" s="72" t="n">
        <v>5.5</v>
      </c>
      <c r="I739" s="72" t="n">
        <v>24078.6</v>
      </c>
      <c r="J739" s="70" t="inlineStr">
        <is>
          <t>Completed</t>
        </is>
      </c>
      <c r="K739" s="70" t="inlineStr">
        <is>
          <t>Mumbai</t>
        </is>
      </c>
    </row>
    <row r="740" ht="14.25" customHeight="1" s="56">
      <c r="A740" s="70" t="inlineStr">
        <is>
          <t>ORD-00739</t>
        </is>
      </c>
      <c r="B740" s="71" t="n">
        <v>45336</v>
      </c>
      <c r="C740" s="70" t="inlineStr">
        <is>
          <t>CUST-0240</t>
        </is>
      </c>
      <c r="D740" s="70" t="inlineStr">
        <is>
          <t>PROD-008</t>
        </is>
      </c>
      <c r="E740" s="70" t="inlineStr">
        <is>
          <t>R013</t>
        </is>
      </c>
      <c r="F740" s="72" t="n">
        <v>1</v>
      </c>
      <c r="G740" s="72" t="n">
        <v>2660</v>
      </c>
      <c r="H740" s="72" t="n">
        <v>6.1</v>
      </c>
      <c r="I740" s="72" t="n">
        <v>2497.74</v>
      </c>
      <c r="J740" s="70" t="inlineStr">
        <is>
          <t>Cancelled</t>
        </is>
      </c>
      <c r="K740" s="70" t="inlineStr">
        <is>
          <t>Chennai</t>
        </is>
      </c>
    </row>
    <row r="741" ht="14.25" customHeight="1" s="56">
      <c r="A741" s="70" t="inlineStr">
        <is>
          <t>ORD-00740</t>
        </is>
      </c>
      <c r="B741" s="71" t="n">
        <v>45300</v>
      </c>
      <c r="C741" s="70" t="inlineStr">
        <is>
          <t>CUST-0291</t>
        </is>
      </c>
      <c r="D741" s="70" t="inlineStr">
        <is>
          <t>PROD-043</t>
        </is>
      </c>
      <c r="E741" s="70" t="inlineStr">
        <is>
          <t>R015</t>
        </is>
      </c>
      <c r="F741" s="72" t="n">
        <v>8</v>
      </c>
      <c r="G741" s="72" t="n">
        <v>3350</v>
      </c>
      <c r="H741" s="72" t="n">
        <v>19.5</v>
      </c>
      <c r="I741" s="72" t="n">
        <v>21574</v>
      </c>
      <c r="J741" s="70" t="inlineStr">
        <is>
          <t>Completed</t>
        </is>
      </c>
      <c r="K741" s="70" t="inlineStr">
        <is>
          <t>Pune</t>
        </is>
      </c>
    </row>
    <row r="742" ht="14.25" customHeight="1" s="56">
      <c r="A742" s="70" t="inlineStr">
        <is>
          <t>ORD-00741</t>
        </is>
      </c>
      <c r="B742" s="71" t="n">
        <v>45648</v>
      </c>
      <c r="C742" s="70" t="inlineStr">
        <is>
          <t>CUST-0243</t>
        </is>
      </c>
      <c r="D742" s="70" t="inlineStr">
        <is>
          <t>PROD-039</t>
        </is>
      </c>
      <c r="E742" s="70" t="inlineStr">
        <is>
          <t>R019</t>
        </is>
      </c>
      <c r="F742" s="72" t="n">
        <v>4</v>
      </c>
      <c r="G742" s="72" t="n">
        <v>4610</v>
      </c>
      <c r="H742" s="72" t="n">
        <v>24</v>
      </c>
      <c r="I742" s="72" t="n">
        <v>14014.4</v>
      </c>
      <c r="J742" s="70" t="inlineStr">
        <is>
          <t>Completed</t>
        </is>
      </c>
      <c r="K742" s="70" t="inlineStr">
        <is>
          <t>Pune</t>
        </is>
      </c>
    </row>
    <row r="743" ht="14.25" customHeight="1" s="56">
      <c r="A743" s="70" t="inlineStr">
        <is>
          <t>ORD-00742</t>
        </is>
      </c>
      <c r="B743" s="71" t="n">
        <v>45293</v>
      </c>
      <c r="C743" s="70" t="inlineStr">
        <is>
          <t>CUST-0073</t>
        </is>
      </c>
      <c r="D743" s="70" t="inlineStr">
        <is>
          <t>PROD-055</t>
        </is>
      </c>
      <c r="E743" s="70" t="inlineStr">
        <is>
          <t>R014</t>
        </is>
      </c>
      <c r="F743" s="72" t="n">
        <v>7</v>
      </c>
      <c r="G743" s="72" t="n">
        <v>2860</v>
      </c>
      <c r="H743" s="72" t="n">
        <v>23.2</v>
      </c>
      <c r="I743" s="72" t="n">
        <v>15375.36</v>
      </c>
      <c r="J743" s="70" t="inlineStr">
        <is>
          <t>Completed</t>
        </is>
      </c>
      <c r="K743" s="70" t="inlineStr">
        <is>
          <t>Pune</t>
        </is>
      </c>
    </row>
    <row r="744" ht="14.25" customHeight="1" s="56">
      <c r="A744" s="70" t="inlineStr">
        <is>
          <t>ORD-00743</t>
        </is>
      </c>
      <c r="B744" s="71" t="n">
        <v>45644</v>
      </c>
      <c r="C744" s="70" t="inlineStr">
        <is>
          <t>CUST-0154</t>
        </is>
      </c>
      <c r="D744" s="70" t="inlineStr">
        <is>
          <t>PROD-043</t>
        </is>
      </c>
      <c r="E744" s="70" t="inlineStr">
        <is>
          <t>R013</t>
        </is>
      </c>
      <c r="F744" s="72" t="n">
        <v>7</v>
      </c>
      <c r="G744" s="72" t="n">
        <v>3350</v>
      </c>
      <c r="H744" s="72" t="n">
        <v>10.6</v>
      </c>
      <c r="I744" s="72" t="n">
        <v>20964.3</v>
      </c>
      <c r="J744" s="70" t="inlineStr">
        <is>
          <t>Pending</t>
        </is>
      </c>
      <c r="K744" s="70" t="inlineStr">
        <is>
          <t>Pune</t>
        </is>
      </c>
    </row>
    <row r="745" ht="14.25" customHeight="1" s="56">
      <c r="A745" s="70" t="inlineStr">
        <is>
          <t>ORD-00744</t>
        </is>
      </c>
      <c r="B745" s="71" t="n">
        <v>45589</v>
      </c>
      <c r="C745" s="70" t="inlineStr">
        <is>
          <t>CUST-0084</t>
        </is>
      </c>
      <c r="D745" s="70" t="inlineStr">
        <is>
          <t>PROD-029</t>
        </is>
      </c>
      <c r="E745" s="70" t="inlineStr">
        <is>
          <t>R028</t>
        </is>
      </c>
      <c r="F745" s="72" t="n">
        <v>5</v>
      </c>
      <c r="G745" s="72" t="n">
        <v>2210</v>
      </c>
      <c r="H745" s="72" t="n">
        <v>12.1</v>
      </c>
      <c r="I745" s="72" t="n">
        <v>9712.950000000001</v>
      </c>
      <c r="J745" s="70" t="inlineStr">
        <is>
          <t>Completed</t>
        </is>
      </c>
      <c r="K745" s="70" t="inlineStr">
        <is>
          <t>Chennai</t>
        </is>
      </c>
    </row>
    <row r="746" ht="14.25" customHeight="1" s="56">
      <c r="A746" s="70" t="inlineStr">
        <is>
          <t>ORD-00745</t>
        </is>
      </c>
      <c r="B746" s="71" t="n">
        <v>45329</v>
      </c>
      <c r="C746" s="70" t="inlineStr">
        <is>
          <t>CUST-0228</t>
        </is>
      </c>
      <c r="D746" s="70" t="inlineStr">
        <is>
          <t>PROD-047</t>
        </is>
      </c>
      <c r="E746" s="70" t="inlineStr">
        <is>
          <t>R013</t>
        </is>
      </c>
      <c r="F746" s="72" t="n">
        <v>1</v>
      </c>
      <c r="G746" s="72" t="n">
        <v>3450</v>
      </c>
      <c r="H746" s="72" t="n">
        <v>19.1</v>
      </c>
      <c r="I746" s="72" t="n">
        <v>2791.05</v>
      </c>
      <c r="J746" s="70" t="inlineStr">
        <is>
          <t>Pending</t>
        </is>
      </c>
      <c r="K746" s="70" t="inlineStr">
        <is>
          <t>Pune</t>
        </is>
      </c>
    </row>
    <row r="747" ht="14.25" customHeight="1" s="56">
      <c r="A747" s="70" t="inlineStr">
        <is>
          <t>ORD-00746</t>
        </is>
      </c>
      <c r="B747" s="71" t="n">
        <v>45587</v>
      </c>
      <c r="C747" s="70" t="inlineStr">
        <is>
          <t>CUST-0232</t>
        </is>
      </c>
      <c r="D747" s="70" t="inlineStr">
        <is>
          <t>PROD-048</t>
        </is>
      </c>
      <c r="E747" s="70" t="inlineStr">
        <is>
          <t>R028</t>
        </is>
      </c>
      <c r="F747" s="72" t="n">
        <v>5</v>
      </c>
      <c r="G747" s="72" t="n">
        <v>5100</v>
      </c>
      <c r="H747" s="72" t="n">
        <v>2.8</v>
      </c>
      <c r="I747" s="72" t="n">
        <v>24786</v>
      </c>
      <c r="J747" s="70" t="inlineStr">
        <is>
          <t>Completed</t>
        </is>
      </c>
      <c r="K747" s="70" t="inlineStr">
        <is>
          <t>Hyderabad</t>
        </is>
      </c>
    </row>
    <row r="748" ht="14.25" customHeight="1" s="56">
      <c r="A748" s="70" t="inlineStr">
        <is>
          <t>ORD-00747</t>
        </is>
      </c>
      <c r="B748" s="71" t="n">
        <v>45423</v>
      </c>
      <c r="C748" s="70" t="inlineStr">
        <is>
          <t>CUST-0129</t>
        </is>
      </c>
      <c r="D748" s="70" t="inlineStr">
        <is>
          <t>PROD-048</t>
        </is>
      </c>
      <c r="E748" s="70" t="inlineStr">
        <is>
          <t>R003</t>
        </is>
      </c>
      <c r="F748" s="72" t="n">
        <v>9</v>
      </c>
      <c r="G748" s="72" t="n">
        <v>5100</v>
      </c>
      <c r="H748" s="72" t="n">
        <v>24.4</v>
      </c>
      <c r="I748" s="72" t="n">
        <v>34700.4</v>
      </c>
      <c r="J748" s="70" t="inlineStr">
        <is>
          <t>Completed</t>
        </is>
      </c>
      <c r="K748" s="70" t="inlineStr">
        <is>
          <t>Hyderabad</t>
        </is>
      </c>
    </row>
    <row r="749" ht="14.25" customHeight="1" s="56">
      <c r="A749" s="70" t="inlineStr">
        <is>
          <t>ORD-00748</t>
        </is>
      </c>
      <c r="B749" s="71" t="n">
        <v>45568</v>
      </c>
      <c r="C749" s="70" t="inlineStr">
        <is>
          <t>CUST-0189</t>
        </is>
      </c>
      <c r="D749" s="70" t="inlineStr">
        <is>
          <t>PROD-037</t>
        </is>
      </c>
      <c r="E749" s="70" t="inlineStr">
        <is>
          <t>R006</t>
        </is>
      </c>
      <c r="F749" s="72" t="n">
        <v>9</v>
      </c>
      <c r="G749" s="72" t="n">
        <v>660</v>
      </c>
      <c r="H749" s="72" t="n">
        <v>19.8</v>
      </c>
      <c r="I749" s="72" t="n">
        <v>4763.88</v>
      </c>
      <c r="J749" s="70" t="inlineStr">
        <is>
          <t>Completed</t>
        </is>
      </c>
      <c r="K749" s="70" t="inlineStr">
        <is>
          <t>Chennai</t>
        </is>
      </c>
    </row>
    <row r="750" ht="14.25" customHeight="1" s="56">
      <c r="A750" s="70" t="inlineStr">
        <is>
          <t>ORD-00749</t>
        </is>
      </c>
      <c r="B750" s="71" t="n">
        <v>45549</v>
      </c>
      <c r="C750" s="70" t="inlineStr">
        <is>
          <t>CUST-0122</t>
        </is>
      </c>
      <c r="D750" s="70" t="inlineStr">
        <is>
          <t>PROD-026</t>
        </is>
      </c>
      <c r="E750" s="70" t="inlineStr">
        <is>
          <t>R006</t>
        </is>
      </c>
      <c r="F750" s="72" t="n">
        <v>3</v>
      </c>
      <c r="G750" s="72" t="n">
        <v>4070</v>
      </c>
      <c r="H750" s="72" t="n">
        <v>27.1</v>
      </c>
      <c r="I750" s="72" t="n">
        <v>8901.09</v>
      </c>
      <c r="J750" s="70" t="inlineStr">
        <is>
          <t>Completed</t>
        </is>
      </c>
      <c r="K750" s="70" t="inlineStr">
        <is>
          <t>Mumbai</t>
        </is>
      </c>
    </row>
    <row r="751" ht="14.25" customHeight="1" s="56">
      <c r="A751" s="70" t="inlineStr">
        <is>
          <t>ORD-00750</t>
        </is>
      </c>
      <c r="B751" s="71" t="n">
        <v>45504</v>
      </c>
      <c r="C751" s="70" t="inlineStr">
        <is>
          <t>CUST-0170</t>
        </is>
      </c>
      <c r="D751" s="70" t="inlineStr">
        <is>
          <t>PROD-017</t>
        </is>
      </c>
      <c r="E751" s="70" t="inlineStr">
        <is>
          <t>R007</t>
        </is>
      </c>
      <c r="F751" s="72" t="n">
        <v>2</v>
      </c>
      <c r="G751" s="72" t="n">
        <v>2510</v>
      </c>
      <c r="H751" s="72" t="n">
        <v>29.1</v>
      </c>
      <c r="I751" s="72" t="n">
        <v>3559.18</v>
      </c>
      <c r="J751" s="70" t="inlineStr">
        <is>
          <t>Completed</t>
        </is>
      </c>
      <c r="K751" s="70" t="inlineStr">
        <is>
          <t>Mumbai</t>
        </is>
      </c>
    </row>
    <row r="752" ht="14.25" customHeight="1" s="56">
      <c r="A752" s="70" t="inlineStr">
        <is>
          <t>ORD-00751</t>
        </is>
      </c>
      <c r="B752" s="71" t="n">
        <v>45449</v>
      </c>
      <c r="C752" s="70" t="inlineStr">
        <is>
          <t>CUST-0291</t>
        </is>
      </c>
      <c r="D752" s="70" t="inlineStr">
        <is>
          <t>PROD-036</t>
        </is>
      </c>
      <c r="E752" s="70" t="inlineStr">
        <is>
          <t>R030</t>
        </is>
      </c>
      <c r="F752" s="72" t="n">
        <v>4</v>
      </c>
      <c r="G752" s="72" t="n">
        <v>3250</v>
      </c>
      <c r="H752" s="72" t="n">
        <v>21.1</v>
      </c>
      <c r="I752" s="72" t="n">
        <v>10257</v>
      </c>
      <c r="J752" s="70" t="inlineStr">
        <is>
          <t>Completed</t>
        </is>
      </c>
      <c r="K752" s="70" t="inlineStr">
        <is>
          <t>Pune</t>
        </is>
      </c>
    </row>
    <row r="753" ht="14.25" customHeight="1" s="56">
      <c r="A753" s="70" t="inlineStr">
        <is>
          <t>ORD-00752</t>
        </is>
      </c>
      <c r="B753" s="71" t="n">
        <v>45600</v>
      </c>
      <c r="C753" s="70" t="inlineStr">
        <is>
          <t>CUST-0090</t>
        </is>
      </c>
      <c r="D753" s="70" t="inlineStr">
        <is>
          <t>PROD-032</t>
        </is>
      </c>
      <c r="E753" s="70" t="inlineStr">
        <is>
          <t>R005</t>
        </is>
      </c>
      <c r="F753" s="72" t="n">
        <v>3</v>
      </c>
      <c r="G753" s="72" t="n">
        <v>370</v>
      </c>
      <c r="H753" s="72" t="n">
        <v>7.7</v>
      </c>
      <c r="I753" s="72" t="n">
        <v>1024.53</v>
      </c>
      <c r="J753" s="70" t="inlineStr">
        <is>
          <t>Completed</t>
        </is>
      </c>
      <c r="K753" s="70" t="inlineStr">
        <is>
          <t>Bengaluru</t>
        </is>
      </c>
    </row>
    <row r="754" ht="14.25" customHeight="1" s="56">
      <c r="A754" s="70" t="inlineStr">
        <is>
          <t>ORD-00753</t>
        </is>
      </c>
      <c r="B754" s="71" t="n">
        <v>45479</v>
      </c>
      <c r="C754" s="70" t="inlineStr">
        <is>
          <t>CUST-0205</t>
        </is>
      </c>
      <c r="D754" s="70" t="inlineStr">
        <is>
          <t>PROD-020</t>
        </is>
      </c>
      <c r="E754" s="70" t="inlineStr">
        <is>
          <t>R006</t>
        </is>
      </c>
      <c r="F754" s="72" t="n">
        <v>10</v>
      </c>
      <c r="G754" s="72" t="n">
        <v>820</v>
      </c>
      <c r="H754" s="72" t="n">
        <v>3.5</v>
      </c>
      <c r="I754" s="72" t="n">
        <v>7913</v>
      </c>
      <c r="J754" s="70" t="inlineStr">
        <is>
          <t>Completed</t>
        </is>
      </c>
      <c r="K754" s="70" t="inlineStr">
        <is>
          <t>Pune</t>
        </is>
      </c>
    </row>
    <row r="755" ht="14.25" customHeight="1" s="56">
      <c r="A755" s="70" t="inlineStr">
        <is>
          <t>ORD-00754</t>
        </is>
      </c>
      <c r="B755" s="71" t="n">
        <v>45531</v>
      </c>
      <c r="C755" s="70" t="inlineStr">
        <is>
          <t>CUST-0192</t>
        </is>
      </c>
      <c r="D755" s="70" t="inlineStr">
        <is>
          <t>PROD-026</t>
        </is>
      </c>
      <c r="E755" s="70" t="inlineStr">
        <is>
          <t>R029</t>
        </is>
      </c>
      <c r="F755" s="72" t="n">
        <v>4</v>
      </c>
      <c r="G755" s="72" t="n">
        <v>4070</v>
      </c>
      <c r="H755" s="72" t="n">
        <v>23.8</v>
      </c>
      <c r="I755" s="72" t="n">
        <v>12405.36</v>
      </c>
      <c r="J755" s="70" t="inlineStr">
        <is>
          <t>Completed</t>
        </is>
      </c>
      <c r="K755" s="70" t="inlineStr">
        <is>
          <t>Bengaluru</t>
        </is>
      </c>
    </row>
    <row r="756" ht="14.25" customHeight="1" s="56">
      <c r="A756" s="70" t="inlineStr">
        <is>
          <t>ORD-00755</t>
        </is>
      </c>
      <c r="B756" s="71" t="n">
        <v>45356</v>
      </c>
      <c r="C756" s="70" t="inlineStr">
        <is>
          <t>CUST-0270</t>
        </is>
      </c>
      <c r="D756" s="70" t="inlineStr">
        <is>
          <t>PROD-023</t>
        </is>
      </c>
      <c r="E756" s="70" t="inlineStr">
        <is>
          <t>R011</t>
        </is>
      </c>
      <c r="F756" s="72" t="n">
        <v>1</v>
      </c>
      <c r="G756" s="72" t="n">
        <v>2380</v>
      </c>
      <c r="H756" s="72" t="n">
        <v>19.6</v>
      </c>
      <c r="I756" s="72" t="n">
        <v>1913.52</v>
      </c>
      <c r="J756" s="70" t="inlineStr">
        <is>
          <t>Cancelled</t>
        </is>
      </c>
      <c r="K756" s="70" t="inlineStr">
        <is>
          <t>Bengaluru</t>
        </is>
      </c>
    </row>
    <row r="757" ht="14.25" customHeight="1" s="56">
      <c r="A757" s="70" t="inlineStr">
        <is>
          <t>ORD-00756</t>
        </is>
      </c>
      <c r="B757" s="71" t="n">
        <v>45553</v>
      </c>
      <c r="C757" s="70" t="inlineStr">
        <is>
          <t>CUST-0266</t>
        </is>
      </c>
      <c r="D757" s="70" t="inlineStr">
        <is>
          <t>PROD-038</t>
        </is>
      </c>
      <c r="E757" s="70" t="inlineStr">
        <is>
          <t>R030</t>
        </is>
      </c>
      <c r="F757" s="72" t="n">
        <v>3</v>
      </c>
      <c r="G757" s="72" t="n">
        <v>5490</v>
      </c>
      <c r="H757" s="72" t="n">
        <v>2.5</v>
      </c>
      <c r="I757" s="72" t="n">
        <v>16058.25</v>
      </c>
      <c r="J757" s="70" t="inlineStr">
        <is>
          <t>Completed</t>
        </is>
      </c>
      <c r="K757" s="70" t="inlineStr">
        <is>
          <t>Pune</t>
        </is>
      </c>
    </row>
    <row r="758" ht="14.25" customHeight="1" s="56">
      <c r="A758" s="70" t="inlineStr">
        <is>
          <t>ORD-00757</t>
        </is>
      </c>
      <c r="B758" s="71" t="n">
        <v>45492</v>
      </c>
      <c r="C758" s="70" t="inlineStr">
        <is>
          <t>CUST-0208</t>
        </is>
      </c>
      <c r="D758" s="70" t="inlineStr">
        <is>
          <t>PROD-013</t>
        </is>
      </c>
      <c r="E758" s="70" t="inlineStr">
        <is>
          <t>R027</t>
        </is>
      </c>
      <c r="F758" s="72" t="n">
        <v>3</v>
      </c>
      <c r="G758" s="72" t="n">
        <v>3640</v>
      </c>
      <c r="H758" s="72" t="n">
        <v>23.3</v>
      </c>
      <c r="I758" s="72" t="n">
        <v>8375.639999999999</v>
      </c>
      <c r="J758" s="70" t="inlineStr">
        <is>
          <t>Completed</t>
        </is>
      </c>
      <c r="K758" s="70" t="inlineStr">
        <is>
          <t>Mumbai</t>
        </is>
      </c>
    </row>
    <row r="759" ht="14.25" customHeight="1" s="56">
      <c r="A759" s="70" t="inlineStr">
        <is>
          <t>ORD-00758</t>
        </is>
      </c>
      <c r="B759" s="71" t="n">
        <v>45388</v>
      </c>
      <c r="C759" s="70" t="inlineStr">
        <is>
          <t>CUST-0224</t>
        </is>
      </c>
      <c r="D759" s="70" t="inlineStr">
        <is>
          <t>PROD-039</t>
        </is>
      </c>
      <c r="E759" s="70" t="inlineStr">
        <is>
          <t>R018</t>
        </is>
      </c>
      <c r="F759" s="72" t="n">
        <v>2</v>
      </c>
      <c r="G759" s="72" t="n">
        <v>4610</v>
      </c>
      <c r="H759" s="72" t="n">
        <v>5</v>
      </c>
      <c r="I759" s="72" t="n">
        <v>8759</v>
      </c>
      <c r="J759" s="70" t="inlineStr">
        <is>
          <t>Pending</t>
        </is>
      </c>
      <c r="K759" s="70" t="inlineStr">
        <is>
          <t>Chennai</t>
        </is>
      </c>
    </row>
    <row r="760" ht="14.25" customHeight="1" s="56">
      <c r="A760" s="70" t="inlineStr">
        <is>
          <t>ORD-00759</t>
        </is>
      </c>
      <c r="B760" s="71" t="n">
        <v>45369</v>
      </c>
      <c r="C760" s="70" t="inlineStr">
        <is>
          <t>CUST-0264</t>
        </is>
      </c>
      <c r="D760" s="70" t="inlineStr">
        <is>
          <t>PROD-058</t>
        </is>
      </c>
      <c r="E760" s="70" t="inlineStr">
        <is>
          <t>R001</t>
        </is>
      </c>
      <c r="F760" s="72" t="n">
        <v>8</v>
      </c>
      <c r="G760" s="72" t="n">
        <v>2400</v>
      </c>
      <c r="H760" s="72" t="n">
        <v>10</v>
      </c>
      <c r="I760" s="72" t="n">
        <v>17280</v>
      </c>
      <c r="J760" s="70" t="inlineStr">
        <is>
          <t>Pending</t>
        </is>
      </c>
      <c r="K760" s="70" t="inlineStr">
        <is>
          <t>Pune</t>
        </is>
      </c>
    </row>
    <row r="761" ht="14.25" customHeight="1" s="56">
      <c r="A761" s="70" t="inlineStr">
        <is>
          <t>ORD-00760</t>
        </is>
      </c>
      <c r="B761" s="71" t="n">
        <v>45597</v>
      </c>
      <c r="C761" s="70" t="inlineStr">
        <is>
          <t>CUST-0113</t>
        </is>
      </c>
      <c r="D761" s="70" t="inlineStr">
        <is>
          <t>PROD-043</t>
        </is>
      </c>
      <c r="E761" s="70" t="inlineStr">
        <is>
          <t>R002</t>
        </is>
      </c>
      <c r="F761" s="72" t="n">
        <v>7</v>
      </c>
      <c r="G761" s="72" t="n">
        <v>3350</v>
      </c>
      <c r="H761" s="72" t="n">
        <v>23.7</v>
      </c>
      <c r="I761" s="72" t="n">
        <v>17892.35</v>
      </c>
      <c r="J761" s="70" t="inlineStr">
        <is>
          <t>Completed</t>
        </is>
      </c>
      <c r="K761" s="70" t="inlineStr">
        <is>
          <t>Delhi</t>
        </is>
      </c>
    </row>
    <row r="762" ht="14.25" customHeight="1" s="56">
      <c r="A762" s="70" t="inlineStr">
        <is>
          <t>ORD-00761</t>
        </is>
      </c>
      <c r="B762" s="71" t="n">
        <v>45611</v>
      </c>
      <c r="C762" s="70" t="inlineStr">
        <is>
          <t>CUST-0160</t>
        </is>
      </c>
      <c r="D762" s="70" t="inlineStr">
        <is>
          <t>PROD-013</t>
        </is>
      </c>
      <c r="E762" s="70" t="inlineStr">
        <is>
          <t>R012</t>
        </is>
      </c>
      <c r="F762" s="72" t="n">
        <v>4</v>
      </c>
      <c r="G762" s="72" t="n">
        <v>3640</v>
      </c>
      <c r="H762" s="72" t="n">
        <v>9.300000000000001</v>
      </c>
      <c r="I762" s="72" t="n">
        <v>13205.92</v>
      </c>
      <c r="J762" s="70" t="inlineStr">
        <is>
          <t>Cancelled</t>
        </is>
      </c>
      <c r="K762" s="70" t="inlineStr">
        <is>
          <t>Hyderabad</t>
        </is>
      </c>
    </row>
    <row r="763" ht="14.25" customHeight="1" s="56">
      <c r="A763" s="70" t="inlineStr">
        <is>
          <t>ORD-00762</t>
        </is>
      </c>
      <c r="B763" s="71" t="n">
        <v>45579</v>
      </c>
      <c r="C763" s="70" t="inlineStr">
        <is>
          <t>CUST-0109</t>
        </is>
      </c>
      <c r="D763" s="70" t="inlineStr">
        <is>
          <t>PROD-013</t>
        </is>
      </c>
      <c r="E763" s="70" t="inlineStr">
        <is>
          <t>R028</t>
        </is>
      </c>
      <c r="F763" s="72" t="n">
        <v>9</v>
      </c>
      <c r="G763" s="72" t="n">
        <v>3640</v>
      </c>
      <c r="H763" s="72" t="n">
        <v>13.1</v>
      </c>
      <c r="I763" s="72" t="n">
        <v>28468.44</v>
      </c>
      <c r="J763" s="70" t="inlineStr">
        <is>
          <t>Pending</t>
        </is>
      </c>
      <c r="K763" s="70" t="inlineStr">
        <is>
          <t>Pune</t>
        </is>
      </c>
    </row>
    <row r="764" ht="14.25" customHeight="1" s="56">
      <c r="A764" s="70" t="inlineStr">
        <is>
          <t>ORD-00763</t>
        </is>
      </c>
      <c r="B764" s="71" t="n">
        <v>45634</v>
      </c>
      <c r="C764" s="70" t="inlineStr">
        <is>
          <t>CUST-0107</t>
        </is>
      </c>
      <c r="D764" s="70" t="inlineStr">
        <is>
          <t>PROD-033</t>
        </is>
      </c>
      <c r="E764" s="70" t="inlineStr">
        <is>
          <t>R014</t>
        </is>
      </c>
      <c r="F764" s="72" t="n">
        <v>2</v>
      </c>
      <c r="G764" s="72" t="n">
        <v>2030</v>
      </c>
      <c r="H764" s="72" t="n">
        <v>12.2</v>
      </c>
      <c r="I764" s="72" t="n">
        <v>3564.68</v>
      </c>
      <c r="J764" s="70" t="inlineStr">
        <is>
          <t>Completed</t>
        </is>
      </c>
      <c r="K764" s="70" t="inlineStr">
        <is>
          <t>Pune</t>
        </is>
      </c>
    </row>
    <row r="765" ht="14.25" customHeight="1" s="56">
      <c r="A765" s="70" t="inlineStr">
        <is>
          <t>ORD-00764</t>
        </is>
      </c>
      <c r="B765" s="71" t="n">
        <v>45471</v>
      </c>
      <c r="C765" s="70" t="inlineStr">
        <is>
          <t>CUST-0120</t>
        </is>
      </c>
      <c r="D765" s="70" t="inlineStr">
        <is>
          <t>PROD-012</t>
        </is>
      </c>
      <c r="E765" s="70" t="inlineStr">
        <is>
          <t>R002</t>
        </is>
      </c>
      <c r="F765" s="72" t="n">
        <v>4</v>
      </c>
      <c r="G765" s="72" t="n">
        <v>3160</v>
      </c>
      <c r="H765" s="72" t="n">
        <v>7.5</v>
      </c>
      <c r="I765" s="72" t="n">
        <v>11692</v>
      </c>
      <c r="J765" s="70" t="inlineStr">
        <is>
          <t>Completed</t>
        </is>
      </c>
      <c r="K765" s="70" t="inlineStr">
        <is>
          <t>Mumbai</t>
        </is>
      </c>
    </row>
    <row r="766" ht="14.25" customHeight="1" s="56">
      <c r="A766" s="70" t="inlineStr">
        <is>
          <t>ORD-00765</t>
        </is>
      </c>
      <c r="B766" s="71" t="n">
        <v>45327</v>
      </c>
      <c r="C766" s="70" t="inlineStr">
        <is>
          <t>CUST-0225</t>
        </is>
      </c>
      <c r="D766" s="70" t="inlineStr">
        <is>
          <t>PROD-026</t>
        </is>
      </c>
      <c r="E766" s="70" t="inlineStr">
        <is>
          <t>R029</t>
        </is>
      </c>
      <c r="F766" s="72" t="n">
        <v>10</v>
      </c>
      <c r="G766" s="72" t="n">
        <v>4070</v>
      </c>
      <c r="H766" s="72" t="n">
        <v>8.300000000000001</v>
      </c>
      <c r="I766" s="72" t="n">
        <v>37321.9</v>
      </c>
      <c r="J766" s="70" t="inlineStr">
        <is>
          <t>Completed</t>
        </is>
      </c>
      <c r="K766" s="70" t="inlineStr">
        <is>
          <t>Chennai</t>
        </is>
      </c>
    </row>
    <row r="767" ht="14.25" customHeight="1" s="56">
      <c r="A767" s="70" t="inlineStr">
        <is>
          <t>ORD-00766</t>
        </is>
      </c>
      <c r="B767" s="71" t="n">
        <v>45343</v>
      </c>
      <c r="C767" s="70" t="inlineStr">
        <is>
          <t>CUST-0134</t>
        </is>
      </c>
      <c r="D767" s="70" t="inlineStr">
        <is>
          <t>PROD-025</t>
        </is>
      </c>
      <c r="E767" s="70" t="inlineStr">
        <is>
          <t>R024</t>
        </is>
      </c>
      <c r="F767" s="72" t="n">
        <v>8</v>
      </c>
      <c r="G767" s="72" t="n">
        <v>4060</v>
      </c>
      <c r="H767" s="72" t="n">
        <v>8.5</v>
      </c>
      <c r="I767" s="72" t="n">
        <v>29719.2</v>
      </c>
      <c r="J767" s="70" t="inlineStr">
        <is>
          <t>Completed</t>
        </is>
      </c>
      <c r="K767" s="70" t="inlineStr">
        <is>
          <t>Delhi</t>
        </is>
      </c>
    </row>
    <row r="768" ht="14.25" customHeight="1" s="56">
      <c r="A768" s="70" t="inlineStr">
        <is>
          <t>ORD-00767</t>
        </is>
      </c>
      <c r="B768" s="71" t="n">
        <v>45334</v>
      </c>
      <c r="C768" s="70" t="inlineStr">
        <is>
          <t>CUST-0279</t>
        </is>
      </c>
      <c r="D768" s="70" t="inlineStr">
        <is>
          <t>PROD-057</t>
        </is>
      </c>
      <c r="E768" s="70" t="inlineStr">
        <is>
          <t>R018</t>
        </is>
      </c>
      <c r="F768" s="72" t="n">
        <v>8</v>
      </c>
      <c r="G768" s="72" t="n">
        <v>960</v>
      </c>
      <c r="H768" s="72" t="n">
        <v>8.699999999999999</v>
      </c>
      <c r="I768" s="72" t="n">
        <v>7011.84</v>
      </c>
      <c r="J768" s="70" t="inlineStr">
        <is>
          <t>Completed</t>
        </is>
      </c>
      <c r="K768" s="70" t="inlineStr">
        <is>
          <t>Mumbai</t>
        </is>
      </c>
    </row>
    <row r="769" ht="14.25" customHeight="1" s="56">
      <c r="A769" s="70" t="inlineStr">
        <is>
          <t>ORD-00768</t>
        </is>
      </c>
      <c r="B769" s="71" t="n">
        <v>45306</v>
      </c>
      <c r="C769" s="70" t="inlineStr">
        <is>
          <t>CUST-0247</t>
        </is>
      </c>
      <c r="D769" s="70" t="inlineStr">
        <is>
          <t>PROD-022</t>
        </is>
      </c>
      <c r="E769" s="70" t="inlineStr">
        <is>
          <t>R027</t>
        </is>
      </c>
      <c r="F769" s="72" t="n">
        <v>2</v>
      </c>
      <c r="G769" s="72" t="n">
        <v>2270</v>
      </c>
      <c r="H769" s="72" t="n">
        <v>10.2</v>
      </c>
      <c r="I769" s="72" t="n">
        <v>4076.92</v>
      </c>
      <c r="J769" s="70" t="inlineStr">
        <is>
          <t>Completed</t>
        </is>
      </c>
      <c r="K769" s="70" t="inlineStr">
        <is>
          <t>Pune</t>
        </is>
      </c>
    </row>
    <row r="770" ht="14.25" customHeight="1" s="56">
      <c r="A770" s="70" t="inlineStr">
        <is>
          <t>ORD-00769</t>
        </is>
      </c>
      <c r="B770" s="71" t="n">
        <v>45296</v>
      </c>
      <c r="C770" s="70" t="inlineStr">
        <is>
          <t>CUST-0129</t>
        </is>
      </c>
      <c r="D770" s="70" t="inlineStr">
        <is>
          <t>PROD-027</t>
        </is>
      </c>
      <c r="E770" s="70" t="inlineStr">
        <is>
          <t>R007</t>
        </is>
      </c>
      <c r="F770" s="72" t="n">
        <v>1</v>
      </c>
      <c r="G770" s="72" t="n">
        <v>3780</v>
      </c>
      <c r="H770" s="72" t="n">
        <v>15.3</v>
      </c>
      <c r="I770" s="72" t="n">
        <v>3201.66</v>
      </c>
      <c r="J770" s="70" t="inlineStr">
        <is>
          <t>Cancelled</t>
        </is>
      </c>
      <c r="K770" s="70" t="inlineStr">
        <is>
          <t>Hyderabad</t>
        </is>
      </c>
    </row>
    <row r="771" ht="14.25" customHeight="1" s="56">
      <c r="A771" s="70" t="inlineStr">
        <is>
          <t>ORD-00770</t>
        </is>
      </c>
      <c r="B771" s="71" t="n">
        <v>45489</v>
      </c>
      <c r="C771" s="70" t="inlineStr">
        <is>
          <t>CUST-0038</t>
        </is>
      </c>
      <c r="D771" s="70" t="inlineStr">
        <is>
          <t>PROD-042</t>
        </is>
      </c>
      <c r="E771" s="70" t="inlineStr">
        <is>
          <t>R028</t>
        </is>
      </c>
      <c r="F771" s="72" t="n">
        <v>10</v>
      </c>
      <c r="G771" s="72" t="n">
        <v>2290</v>
      </c>
      <c r="H771" s="72" t="n">
        <v>2.4</v>
      </c>
      <c r="I771" s="72" t="n">
        <v>22350.4</v>
      </c>
      <c r="J771" s="70" t="inlineStr">
        <is>
          <t>Pending</t>
        </is>
      </c>
      <c r="K771" s="70" t="inlineStr">
        <is>
          <t>Mumbai</t>
        </is>
      </c>
    </row>
    <row r="772" ht="14.25" customHeight="1" s="56">
      <c r="A772" s="70" t="inlineStr">
        <is>
          <t>ORD-00771</t>
        </is>
      </c>
      <c r="B772" s="71" t="n">
        <v>45416</v>
      </c>
      <c r="C772" s="70" t="inlineStr">
        <is>
          <t>CUST-0109</t>
        </is>
      </c>
      <c r="D772" s="70" t="inlineStr">
        <is>
          <t>PROD-043</t>
        </is>
      </c>
      <c r="E772" s="70" t="inlineStr">
        <is>
          <t>R017</t>
        </is>
      </c>
      <c r="F772" s="72" t="n">
        <v>5</v>
      </c>
      <c r="G772" s="72" t="n">
        <v>3350</v>
      </c>
      <c r="H772" s="72" t="n">
        <v>18.5</v>
      </c>
      <c r="I772" s="72" t="n">
        <v>13651.25</v>
      </c>
      <c r="J772" s="70" t="inlineStr">
        <is>
          <t>Cancelled</t>
        </is>
      </c>
      <c r="K772" s="70" t="inlineStr">
        <is>
          <t>Pune</t>
        </is>
      </c>
    </row>
    <row r="773" ht="14.25" customHeight="1" s="56">
      <c r="A773" s="70" t="inlineStr">
        <is>
          <t>ORD-00772</t>
        </is>
      </c>
      <c r="B773" s="71" t="n">
        <v>45347</v>
      </c>
      <c r="C773" s="70" t="inlineStr">
        <is>
          <t>CUST-0051</t>
        </is>
      </c>
      <c r="D773" s="70" t="inlineStr">
        <is>
          <t>PROD-017</t>
        </is>
      </c>
      <c r="E773" s="70" t="inlineStr">
        <is>
          <t>R021</t>
        </is>
      </c>
      <c r="F773" s="72" t="n">
        <v>7</v>
      </c>
      <c r="G773" s="72" t="n">
        <v>2510</v>
      </c>
      <c r="H773" s="72" t="n">
        <v>4.2</v>
      </c>
      <c r="I773" s="72" t="n">
        <v>16832.06</v>
      </c>
      <c r="J773" s="70" t="inlineStr">
        <is>
          <t>Cancelled</t>
        </is>
      </c>
      <c r="K773" s="70" t="inlineStr">
        <is>
          <t>Pune</t>
        </is>
      </c>
    </row>
    <row r="774" ht="14.25" customHeight="1" s="56">
      <c r="A774" s="70" t="inlineStr">
        <is>
          <t>ORD-00773</t>
        </is>
      </c>
      <c r="B774" s="71" t="n">
        <v>45652</v>
      </c>
      <c r="C774" s="70" t="inlineStr">
        <is>
          <t>CUST-0265</t>
        </is>
      </c>
      <c r="D774" s="70" t="inlineStr">
        <is>
          <t>PROD-002</t>
        </is>
      </c>
      <c r="E774" s="70" t="inlineStr">
        <is>
          <t>R018</t>
        </is>
      </c>
      <c r="F774" s="72" t="n">
        <v>1</v>
      </c>
      <c r="G774" s="72" t="n">
        <v>2600</v>
      </c>
      <c r="H774" s="72" t="n">
        <v>2.2</v>
      </c>
      <c r="I774" s="72" t="n">
        <v>2542.8</v>
      </c>
      <c r="J774" s="70" t="inlineStr">
        <is>
          <t>Completed</t>
        </is>
      </c>
      <c r="K774" s="70" t="inlineStr">
        <is>
          <t>Chennai</t>
        </is>
      </c>
    </row>
    <row r="775" ht="14.25" customHeight="1" s="56">
      <c r="A775" s="70" t="inlineStr">
        <is>
          <t>ORD-00774</t>
        </is>
      </c>
      <c r="B775" s="71" t="n">
        <v>45467</v>
      </c>
      <c r="C775" s="70" t="inlineStr">
        <is>
          <t>CUST-0192</t>
        </is>
      </c>
      <c r="D775" s="70" t="inlineStr">
        <is>
          <t>PROD-053</t>
        </is>
      </c>
      <c r="E775" s="70" t="inlineStr">
        <is>
          <t>R003</t>
        </is>
      </c>
      <c r="F775" s="72" t="n">
        <v>8</v>
      </c>
      <c r="G775" s="72" t="n">
        <v>470</v>
      </c>
      <c r="H775" s="72" t="n">
        <v>25.2</v>
      </c>
      <c r="I775" s="72" t="n">
        <v>2812.48</v>
      </c>
      <c r="J775" s="70" t="inlineStr">
        <is>
          <t>Completed</t>
        </is>
      </c>
      <c r="K775" s="70" t="inlineStr">
        <is>
          <t>Bengaluru</t>
        </is>
      </c>
    </row>
    <row r="776" ht="14.25" customHeight="1" s="56">
      <c r="A776" s="70" t="inlineStr">
        <is>
          <t>ORD-00775</t>
        </is>
      </c>
      <c r="B776" s="71" t="n">
        <v>45558</v>
      </c>
      <c r="C776" s="70" t="inlineStr">
        <is>
          <t>CUST-0241</t>
        </is>
      </c>
      <c r="D776" s="70" t="inlineStr">
        <is>
          <t>PROD-040</t>
        </is>
      </c>
      <c r="E776" s="70" t="inlineStr">
        <is>
          <t>R012</t>
        </is>
      </c>
      <c r="F776" s="72" t="n">
        <v>6</v>
      </c>
      <c r="G776" s="72" t="n">
        <v>1080</v>
      </c>
      <c r="H776" s="72" t="n">
        <v>25</v>
      </c>
      <c r="I776" s="72" t="n">
        <v>4860</v>
      </c>
      <c r="J776" s="70" t="inlineStr">
        <is>
          <t>Completed</t>
        </is>
      </c>
      <c r="K776" s="70" t="inlineStr">
        <is>
          <t>Pune</t>
        </is>
      </c>
    </row>
    <row r="777" ht="14.25" customHeight="1" s="56">
      <c r="A777" s="70" t="inlineStr">
        <is>
          <t>ORD-00776</t>
        </is>
      </c>
      <c r="B777" s="71" t="n">
        <v>45645</v>
      </c>
      <c r="C777" s="70" t="inlineStr">
        <is>
          <t>CUST-0243</t>
        </is>
      </c>
      <c r="D777" s="70" t="inlineStr">
        <is>
          <t>PROD-054</t>
        </is>
      </c>
      <c r="E777" s="70" t="inlineStr">
        <is>
          <t>R019</t>
        </is>
      </c>
      <c r="F777" s="72" t="n">
        <v>2</v>
      </c>
      <c r="G777" s="72" t="n">
        <v>1010</v>
      </c>
      <c r="H777" s="72" t="n">
        <v>16.1</v>
      </c>
      <c r="I777" s="72" t="n">
        <v>1694.78</v>
      </c>
      <c r="J777" s="70" t="inlineStr">
        <is>
          <t>Completed</t>
        </is>
      </c>
      <c r="K777" s="70" t="inlineStr">
        <is>
          <t>Pune</t>
        </is>
      </c>
    </row>
    <row r="778" ht="14.25" customHeight="1" s="56">
      <c r="A778" s="70" t="inlineStr">
        <is>
          <t>ORD-00777</t>
        </is>
      </c>
      <c r="B778" s="71" t="n">
        <v>45418</v>
      </c>
      <c r="C778" s="70" t="inlineStr">
        <is>
          <t>CUST-0016</t>
        </is>
      </c>
      <c r="D778" s="70" t="inlineStr">
        <is>
          <t>PROD-004</t>
        </is>
      </c>
      <c r="E778" s="70" t="inlineStr">
        <is>
          <t>R002</t>
        </is>
      </c>
      <c r="F778" s="72" t="n">
        <v>6</v>
      </c>
      <c r="G778" s="72" t="n">
        <v>3870</v>
      </c>
      <c r="H778" s="72" t="n">
        <v>22.4</v>
      </c>
      <c r="I778" s="72" t="n">
        <v>18018.72</v>
      </c>
      <c r="J778" s="70" t="inlineStr">
        <is>
          <t>Cancelled</t>
        </is>
      </c>
      <c r="K778" s="70" t="inlineStr">
        <is>
          <t>Delhi</t>
        </is>
      </c>
    </row>
    <row r="779" ht="14.25" customHeight="1" s="56">
      <c r="A779" s="70" t="inlineStr">
        <is>
          <t>ORD-00778</t>
        </is>
      </c>
      <c r="B779" s="71" t="n">
        <v>45655</v>
      </c>
      <c r="C779" s="70" t="inlineStr">
        <is>
          <t>CUST-0249</t>
        </is>
      </c>
      <c r="D779" s="70" t="inlineStr">
        <is>
          <t>PROD-033</t>
        </is>
      </c>
      <c r="E779" s="70" t="inlineStr">
        <is>
          <t>R027</t>
        </is>
      </c>
      <c r="F779" s="72" t="n">
        <v>3</v>
      </c>
      <c r="G779" s="72" t="n">
        <v>2030</v>
      </c>
      <c r="H779" s="72" t="n">
        <v>18.5</v>
      </c>
      <c r="I779" s="72" t="n">
        <v>4963.35</v>
      </c>
      <c r="J779" s="70" t="inlineStr">
        <is>
          <t>Completed</t>
        </is>
      </c>
      <c r="K779" s="70" t="inlineStr">
        <is>
          <t>Mumbai</t>
        </is>
      </c>
    </row>
    <row r="780" ht="14.25" customHeight="1" s="56">
      <c r="A780" s="70" t="inlineStr">
        <is>
          <t>ORD-00779</t>
        </is>
      </c>
      <c r="B780" s="71" t="n">
        <v>45540</v>
      </c>
      <c r="C780" s="70" t="inlineStr">
        <is>
          <t>CUST-0021</t>
        </is>
      </c>
      <c r="D780" s="70" t="inlineStr">
        <is>
          <t>PROD-040</t>
        </is>
      </c>
      <c r="E780" s="70" t="inlineStr">
        <is>
          <t>R027</t>
        </is>
      </c>
      <c r="F780" s="72" t="n">
        <v>7</v>
      </c>
      <c r="G780" s="72" t="n">
        <v>1080</v>
      </c>
      <c r="H780" s="72" t="n">
        <v>6.8</v>
      </c>
      <c r="I780" s="72" t="n">
        <v>7045.92</v>
      </c>
      <c r="J780" s="70" t="inlineStr">
        <is>
          <t>Pending</t>
        </is>
      </c>
      <c r="K780" s="70" t="inlineStr">
        <is>
          <t>Pune</t>
        </is>
      </c>
    </row>
    <row r="781" ht="14.25" customHeight="1" s="56">
      <c r="A781" s="70" t="inlineStr">
        <is>
          <t>ORD-00780</t>
        </is>
      </c>
      <c r="B781" s="71" t="n">
        <v>45609</v>
      </c>
      <c r="C781" s="70" t="inlineStr">
        <is>
          <t>CUST-0255</t>
        </is>
      </c>
      <c r="D781" s="70" t="inlineStr">
        <is>
          <t>PROD-035</t>
        </is>
      </c>
      <c r="E781" s="70" t="inlineStr">
        <is>
          <t>R009</t>
        </is>
      </c>
      <c r="F781" s="72" t="n">
        <v>1</v>
      </c>
      <c r="G781" s="72" t="n">
        <v>1090</v>
      </c>
      <c r="H781" s="72" t="n">
        <v>20.6</v>
      </c>
      <c r="I781" s="72" t="n">
        <v>865.46</v>
      </c>
      <c r="J781" s="70" t="inlineStr">
        <is>
          <t>Completed</t>
        </is>
      </c>
      <c r="K781" s="70" t="inlineStr">
        <is>
          <t>Chennai</t>
        </is>
      </c>
    </row>
    <row r="782" ht="14.25" customHeight="1" s="56">
      <c r="A782" s="70" t="inlineStr">
        <is>
          <t>ORD-00781</t>
        </is>
      </c>
      <c r="B782" s="71" t="n">
        <v>45528</v>
      </c>
      <c r="C782" s="70" t="inlineStr">
        <is>
          <t>CUST-0084</t>
        </is>
      </c>
      <c r="D782" s="70" t="inlineStr">
        <is>
          <t>PROD-032</t>
        </is>
      </c>
      <c r="E782" s="70" t="inlineStr">
        <is>
          <t>R011</t>
        </is>
      </c>
      <c r="F782" s="72" t="n">
        <v>8</v>
      </c>
      <c r="G782" s="72" t="n">
        <v>370</v>
      </c>
      <c r="H782" s="72" t="n">
        <v>1.7</v>
      </c>
      <c r="I782" s="72" t="n">
        <v>2909.68</v>
      </c>
      <c r="J782" s="70" t="inlineStr">
        <is>
          <t>Completed</t>
        </is>
      </c>
      <c r="K782" s="70" t="inlineStr">
        <is>
          <t>Chennai</t>
        </is>
      </c>
    </row>
    <row r="783" ht="14.25" customHeight="1" s="56">
      <c r="A783" s="70" t="inlineStr">
        <is>
          <t>ORD-00782</t>
        </is>
      </c>
      <c r="B783" s="71" t="n">
        <v>45625</v>
      </c>
      <c r="C783" s="70" t="inlineStr">
        <is>
          <t>CUST-0289</t>
        </is>
      </c>
      <c r="D783" s="70" t="inlineStr">
        <is>
          <t>PROD-018</t>
        </is>
      </c>
      <c r="E783" s="70" t="inlineStr">
        <is>
          <t>R018</t>
        </is>
      </c>
      <c r="F783" s="72" t="n">
        <v>7</v>
      </c>
      <c r="G783" s="72" t="n">
        <v>3560</v>
      </c>
      <c r="H783" s="72" t="n">
        <v>28.7</v>
      </c>
      <c r="I783" s="72" t="n">
        <v>17767.96</v>
      </c>
      <c r="J783" s="70" t="inlineStr">
        <is>
          <t>Completed</t>
        </is>
      </c>
      <c r="K783" s="70" t="inlineStr">
        <is>
          <t>Mumbai</t>
        </is>
      </c>
    </row>
    <row r="784" ht="14.25" customHeight="1" s="56">
      <c r="A784" s="70" t="inlineStr">
        <is>
          <t>ORD-00783</t>
        </is>
      </c>
      <c r="B784" s="71" t="n">
        <v>45444</v>
      </c>
      <c r="C784" s="70" t="inlineStr">
        <is>
          <t>CUST-0026</t>
        </is>
      </c>
      <c r="D784" s="70" t="inlineStr">
        <is>
          <t>PROD-050</t>
        </is>
      </c>
      <c r="E784" s="70" t="inlineStr">
        <is>
          <t>R016</t>
        </is>
      </c>
      <c r="F784" s="72" t="n">
        <v>9</v>
      </c>
      <c r="G784" s="72" t="n">
        <v>6080</v>
      </c>
      <c r="H784" s="72" t="n">
        <v>16.3</v>
      </c>
      <c r="I784" s="72" t="n">
        <v>45800.64</v>
      </c>
      <c r="J784" s="70" t="inlineStr">
        <is>
          <t>Cancelled</t>
        </is>
      </c>
      <c r="K784" s="70" t="inlineStr">
        <is>
          <t>Pune</t>
        </is>
      </c>
    </row>
    <row r="785" ht="14.25" customHeight="1" s="56">
      <c r="A785" s="70" t="inlineStr">
        <is>
          <t>ORD-00784</t>
        </is>
      </c>
      <c r="B785" s="71" t="n">
        <v>45505</v>
      </c>
      <c r="C785" s="70" t="inlineStr">
        <is>
          <t>CUST-0273</t>
        </is>
      </c>
      <c r="D785" s="70" t="inlineStr">
        <is>
          <t>PROD-051</t>
        </is>
      </c>
      <c r="E785" s="70" t="inlineStr">
        <is>
          <t>R015</t>
        </is>
      </c>
      <c r="F785" s="72" t="n">
        <v>2</v>
      </c>
      <c r="G785" s="72" t="n">
        <v>3450</v>
      </c>
      <c r="H785" s="72" t="n">
        <v>17.6</v>
      </c>
      <c r="I785" s="72" t="n">
        <v>5685.6</v>
      </c>
      <c r="J785" s="70" t="inlineStr">
        <is>
          <t>Pending</t>
        </is>
      </c>
      <c r="K785" s="70" t="inlineStr">
        <is>
          <t>Hyderabad</t>
        </is>
      </c>
    </row>
    <row r="786" ht="14.25" customHeight="1" s="56">
      <c r="A786" s="70" t="inlineStr">
        <is>
          <t>ORD-00785</t>
        </is>
      </c>
      <c r="B786" s="71" t="n">
        <v>45401</v>
      </c>
      <c r="C786" s="70" t="inlineStr">
        <is>
          <t>CUST-0069</t>
        </is>
      </c>
      <c r="D786" s="70" t="inlineStr">
        <is>
          <t>PROD-034</t>
        </is>
      </c>
      <c r="E786" s="70" t="inlineStr">
        <is>
          <t>R009</t>
        </is>
      </c>
      <c r="F786" s="72" t="n">
        <v>1</v>
      </c>
      <c r="G786" s="72" t="n">
        <v>5080</v>
      </c>
      <c r="H786" s="72" t="n">
        <v>5.9</v>
      </c>
      <c r="I786" s="72" t="n">
        <v>4780.28</v>
      </c>
      <c r="J786" s="70" t="inlineStr">
        <is>
          <t>Completed</t>
        </is>
      </c>
      <c r="K786" s="70" t="inlineStr">
        <is>
          <t>Chennai</t>
        </is>
      </c>
    </row>
    <row r="787" ht="14.25" customHeight="1" s="56">
      <c r="A787" s="70" t="inlineStr">
        <is>
          <t>ORD-00786</t>
        </is>
      </c>
      <c r="B787" s="71" t="n">
        <v>45364</v>
      </c>
      <c r="C787" s="70" t="inlineStr">
        <is>
          <t>CUST-0236</t>
        </is>
      </c>
      <c r="D787" s="70" t="inlineStr">
        <is>
          <t>PROD-011</t>
        </is>
      </c>
      <c r="E787" s="70" t="inlineStr">
        <is>
          <t>R023</t>
        </is>
      </c>
      <c r="F787" s="72" t="n">
        <v>7</v>
      </c>
      <c r="G787" s="72" t="n">
        <v>3450</v>
      </c>
      <c r="H787" s="72" t="n">
        <v>17.4</v>
      </c>
      <c r="I787" s="72" t="n">
        <v>19947.9</v>
      </c>
      <c r="J787" s="70" t="inlineStr">
        <is>
          <t>Completed</t>
        </is>
      </c>
      <c r="K787" s="70" t="inlineStr">
        <is>
          <t>Hyderabad</t>
        </is>
      </c>
    </row>
    <row r="788" ht="14.25" customHeight="1" s="56">
      <c r="A788" s="70" t="inlineStr">
        <is>
          <t>ORD-00787</t>
        </is>
      </c>
      <c r="B788" s="71" t="n">
        <v>45403</v>
      </c>
      <c r="C788" s="70" t="inlineStr">
        <is>
          <t>CUST-0060</t>
        </is>
      </c>
      <c r="D788" s="70" t="inlineStr">
        <is>
          <t>PROD-024</t>
        </is>
      </c>
      <c r="E788" s="70" t="inlineStr">
        <is>
          <t>R009</t>
        </is>
      </c>
      <c r="F788" s="72" t="n">
        <v>8</v>
      </c>
      <c r="G788" s="72" t="n">
        <v>2270</v>
      </c>
      <c r="H788" s="72" t="n">
        <v>24.7</v>
      </c>
      <c r="I788" s="72" t="n">
        <v>13674.48</v>
      </c>
      <c r="J788" s="70" t="inlineStr">
        <is>
          <t>Completed</t>
        </is>
      </c>
      <c r="K788" s="70" t="inlineStr">
        <is>
          <t>Pune</t>
        </is>
      </c>
    </row>
    <row r="789" ht="14.25" customHeight="1" s="56">
      <c r="A789" s="70" t="inlineStr">
        <is>
          <t>ORD-00788</t>
        </is>
      </c>
      <c r="B789" s="71" t="n">
        <v>45599</v>
      </c>
      <c r="C789" s="70" t="inlineStr">
        <is>
          <t>CUST-0243</t>
        </is>
      </c>
      <c r="D789" s="70" t="inlineStr">
        <is>
          <t>PROD-012</t>
        </is>
      </c>
      <c r="E789" s="70" t="inlineStr">
        <is>
          <t>R023</t>
        </is>
      </c>
      <c r="F789" s="72" t="n">
        <v>3</v>
      </c>
      <c r="G789" s="72" t="n">
        <v>3160</v>
      </c>
      <c r="H789" s="72" t="n">
        <v>1.5</v>
      </c>
      <c r="I789" s="72" t="n">
        <v>9337.799999999999</v>
      </c>
      <c r="J789" s="70" t="inlineStr">
        <is>
          <t>Pending</t>
        </is>
      </c>
      <c r="K789" s="70" t="inlineStr">
        <is>
          <t>Pune</t>
        </is>
      </c>
    </row>
    <row r="790" ht="14.25" customHeight="1" s="56">
      <c r="A790" s="70" t="inlineStr">
        <is>
          <t>ORD-00789</t>
        </is>
      </c>
      <c r="B790" s="71" t="n">
        <v>45389</v>
      </c>
      <c r="C790" s="70" t="inlineStr">
        <is>
          <t>CUST-0188</t>
        </is>
      </c>
      <c r="D790" s="70" t="inlineStr">
        <is>
          <t>PROD-043</t>
        </is>
      </c>
      <c r="E790" s="70" t="inlineStr">
        <is>
          <t>R029</t>
        </is>
      </c>
      <c r="F790" s="72" t="n">
        <v>6</v>
      </c>
      <c r="G790" s="72" t="n">
        <v>3350</v>
      </c>
      <c r="H790" s="72" t="n">
        <v>0.9</v>
      </c>
      <c r="I790" s="72" t="n">
        <v>19919.1</v>
      </c>
      <c r="J790" s="70" t="inlineStr">
        <is>
          <t>Pending</t>
        </is>
      </c>
      <c r="K790" s="70" t="inlineStr">
        <is>
          <t>Bengaluru</t>
        </is>
      </c>
    </row>
    <row r="791" ht="14.25" customHeight="1" s="56">
      <c r="A791" s="70" t="inlineStr">
        <is>
          <t>ORD-00790</t>
        </is>
      </c>
      <c r="B791" s="71" t="n">
        <v>45506</v>
      </c>
      <c r="C791" s="70" t="inlineStr">
        <is>
          <t>CUST-0174</t>
        </is>
      </c>
      <c r="D791" s="70" t="inlineStr">
        <is>
          <t>PROD-044</t>
        </is>
      </c>
      <c r="E791" s="70" t="inlineStr">
        <is>
          <t>R029</t>
        </is>
      </c>
      <c r="F791" s="72" t="n">
        <v>7</v>
      </c>
      <c r="G791" s="72" t="n">
        <v>1650</v>
      </c>
      <c r="H791" s="72" t="n">
        <v>5.6</v>
      </c>
      <c r="I791" s="72" t="n">
        <v>10903.2</v>
      </c>
      <c r="J791" s="70" t="inlineStr">
        <is>
          <t>Refunded</t>
        </is>
      </c>
      <c r="K791" s="70" t="inlineStr">
        <is>
          <t>Pune</t>
        </is>
      </c>
    </row>
    <row r="792" ht="14.25" customHeight="1" s="56">
      <c r="A792" s="70" t="inlineStr">
        <is>
          <t>ORD-00791</t>
        </is>
      </c>
      <c r="B792" s="71" t="n">
        <v>45402</v>
      </c>
      <c r="C792" s="70" t="inlineStr">
        <is>
          <t>CUST-0016</t>
        </is>
      </c>
      <c r="D792" s="70" t="inlineStr">
        <is>
          <t>PROD-038</t>
        </is>
      </c>
      <c r="E792" s="70" t="inlineStr">
        <is>
          <t>R003</t>
        </is>
      </c>
      <c r="F792" s="72" t="n">
        <v>1</v>
      </c>
      <c r="G792" s="72" t="n">
        <v>5490</v>
      </c>
      <c r="H792" s="72" t="n">
        <v>5.8</v>
      </c>
      <c r="I792" s="72" t="n">
        <v>5171.58</v>
      </c>
      <c r="J792" s="70" t="inlineStr">
        <is>
          <t>Completed</t>
        </is>
      </c>
      <c r="K792" s="70" t="inlineStr">
        <is>
          <t>Delhi</t>
        </is>
      </c>
    </row>
    <row r="793" ht="14.25" customHeight="1" s="56">
      <c r="A793" s="70" t="inlineStr">
        <is>
          <t>ORD-00792</t>
        </is>
      </c>
      <c r="B793" s="71" t="n">
        <v>45405</v>
      </c>
      <c r="C793" s="70" t="inlineStr">
        <is>
          <t>CUST-0184</t>
        </is>
      </c>
      <c r="D793" s="70" t="inlineStr">
        <is>
          <t>PROD-040</t>
        </is>
      </c>
      <c r="E793" s="70" t="inlineStr">
        <is>
          <t>R024</t>
        </is>
      </c>
      <c r="F793" s="72" t="n">
        <v>3</v>
      </c>
      <c r="G793" s="72" t="n">
        <v>1080</v>
      </c>
      <c r="H793" s="72" t="n">
        <v>20.9</v>
      </c>
      <c r="I793" s="72" t="n">
        <v>2562.84</v>
      </c>
      <c r="J793" s="70" t="inlineStr">
        <is>
          <t>Completed</t>
        </is>
      </c>
      <c r="K793" s="70" t="inlineStr">
        <is>
          <t>Pune</t>
        </is>
      </c>
    </row>
    <row r="794" ht="14.25" customHeight="1" s="56">
      <c r="A794" s="70" t="inlineStr">
        <is>
          <t>ORD-00793</t>
        </is>
      </c>
      <c r="B794" s="71" t="n">
        <v>45434</v>
      </c>
      <c r="C794" s="70" t="inlineStr">
        <is>
          <t>CUST-9568</t>
        </is>
      </c>
      <c r="D794" s="70" t="inlineStr">
        <is>
          <t>PROD-027</t>
        </is>
      </c>
      <c r="E794" s="70" t="inlineStr">
        <is>
          <t>R018</t>
        </is>
      </c>
      <c r="F794" s="72" t="n">
        <v>10</v>
      </c>
      <c r="G794" s="72" t="n">
        <v>3780</v>
      </c>
      <c r="H794" s="72" t="n">
        <v>5.5</v>
      </c>
      <c r="I794" s="72" t="n">
        <v>35721</v>
      </c>
      <c r="J794" s="70" t="inlineStr">
        <is>
          <t>Completed</t>
        </is>
      </c>
      <c r="K794" s="70" t="inlineStr">
        <is>
          <t>Hyderabad</t>
        </is>
      </c>
    </row>
    <row r="795" ht="14.25" customHeight="1" s="56">
      <c r="A795" s="70" t="inlineStr">
        <is>
          <t>ORD-00794</t>
        </is>
      </c>
      <c r="B795" s="71" t="n">
        <v>45558</v>
      </c>
      <c r="C795" s="70" t="inlineStr">
        <is>
          <t>CUST-0118</t>
        </is>
      </c>
      <c r="D795" s="70" t="inlineStr">
        <is>
          <t>PROD-033</t>
        </is>
      </c>
      <c r="E795" s="70" t="inlineStr">
        <is>
          <t>R030</t>
        </is>
      </c>
      <c r="F795" s="72" t="n">
        <v>2</v>
      </c>
      <c r="G795" s="72" t="n">
        <v>2030</v>
      </c>
      <c r="H795" s="72" t="n">
        <v>2</v>
      </c>
      <c r="I795" s="72" t="n">
        <v>3978.8</v>
      </c>
      <c r="J795" s="70" t="inlineStr">
        <is>
          <t>Pending</t>
        </is>
      </c>
      <c r="K795" s="70" t="inlineStr">
        <is>
          <t>Hyderabad</t>
        </is>
      </c>
    </row>
    <row r="796" ht="14.25" customHeight="1" s="56">
      <c r="A796" s="70" t="inlineStr">
        <is>
          <t>ORD-00795</t>
        </is>
      </c>
      <c r="B796" s="71" t="n">
        <v>45582</v>
      </c>
      <c r="C796" s="70" t="inlineStr">
        <is>
          <t>CUST-0271</t>
        </is>
      </c>
      <c r="D796" s="70" t="inlineStr">
        <is>
          <t>PROD-041</t>
        </is>
      </c>
      <c r="E796" s="70" t="inlineStr">
        <is>
          <t>R019</t>
        </is>
      </c>
      <c r="F796" s="72" t="n">
        <v>8</v>
      </c>
      <c r="G796" s="72" t="n">
        <v>1540</v>
      </c>
      <c r="H796" s="72" t="n">
        <v>9</v>
      </c>
      <c r="I796" s="72" t="n">
        <v>11211.2</v>
      </c>
      <c r="J796" s="70" t="inlineStr">
        <is>
          <t>Cancelled</t>
        </is>
      </c>
      <c r="K796" s="70" t="inlineStr">
        <is>
          <t>Bengaluru</t>
        </is>
      </c>
    </row>
    <row r="797" ht="14.25" customHeight="1" s="56">
      <c r="A797" s="70" t="inlineStr">
        <is>
          <t>ORD-00796</t>
        </is>
      </c>
      <c r="B797" s="71" t="n">
        <v>45601</v>
      </c>
      <c r="C797" s="70" t="inlineStr">
        <is>
          <t>CUST-0147</t>
        </is>
      </c>
      <c r="D797" s="70" t="inlineStr">
        <is>
          <t>PROD-036</t>
        </is>
      </c>
      <c r="E797" s="70" t="inlineStr">
        <is>
          <t>R015</t>
        </is>
      </c>
      <c r="F797" s="72" t="n">
        <v>9</v>
      </c>
      <c r="G797" s="72" t="n">
        <v>3250</v>
      </c>
      <c r="H797" s="72" t="n">
        <v>20.5</v>
      </c>
      <c r="I797" s="72" t="n">
        <v>23253.75</v>
      </c>
      <c r="J797" s="70" t="inlineStr">
        <is>
          <t>Completed</t>
        </is>
      </c>
      <c r="K797" s="70" t="inlineStr">
        <is>
          <t>Pune</t>
        </is>
      </c>
    </row>
    <row r="798" ht="14.25" customHeight="1" s="56">
      <c r="A798" s="70" t="inlineStr">
        <is>
          <t>ORD-00797</t>
        </is>
      </c>
      <c r="B798" s="71" t="n">
        <v>45344</v>
      </c>
      <c r="C798" s="70" t="inlineStr">
        <is>
          <t>CUST-0253</t>
        </is>
      </c>
      <c r="D798" s="70" t="inlineStr">
        <is>
          <t>PROD-047</t>
        </is>
      </c>
      <c r="E798" s="70" t="inlineStr">
        <is>
          <t>R005</t>
        </is>
      </c>
      <c r="F798" s="72" t="n">
        <v>3</v>
      </c>
      <c r="G798" s="72" t="n">
        <v>3450</v>
      </c>
      <c r="H798" s="72" t="n">
        <v>17.9</v>
      </c>
      <c r="I798" s="72" t="n">
        <v>8497.35</v>
      </c>
      <c r="J798" s="70" t="inlineStr">
        <is>
          <t>Completed</t>
        </is>
      </c>
      <c r="K798" s="70" t="inlineStr">
        <is>
          <t>Delhi</t>
        </is>
      </c>
    </row>
    <row r="799" ht="14.25" customHeight="1" s="56">
      <c r="A799" s="70" t="inlineStr">
        <is>
          <t>ORD-00798</t>
        </is>
      </c>
      <c r="B799" s="71" t="n">
        <v>45504</v>
      </c>
      <c r="C799" s="70" t="inlineStr">
        <is>
          <t>CUST-0224</t>
        </is>
      </c>
      <c r="D799" s="70" t="inlineStr">
        <is>
          <t>PROD-038</t>
        </is>
      </c>
      <c r="E799" s="70" t="inlineStr">
        <is>
          <t>R008</t>
        </is>
      </c>
      <c r="F799" s="72" t="n">
        <v>5</v>
      </c>
      <c r="G799" s="72" t="n">
        <v>5490</v>
      </c>
      <c r="H799" s="72" t="n">
        <v>7.9</v>
      </c>
      <c r="I799" s="72" t="n">
        <v>25281.45</v>
      </c>
      <c r="J799" s="70" t="inlineStr">
        <is>
          <t>Completed</t>
        </is>
      </c>
      <c r="K799" s="70" t="inlineStr">
        <is>
          <t>Chennai</t>
        </is>
      </c>
    </row>
    <row r="800" ht="14.25" customHeight="1" s="56">
      <c r="A800" s="70" t="inlineStr">
        <is>
          <t>ORD-00799</t>
        </is>
      </c>
      <c r="B800" s="71" t="n">
        <v>45306</v>
      </c>
      <c r="C800" s="70" t="inlineStr">
        <is>
          <t>CUST-0134</t>
        </is>
      </c>
      <c r="D800" s="70" t="inlineStr">
        <is>
          <t>PROD-032</t>
        </is>
      </c>
      <c r="E800" s="70" t="inlineStr">
        <is>
          <t>R029</t>
        </is>
      </c>
      <c r="F800" s="72" t="n">
        <v>3</v>
      </c>
      <c r="G800" s="72" t="n">
        <v>370</v>
      </c>
      <c r="H800" s="72" t="n">
        <v>13.4</v>
      </c>
      <c r="I800" s="72" t="n">
        <v>961.26</v>
      </c>
      <c r="J800" s="70" t="inlineStr">
        <is>
          <t>Completed</t>
        </is>
      </c>
      <c r="K800" s="70" t="inlineStr">
        <is>
          <t>Delhi</t>
        </is>
      </c>
    </row>
    <row r="801" ht="14.25" customHeight="1" s="56">
      <c r="A801" s="70" t="inlineStr">
        <is>
          <t>ORD-00800</t>
        </is>
      </c>
      <c r="B801" s="71" t="n">
        <v>45413</v>
      </c>
      <c r="C801" s="70" t="inlineStr">
        <is>
          <t>CUST-0287</t>
        </is>
      </c>
      <c r="D801" s="70" t="inlineStr">
        <is>
          <t>PROD-001</t>
        </is>
      </c>
      <c r="E801" s="70" t="inlineStr">
        <is>
          <t>R009</t>
        </is>
      </c>
      <c r="F801" s="72" t="n">
        <v>7</v>
      </c>
      <c r="G801" s="72" t="n">
        <v>5330</v>
      </c>
      <c r="H801" s="72" t="n">
        <v>29.7</v>
      </c>
      <c r="I801" s="72" t="n">
        <v>26228.93</v>
      </c>
      <c r="J801" s="70" t="inlineStr">
        <is>
          <t>Pending</t>
        </is>
      </c>
      <c r="K801" s="70" t="inlineStr">
        <is>
          <t>Chennai</t>
        </is>
      </c>
    </row>
    <row r="802" ht="14.25" customHeight="1" s="56">
      <c r="A802" s="70" t="inlineStr">
        <is>
          <t>ORD-00801</t>
        </is>
      </c>
      <c r="B802" s="71" t="n">
        <v>45368</v>
      </c>
      <c r="C802" s="70" t="inlineStr">
        <is>
          <t>CUST-0144</t>
        </is>
      </c>
      <c r="D802" s="70" t="inlineStr">
        <is>
          <t>PROD-051</t>
        </is>
      </c>
      <c r="E802" s="70" t="inlineStr">
        <is>
          <t>R016</t>
        </is>
      </c>
      <c r="F802" s="72" t="n">
        <v>8</v>
      </c>
      <c r="G802" s="72" t="n">
        <v>3450</v>
      </c>
      <c r="H802" s="72" t="n">
        <v>23.7</v>
      </c>
      <c r="I802" s="72" t="n">
        <v>21058.8</v>
      </c>
      <c r="J802" s="70" t="inlineStr">
        <is>
          <t>Completed</t>
        </is>
      </c>
      <c r="K802" s="70" t="inlineStr">
        <is>
          <t>Chennai</t>
        </is>
      </c>
    </row>
    <row r="803" ht="14.25" customHeight="1" s="56">
      <c r="A803" s="70" t="inlineStr">
        <is>
          <t>ORD-00802</t>
        </is>
      </c>
      <c r="B803" s="71" t="n">
        <v>45316</v>
      </c>
      <c r="C803" s="70" t="inlineStr">
        <is>
          <t>CUST-0255</t>
        </is>
      </c>
      <c r="D803" s="70" t="inlineStr">
        <is>
          <t>PROD-011</t>
        </is>
      </c>
      <c r="E803" s="70" t="inlineStr">
        <is>
          <t>R027</t>
        </is>
      </c>
      <c r="F803" s="72" t="n">
        <v>8</v>
      </c>
      <c r="G803" s="72" t="n">
        <v>3450</v>
      </c>
      <c r="H803" s="72" t="n">
        <v>5.4</v>
      </c>
      <c r="I803" s="72" t="n">
        <v>26109.6</v>
      </c>
      <c r="J803" s="70" t="inlineStr">
        <is>
          <t>Completed</t>
        </is>
      </c>
      <c r="K803" s="70" t="inlineStr">
        <is>
          <t>Chennai</t>
        </is>
      </c>
    </row>
    <row r="804" ht="14.25" customHeight="1" s="56">
      <c r="A804" s="70" t="inlineStr">
        <is>
          <t>ORD-00803</t>
        </is>
      </c>
      <c r="B804" s="71" t="n">
        <v>45652</v>
      </c>
      <c r="C804" s="70" t="inlineStr">
        <is>
          <t>CUST-0054</t>
        </is>
      </c>
      <c r="D804" s="70" t="inlineStr">
        <is>
          <t>PROD-050</t>
        </is>
      </c>
      <c r="E804" s="70" t="inlineStr">
        <is>
          <t>R029</t>
        </is>
      </c>
      <c r="F804" s="72" t="n">
        <v>1</v>
      </c>
      <c r="G804" s="72" t="n">
        <v>6080</v>
      </c>
      <c r="H804" s="72" t="n">
        <v>22.3</v>
      </c>
      <c r="I804" s="72" t="n">
        <v>4724.16</v>
      </c>
      <c r="J804" s="70" t="inlineStr">
        <is>
          <t>Completed</t>
        </is>
      </c>
      <c r="K804" s="70" t="inlineStr">
        <is>
          <t>Mumbai</t>
        </is>
      </c>
    </row>
    <row r="805" ht="14.25" customHeight="1" s="56">
      <c r="A805" s="70" t="inlineStr">
        <is>
          <t>ORD-00804</t>
        </is>
      </c>
      <c r="B805" s="71" t="n">
        <v>45597</v>
      </c>
      <c r="C805" s="70" t="inlineStr">
        <is>
          <t>CUST-0283</t>
        </is>
      </c>
      <c r="D805" s="70" t="inlineStr">
        <is>
          <t>PROD-017</t>
        </is>
      </c>
      <c r="E805" s="70" t="inlineStr">
        <is>
          <t>R011</t>
        </is>
      </c>
      <c r="F805" s="72" t="n">
        <v>9</v>
      </c>
      <c r="G805" s="72" t="n">
        <v>2510</v>
      </c>
      <c r="H805" s="72" t="n">
        <v>27.4</v>
      </c>
      <c r="I805" s="72" t="n">
        <v>16400.34</v>
      </c>
      <c r="J805" s="70" t="inlineStr">
        <is>
          <t>Completed</t>
        </is>
      </c>
      <c r="K805" s="70" t="inlineStr">
        <is>
          <t>Delhi</t>
        </is>
      </c>
    </row>
    <row r="806" ht="14.25" customHeight="1" s="56">
      <c r="A806" s="70" t="inlineStr">
        <is>
          <t>ORD-00805</t>
        </is>
      </c>
      <c r="B806" s="71" t="n">
        <v>45392</v>
      </c>
      <c r="C806" s="70" t="inlineStr">
        <is>
          <t>CUST-0182</t>
        </is>
      </c>
      <c r="D806" s="70" t="inlineStr">
        <is>
          <t>PROD-054</t>
        </is>
      </c>
      <c r="E806" s="70" t="inlineStr">
        <is>
          <t>R012</t>
        </is>
      </c>
      <c r="F806" s="72" t="n">
        <v>10</v>
      </c>
      <c r="G806" s="72" t="n">
        <v>1010</v>
      </c>
      <c r="H806" s="72" t="n">
        <v>28.4</v>
      </c>
      <c r="I806" s="72" t="n">
        <v>7231.6</v>
      </c>
      <c r="J806" s="70" t="inlineStr">
        <is>
          <t>Completed</t>
        </is>
      </c>
      <c r="K806" s="70" t="inlineStr">
        <is>
          <t>Mumbai</t>
        </is>
      </c>
    </row>
    <row r="807" ht="14.25" customHeight="1" s="56">
      <c r="A807" s="70" t="inlineStr">
        <is>
          <t>ORD-00806</t>
        </is>
      </c>
      <c r="B807" s="71" t="n">
        <v>45401</v>
      </c>
      <c r="C807" s="70" t="inlineStr">
        <is>
          <t>CUST-0289</t>
        </is>
      </c>
      <c r="D807" s="70" t="inlineStr">
        <is>
          <t>PROD-018</t>
        </is>
      </c>
      <c r="E807" s="70" t="inlineStr">
        <is>
          <t>R023</t>
        </is>
      </c>
      <c r="F807" s="72" t="n">
        <v>1</v>
      </c>
      <c r="G807" s="72" t="n">
        <v>3560</v>
      </c>
      <c r="H807" s="72" t="n">
        <v>26</v>
      </c>
      <c r="I807" s="72" t="n">
        <v>2634.4</v>
      </c>
      <c r="J807" s="70" t="inlineStr">
        <is>
          <t>Completed</t>
        </is>
      </c>
      <c r="K807" s="70" t="inlineStr">
        <is>
          <t>Mumbai</t>
        </is>
      </c>
    </row>
    <row r="808" ht="14.25" customHeight="1" s="56">
      <c r="A808" s="70" t="inlineStr">
        <is>
          <t>ORD-00807</t>
        </is>
      </c>
      <c r="B808" s="71" t="n">
        <v>45397</v>
      </c>
      <c r="C808" s="70" t="inlineStr">
        <is>
          <t>CUST-0104</t>
        </is>
      </c>
      <c r="D808" s="70" t="inlineStr">
        <is>
          <t>PROD-045</t>
        </is>
      </c>
      <c r="E808" s="70" t="inlineStr">
        <is>
          <t>R006</t>
        </is>
      </c>
      <c r="F808" s="72" t="n">
        <v>8</v>
      </c>
      <c r="G808" s="72" t="n">
        <v>3020</v>
      </c>
      <c r="H808" s="72" t="n">
        <v>6.9</v>
      </c>
      <c r="I808" s="72" t="n">
        <v>22492.96</v>
      </c>
      <c r="J808" s="70" t="inlineStr">
        <is>
          <t>Completed</t>
        </is>
      </c>
      <c r="K808" s="70" t="inlineStr">
        <is>
          <t>Hyderabad</t>
        </is>
      </c>
    </row>
    <row r="809" ht="14.25" customHeight="1" s="56">
      <c r="A809" s="70" t="inlineStr">
        <is>
          <t>ORD-00808</t>
        </is>
      </c>
      <c r="B809" s="71" t="n">
        <v>45301</v>
      </c>
      <c r="C809" s="70" t="inlineStr">
        <is>
          <t>CUST-0085</t>
        </is>
      </c>
      <c r="D809" s="70" t="inlineStr">
        <is>
          <t>PROD-026</t>
        </is>
      </c>
      <c r="E809" s="70" t="inlineStr">
        <is>
          <t>R017</t>
        </is>
      </c>
      <c r="F809" s="72" t="n">
        <v>1</v>
      </c>
      <c r="G809" s="72" t="n">
        <v>4070</v>
      </c>
      <c r="H809" s="72" t="n">
        <v>8.199999999999999</v>
      </c>
      <c r="I809" s="72" t="n">
        <v>3736.26</v>
      </c>
      <c r="J809" s="70" t="inlineStr">
        <is>
          <t>Completed</t>
        </is>
      </c>
      <c r="K809" s="70" t="inlineStr">
        <is>
          <t>Chennai</t>
        </is>
      </c>
    </row>
    <row r="810" ht="14.25" customHeight="1" s="56">
      <c r="A810" s="70" t="inlineStr">
        <is>
          <t>ORD-00809</t>
        </is>
      </c>
      <c r="B810" s="71" t="n">
        <v>45347</v>
      </c>
      <c r="C810" s="70" t="inlineStr">
        <is>
          <t>CUST-0120</t>
        </is>
      </c>
      <c r="D810" s="70" t="inlineStr">
        <is>
          <t>PROD-032</t>
        </is>
      </c>
      <c r="E810" s="70" t="inlineStr">
        <is>
          <t>R020</t>
        </is>
      </c>
      <c r="F810" s="72" t="n">
        <v>9</v>
      </c>
      <c r="G810" s="72" t="n">
        <v>370</v>
      </c>
      <c r="H810" s="72" t="n">
        <v>19.8</v>
      </c>
      <c r="I810" s="72" t="n">
        <v>2670.66</v>
      </c>
      <c r="J810" s="70" t="inlineStr">
        <is>
          <t>Completed</t>
        </is>
      </c>
      <c r="K810" s="70" t="inlineStr">
        <is>
          <t>Mumbai</t>
        </is>
      </c>
    </row>
    <row r="811" ht="14.25" customHeight="1" s="56">
      <c r="A811" s="70" t="inlineStr">
        <is>
          <t>ORD-00810</t>
        </is>
      </c>
      <c r="B811" s="71" t="n">
        <v>45544</v>
      </c>
      <c r="C811" s="70" t="inlineStr">
        <is>
          <t>CUST-0236</t>
        </is>
      </c>
      <c r="D811" s="70" t="inlineStr">
        <is>
          <t>PROD-030</t>
        </is>
      </c>
      <c r="E811" s="70" t="inlineStr">
        <is>
          <t>R020</t>
        </is>
      </c>
      <c r="F811" s="72" t="n">
        <v>6</v>
      </c>
      <c r="G811" s="72" t="n">
        <v>970</v>
      </c>
      <c r="H811" s="72" t="n">
        <v>16.2</v>
      </c>
      <c r="I811" s="72" t="n">
        <v>4877.16</v>
      </c>
      <c r="J811" s="70" t="inlineStr">
        <is>
          <t>Completed</t>
        </is>
      </c>
      <c r="K811" s="70" t="inlineStr">
        <is>
          <t>Hyderabad</t>
        </is>
      </c>
    </row>
    <row r="812" ht="14.25" customHeight="1" s="56">
      <c r="A812" s="70" t="inlineStr">
        <is>
          <t>ORD-00811</t>
        </is>
      </c>
      <c r="B812" s="71" t="n">
        <v>45633</v>
      </c>
      <c r="C812" s="70" t="inlineStr">
        <is>
          <t>CUST-0094</t>
        </is>
      </c>
      <c r="D812" s="70" t="inlineStr">
        <is>
          <t>PROD-015</t>
        </is>
      </c>
      <c r="E812" s="70" t="inlineStr">
        <is>
          <t>R019</t>
        </is>
      </c>
      <c r="F812" s="72" t="n">
        <v>10</v>
      </c>
      <c r="G812" s="72" t="n">
        <v>2720</v>
      </c>
      <c r="H812" s="72" t="n">
        <v>3</v>
      </c>
      <c r="I812" s="72" t="n">
        <v>26384</v>
      </c>
      <c r="J812" s="70" t="inlineStr">
        <is>
          <t>Pending</t>
        </is>
      </c>
      <c r="K812" s="70" t="inlineStr">
        <is>
          <t>Pune</t>
        </is>
      </c>
    </row>
    <row r="813" ht="14.25" customHeight="1" s="56">
      <c r="A813" s="70" t="inlineStr">
        <is>
          <t>ORD-00812</t>
        </is>
      </c>
      <c r="B813" s="71" t="n">
        <v>45293</v>
      </c>
      <c r="C813" s="70" t="inlineStr">
        <is>
          <t>CUST-0030</t>
        </is>
      </c>
      <c r="D813" s="70" t="inlineStr">
        <is>
          <t>PROD-058</t>
        </is>
      </c>
      <c r="E813" s="70" t="inlineStr">
        <is>
          <t>R014</t>
        </is>
      </c>
      <c r="F813" s="72" t="n">
        <v>7</v>
      </c>
      <c r="G813" s="72" t="n">
        <v>2400</v>
      </c>
      <c r="H813" s="72" t="n">
        <v>29.4</v>
      </c>
      <c r="I813" s="72" t="n">
        <v>11860.8</v>
      </c>
      <c r="J813" s="70" t="inlineStr">
        <is>
          <t>Completed</t>
        </is>
      </c>
      <c r="K813" s="70" t="inlineStr">
        <is>
          <t>Bengaluru</t>
        </is>
      </c>
    </row>
    <row r="814" ht="14.25" customHeight="1" s="56">
      <c r="A814" s="70" t="inlineStr">
        <is>
          <t>ORD-00813</t>
        </is>
      </c>
      <c r="B814" s="71" t="n">
        <v>45564</v>
      </c>
      <c r="C814" s="70" t="inlineStr">
        <is>
          <t>CUST-0172</t>
        </is>
      </c>
      <c r="D814" s="70" t="inlineStr">
        <is>
          <t>PROD-018</t>
        </is>
      </c>
      <c r="E814" s="70" t="inlineStr">
        <is>
          <t>R012</t>
        </is>
      </c>
      <c r="F814" s="72" t="n">
        <v>8</v>
      </c>
      <c r="G814" s="72" t="n">
        <v>3560</v>
      </c>
      <c r="H814" s="72" t="n">
        <v>21.7</v>
      </c>
      <c r="I814" s="72" t="n">
        <v>22299.84</v>
      </c>
      <c r="J814" s="70" t="inlineStr">
        <is>
          <t>Completed</t>
        </is>
      </c>
      <c r="K814" s="70" t="inlineStr">
        <is>
          <t>Pune</t>
        </is>
      </c>
    </row>
    <row r="815" ht="14.25" customHeight="1" s="56">
      <c r="A815" s="70" t="inlineStr">
        <is>
          <t>ORD-00814</t>
        </is>
      </c>
      <c r="B815" s="71" t="n">
        <v>45385</v>
      </c>
      <c r="C815" s="70" t="inlineStr">
        <is>
          <t>CUST-0221</t>
        </is>
      </c>
      <c r="D815" s="70" t="inlineStr">
        <is>
          <t>PROD-026</t>
        </is>
      </c>
      <c r="E815" s="70" t="inlineStr">
        <is>
          <t>R015</t>
        </is>
      </c>
      <c r="F815" s="72" t="n">
        <v>7</v>
      </c>
      <c r="G815" s="72" t="n">
        <v>4070</v>
      </c>
      <c r="H815" s="72" t="n">
        <v>10.5</v>
      </c>
      <c r="I815" s="72" t="n">
        <v>25498.55</v>
      </c>
      <c r="J815" s="70" t="inlineStr">
        <is>
          <t>Completed</t>
        </is>
      </c>
      <c r="K815" s="70" t="inlineStr">
        <is>
          <t>Delhi</t>
        </is>
      </c>
    </row>
    <row r="816" ht="14.25" customHeight="1" s="56">
      <c r="A816" s="70" t="inlineStr">
        <is>
          <t>ORD-01052</t>
        </is>
      </c>
      <c r="B816" s="71" t="n">
        <v>45299</v>
      </c>
      <c r="C816" s="70" t="inlineStr">
        <is>
          <t>CUST-0151</t>
        </is>
      </c>
      <c r="D816" s="70" t="inlineStr">
        <is>
          <t>PROD-052</t>
        </is>
      </c>
      <c r="E816" s="70" t="inlineStr">
        <is>
          <t>R008</t>
        </is>
      </c>
      <c r="F816" s="72" t="n">
        <v>3</v>
      </c>
      <c r="G816" s="72" t="n">
        <v>5410</v>
      </c>
      <c r="H816" s="72" t="n">
        <v>0.2</v>
      </c>
      <c r="I816" s="72" t="n">
        <v>16197.54</v>
      </c>
      <c r="J816" s="70" t="inlineStr">
        <is>
          <t>Completed</t>
        </is>
      </c>
      <c r="K816" s="70" t="inlineStr">
        <is>
          <t>Mumbai</t>
        </is>
      </c>
    </row>
    <row r="817" ht="14.25" customHeight="1" s="56">
      <c r="A817" s="70" t="inlineStr">
        <is>
          <t>ORD-00816</t>
        </is>
      </c>
      <c r="B817" s="71" t="n">
        <v>45651</v>
      </c>
      <c r="C817" s="70" t="inlineStr">
        <is>
          <t>CUST-0068</t>
        </is>
      </c>
      <c r="D817" s="70" t="inlineStr">
        <is>
          <t>PROD-021</t>
        </is>
      </c>
      <c r="E817" s="70" t="inlineStr">
        <is>
          <t>R028</t>
        </is>
      </c>
      <c r="F817" s="72" t="n">
        <v>4</v>
      </c>
      <c r="G817" s="72" t="n">
        <v>2760</v>
      </c>
      <c r="H817" s="72" t="n">
        <v>27.5</v>
      </c>
      <c r="I817" s="72" t="n">
        <v>8004</v>
      </c>
      <c r="J817" s="70" t="inlineStr">
        <is>
          <t>Cancelled</t>
        </is>
      </c>
      <c r="K817" s="70" t="inlineStr">
        <is>
          <t>Delhi</t>
        </is>
      </c>
    </row>
    <row r="818" ht="14.25" customHeight="1" s="56">
      <c r="A818" s="70" t="inlineStr">
        <is>
          <t>ORD-01136</t>
        </is>
      </c>
      <c r="B818" s="71" t="n">
        <v>45474</v>
      </c>
      <c r="C818" s="70" t="inlineStr">
        <is>
          <t>CUST-0165</t>
        </is>
      </c>
      <c r="D818" s="70" t="inlineStr">
        <is>
          <t>PROD-034</t>
        </is>
      </c>
      <c r="E818" s="70" t="inlineStr">
        <is>
          <t>R013</t>
        </is>
      </c>
      <c r="F818" s="72" t="n">
        <v>3</v>
      </c>
      <c r="G818" s="72" t="n">
        <v>5080</v>
      </c>
      <c r="H818" s="72" t="n">
        <v>27.2</v>
      </c>
      <c r="I818" s="72" t="n">
        <v>11094.72</v>
      </c>
      <c r="J818" s="70" t="inlineStr">
        <is>
          <t>Completed</t>
        </is>
      </c>
      <c r="K818" s="70" t="inlineStr">
        <is>
          <t>Pune</t>
        </is>
      </c>
    </row>
    <row r="819" ht="14.25" customHeight="1" s="56">
      <c r="A819" s="70" t="inlineStr">
        <is>
          <t>ORD-00818</t>
        </is>
      </c>
      <c r="B819" s="71" t="n">
        <v>45391</v>
      </c>
      <c r="C819" s="70" t="inlineStr">
        <is>
          <t>CUST-0060</t>
        </is>
      </c>
      <c r="D819" s="70" t="inlineStr">
        <is>
          <t>PROD-035</t>
        </is>
      </c>
      <c r="E819" s="70" t="inlineStr">
        <is>
          <t>R017</t>
        </is>
      </c>
      <c r="F819" s="72" t="n">
        <v>5</v>
      </c>
      <c r="G819" s="72" t="n">
        <v>1090</v>
      </c>
      <c r="H819" s="72" t="n">
        <v>3.3</v>
      </c>
      <c r="I819" s="72" t="n">
        <v>5270.15</v>
      </c>
      <c r="J819" s="70" t="inlineStr">
        <is>
          <t>Completed</t>
        </is>
      </c>
      <c r="K819" s="70" t="inlineStr">
        <is>
          <t>Pune</t>
        </is>
      </c>
    </row>
    <row r="820" ht="14.25" customHeight="1" s="56">
      <c r="A820" s="70" t="inlineStr">
        <is>
          <t>ORD-00819</t>
        </is>
      </c>
      <c r="B820" s="71" t="n">
        <v>45328</v>
      </c>
      <c r="C820" s="70" t="inlineStr">
        <is>
          <t>CUST-0130</t>
        </is>
      </c>
      <c r="D820" s="70" t="inlineStr">
        <is>
          <t>PROD-023</t>
        </is>
      </c>
      <c r="E820" s="70" t="inlineStr">
        <is>
          <t>R029</t>
        </is>
      </c>
      <c r="F820" s="72" t="n">
        <v>10</v>
      </c>
      <c r="G820" s="72" t="n">
        <v>2380</v>
      </c>
      <c r="H820" s="72" t="n">
        <v>7</v>
      </c>
      <c r="I820" s="72" t="n">
        <v>22134</v>
      </c>
      <c r="J820" s="70" t="inlineStr">
        <is>
          <t>Completed</t>
        </is>
      </c>
      <c r="K820" s="70" t="inlineStr">
        <is>
          <t>Bengaluru</t>
        </is>
      </c>
    </row>
    <row r="821" ht="14.25" customHeight="1" s="56">
      <c r="A821" s="70" t="inlineStr">
        <is>
          <t>ORD-00820</t>
        </is>
      </c>
      <c r="B821" s="71" t="n">
        <v>45490</v>
      </c>
      <c r="C821" s="70" t="inlineStr">
        <is>
          <t>CUST-0023</t>
        </is>
      </c>
      <c r="D821" s="70" t="inlineStr">
        <is>
          <t>PROD-012</t>
        </is>
      </c>
      <c r="E821" s="70" t="inlineStr">
        <is>
          <t>R026</t>
        </is>
      </c>
      <c r="F821" s="72" t="n">
        <v>5</v>
      </c>
      <c r="G821" s="72" t="n">
        <v>3160</v>
      </c>
      <c r="H821" s="72" t="n">
        <v>25.6</v>
      </c>
      <c r="I821" s="72" t="n">
        <v>11755.2</v>
      </c>
      <c r="J821" s="70" t="inlineStr">
        <is>
          <t>Completed</t>
        </is>
      </c>
      <c r="K821" s="70" t="inlineStr">
        <is>
          <t>Chennai</t>
        </is>
      </c>
    </row>
    <row r="822" ht="14.25" customHeight="1" s="56">
      <c r="A822" s="70" t="inlineStr">
        <is>
          <t>ORD-00821</t>
        </is>
      </c>
      <c r="B822" s="71" t="n">
        <v>45362</v>
      </c>
      <c r="C822" s="70" t="inlineStr">
        <is>
          <t>CUST-0089</t>
        </is>
      </c>
      <c r="D822" s="70" t="inlineStr">
        <is>
          <t>PROD-058</t>
        </is>
      </c>
      <c r="E822" s="70" t="inlineStr">
        <is>
          <t>R029</t>
        </is>
      </c>
      <c r="F822" s="72" t="n">
        <v>9</v>
      </c>
      <c r="G822" s="72" t="n">
        <v>2400</v>
      </c>
      <c r="H822" s="72" t="n">
        <v>8.4</v>
      </c>
      <c r="I822" s="72" t="n">
        <v>19785.6</v>
      </c>
      <c r="J822" s="70" t="inlineStr">
        <is>
          <t>Completed</t>
        </is>
      </c>
      <c r="K822" s="70" t="inlineStr">
        <is>
          <t>Mumbai</t>
        </is>
      </c>
    </row>
    <row r="823" ht="14.25" customHeight="1" s="56">
      <c r="A823" s="70" t="inlineStr">
        <is>
          <t>ORD-00822</t>
        </is>
      </c>
      <c r="B823" s="71" t="n">
        <v>45449</v>
      </c>
      <c r="C823" s="70" t="inlineStr">
        <is>
          <t>CUST-0300</t>
        </is>
      </c>
      <c r="D823" s="70" t="inlineStr">
        <is>
          <t>PROD-002</t>
        </is>
      </c>
      <c r="E823" s="70" t="inlineStr">
        <is>
          <t>R020</t>
        </is>
      </c>
      <c r="F823" s="72" t="n">
        <v>4</v>
      </c>
      <c r="G823" s="72" t="n">
        <v>2600</v>
      </c>
      <c r="H823" s="72" t="n">
        <v>4.2</v>
      </c>
      <c r="I823" s="72" t="n">
        <v>9963.200000000001</v>
      </c>
      <c r="J823" s="70" t="inlineStr">
        <is>
          <t>Completed</t>
        </is>
      </c>
      <c r="K823" s="70" t="inlineStr">
        <is>
          <t>Mumbai</t>
        </is>
      </c>
    </row>
    <row r="824" ht="14.25" customHeight="1" s="56">
      <c r="A824" s="70" t="inlineStr">
        <is>
          <t>ORD-00823</t>
        </is>
      </c>
      <c r="B824" s="71" t="n">
        <v>45409</v>
      </c>
      <c r="C824" s="70" t="inlineStr">
        <is>
          <t>CUST-9578</t>
        </is>
      </c>
      <c r="D824" s="70" t="inlineStr">
        <is>
          <t>PROD-024</t>
        </is>
      </c>
      <c r="E824" s="70" t="inlineStr">
        <is>
          <t>R023</t>
        </is>
      </c>
      <c r="F824" s="72" t="n">
        <v>5</v>
      </c>
      <c r="G824" s="72" t="n">
        <v>2270</v>
      </c>
      <c r="H824" s="72" t="n">
        <v>0.1</v>
      </c>
      <c r="I824" s="72" t="n">
        <v>11338.65</v>
      </c>
      <c r="J824" s="70" t="inlineStr">
        <is>
          <t>Completed</t>
        </is>
      </c>
      <c r="K824" s="70" t="inlineStr">
        <is>
          <t>Mumbai</t>
        </is>
      </c>
    </row>
    <row r="825" ht="14.25" customHeight="1" s="56">
      <c r="A825" s="70" t="inlineStr">
        <is>
          <t>ORD-00824</t>
        </is>
      </c>
      <c r="B825" s="71" t="n">
        <v>45465</v>
      </c>
      <c r="C825" s="70" t="inlineStr">
        <is>
          <t>CUST-0130</t>
        </is>
      </c>
      <c r="D825" s="70" t="inlineStr">
        <is>
          <t>PROD-038</t>
        </is>
      </c>
      <c r="E825" s="70" t="inlineStr">
        <is>
          <t>R020</t>
        </is>
      </c>
      <c r="F825" s="72" t="n">
        <v>7</v>
      </c>
      <c r="G825" s="72" t="n">
        <v>5490</v>
      </c>
      <c r="H825" s="72" t="n">
        <v>14.9</v>
      </c>
      <c r="I825" s="72" t="n">
        <v>32703.93</v>
      </c>
      <c r="J825" s="70" t="inlineStr">
        <is>
          <t>Completed</t>
        </is>
      </c>
      <c r="K825" s="70" t="inlineStr">
        <is>
          <t>Bengaluru</t>
        </is>
      </c>
    </row>
    <row r="826" ht="14.25" customHeight="1" s="56">
      <c r="A826" s="70" t="inlineStr">
        <is>
          <t>ORD-00825</t>
        </is>
      </c>
      <c r="B826" s="71" t="n">
        <v>45415</v>
      </c>
      <c r="C826" s="70" t="inlineStr">
        <is>
          <t>CUST-0247</t>
        </is>
      </c>
      <c r="D826" s="70" t="inlineStr">
        <is>
          <t>PROD-004</t>
        </is>
      </c>
      <c r="E826" s="70" t="inlineStr">
        <is>
          <t>R009</t>
        </is>
      </c>
      <c r="F826" s="72" t="n">
        <v>5</v>
      </c>
      <c r="G826" s="72" t="n">
        <v>3870</v>
      </c>
      <c r="H826" s="72" t="n">
        <v>13.3</v>
      </c>
      <c r="I826" s="72" t="n">
        <v>16776.45</v>
      </c>
      <c r="J826" s="70" t="inlineStr">
        <is>
          <t>Cancelled</t>
        </is>
      </c>
      <c r="K826" s="70" t="inlineStr">
        <is>
          <t>Pune</t>
        </is>
      </c>
    </row>
    <row r="827" ht="14.25" customHeight="1" s="56">
      <c r="A827" s="70" t="inlineStr">
        <is>
          <t>ORD-00826</t>
        </is>
      </c>
      <c r="B827" s="71" t="n">
        <v>45372</v>
      </c>
      <c r="C827" s="70" t="inlineStr">
        <is>
          <t>CUST-0256</t>
        </is>
      </c>
      <c r="D827" s="70" t="inlineStr">
        <is>
          <t>PROD-049</t>
        </is>
      </c>
      <c r="E827" s="70" t="inlineStr">
        <is>
          <t>R024</t>
        </is>
      </c>
      <c r="F827" s="72" t="n">
        <v>2</v>
      </c>
      <c r="G827" s="72" t="n">
        <v>960</v>
      </c>
      <c r="H827" s="72" t="n">
        <v>17.5</v>
      </c>
      <c r="I827" s="72" t="n">
        <v>1584</v>
      </c>
      <c r="J827" s="70" t="inlineStr">
        <is>
          <t>Completed</t>
        </is>
      </c>
      <c r="K827" s="70" t="inlineStr">
        <is>
          <t>Hyderabad</t>
        </is>
      </c>
    </row>
    <row r="828" ht="14.25" customHeight="1" s="56">
      <c r="A828" s="70" t="inlineStr">
        <is>
          <t>ORD-00827</t>
        </is>
      </c>
      <c r="B828" s="71" t="n">
        <v>45405</v>
      </c>
      <c r="C828" s="70" t="inlineStr">
        <is>
          <t>CUST-0213</t>
        </is>
      </c>
      <c r="D828" s="70" t="inlineStr">
        <is>
          <t>PROD-046</t>
        </is>
      </c>
      <c r="E828" s="70" t="inlineStr">
        <is>
          <t>R001</t>
        </is>
      </c>
      <c r="F828" s="72" t="n">
        <v>4</v>
      </c>
      <c r="G828" s="72" t="n">
        <v>4880</v>
      </c>
      <c r="H828" s="72" t="n">
        <v>12.2</v>
      </c>
      <c r="I828" s="72" t="n">
        <v>17138.56</v>
      </c>
      <c r="J828" s="70" t="inlineStr">
        <is>
          <t>Cancelled</t>
        </is>
      </c>
      <c r="K828" s="70" t="inlineStr">
        <is>
          <t>Mumbai</t>
        </is>
      </c>
    </row>
    <row r="829" ht="14.25" customHeight="1" s="56">
      <c r="A829" s="70" t="inlineStr">
        <is>
          <t>ORD-00828</t>
        </is>
      </c>
      <c r="B829" s="71" t="n">
        <v>45419</v>
      </c>
      <c r="C829" s="70" t="inlineStr">
        <is>
          <t>CUST-0183</t>
        </is>
      </c>
      <c r="D829" s="70" t="inlineStr">
        <is>
          <t>PROD-058</t>
        </is>
      </c>
      <c r="E829" s="70" t="inlineStr">
        <is>
          <t>R008</t>
        </is>
      </c>
      <c r="F829" s="72" t="n">
        <v>5</v>
      </c>
      <c r="G829" s="72" t="n">
        <v>2400</v>
      </c>
      <c r="H829" s="72" t="n">
        <v>15</v>
      </c>
      <c r="I829" s="72" t="n">
        <v>10200</v>
      </c>
      <c r="J829" s="70" t="inlineStr">
        <is>
          <t>Completed</t>
        </is>
      </c>
      <c r="K829" s="70" t="inlineStr">
        <is>
          <t>Mumbai</t>
        </is>
      </c>
    </row>
    <row r="830" ht="14.25" customHeight="1" s="56">
      <c r="A830" s="70" t="inlineStr">
        <is>
          <t>ORD-00829</t>
        </is>
      </c>
      <c r="B830" s="71" t="n">
        <v>45522</v>
      </c>
      <c r="C830" s="70" t="inlineStr">
        <is>
          <t>CUST-0051</t>
        </is>
      </c>
      <c r="D830" s="70" t="inlineStr">
        <is>
          <t>PROD-016</t>
        </is>
      </c>
      <c r="E830" s="70" t="inlineStr">
        <is>
          <t>R015</t>
        </is>
      </c>
      <c r="F830" s="72" t="n">
        <v>9</v>
      </c>
      <c r="G830" s="72" t="n">
        <v>620</v>
      </c>
      <c r="H830" s="72" t="n">
        <v>20.4</v>
      </c>
      <c r="I830" s="72" t="n">
        <v>4441.68</v>
      </c>
      <c r="J830" s="70" t="inlineStr">
        <is>
          <t>Pending</t>
        </is>
      </c>
      <c r="K830" s="70" t="inlineStr">
        <is>
          <t>Pune</t>
        </is>
      </c>
    </row>
    <row r="831" ht="14.25" customHeight="1" s="56">
      <c r="A831" s="70" t="inlineStr">
        <is>
          <t>ORD-00830</t>
        </is>
      </c>
      <c r="B831" s="71" t="n">
        <v>45513</v>
      </c>
      <c r="C831" s="70" t="inlineStr">
        <is>
          <t>CUST-0001</t>
        </is>
      </c>
      <c r="D831" s="70" t="inlineStr">
        <is>
          <t>PROD-039</t>
        </is>
      </c>
      <c r="E831" s="70" t="inlineStr">
        <is>
          <t>R013</t>
        </is>
      </c>
      <c r="F831" s="72" t="n">
        <v>1</v>
      </c>
      <c r="G831" s="72" t="n">
        <v>4610</v>
      </c>
      <c r="H831" s="72" t="n">
        <v>1.8</v>
      </c>
      <c r="I831" s="72" t="n">
        <v>4527.02</v>
      </c>
      <c r="J831" s="70" t="inlineStr">
        <is>
          <t>Pending</t>
        </is>
      </c>
      <c r="K831" s="70" t="inlineStr">
        <is>
          <t>Pune</t>
        </is>
      </c>
    </row>
    <row r="832" ht="14.25" customHeight="1" s="56">
      <c r="A832" s="70" t="inlineStr">
        <is>
          <t>ORD-00831</t>
        </is>
      </c>
      <c r="B832" s="71" t="n">
        <v>45500</v>
      </c>
      <c r="C832" s="70" t="inlineStr">
        <is>
          <t>CUST-0105</t>
        </is>
      </c>
      <c r="D832" s="70" t="inlineStr">
        <is>
          <t>PROD-039</t>
        </is>
      </c>
      <c r="E832" s="70" t="inlineStr">
        <is>
          <t>R014</t>
        </is>
      </c>
      <c r="F832" s="72" t="n">
        <v>7</v>
      </c>
      <c r="G832" s="72" t="n">
        <v>4610</v>
      </c>
      <c r="H832" s="72" t="n">
        <v>27</v>
      </c>
      <c r="I832" s="72" t="n">
        <v>23557.1</v>
      </c>
      <c r="J832" s="70" t="inlineStr">
        <is>
          <t>Completed</t>
        </is>
      </c>
      <c r="K832" s="70" t="inlineStr">
        <is>
          <t>Chennai</t>
        </is>
      </c>
    </row>
    <row r="833" ht="14.25" customHeight="1" s="56">
      <c r="A833" s="70" t="inlineStr">
        <is>
          <t>ORD-00832</t>
        </is>
      </c>
      <c r="B833" s="71" t="n">
        <v>45608</v>
      </c>
      <c r="C833" s="70" t="inlineStr">
        <is>
          <t>CUST-0199</t>
        </is>
      </c>
      <c r="D833" s="70" t="inlineStr">
        <is>
          <t>PROD-030</t>
        </is>
      </c>
      <c r="E833" s="70" t="inlineStr">
        <is>
          <t>R029</t>
        </is>
      </c>
      <c r="F833" s="72" t="n">
        <v>6</v>
      </c>
      <c r="G833" s="72" t="n">
        <v>970</v>
      </c>
      <c r="H833" s="72" t="n">
        <v>4.7</v>
      </c>
      <c r="I833" s="72" t="n">
        <v>5546.46</v>
      </c>
      <c r="J833" s="70" t="inlineStr">
        <is>
          <t>Cancelled</t>
        </is>
      </c>
      <c r="K833" s="70" t="inlineStr">
        <is>
          <t>Hyderabad</t>
        </is>
      </c>
    </row>
    <row r="834" ht="14.25" customHeight="1" s="56">
      <c r="A834" s="70" t="inlineStr">
        <is>
          <t>ORD-00833</t>
        </is>
      </c>
      <c r="B834" s="71" t="n">
        <v>45362</v>
      </c>
      <c r="C834" s="70" t="inlineStr">
        <is>
          <t>CUST-0240</t>
        </is>
      </c>
      <c r="D834" s="70" t="inlineStr">
        <is>
          <t>PROD-007</t>
        </is>
      </c>
      <c r="E834" s="70" t="inlineStr">
        <is>
          <t>R026</t>
        </is>
      </c>
      <c r="F834" s="72" t="n">
        <v>8</v>
      </c>
      <c r="G834" s="72" t="n">
        <v>1430</v>
      </c>
      <c r="H834" s="72" t="n">
        <v>8.699999999999999</v>
      </c>
      <c r="I834" s="72" t="n">
        <v>10444.72</v>
      </c>
      <c r="J834" s="70" t="inlineStr">
        <is>
          <t>Completed</t>
        </is>
      </c>
      <c r="K834" s="70" t="inlineStr">
        <is>
          <t>Chennai</t>
        </is>
      </c>
    </row>
    <row r="835" ht="14.25" customHeight="1" s="56">
      <c r="A835" s="70" t="inlineStr">
        <is>
          <t>ORD-00834</t>
        </is>
      </c>
      <c r="B835" s="71" t="n">
        <v>45348</v>
      </c>
      <c r="C835" s="70" t="inlineStr">
        <is>
          <t>CUST-0283</t>
        </is>
      </c>
      <c r="D835" s="70" t="inlineStr">
        <is>
          <t>PROD-027</t>
        </is>
      </c>
      <c r="E835" s="70" t="inlineStr">
        <is>
          <t>R011</t>
        </is>
      </c>
      <c r="F835" s="72" t="n">
        <v>5</v>
      </c>
      <c r="G835" s="72" t="n">
        <v>3780</v>
      </c>
      <c r="H835" s="72" t="n">
        <v>2.9</v>
      </c>
      <c r="I835" s="72" t="n">
        <v>18351.9</v>
      </c>
      <c r="J835" s="70" t="inlineStr">
        <is>
          <t>Completed</t>
        </is>
      </c>
      <c r="K835" s="70" t="inlineStr">
        <is>
          <t>Delhi</t>
        </is>
      </c>
    </row>
    <row r="836" ht="14.25" customHeight="1" s="56">
      <c r="A836" s="70" t="inlineStr">
        <is>
          <t>ORD-00835</t>
        </is>
      </c>
      <c r="B836" s="71" t="n">
        <v>45532</v>
      </c>
      <c r="C836" s="70" t="inlineStr">
        <is>
          <t>CUST-0284</t>
        </is>
      </c>
      <c r="D836" s="70" t="inlineStr">
        <is>
          <t>PROD-041</t>
        </is>
      </c>
      <c r="E836" s="70" t="inlineStr">
        <is>
          <t>R023</t>
        </is>
      </c>
      <c r="F836" s="72" t="n">
        <v>2</v>
      </c>
      <c r="G836" s="72" t="n">
        <v>1540</v>
      </c>
      <c r="H836" s="72" t="n">
        <v>12.7</v>
      </c>
      <c r="I836" s="72" t="n">
        <v>2688.84</v>
      </c>
      <c r="J836" s="70" t="inlineStr">
        <is>
          <t>Completed</t>
        </is>
      </c>
      <c r="K836" s="70" t="inlineStr">
        <is>
          <t>Hyderabad</t>
        </is>
      </c>
    </row>
    <row r="837" ht="14.25" customHeight="1" s="56">
      <c r="A837" s="70" t="inlineStr">
        <is>
          <t>ORD-00836</t>
        </is>
      </c>
      <c r="B837" s="71" t="n">
        <v>45492</v>
      </c>
      <c r="C837" s="70" t="inlineStr">
        <is>
          <t>CUST-0060</t>
        </is>
      </c>
      <c r="D837" s="70" t="inlineStr">
        <is>
          <t>PROD-040</t>
        </is>
      </c>
      <c r="E837" s="70" t="inlineStr">
        <is>
          <t>R020</t>
        </is>
      </c>
      <c r="F837" s="72" t="n">
        <v>9</v>
      </c>
      <c r="G837" s="72" t="n">
        <v>1080</v>
      </c>
      <c r="H837" s="72" t="n">
        <v>11.2</v>
      </c>
      <c r="I837" s="72" t="n">
        <v>8631.360000000001</v>
      </c>
      <c r="J837" s="70" t="inlineStr">
        <is>
          <t>Cancelled</t>
        </is>
      </c>
      <c r="K837" s="70" t="inlineStr">
        <is>
          <t>Pune</t>
        </is>
      </c>
    </row>
    <row r="838" ht="14.25" customHeight="1" s="56">
      <c r="A838" s="70" t="inlineStr">
        <is>
          <t>ORD-00837</t>
        </is>
      </c>
      <c r="B838" s="71" t="n">
        <v>45368</v>
      </c>
      <c r="C838" s="70" t="inlineStr">
        <is>
          <t>CUST-0266</t>
        </is>
      </c>
      <c r="D838" s="70" t="inlineStr">
        <is>
          <t>PROD-058</t>
        </is>
      </c>
      <c r="E838" s="70" t="inlineStr">
        <is>
          <t>R007</t>
        </is>
      </c>
      <c r="F838" s="72" t="n">
        <v>3</v>
      </c>
      <c r="G838" s="72" t="n">
        <v>2400</v>
      </c>
      <c r="H838" s="72" t="n">
        <v>28.6</v>
      </c>
      <c r="I838" s="72" t="n">
        <v>5140.8</v>
      </c>
      <c r="J838" s="70" t="inlineStr">
        <is>
          <t>Completed</t>
        </is>
      </c>
      <c r="K838" s="70" t="inlineStr">
        <is>
          <t>Pune</t>
        </is>
      </c>
    </row>
    <row r="839" ht="14.25" customHeight="1" s="56">
      <c r="A839" s="70" t="inlineStr">
        <is>
          <t>ORD-00838</t>
        </is>
      </c>
      <c r="B839" s="71" t="n">
        <v>45448</v>
      </c>
      <c r="C839" s="70" t="inlineStr">
        <is>
          <t>CUST-0056</t>
        </is>
      </c>
      <c r="D839" s="70" t="inlineStr">
        <is>
          <t>PROD-040</t>
        </is>
      </c>
      <c r="E839" s="70" t="inlineStr">
        <is>
          <t>R018</t>
        </is>
      </c>
      <c r="F839" s="72" t="n">
        <v>5</v>
      </c>
      <c r="G839" s="72" t="n">
        <v>1080</v>
      </c>
      <c r="H839" s="72" t="n">
        <v>18.3</v>
      </c>
      <c r="I839" s="72" t="n">
        <v>4411.8</v>
      </c>
      <c r="J839" s="70" t="inlineStr">
        <is>
          <t>Completed</t>
        </is>
      </c>
      <c r="K839" s="70" t="inlineStr">
        <is>
          <t>Bengaluru</t>
        </is>
      </c>
    </row>
    <row r="840" ht="14.25" customHeight="1" s="56">
      <c r="A840" s="70" t="inlineStr">
        <is>
          <t>ORD-00839</t>
        </is>
      </c>
      <c r="B840" s="71" t="n">
        <v>45610</v>
      </c>
      <c r="C840" s="70" t="inlineStr">
        <is>
          <t>CUST-0187</t>
        </is>
      </c>
      <c r="D840" s="70" t="inlineStr">
        <is>
          <t>PROD-024</t>
        </is>
      </c>
      <c r="E840" s="70" t="inlineStr">
        <is>
          <t>R027</t>
        </is>
      </c>
      <c r="F840" s="72" t="n">
        <v>7</v>
      </c>
      <c r="G840" s="72" t="n">
        <v>2270</v>
      </c>
      <c r="H840" s="72" t="n">
        <v>1.7</v>
      </c>
      <c r="I840" s="72" t="n">
        <v>15619.87</v>
      </c>
      <c r="J840" s="70" t="inlineStr">
        <is>
          <t>Cancelled</t>
        </is>
      </c>
      <c r="K840" s="70" t="inlineStr">
        <is>
          <t>Chennai</t>
        </is>
      </c>
    </row>
    <row r="841" ht="14.25" customHeight="1" s="56">
      <c r="A841" s="70" t="inlineStr">
        <is>
          <t>ORD-00840</t>
        </is>
      </c>
      <c r="B841" s="71" t="n">
        <v>45438</v>
      </c>
      <c r="C841" s="70" t="inlineStr">
        <is>
          <t>CUST-0183</t>
        </is>
      </c>
      <c r="D841" s="70" t="inlineStr">
        <is>
          <t>PROD-028</t>
        </is>
      </c>
      <c r="E841" s="70" t="inlineStr">
        <is>
          <t>R026</t>
        </is>
      </c>
      <c r="F841" s="72" t="n">
        <v>8</v>
      </c>
      <c r="G841" s="72" t="n">
        <v>3660</v>
      </c>
      <c r="H841" s="72" t="n">
        <v>19.1</v>
      </c>
      <c r="I841" s="72" t="n">
        <v>23687.52</v>
      </c>
      <c r="J841" s="70" t="inlineStr">
        <is>
          <t>Cancelled</t>
        </is>
      </c>
      <c r="K841" s="70" t="inlineStr">
        <is>
          <t>Mumbai</t>
        </is>
      </c>
    </row>
    <row r="842" ht="14.25" customHeight="1" s="56">
      <c r="A842" s="70" t="inlineStr">
        <is>
          <t>ORD-00841</t>
        </is>
      </c>
      <c r="B842" s="71" t="n">
        <v>45477</v>
      </c>
      <c r="C842" s="70" t="inlineStr">
        <is>
          <t>CUST-0068</t>
        </is>
      </c>
      <c r="D842" s="70" t="inlineStr">
        <is>
          <t>PROD-036</t>
        </is>
      </c>
      <c r="E842" s="70" t="inlineStr">
        <is>
          <t>R003</t>
        </is>
      </c>
      <c r="F842" s="72" t="n">
        <v>5</v>
      </c>
      <c r="G842" s="72" t="n">
        <v>3250</v>
      </c>
      <c r="H842" s="72" t="n">
        <v>12.9</v>
      </c>
      <c r="I842" s="72" t="n">
        <v>14153.75</v>
      </c>
      <c r="J842" s="70" t="inlineStr">
        <is>
          <t>Completed</t>
        </is>
      </c>
      <c r="K842" s="70" t="inlineStr">
        <is>
          <t>Delhi</t>
        </is>
      </c>
    </row>
    <row r="843" ht="14.25" customHeight="1" s="56">
      <c r="A843" s="70" t="inlineStr">
        <is>
          <t>ORD-00842</t>
        </is>
      </c>
      <c r="B843" s="71" t="n">
        <v>45328</v>
      </c>
      <c r="C843" s="70" t="inlineStr">
        <is>
          <t>CUST-0135</t>
        </is>
      </c>
      <c r="D843" s="70" t="inlineStr">
        <is>
          <t>PROD-044</t>
        </is>
      </c>
      <c r="E843" s="70" t="inlineStr">
        <is>
          <t>R012</t>
        </is>
      </c>
      <c r="F843" s="72" t="n">
        <v>4</v>
      </c>
      <c r="G843" s="72" t="n">
        <v>1650</v>
      </c>
      <c r="H843" s="72" t="n">
        <v>4.1</v>
      </c>
      <c r="I843" s="72" t="n">
        <v>6329.4</v>
      </c>
      <c r="J843" s="70" t="inlineStr">
        <is>
          <t>Completed</t>
        </is>
      </c>
      <c r="K843" s="70" t="inlineStr">
        <is>
          <t>Pune</t>
        </is>
      </c>
    </row>
    <row r="844" ht="14.25" customHeight="1" s="56">
      <c r="A844" s="70" t="inlineStr">
        <is>
          <t>ORD-00843</t>
        </is>
      </c>
      <c r="B844" s="71" t="n">
        <v>45624</v>
      </c>
      <c r="C844" s="70" t="inlineStr">
        <is>
          <t>CUST-0191</t>
        </is>
      </c>
      <c r="D844" s="70" t="inlineStr">
        <is>
          <t>PROD-034</t>
        </is>
      </c>
      <c r="E844" s="70" t="inlineStr">
        <is>
          <t>R003</t>
        </is>
      </c>
      <c r="F844" s="72" t="n">
        <v>6</v>
      </c>
      <c r="G844" s="72" t="n">
        <v>5080</v>
      </c>
      <c r="H844" s="72" t="n">
        <v>3</v>
      </c>
      <c r="I844" s="72" t="n">
        <v>29565.6</v>
      </c>
      <c r="J844" s="70" t="inlineStr">
        <is>
          <t>Completed</t>
        </is>
      </c>
      <c r="K844" s="70" t="inlineStr">
        <is>
          <t>Hyderabad</t>
        </is>
      </c>
    </row>
    <row r="845" ht="14.25" customHeight="1" s="56">
      <c r="A845" s="70" t="inlineStr">
        <is>
          <t>ORD-00844</t>
        </is>
      </c>
      <c r="B845" s="71" t="n">
        <v>45614</v>
      </c>
      <c r="C845" s="70" t="inlineStr">
        <is>
          <t>CUST-0244</t>
        </is>
      </c>
      <c r="D845" s="70" t="inlineStr">
        <is>
          <t>PROD-051</t>
        </is>
      </c>
      <c r="E845" s="70" t="inlineStr">
        <is>
          <t>R027</t>
        </is>
      </c>
      <c r="F845" s="72" t="n">
        <v>8</v>
      </c>
      <c r="G845" s="72" t="n">
        <v>3450</v>
      </c>
      <c r="H845" s="72" t="n">
        <v>20.9</v>
      </c>
      <c r="I845" s="72" t="n">
        <v>21831.6</v>
      </c>
      <c r="J845" s="70" t="inlineStr">
        <is>
          <t>Completed</t>
        </is>
      </c>
      <c r="K845" s="70" t="inlineStr">
        <is>
          <t>Bengaluru</t>
        </is>
      </c>
    </row>
    <row r="846" ht="14.25" customHeight="1" s="56">
      <c r="A846" s="70" t="inlineStr">
        <is>
          <t>ORD-00845</t>
        </is>
      </c>
      <c r="B846" s="71" t="n">
        <v>45429</v>
      </c>
      <c r="C846" s="70" t="inlineStr">
        <is>
          <t>CUST-0189</t>
        </is>
      </c>
      <c r="D846" s="70" t="inlineStr">
        <is>
          <t>PROD-043</t>
        </is>
      </c>
      <c r="E846" s="70" t="inlineStr">
        <is>
          <t>R018</t>
        </is>
      </c>
      <c r="F846" s="72" t="n">
        <v>6</v>
      </c>
      <c r="G846" s="72" t="n">
        <v>3350</v>
      </c>
      <c r="H846" s="72" t="n">
        <v>24.8</v>
      </c>
      <c r="I846" s="72" t="n">
        <v>15115.2</v>
      </c>
      <c r="J846" s="70" t="inlineStr">
        <is>
          <t>Completed</t>
        </is>
      </c>
      <c r="K846" s="70" t="inlineStr">
        <is>
          <t>Chennai</t>
        </is>
      </c>
    </row>
    <row r="847" ht="14.25" customHeight="1" s="56">
      <c r="A847" s="70" t="inlineStr">
        <is>
          <t>ORD-00846</t>
        </is>
      </c>
      <c r="B847" s="71" t="n">
        <v>45451</v>
      </c>
      <c r="C847" s="70" t="inlineStr">
        <is>
          <t>CUST-0166</t>
        </is>
      </c>
      <c r="D847" s="70" t="inlineStr">
        <is>
          <t>PROD-029</t>
        </is>
      </c>
      <c r="E847" s="70" t="inlineStr">
        <is>
          <t>R027</t>
        </is>
      </c>
      <c r="F847" s="72" t="n">
        <v>10</v>
      </c>
      <c r="G847" s="72" t="n">
        <v>2210</v>
      </c>
      <c r="H847" s="72" t="n">
        <v>4.2</v>
      </c>
      <c r="I847" s="72" t="n">
        <v>21171.8</v>
      </c>
      <c r="J847" s="70" t="inlineStr">
        <is>
          <t>Completed</t>
        </is>
      </c>
      <c r="K847" s="70" t="inlineStr">
        <is>
          <t>Hyderabad</t>
        </is>
      </c>
    </row>
    <row r="848" ht="14.25" customHeight="1" s="56">
      <c r="A848" s="70" t="inlineStr">
        <is>
          <t>ORD-00847</t>
        </is>
      </c>
      <c r="B848" s="71" t="n">
        <v>45444</v>
      </c>
      <c r="C848" s="70" t="inlineStr">
        <is>
          <t>CUST-0167</t>
        </is>
      </c>
      <c r="D848" s="70" t="inlineStr">
        <is>
          <t>PROD-046</t>
        </is>
      </c>
      <c r="E848" s="70" t="inlineStr">
        <is>
          <t>R006</t>
        </is>
      </c>
      <c r="F848" s="72" t="n">
        <v>10</v>
      </c>
      <c r="G848" s="72" t="n">
        <v>4880</v>
      </c>
      <c r="H848" s="72" t="n">
        <v>0.7</v>
      </c>
      <c r="I848" s="72" t="n">
        <v>48458.4</v>
      </c>
      <c r="J848" s="70" t="inlineStr">
        <is>
          <t>Completed</t>
        </is>
      </c>
      <c r="K848" s="70" t="inlineStr">
        <is>
          <t>Delhi</t>
        </is>
      </c>
    </row>
    <row r="849" ht="14.25" customHeight="1" s="56">
      <c r="A849" s="70" t="inlineStr">
        <is>
          <t>ORD-00848</t>
        </is>
      </c>
      <c r="B849" s="71" t="n">
        <v>45369</v>
      </c>
      <c r="C849" s="70" t="inlineStr">
        <is>
          <t>CUST-0265</t>
        </is>
      </c>
      <c r="D849" s="70" t="inlineStr">
        <is>
          <t>PROD-055</t>
        </is>
      </c>
      <c r="E849" s="70" t="inlineStr">
        <is>
          <t>R004</t>
        </is>
      </c>
      <c r="F849" s="72" t="n">
        <v>7</v>
      </c>
      <c r="G849" s="72" t="n">
        <v>2860</v>
      </c>
      <c r="H849" s="72" t="n">
        <v>28.1</v>
      </c>
      <c r="I849" s="72" t="n">
        <v>14394.38</v>
      </c>
      <c r="J849" s="70" t="inlineStr">
        <is>
          <t>Pending</t>
        </is>
      </c>
      <c r="K849" s="70" t="inlineStr">
        <is>
          <t>Chennai</t>
        </is>
      </c>
    </row>
    <row r="850" ht="14.25" customHeight="1" s="56">
      <c r="A850" s="70" t="inlineStr">
        <is>
          <t>ORD-00849</t>
        </is>
      </c>
      <c r="B850" s="71" t="n">
        <v>45581</v>
      </c>
      <c r="C850" s="70" t="inlineStr">
        <is>
          <t>CUST-0172</t>
        </is>
      </c>
      <c r="D850" s="70" t="inlineStr">
        <is>
          <t>PROD-030</t>
        </is>
      </c>
      <c r="E850" s="70" t="inlineStr">
        <is>
          <t>R005</t>
        </is>
      </c>
      <c r="F850" s="72" t="n">
        <v>3</v>
      </c>
      <c r="G850" s="72" t="n">
        <v>970</v>
      </c>
      <c r="H850" s="72" t="n">
        <v>28.3</v>
      </c>
      <c r="I850" s="72" t="n">
        <v>2086.47</v>
      </c>
      <c r="J850" s="70" t="inlineStr">
        <is>
          <t>Completed</t>
        </is>
      </c>
      <c r="K850" s="70" t="inlineStr">
        <is>
          <t>Pune</t>
        </is>
      </c>
    </row>
    <row r="851" ht="14.25" customHeight="1" s="56">
      <c r="A851" s="70" t="inlineStr">
        <is>
          <t>ORD-00850</t>
        </is>
      </c>
      <c r="B851" s="71" t="n">
        <v>45494</v>
      </c>
      <c r="C851" s="70" t="inlineStr">
        <is>
          <t>CUST-0205</t>
        </is>
      </c>
      <c r="D851" s="70" t="inlineStr">
        <is>
          <t>PROD-022</t>
        </is>
      </c>
      <c r="E851" s="70" t="inlineStr">
        <is>
          <t>R008</t>
        </is>
      </c>
      <c r="F851" s="72" t="n">
        <v>1</v>
      </c>
      <c r="G851" s="72" t="n">
        <v>2270</v>
      </c>
      <c r="H851" s="72" t="n">
        <v>15.1</v>
      </c>
      <c r="I851" s="72" t="n">
        <v>1927.23</v>
      </c>
      <c r="J851" s="70" t="inlineStr">
        <is>
          <t>Completed</t>
        </is>
      </c>
      <c r="K851" s="70" t="inlineStr">
        <is>
          <t>Pune</t>
        </is>
      </c>
    </row>
    <row r="852" ht="14.25" customHeight="1" s="56">
      <c r="A852" s="70" t="inlineStr">
        <is>
          <t>ORD-00851</t>
        </is>
      </c>
      <c r="B852" s="71" t="n">
        <v>45324</v>
      </c>
      <c r="C852" s="70" t="inlineStr">
        <is>
          <t>CUST-0102</t>
        </is>
      </c>
      <c r="D852" s="70" t="inlineStr">
        <is>
          <t>PROD-018</t>
        </is>
      </c>
      <c r="E852" s="70" t="inlineStr">
        <is>
          <t>R015</t>
        </is>
      </c>
      <c r="F852" s="72" t="n">
        <v>5</v>
      </c>
      <c r="G852" s="72" t="n">
        <v>3560</v>
      </c>
      <c r="H852" s="72" t="n">
        <v>11.5</v>
      </c>
      <c r="I852" s="72" t="n">
        <v>15753</v>
      </c>
      <c r="J852" s="70" t="inlineStr">
        <is>
          <t>Completed</t>
        </is>
      </c>
      <c r="K852" s="70" t="inlineStr">
        <is>
          <t>Chennai</t>
        </is>
      </c>
    </row>
    <row r="853" ht="14.25" customHeight="1" s="56">
      <c r="A853" s="70" t="inlineStr">
        <is>
          <t>ORD-00852</t>
        </is>
      </c>
      <c r="B853" s="71" t="n">
        <v>45419</v>
      </c>
      <c r="C853" s="70" t="inlineStr">
        <is>
          <t>CUST-0142</t>
        </is>
      </c>
      <c r="D853" s="70" t="inlineStr">
        <is>
          <t>PROD-052</t>
        </is>
      </c>
      <c r="E853" s="70" t="inlineStr">
        <is>
          <t>R010</t>
        </is>
      </c>
      <c r="F853" s="72" t="n">
        <v>2</v>
      </c>
      <c r="G853" s="72" t="n">
        <v>5410</v>
      </c>
      <c r="H853" s="72" t="n">
        <v>14.8</v>
      </c>
      <c r="I853" s="72" t="n">
        <v>9218.639999999999</v>
      </c>
      <c r="J853" s="70" t="inlineStr">
        <is>
          <t>Pending</t>
        </is>
      </c>
      <c r="K853" s="70" t="inlineStr">
        <is>
          <t>Chennai</t>
        </is>
      </c>
    </row>
    <row r="854" ht="14.25" customHeight="1" s="56">
      <c r="A854" s="70" t="inlineStr">
        <is>
          <t>ORD-00853</t>
        </is>
      </c>
      <c r="B854" s="71" t="n">
        <v>45656</v>
      </c>
      <c r="C854" s="70" t="inlineStr">
        <is>
          <t>CUST-0195</t>
        </is>
      </c>
      <c r="D854" s="70" t="inlineStr">
        <is>
          <t>PROD-019</t>
        </is>
      </c>
      <c r="E854" s="70" t="inlineStr">
        <is>
          <t>R006</t>
        </is>
      </c>
      <c r="F854" s="72" t="n">
        <v>2</v>
      </c>
      <c r="G854" s="72" t="n">
        <v>2480</v>
      </c>
      <c r="H854" s="72" t="n">
        <v>27.2</v>
      </c>
      <c r="I854" s="72" t="n">
        <v>3610.88</v>
      </c>
      <c r="J854" s="70" t="inlineStr">
        <is>
          <t>Completed</t>
        </is>
      </c>
      <c r="K854" s="70" t="inlineStr">
        <is>
          <t>Bengaluru</t>
        </is>
      </c>
    </row>
    <row r="855" ht="14.25" customHeight="1" s="56">
      <c r="A855" s="70" t="inlineStr">
        <is>
          <t>ORD-00854</t>
        </is>
      </c>
      <c r="B855" s="71" t="n">
        <v>45350</v>
      </c>
      <c r="C855" s="70" t="inlineStr">
        <is>
          <t>CUST-0125</t>
        </is>
      </c>
      <c r="D855" s="70" t="inlineStr">
        <is>
          <t>PROD-020</t>
        </is>
      </c>
      <c r="E855" s="70" t="inlineStr">
        <is>
          <t>R014</t>
        </is>
      </c>
      <c r="F855" s="72" t="n">
        <v>6</v>
      </c>
      <c r="G855" s="72" t="n">
        <v>820</v>
      </c>
      <c r="H855" s="72" t="n">
        <v>6.6</v>
      </c>
      <c r="I855" s="72" t="n">
        <v>4595.28</v>
      </c>
      <c r="J855" s="70" t="inlineStr">
        <is>
          <t>Completed</t>
        </is>
      </c>
      <c r="K855" s="70" t="inlineStr">
        <is>
          <t>Delhi</t>
        </is>
      </c>
    </row>
    <row r="856" ht="14.25" customHeight="1" s="56">
      <c r="A856" s="70" t="inlineStr">
        <is>
          <t>ORD-00855</t>
        </is>
      </c>
      <c r="B856" s="71" t="n">
        <v>45434</v>
      </c>
      <c r="C856" s="70" t="inlineStr">
        <is>
          <t>CUST-0234</t>
        </is>
      </c>
      <c r="D856" s="70" t="inlineStr">
        <is>
          <t>PROD-001</t>
        </is>
      </c>
      <c r="E856" s="70" t="inlineStr">
        <is>
          <t>R015</t>
        </is>
      </c>
      <c r="F856" s="72" t="n">
        <v>10</v>
      </c>
      <c r="G856" s="72" t="n">
        <v>5330</v>
      </c>
      <c r="H856" s="72" t="n">
        <v>16.1</v>
      </c>
      <c r="I856" s="72" t="n">
        <v>44718.7</v>
      </c>
      <c r="J856" s="70" t="inlineStr">
        <is>
          <t>Completed</t>
        </is>
      </c>
      <c r="K856" s="70" t="inlineStr">
        <is>
          <t>Bengaluru</t>
        </is>
      </c>
    </row>
    <row r="857" ht="14.25" customHeight="1" s="56">
      <c r="A857" s="70" t="inlineStr">
        <is>
          <t>ORD-00856</t>
        </is>
      </c>
      <c r="B857" s="71" t="n">
        <v>45438</v>
      </c>
      <c r="C857" s="70" t="inlineStr">
        <is>
          <t>CUST-0061</t>
        </is>
      </c>
      <c r="D857" s="70" t="inlineStr">
        <is>
          <t>PROD-047</t>
        </is>
      </c>
      <c r="E857" s="70" t="inlineStr">
        <is>
          <t>R004</t>
        </is>
      </c>
      <c r="F857" s="72" t="n">
        <v>2</v>
      </c>
      <c r="G857" s="72" t="n">
        <v>3450</v>
      </c>
      <c r="H857" s="72" t="n">
        <v>11.3</v>
      </c>
      <c r="I857" s="72" t="n">
        <v>6120.3</v>
      </c>
      <c r="J857" s="70" t="inlineStr">
        <is>
          <t>Pending</t>
        </is>
      </c>
      <c r="K857" s="70" t="inlineStr">
        <is>
          <t>Hyderabad</t>
        </is>
      </c>
    </row>
    <row r="858" ht="14.25" customHeight="1" s="56">
      <c r="A858" s="70" t="inlineStr">
        <is>
          <t>ORD-00857</t>
        </is>
      </c>
      <c r="B858" s="71" t="n">
        <v>45486</v>
      </c>
      <c r="C858" s="70" t="inlineStr">
        <is>
          <t>CUST-0189</t>
        </is>
      </c>
      <c r="D858" s="70" t="inlineStr">
        <is>
          <t>PROD-049</t>
        </is>
      </c>
      <c r="E858" s="70" t="inlineStr">
        <is>
          <t>R023</t>
        </is>
      </c>
      <c r="F858" s="72" t="n">
        <v>7</v>
      </c>
      <c r="G858" s="72" t="n">
        <v>960</v>
      </c>
      <c r="H858" s="72" t="n">
        <v>17.1</v>
      </c>
      <c r="I858" s="72" t="n">
        <v>5570.88</v>
      </c>
      <c r="J858" s="70" t="inlineStr">
        <is>
          <t>Completed</t>
        </is>
      </c>
      <c r="K858" s="70" t="inlineStr">
        <is>
          <t>Chennai</t>
        </is>
      </c>
    </row>
    <row r="859" ht="14.25" customHeight="1" s="56">
      <c r="A859" s="70" t="inlineStr">
        <is>
          <t>ORD-00858</t>
        </is>
      </c>
      <c r="B859" s="71" t="n">
        <v>45623</v>
      </c>
      <c r="C859" s="70" t="inlineStr">
        <is>
          <t>CUST-0191</t>
        </is>
      </c>
      <c r="D859" s="70" t="inlineStr">
        <is>
          <t>PROD-011</t>
        </is>
      </c>
      <c r="E859" s="70" t="inlineStr">
        <is>
          <t>R003</t>
        </is>
      </c>
      <c r="F859" s="72" t="n">
        <v>5</v>
      </c>
      <c r="G859" s="72" t="n">
        <v>3450</v>
      </c>
      <c r="H859" s="72" t="n">
        <v>22.9</v>
      </c>
      <c r="I859" s="72" t="n">
        <v>13299.75</v>
      </c>
      <c r="J859" s="70" t="inlineStr">
        <is>
          <t>Completed</t>
        </is>
      </c>
      <c r="K859" s="70" t="inlineStr">
        <is>
          <t>Hyderabad</t>
        </is>
      </c>
    </row>
    <row r="860" ht="14.25" customHeight="1" s="56">
      <c r="A860" s="70" t="inlineStr">
        <is>
          <t>ORD-00859</t>
        </is>
      </c>
      <c r="B860" s="71" t="n">
        <v>45634</v>
      </c>
      <c r="C860" s="70" t="inlineStr">
        <is>
          <t>CUST-0217</t>
        </is>
      </c>
      <c r="D860" s="70" t="inlineStr">
        <is>
          <t>PROD-009</t>
        </is>
      </c>
      <c r="E860" s="70" t="inlineStr">
        <is>
          <t>R008</t>
        </is>
      </c>
      <c r="F860" s="72" t="n">
        <v>5</v>
      </c>
      <c r="G860" s="72" t="n">
        <v>1220</v>
      </c>
      <c r="H860" s="72" t="n">
        <v>0.3</v>
      </c>
      <c r="I860" s="72" t="n">
        <v>6081.7</v>
      </c>
      <c r="J860" s="70" t="inlineStr">
        <is>
          <t>Completed</t>
        </is>
      </c>
      <c r="K860" s="70" t="inlineStr">
        <is>
          <t>Pune</t>
        </is>
      </c>
    </row>
    <row r="861" ht="14.25" customHeight="1" s="56">
      <c r="A861" s="70" t="inlineStr">
        <is>
          <t>ORD-00860</t>
        </is>
      </c>
      <c r="B861" s="71" t="n">
        <v>45308</v>
      </c>
      <c r="C861" s="70" t="inlineStr">
        <is>
          <t>CUST-0060</t>
        </is>
      </c>
      <c r="D861" s="70" t="inlineStr">
        <is>
          <t>PROD-001</t>
        </is>
      </c>
      <c r="E861" s="70" t="inlineStr">
        <is>
          <t>R007</t>
        </is>
      </c>
      <c r="F861" s="72" t="n">
        <v>5</v>
      </c>
      <c r="G861" s="72" t="n">
        <v>5330</v>
      </c>
      <c r="H861" s="72" t="n">
        <v>29</v>
      </c>
      <c r="I861" s="72" t="n">
        <v>18921.5</v>
      </c>
      <c r="J861" s="70" t="inlineStr">
        <is>
          <t>Completed</t>
        </is>
      </c>
      <c r="K861" s="70" t="inlineStr">
        <is>
          <t>Pune</t>
        </is>
      </c>
    </row>
    <row r="862" ht="14.25" customHeight="1" s="56">
      <c r="A862" s="70" t="inlineStr">
        <is>
          <t>ORD-00861</t>
        </is>
      </c>
      <c r="B862" s="71" t="n">
        <v>45641</v>
      </c>
      <c r="C862" s="70" t="inlineStr">
        <is>
          <t>CUST-0270</t>
        </is>
      </c>
      <c r="D862" s="70" t="inlineStr">
        <is>
          <t>PROD-003</t>
        </is>
      </c>
      <c r="E862" s="70" t="inlineStr">
        <is>
          <t>R028</t>
        </is>
      </c>
      <c r="F862" s="72" t="n">
        <v>3</v>
      </c>
      <c r="G862" s="72" t="n">
        <v>3570</v>
      </c>
      <c r="H862" s="72" t="n">
        <v>20</v>
      </c>
      <c r="I862" s="72" t="n">
        <v>8568</v>
      </c>
      <c r="J862" s="70" t="inlineStr">
        <is>
          <t>Cancelled</t>
        </is>
      </c>
      <c r="K862" s="70" t="inlineStr">
        <is>
          <t>Bengaluru</t>
        </is>
      </c>
    </row>
    <row r="863" ht="14.25" customHeight="1" s="56">
      <c r="A863" s="70" t="inlineStr">
        <is>
          <t>ORD-00862</t>
        </is>
      </c>
      <c r="B863" s="71" t="n">
        <v>45396</v>
      </c>
      <c r="C863" s="70" t="inlineStr">
        <is>
          <t>CUST-0279</t>
        </is>
      </c>
      <c r="D863" s="70" t="inlineStr">
        <is>
          <t>PROD-029</t>
        </is>
      </c>
      <c r="E863" s="70" t="inlineStr">
        <is>
          <t>R026</t>
        </is>
      </c>
      <c r="F863" s="72" t="n">
        <v>9</v>
      </c>
      <c r="G863" s="72" t="n">
        <v>2210</v>
      </c>
      <c r="H863" s="72" t="n">
        <v>12.4</v>
      </c>
      <c r="I863" s="72" t="n">
        <v>17423.64</v>
      </c>
      <c r="J863" s="70" t="inlineStr">
        <is>
          <t>Completed</t>
        </is>
      </c>
      <c r="K863" s="70" t="inlineStr">
        <is>
          <t>Mumbai</t>
        </is>
      </c>
    </row>
    <row r="864" ht="14.25" customHeight="1" s="56">
      <c r="A864" s="70" t="inlineStr">
        <is>
          <t>ORD-00863</t>
        </is>
      </c>
      <c r="B864" s="71" t="n">
        <v>45302</v>
      </c>
      <c r="C864" s="70" t="inlineStr">
        <is>
          <t>CUST-0008</t>
        </is>
      </c>
      <c r="D864" s="70" t="inlineStr">
        <is>
          <t>PROD-059</t>
        </is>
      </c>
      <c r="E864" s="70" t="inlineStr">
        <is>
          <t>R029</t>
        </is>
      </c>
      <c r="F864" s="72" t="n">
        <v>5</v>
      </c>
      <c r="G864" s="72" t="n">
        <v>3780</v>
      </c>
      <c r="H864" s="72" t="n">
        <v>3.9</v>
      </c>
      <c r="I864" s="72" t="n">
        <v>18162.9</v>
      </c>
      <c r="J864" s="70" t="inlineStr">
        <is>
          <t>Completed</t>
        </is>
      </c>
      <c r="K864" s="70" t="inlineStr">
        <is>
          <t>Pune</t>
        </is>
      </c>
    </row>
    <row r="865" ht="14.25" customHeight="1" s="56">
      <c r="A865" s="70" t="inlineStr">
        <is>
          <t>ORD-00864</t>
        </is>
      </c>
      <c r="B865" s="71" t="n">
        <v>45626</v>
      </c>
      <c r="C865" s="70" t="inlineStr">
        <is>
          <t>CUST-0259</t>
        </is>
      </c>
      <c r="D865" s="70" t="inlineStr">
        <is>
          <t>PROD-010</t>
        </is>
      </c>
      <c r="E865" s="70" t="inlineStr">
        <is>
          <t>R008</t>
        </is>
      </c>
      <c r="F865" s="72" t="n">
        <v>10</v>
      </c>
      <c r="G865" s="72" t="n">
        <v>2640</v>
      </c>
      <c r="H865" s="72" t="n">
        <v>17.8</v>
      </c>
      <c r="I865" s="72" t="n">
        <v>21700.8</v>
      </c>
      <c r="J865" s="70" t="inlineStr">
        <is>
          <t>Refunded</t>
        </is>
      </c>
      <c r="K865" s="70" t="inlineStr">
        <is>
          <t>Mumbai</t>
        </is>
      </c>
    </row>
    <row r="866" ht="14.25" customHeight="1" s="56">
      <c r="A866" s="70" t="inlineStr">
        <is>
          <t>ORD-00865</t>
        </is>
      </c>
      <c r="B866" s="71" t="n">
        <v>45352</v>
      </c>
      <c r="C866" s="70" t="inlineStr">
        <is>
          <t>CUST-0169</t>
        </is>
      </c>
      <c r="D866" s="70" t="inlineStr">
        <is>
          <t>PROD-005</t>
        </is>
      </c>
      <c r="E866" s="70" t="inlineStr">
        <is>
          <t>R024</t>
        </is>
      </c>
      <c r="F866" s="72" t="n">
        <v>5</v>
      </c>
      <c r="G866" s="72" t="n">
        <v>300</v>
      </c>
      <c r="H866" s="72" t="n">
        <v>12.9</v>
      </c>
      <c r="I866" s="72" t="n">
        <v>1306.5</v>
      </c>
      <c r="J866" s="70" t="inlineStr">
        <is>
          <t>Completed</t>
        </is>
      </c>
      <c r="K866" s="70" t="inlineStr">
        <is>
          <t>Bengaluru</t>
        </is>
      </c>
    </row>
    <row r="867" ht="14.25" customHeight="1" s="56">
      <c r="A867" s="70" t="inlineStr">
        <is>
          <t>ORD-00866</t>
        </is>
      </c>
      <c r="B867" s="71" t="n">
        <v>45588</v>
      </c>
      <c r="C867" s="70" t="inlineStr">
        <is>
          <t>CUST-0191</t>
        </is>
      </c>
      <c r="D867" s="70" t="inlineStr">
        <is>
          <t>PROD-058</t>
        </is>
      </c>
      <c r="E867" s="70" t="inlineStr">
        <is>
          <t>R013</t>
        </is>
      </c>
      <c r="F867" s="72" t="n">
        <v>2</v>
      </c>
      <c r="G867" s="72" t="n">
        <v>2400</v>
      </c>
      <c r="H867" s="72" t="n">
        <v>17.1</v>
      </c>
      <c r="I867" s="72" t="n">
        <v>3979.2</v>
      </c>
      <c r="J867" s="70" t="inlineStr">
        <is>
          <t>Pending</t>
        </is>
      </c>
      <c r="K867" s="70" t="inlineStr">
        <is>
          <t>Hyderabad</t>
        </is>
      </c>
    </row>
    <row r="868" ht="14.25" customHeight="1" s="56">
      <c r="A868" s="70" t="inlineStr">
        <is>
          <t>ORD-00867</t>
        </is>
      </c>
      <c r="B868" s="71" t="n">
        <v>45583</v>
      </c>
      <c r="C868" s="70" t="inlineStr">
        <is>
          <t>CUST-0129</t>
        </is>
      </c>
      <c r="D868" s="70" t="inlineStr">
        <is>
          <t>PROD-040</t>
        </is>
      </c>
      <c r="E868" s="70" t="inlineStr">
        <is>
          <t>R026</t>
        </is>
      </c>
      <c r="F868" s="72" t="n">
        <v>5</v>
      </c>
      <c r="G868" s="72" t="n">
        <v>1080</v>
      </c>
      <c r="H868" s="72" t="n">
        <v>15.7</v>
      </c>
      <c r="I868" s="72" t="n">
        <v>4552.2</v>
      </c>
      <c r="J868" s="70" t="inlineStr">
        <is>
          <t>Pending</t>
        </is>
      </c>
      <c r="K868" s="70" t="inlineStr">
        <is>
          <t>Hyderabad</t>
        </is>
      </c>
    </row>
    <row r="869" ht="14.25" customHeight="1" s="56">
      <c r="A869" s="70" t="inlineStr">
        <is>
          <t>ORD-00868</t>
        </is>
      </c>
      <c r="B869" s="71" t="n">
        <v>45528</v>
      </c>
      <c r="C869" s="70" t="inlineStr">
        <is>
          <t>CUST-0066</t>
        </is>
      </c>
      <c r="D869" s="70" t="inlineStr">
        <is>
          <t>PROD-036</t>
        </is>
      </c>
      <c r="E869" s="70" t="inlineStr">
        <is>
          <t>R003</t>
        </is>
      </c>
      <c r="F869" s="72" t="n">
        <v>1</v>
      </c>
      <c r="G869" s="72" t="n">
        <v>3250</v>
      </c>
      <c r="H869" s="72" t="n">
        <v>14.7</v>
      </c>
      <c r="I869" s="72" t="n">
        <v>2772.25</v>
      </c>
      <c r="J869" s="70" t="inlineStr">
        <is>
          <t>Completed</t>
        </is>
      </c>
      <c r="K869" s="70" t="inlineStr">
        <is>
          <t>Delhi</t>
        </is>
      </c>
    </row>
    <row r="870" ht="14.25" customHeight="1" s="56">
      <c r="A870" s="70" t="inlineStr">
        <is>
          <t>ORD-00869</t>
        </is>
      </c>
      <c r="B870" s="71" t="n">
        <v>45400</v>
      </c>
      <c r="C870" s="70" t="inlineStr">
        <is>
          <t>CUST-0114</t>
        </is>
      </c>
      <c r="D870" s="70" t="inlineStr">
        <is>
          <t>PROD-032</t>
        </is>
      </c>
      <c r="E870" s="70" t="inlineStr">
        <is>
          <t>R021</t>
        </is>
      </c>
      <c r="F870" s="72" t="n">
        <v>7</v>
      </c>
      <c r="G870" s="72" t="n">
        <v>370</v>
      </c>
      <c r="H870" s="72" t="n">
        <v>6</v>
      </c>
      <c r="I870" s="72" t="n">
        <v>2434.6</v>
      </c>
      <c r="J870" s="70" t="inlineStr">
        <is>
          <t>Cancelled</t>
        </is>
      </c>
      <c r="K870" s="70" t="inlineStr">
        <is>
          <t>Bengaluru</t>
        </is>
      </c>
    </row>
    <row r="871" ht="14.25" customHeight="1" s="56">
      <c r="A871" s="70" t="inlineStr">
        <is>
          <t>ORD-00870</t>
        </is>
      </c>
      <c r="B871" s="71" t="n">
        <v>45337</v>
      </c>
      <c r="C871" s="70" t="inlineStr">
        <is>
          <t>CUST-9833</t>
        </is>
      </c>
      <c r="D871" s="70" t="inlineStr">
        <is>
          <t>PROD-038</t>
        </is>
      </c>
      <c r="E871" s="70" t="inlineStr">
        <is>
          <t>R029</t>
        </is>
      </c>
      <c r="F871" s="72" t="n">
        <v>7</v>
      </c>
      <c r="G871" s="72" t="n">
        <v>5490</v>
      </c>
      <c r="H871" s="72" t="n">
        <v>10.2</v>
      </c>
      <c r="I871" s="72" t="n">
        <v>34510.14</v>
      </c>
      <c r="J871" s="70" t="inlineStr">
        <is>
          <t>Completed</t>
        </is>
      </c>
      <c r="K871" s="70" t="inlineStr">
        <is>
          <t>Pune</t>
        </is>
      </c>
    </row>
    <row r="872" ht="14.25" customHeight="1" s="56">
      <c r="A872" s="70" t="inlineStr">
        <is>
          <t>ORD-00871</t>
        </is>
      </c>
      <c r="B872" s="71" t="n">
        <v>45482</v>
      </c>
      <c r="C872" s="70" t="inlineStr">
        <is>
          <t>CUST-0076</t>
        </is>
      </c>
      <c r="D872" s="70" t="inlineStr">
        <is>
          <t>PROD-006</t>
        </is>
      </c>
      <c r="E872" s="70" t="inlineStr">
        <is>
          <t>R028</t>
        </is>
      </c>
      <c r="F872" s="72" t="n">
        <v>3</v>
      </c>
      <c r="G872" s="72" t="n">
        <v>3970</v>
      </c>
      <c r="H872" s="72" t="n">
        <v>2.4</v>
      </c>
      <c r="I872" s="72" t="n">
        <v>11624.16</v>
      </c>
      <c r="J872" s="70" t="inlineStr">
        <is>
          <t>Completed</t>
        </is>
      </c>
      <c r="K872" s="70" t="inlineStr">
        <is>
          <t>Mumbai</t>
        </is>
      </c>
    </row>
    <row r="873" ht="14.25" customHeight="1" s="56">
      <c r="A873" s="70" t="inlineStr">
        <is>
          <t>ORD-00872</t>
        </is>
      </c>
      <c r="B873" s="71" t="n">
        <v>45583</v>
      </c>
      <c r="C873" s="70" t="inlineStr">
        <is>
          <t>CUST-0215</t>
        </is>
      </c>
      <c r="D873" s="70" t="inlineStr">
        <is>
          <t>PROD-009</t>
        </is>
      </c>
      <c r="E873" s="70" t="inlineStr">
        <is>
          <t>R007</t>
        </is>
      </c>
      <c r="F873" s="72" t="n">
        <v>4</v>
      </c>
      <c r="G873" s="72" t="n">
        <v>1220</v>
      </c>
      <c r="H873" s="72" t="n">
        <v>25.3</v>
      </c>
      <c r="I873" s="72" t="n">
        <v>3645.36</v>
      </c>
      <c r="J873" s="70" t="inlineStr">
        <is>
          <t>Completed</t>
        </is>
      </c>
      <c r="K873" s="70" t="inlineStr">
        <is>
          <t>Hyderabad</t>
        </is>
      </c>
    </row>
    <row r="874" ht="14.25" customHeight="1" s="56">
      <c r="A874" s="70" t="inlineStr">
        <is>
          <t>ORD-00873</t>
        </is>
      </c>
      <c r="B874" s="71" t="n">
        <v>45409</v>
      </c>
      <c r="C874" s="70" t="inlineStr">
        <is>
          <t>CUST-0061</t>
        </is>
      </c>
      <c r="D874" s="70" t="inlineStr">
        <is>
          <t>PROD-012</t>
        </is>
      </c>
      <c r="E874" s="70" t="inlineStr">
        <is>
          <t>R026</t>
        </is>
      </c>
      <c r="F874" s="72" t="n">
        <v>3</v>
      </c>
      <c r="G874" s="72" t="n">
        <v>3160</v>
      </c>
      <c r="H874" s="72" t="n">
        <v>19.8</v>
      </c>
      <c r="I874" s="72" t="n">
        <v>7602.96</v>
      </c>
      <c r="J874" s="70" t="inlineStr">
        <is>
          <t>Completed</t>
        </is>
      </c>
      <c r="K874" s="70" t="inlineStr">
        <is>
          <t>Hyderabad</t>
        </is>
      </c>
    </row>
    <row r="875" ht="14.25" customHeight="1" s="56">
      <c r="A875" s="70" t="inlineStr">
        <is>
          <t>ORD-00874</t>
        </is>
      </c>
      <c r="B875" s="71" t="n">
        <v>45430</v>
      </c>
      <c r="C875" s="70" t="inlineStr">
        <is>
          <t>CUST-0249</t>
        </is>
      </c>
      <c r="D875" s="70" t="inlineStr">
        <is>
          <t>PROD-005</t>
        </is>
      </c>
      <c r="E875" s="70" t="inlineStr">
        <is>
          <t>R008</t>
        </is>
      </c>
      <c r="F875" s="72" t="n">
        <v>1</v>
      </c>
      <c r="G875" s="72" t="n">
        <v>300</v>
      </c>
      <c r="H875" s="72" t="n">
        <v>24.5</v>
      </c>
      <c r="I875" s="72" t="n">
        <v>226.5</v>
      </c>
      <c r="J875" s="70" t="inlineStr">
        <is>
          <t>Completed</t>
        </is>
      </c>
      <c r="K875" s="70" t="inlineStr">
        <is>
          <t>Mumbai</t>
        </is>
      </c>
    </row>
    <row r="876" ht="14.25" customHeight="1" s="56">
      <c r="A876" s="70" t="inlineStr">
        <is>
          <t>ORD-00875</t>
        </is>
      </c>
      <c r="B876" s="71" t="n">
        <v>45654</v>
      </c>
      <c r="C876" s="70" t="inlineStr">
        <is>
          <t>CUST-0105</t>
        </is>
      </c>
      <c r="D876" s="70" t="inlineStr">
        <is>
          <t>PROD-047</t>
        </is>
      </c>
      <c r="E876" s="70" t="inlineStr">
        <is>
          <t>R029</t>
        </is>
      </c>
      <c r="F876" s="72" t="n">
        <v>5</v>
      </c>
      <c r="G876" s="72" t="n">
        <v>3450</v>
      </c>
      <c r="H876" s="72" t="n">
        <v>13.4</v>
      </c>
      <c r="I876" s="72" t="n">
        <v>14938.5</v>
      </c>
      <c r="J876" s="70" t="inlineStr">
        <is>
          <t>Pending</t>
        </is>
      </c>
      <c r="K876" s="70" t="inlineStr">
        <is>
          <t>Chennai</t>
        </is>
      </c>
    </row>
    <row r="877" ht="14.25" customHeight="1" s="56">
      <c r="A877" s="70" t="inlineStr">
        <is>
          <t>ORD-00876</t>
        </is>
      </c>
      <c r="B877" s="71" t="n">
        <v>45397</v>
      </c>
      <c r="C877" s="70" t="inlineStr">
        <is>
          <t>CUST-0161</t>
        </is>
      </c>
      <c r="D877" s="70" t="inlineStr">
        <is>
          <t>PROD-014</t>
        </is>
      </c>
      <c r="E877" s="70" t="inlineStr">
        <is>
          <t>R027</t>
        </is>
      </c>
      <c r="F877" s="72" t="n">
        <v>7</v>
      </c>
      <c r="G877" s="72" t="n">
        <v>3620</v>
      </c>
      <c r="H877" s="72" t="n">
        <v>19.2</v>
      </c>
      <c r="I877" s="72" t="n">
        <v>20474.72</v>
      </c>
      <c r="J877" s="70" t="inlineStr">
        <is>
          <t>Completed</t>
        </is>
      </c>
      <c r="K877" s="70" t="inlineStr">
        <is>
          <t>Chennai</t>
        </is>
      </c>
    </row>
    <row r="878" ht="14.25" customHeight="1" s="56">
      <c r="A878" s="70" t="inlineStr">
        <is>
          <t>ORD-00877</t>
        </is>
      </c>
      <c r="B878" s="71" t="n">
        <v>45505</v>
      </c>
      <c r="C878" s="70" t="inlineStr">
        <is>
          <t>CUST-0275</t>
        </is>
      </c>
      <c r="D878" s="70" t="inlineStr">
        <is>
          <t>PROD-024</t>
        </is>
      </c>
      <c r="E878" s="70" t="inlineStr">
        <is>
          <t>R010</t>
        </is>
      </c>
      <c r="F878" s="72" t="n">
        <v>10</v>
      </c>
      <c r="G878" s="72" t="n">
        <v>2270</v>
      </c>
      <c r="H878" s="72" t="n">
        <v>20.5</v>
      </c>
      <c r="I878" s="72" t="n">
        <v>18046.5</v>
      </c>
      <c r="J878" s="70" t="inlineStr">
        <is>
          <t>Completed</t>
        </is>
      </c>
      <c r="K878" s="70" t="inlineStr">
        <is>
          <t>Mumbai</t>
        </is>
      </c>
    </row>
    <row r="879" ht="14.25" customHeight="1" s="56">
      <c r="A879" s="70" t="inlineStr">
        <is>
          <t>ORD-00878</t>
        </is>
      </c>
      <c r="B879" s="71" t="n">
        <v>45386</v>
      </c>
      <c r="C879" s="70" t="inlineStr">
        <is>
          <t>CUST-0049</t>
        </is>
      </c>
      <c r="D879" s="70" t="inlineStr">
        <is>
          <t>PROD-015</t>
        </is>
      </c>
      <c r="E879" s="70" t="inlineStr">
        <is>
          <t>R024</t>
        </is>
      </c>
      <c r="F879" s="72" t="n">
        <v>5</v>
      </c>
      <c r="G879" s="72" t="n">
        <v>2720</v>
      </c>
      <c r="H879" s="72" t="n">
        <v>29.3</v>
      </c>
      <c r="I879" s="72" t="n">
        <v>9615.200000000001</v>
      </c>
      <c r="J879" s="70" t="inlineStr">
        <is>
          <t>Completed</t>
        </is>
      </c>
      <c r="K879" s="70" t="inlineStr">
        <is>
          <t>Mumbai</t>
        </is>
      </c>
    </row>
    <row r="880" ht="14.25" customHeight="1" s="56">
      <c r="A880" s="70" t="inlineStr">
        <is>
          <t>ORD-00879</t>
        </is>
      </c>
      <c r="B880" s="71" t="n">
        <v>45499</v>
      </c>
      <c r="C880" s="70" t="inlineStr">
        <is>
          <t>CUST-0235</t>
        </is>
      </c>
      <c r="D880" s="70" t="inlineStr">
        <is>
          <t>PROD-027</t>
        </is>
      </c>
      <c r="E880" s="70" t="inlineStr">
        <is>
          <t>R022</t>
        </is>
      </c>
      <c r="F880" s="72" t="n">
        <v>9</v>
      </c>
      <c r="G880" s="72" t="n">
        <v>3780</v>
      </c>
      <c r="H880" s="72" t="n">
        <v>2.3</v>
      </c>
      <c r="I880" s="72" t="n">
        <v>33237.54</v>
      </c>
      <c r="J880" s="70" t="inlineStr">
        <is>
          <t>Completed</t>
        </is>
      </c>
      <c r="K880" s="70" t="inlineStr">
        <is>
          <t>Chennai</t>
        </is>
      </c>
    </row>
    <row r="881" ht="14.25" customHeight="1" s="56">
      <c r="A881" s="70" t="inlineStr">
        <is>
          <t>ORD-00880</t>
        </is>
      </c>
      <c r="B881" s="71" t="n">
        <v>45636</v>
      </c>
      <c r="C881" s="70" t="inlineStr">
        <is>
          <t>CUST-0220</t>
        </is>
      </c>
      <c r="D881" s="70" t="inlineStr">
        <is>
          <t>PROD-025</t>
        </is>
      </c>
      <c r="E881" s="70" t="inlineStr">
        <is>
          <t>R014</t>
        </is>
      </c>
      <c r="F881" s="72" t="n">
        <v>9</v>
      </c>
      <c r="G881" s="72" t="n">
        <v>4060</v>
      </c>
      <c r="H881" s="72" t="n">
        <v>11.5</v>
      </c>
      <c r="I881" s="72" t="n">
        <v>32337.9</v>
      </c>
      <c r="J881" s="70" t="inlineStr">
        <is>
          <t>Completed</t>
        </is>
      </c>
      <c r="K881" s="70" t="inlineStr">
        <is>
          <t>Chennai</t>
        </is>
      </c>
    </row>
    <row r="882" ht="14.25" customHeight="1" s="56">
      <c r="A882" s="70" t="inlineStr">
        <is>
          <t>ORD-00881</t>
        </is>
      </c>
      <c r="B882" s="71" t="n">
        <v>45517</v>
      </c>
      <c r="C882" s="70" t="inlineStr">
        <is>
          <t>CUST-0298</t>
        </is>
      </c>
      <c r="D882" s="70" t="inlineStr">
        <is>
          <t>PROD-021</t>
        </is>
      </c>
      <c r="E882" s="70" t="inlineStr">
        <is>
          <t>R012</t>
        </is>
      </c>
      <c r="F882" s="72" t="n">
        <v>10</v>
      </c>
      <c r="G882" s="72" t="n">
        <v>2760</v>
      </c>
      <c r="H882" s="72" t="n">
        <v>3.9</v>
      </c>
      <c r="I882" s="72" t="n">
        <v>26523.6</v>
      </c>
      <c r="J882" s="70" t="inlineStr">
        <is>
          <t>Refunded</t>
        </is>
      </c>
      <c r="K882" s="70" t="inlineStr">
        <is>
          <t>Delhi</t>
        </is>
      </c>
    </row>
    <row r="883" ht="14.25" customHeight="1" s="56">
      <c r="A883" s="70" t="inlineStr">
        <is>
          <t>ORD-00882</t>
        </is>
      </c>
      <c r="B883" s="71" t="n">
        <v>45593</v>
      </c>
      <c r="C883" s="70" t="inlineStr">
        <is>
          <t>CUST-0222</t>
        </is>
      </c>
      <c r="D883" s="70" t="inlineStr">
        <is>
          <t>PROD-040</t>
        </is>
      </c>
      <c r="E883" s="70" t="inlineStr">
        <is>
          <t>R021</t>
        </is>
      </c>
      <c r="F883" s="72" t="n">
        <v>10</v>
      </c>
      <c r="G883" s="72" t="n">
        <v>1080</v>
      </c>
      <c r="H883" s="72" t="n">
        <v>21.4</v>
      </c>
      <c r="I883" s="72" t="n">
        <v>8488.799999999999</v>
      </c>
      <c r="J883" s="70" t="inlineStr">
        <is>
          <t>Completed</t>
        </is>
      </c>
      <c r="K883" s="70" t="inlineStr">
        <is>
          <t>Chennai</t>
        </is>
      </c>
    </row>
    <row r="884" ht="14.25" customHeight="1" s="56">
      <c r="A884" s="70" t="inlineStr">
        <is>
          <t>ORD-00883</t>
        </is>
      </c>
      <c r="B884" s="71" t="n">
        <v>45497</v>
      </c>
      <c r="C884" s="70" t="inlineStr">
        <is>
          <t>CUST-0049</t>
        </is>
      </c>
      <c r="D884" s="70" t="inlineStr">
        <is>
          <t>PROD-034</t>
        </is>
      </c>
      <c r="E884" s="70" t="inlineStr">
        <is>
          <t>R023</t>
        </is>
      </c>
      <c r="F884" s="72" t="n">
        <v>6</v>
      </c>
      <c r="G884" s="72" t="n">
        <v>5080</v>
      </c>
      <c r="H884" s="72" t="n">
        <v>29.8</v>
      </c>
      <c r="I884" s="72" t="n">
        <v>21396.96</v>
      </c>
      <c r="J884" s="70" t="inlineStr">
        <is>
          <t>Pending</t>
        </is>
      </c>
      <c r="K884" s="70" t="inlineStr">
        <is>
          <t>Mumbai</t>
        </is>
      </c>
    </row>
    <row r="885" ht="14.25" customHeight="1" s="56">
      <c r="A885" s="70" t="inlineStr">
        <is>
          <t>ORD-00884</t>
        </is>
      </c>
      <c r="B885" s="71" t="n">
        <v>45293</v>
      </c>
      <c r="C885" s="70" t="inlineStr">
        <is>
          <t>CUST-0147</t>
        </is>
      </c>
      <c r="D885" s="70" t="inlineStr">
        <is>
          <t>PROD-046</t>
        </is>
      </c>
      <c r="E885" s="70" t="inlineStr">
        <is>
          <t>R030</t>
        </is>
      </c>
      <c r="F885" s="72" t="n">
        <v>1</v>
      </c>
      <c r="G885" s="72" t="n">
        <v>4880</v>
      </c>
      <c r="H885" s="72" t="n">
        <v>28.2</v>
      </c>
      <c r="I885" s="72" t="n">
        <v>3503.84</v>
      </c>
      <c r="J885" s="70" t="inlineStr">
        <is>
          <t>Completed</t>
        </is>
      </c>
      <c r="K885" s="70" t="inlineStr">
        <is>
          <t>Pune</t>
        </is>
      </c>
    </row>
    <row r="886" ht="14.25" customHeight="1" s="56">
      <c r="A886" s="70" t="inlineStr">
        <is>
          <t>ORD-00885</t>
        </is>
      </c>
      <c r="B886" s="71" t="n">
        <v>45562</v>
      </c>
      <c r="C886" s="70" t="inlineStr">
        <is>
          <t>CUST-0177</t>
        </is>
      </c>
      <c r="D886" s="70" t="inlineStr">
        <is>
          <t>PROD-022</t>
        </is>
      </c>
      <c r="E886" s="70" t="inlineStr">
        <is>
          <t>R027</t>
        </is>
      </c>
      <c r="F886" s="72" t="n">
        <v>1</v>
      </c>
      <c r="G886" s="72" t="n">
        <v>2270</v>
      </c>
      <c r="H886" s="72" t="n">
        <v>27.8</v>
      </c>
      <c r="I886" s="72" t="n">
        <v>1638.94</v>
      </c>
      <c r="J886" s="70" t="inlineStr">
        <is>
          <t>Completed</t>
        </is>
      </c>
      <c r="K886" s="70" t="inlineStr">
        <is>
          <t>Mumbai</t>
        </is>
      </c>
    </row>
    <row r="887" ht="14.25" customHeight="1" s="56">
      <c r="A887" s="70" t="inlineStr">
        <is>
          <t>ORD-00886</t>
        </is>
      </c>
      <c r="B887" s="71" t="n">
        <v>45638</v>
      </c>
      <c r="C887" s="70" t="inlineStr">
        <is>
          <t>CUST-0121</t>
        </is>
      </c>
      <c r="D887" s="70" t="inlineStr">
        <is>
          <t>PROD-006</t>
        </is>
      </c>
      <c r="E887" s="70" t="inlineStr">
        <is>
          <t>R019</t>
        </is>
      </c>
      <c r="F887" s="72" t="n">
        <v>9</v>
      </c>
      <c r="G887" s="72" t="n">
        <v>3970</v>
      </c>
      <c r="H887" s="72" t="n">
        <v>7</v>
      </c>
      <c r="I887" s="72" t="n">
        <v>33228.9</v>
      </c>
      <c r="J887" s="70" t="inlineStr">
        <is>
          <t>Completed</t>
        </is>
      </c>
      <c r="K887" s="70" t="inlineStr">
        <is>
          <t>Delhi</t>
        </is>
      </c>
    </row>
    <row r="888" ht="14.25" customHeight="1" s="56">
      <c r="A888" s="70" t="inlineStr">
        <is>
          <t>ORD-00887</t>
        </is>
      </c>
      <c r="B888" s="71" t="n">
        <v>45408</v>
      </c>
      <c r="C888" s="70" t="inlineStr">
        <is>
          <t>CUST-0262</t>
        </is>
      </c>
      <c r="D888" s="70" t="inlineStr">
        <is>
          <t>PROD-048</t>
        </is>
      </c>
      <c r="E888" s="70" t="inlineStr">
        <is>
          <t>R003</t>
        </is>
      </c>
      <c r="F888" s="72" t="n">
        <v>9</v>
      </c>
      <c r="G888" s="72" t="n">
        <v>5100</v>
      </c>
      <c r="H888" s="72" t="n">
        <v>9.699999999999999</v>
      </c>
      <c r="I888" s="72" t="n">
        <v>41447.7</v>
      </c>
      <c r="J888" s="70" t="inlineStr">
        <is>
          <t>Completed</t>
        </is>
      </c>
      <c r="K888" s="70" t="inlineStr">
        <is>
          <t>Mumbai</t>
        </is>
      </c>
    </row>
    <row r="889" ht="14.25" customHeight="1" s="56">
      <c r="A889" s="70" t="inlineStr">
        <is>
          <t>ORD-00888</t>
        </is>
      </c>
      <c r="B889" s="71" t="n">
        <v>45498</v>
      </c>
      <c r="C889" s="70" t="inlineStr">
        <is>
          <t>CUST-0246</t>
        </is>
      </c>
      <c r="D889" s="70" t="inlineStr">
        <is>
          <t>PROD-060</t>
        </is>
      </c>
      <c r="E889" s="70" t="inlineStr">
        <is>
          <t>R005</t>
        </is>
      </c>
      <c r="F889" s="72" t="n">
        <v>8</v>
      </c>
      <c r="G889" s="72" t="n">
        <v>190</v>
      </c>
      <c r="H889" s="72" t="n">
        <v>10.2</v>
      </c>
      <c r="I889" s="72" t="n">
        <v>1364.96</v>
      </c>
      <c r="J889" s="70" t="inlineStr">
        <is>
          <t>Completed</t>
        </is>
      </c>
      <c r="K889" s="70" t="inlineStr">
        <is>
          <t>Delhi</t>
        </is>
      </c>
    </row>
    <row r="890" ht="14.25" customHeight="1" s="56">
      <c r="A890" s="70" t="inlineStr">
        <is>
          <t>ORD-00889</t>
        </is>
      </c>
      <c r="B890" s="71" t="n">
        <v>45649</v>
      </c>
      <c r="C890" s="70" t="inlineStr">
        <is>
          <t>CUST-0070</t>
        </is>
      </c>
      <c r="D890" s="70" t="inlineStr">
        <is>
          <t>PROD-050</t>
        </is>
      </c>
      <c r="E890" s="70" t="inlineStr">
        <is>
          <t>R026</t>
        </is>
      </c>
      <c r="F890" s="72" t="n">
        <v>1</v>
      </c>
      <c r="G890" s="72" t="n">
        <v>6080</v>
      </c>
      <c r="H890" s="72" t="n">
        <v>5.6</v>
      </c>
      <c r="I890" s="72" t="n">
        <v>5739.52</v>
      </c>
      <c r="J890" s="70" t="inlineStr">
        <is>
          <t>Completed</t>
        </is>
      </c>
      <c r="K890" s="70" t="inlineStr">
        <is>
          <t>Mumbai</t>
        </is>
      </c>
    </row>
    <row r="891" ht="14.25" customHeight="1" s="56">
      <c r="A891" s="70" t="inlineStr">
        <is>
          <t>ORD-00890</t>
        </is>
      </c>
      <c r="B891" s="71" t="n">
        <v>45484</v>
      </c>
      <c r="C891" s="70" t="inlineStr">
        <is>
          <t>CUST-0218</t>
        </is>
      </c>
      <c r="D891" s="70" t="inlineStr">
        <is>
          <t>PROD-057</t>
        </is>
      </c>
      <c r="E891" s="70" t="inlineStr">
        <is>
          <t>R020</t>
        </is>
      </c>
      <c r="F891" s="72" t="n">
        <v>6</v>
      </c>
      <c r="G891" s="72" t="n">
        <v>960</v>
      </c>
      <c r="H891" s="72" t="n">
        <v>1.9</v>
      </c>
      <c r="I891" s="72" t="n">
        <v>5650.56</v>
      </c>
      <c r="J891" s="70" t="inlineStr">
        <is>
          <t>Completed</t>
        </is>
      </c>
      <c r="K891" s="70" t="inlineStr">
        <is>
          <t>Mumbai</t>
        </is>
      </c>
    </row>
    <row r="892" ht="14.25" customHeight="1" s="56">
      <c r="A892" s="70" t="inlineStr">
        <is>
          <t>ORD-00891</t>
        </is>
      </c>
      <c r="B892" s="71" t="n">
        <v>45316</v>
      </c>
      <c r="C892" s="70" t="inlineStr">
        <is>
          <t>CUST-0068</t>
        </is>
      </c>
      <c r="D892" s="70" t="inlineStr">
        <is>
          <t>PROD-041</t>
        </is>
      </c>
      <c r="E892" s="70" t="inlineStr">
        <is>
          <t>R004</t>
        </is>
      </c>
      <c r="F892" s="72" t="n">
        <v>7</v>
      </c>
      <c r="G892" s="72" t="n">
        <v>1540</v>
      </c>
      <c r="H892" s="72" t="n">
        <v>7.1</v>
      </c>
      <c r="I892" s="72" t="n">
        <v>10014.62</v>
      </c>
      <c r="J892" s="70" t="inlineStr">
        <is>
          <t>Completed</t>
        </is>
      </c>
      <c r="K892" s="70" t="inlineStr">
        <is>
          <t>Delhi</t>
        </is>
      </c>
    </row>
    <row r="893" ht="14.25" customHeight="1" s="56">
      <c r="A893" s="70" t="inlineStr">
        <is>
          <t>ORD-00892</t>
        </is>
      </c>
      <c r="B893" s="71" t="n">
        <v>45328</v>
      </c>
      <c r="C893" s="70" t="inlineStr">
        <is>
          <t>CUST-0261</t>
        </is>
      </c>
      <c r="D893" s="70" t="inlineStr">
        <is>
          <t>PROD-005</t>
        </is>
      </c>
      <c r="E893" s="70" t="inlineStr">
        <is>
          <t>R011</t>
        </is>
      </c>
      <c r="F893" s="72" t="n">
        <v>10</v>
      </c>
      <c r="G893" s="72" t="n">
        <v>300</v>
      </c>
      <c r="H893" s="72" t="n">
        <v>12.8</v>
      </c>
      <c r="I893" s="72" t="n">
        <v>2616</v>
      </c>
      <c r="J893" s="70" t="inlineStr">
        <is>
          <t>Cancelled</t>
        </is>
      </c>
      <c r="K893" s="70" t="inlineStr">
        <is>
          <t>Delhi</t>
        </is>
      </c>
    </row>
    <row r="894" ht="14.25" customHeight="1" s="56">
      <c r="A894" s="70" t="inlineStr">
        <is>
          <t>ORD-00893</t>
        </is>
      </c>
      <c r="B894" s="71" t="n">
        <v>45456</v>
      </c>
      <c r="C894" s="70" t="inlineStr">
        <is>
          <t>CUST-0077</t>
        </is>
      </c>
      <c r="D894" s="70" t="inlineStr">
        <is>
          <t>PROD-046</t>
        </is>
      </c>
      <c r="E894" s="70" t="inlineStr">
        <is>
          <t>R011</t>
        </is>
      </c>
      <c r="F894" s="72" t="n">
        <v>4</v>
      </c>
      <c r="G894" s="72" t="n">
        <v>4880</v>
      </c>
      <c r="H894" s="72" t="n">
        <v>26.5</v>
      </c>
      <c r="I894" s="72" t="n">
        <v>14347.2</v>
      </c>
      <c r="J894" s="70" t="inlineStr">
        <is>
          <t>Completed</t>
        </is>
      </c>
      <c r="K894" s="70" t="inlineStr">
        <is>
          <t>Hyderabad</t>
        </is>
      </c>
    </row>
    <row r="895" ht="14.25" customHeight="1" s="56">
      <c r="A895" s="70" t="inlineStr">
        <is>
          <t>ORD-00894</t>
        </is>
      </c>
      <c r="B895" s="71" t="n">
        <v>45589</v>
      </c>
      <c r="C895" s="70" t="inlineStr">
        <is>
          <t>CUST-0188</t>
        </is>
      </c>
      <c r="D895" s="70" t="inlineStr">
        <is>
          <t>PROD-032</t>
        </is>
      </c>
      <c r="E895" s="70" t="inlineStr">
        <is>
          <t>R003</t>
        </is>
      </c>
      <c r="F895" s="72" t="n">
        <v>2</v>
      </c>
      <c r="G895" s="72" t="n">
        <v>370</v>
      </c>
      <c r="H895" s="72" t="n">
        <v>26.5</v>
      </c>
      <c r="I895" s="72" t="n">
        <v>543.9</v>
      </c>
      <c r="J895" s="70" t="inlineStr">
        <is>
          <t>Completed</t>
        </is>
      </c>
      <c r="K895" s="70" t="inlineStr">
        <is>
          <t>Bengaluru</t>
        </is>
      </c>
    </row>
    <row r="896" ht="14.25" customHeight="1" s="56">
      <c r="A896" s="70" t="inlineStr">
        <is>
          <t>ORD-00895</t>
        </is>
      </c>
      <c r="B896" s="71" t="n">
        <v>45593</v>
      </c>
      <c r="C896" s="70" t="inlineStr">
        <is>
          <t>CUST-0145</t>
        </is>
      </c>
      <c r="D896" s="70" t="inlineStr">
        <is>
          <t>PROD-039</t>
        </is>
      </c>
      <c r="E896" s="70" t="inlineStr">
        <is>
          <t>R002</t>
        </is>
      </c>
      <c r="F896" s="72" t="n">
        <v>3</v>
      </c>
      <c r="G896" s="72" t="n">
        <v>4610</v>
      </c>
      <c r="H896" s="72" t="n">
        <v>29.7</v>
      </c>
      <c r="I896" s="72" t="n">
        <v>9722.49</v>
      </c>
      <c r="J896" s="70" t="inlineStr">
        <is>
          <t>Completed</t>
        </is>
      </c>
      <c r="K896" s="70" t="inlineStr">
        <is>
          <t>Bengaluru</t>
        </is>
      </c>
    </row>
    <row r="897" ht="14.25" customHeight="1" s="56">
      <c r="A897" s="70" t="inlineStr">
        <is>
          <t>ORD-00896</t>
        </is>
      </c>
      <c r="B897" s="71" t="n">
        <v>45539</v>
      </c>
      <c r="C897" s="70" t="inlineStr">
        <is>
          <t>CUST-0036</t>
        </is>
      </c>
      <c r="D897" s="70" t="inlineStr">
        <is>
          <t>PROD-002</t>
        </is>
      </c>
      <c r="E897" s="70" t="inlineStr">
        <is>
          <t>R013</t>
        </is>
      </c>
      <c r="F897" s="72" t="n">
        <v>5</v>
      </c>
      <c r="G897" s="72" t="n">
        <v>2600</v>
      </c>
      <c r="H897" s="72" t="n">
        <v>21.4</v>
      </c>
      <c r="I897" s="72" t="n">
        <v>10218</v>
      </c>
      <c r="J897" s="70" t="inlineStr">
        <is>
          <t>Completed</t>
        </is>
      </c>
      <c r="K897" s="70" t="inlineStr">
        <is>
          <t>Mumbai</t>
        </is>
      </c>
    </row>
    <row r="898" ht="14.25" customHeight="1" s="56">
      <c r="A898" s="70" t="inlineStr">
        <is>
          <t>ORD-00600</t>
        </is>
      </c>
      <c r="B898" s="71" t="n">
        <v>45436</v>
      </c>
      <c r="C898" s="70" t="inlineStr">
        <is>
          <t>CUST-0269</t>
        </is>
      </c>
      <c r="D898" s="70" t="inlineStr">
        <is>
          <t>PROD-009</t>
        </is>
      </c>
      <c r="E898" s="70" t="inlineStr">
        <is>
          <t>R025</t>
        </is>
      </c>
      <c r="F898" s="72" t="n">
        <v>10</v>
      </c>
      <c r="G898" s="72" t="n">
        <v>1220</v>
      </c>
      <c r="H898" s="72" t="n">
        <v>24.3</v>
      </c>
      <c r="I898" s="72" t="n">
        <v>9235.4</v>
      </c>
      <c r="J898" s="70" t="inlineStr">
        <is>
          <t>Completed</t>
        </is>
      </c>
      <c r="K898" s="70" t="inlineStr">
        <is>
          <t>Pune</t>
        </is>
      </c>
    </row>
    <row r="899" ht="14.25" customHeight="1" s="56">
      <c r="A899" s="70" t="inlineStr">
        <is>
          <t>ORD-00898</t>
        </is>
      </c>
      <c r="B899" s="71" t="n">
        <v>45646</v>
      </c>
      <c r="C899" s="70" t="inlineStr">
        <is>
          <t>CUST-9607</t>
        </is>
      </c>
      <c r="D899" s="70" t="inlineStr">
        <is>
          <t>PROD-007</t>
        </is>
      </c>
      <c r="E899" s="70" t="inlineStr">
        <is>
          <t>R015</t>
        </is>
      </c>
      <c r="F899" s="72" t="n">
        <v>10</v>
      </c>
      <c r="G899" s="72" t="n">
        <v>1430</v>
      </c>
      <c r="H899" s="72" t="n">
        <v>5.1</v>
      </c>
      <c r="I899" s="72" t="n">
        <v>13570.7</v>
      </c>
      <c r="J899" s="70" t="inlineStr">
        <is>
          <t>Cancelled</t>
        </is>
      </c>
      <c r="K899" s="70" t="inlineStr">
        <is>
          <t>Chennai</t>
        </is>
      </c>
    </row>
    <row r="900" ht="14.25" customHeight="1" s="56">
      <c r="A900" s="70" t="inlineStr">
        <is>
          <t>ORD-00899</t>
        </is>
      </c>
      <c r="B900" s="71" t="n">
        <v>45478</v>
      </c>
      <c r="C900" s="70" t="inlineStr">
        <is>
          <t>CUST-0189</t>
        </is>
      </c>
      <c r="D900" s="70" t="inlineStr">
        <is>
          <t>PROD-046</t>
        </is>
      </c>
      <c r="E900" s="70" t="inlineStr">
        <is>
          <t>R030</t>
        </is>
      </c>
      <c r="F900" s="72" t="n">
        <v>10</v>
      </c>
      <c r="G900" s="72" t="n">
        <v>4880</v>
      </c>
      <c r="H900" s="72" t="n">
        <v>25.5</v>
      </c>
      <c r="I900" s="72" t="n">
        <v>36356</v>
      </c>
      <c r="J900" s="70" t="inlineStr">
        <is>
          <t>Cancelled</t>
        </is>
      </c>
      <c r="K900" s="70" t="inlineStr">
        <is>
          <t>Chennai</t>
        </is>
      </c>
    </row>
    <row r="901" ht="14.25" customHeight="1" s="56">
      <c r="A901" s="70" t="inlineStr">
        <is>
          <t>ORD-00900</t>
        </is>
      </c>
      <c r="B901" s="71" t="n">
        <v>45518</v>
      </c>
      <c r="C901" s="70" t="inlineStr">
        <is>
          <t>CUST-0199</t>
        </is>
      </c>
      <c r="D901" s="70" t="inlineStr">
        <is>
          <t>PROD-050</t>
        </is>
      </c>
      <c r="E901" s="70" t="inlineStr">
        <is>
          <t>R028</t>
        </is>
      </c>
      <c r="F901" s="72" t="n">
        <v>6</v>
      </c>
      <c r="G901" s="72" t="n">
        <v>6080</v>
      </c>
      <c r="H901" s="72" t="n">
        <v>21.6</v>
      </c>
      <c r="I901" s="72" t="n">
        <v>28600.32</v>
      </c>
      <c r="J901" s="70" t="inlineStr">
        <is>
          <t>Completed</t>
        </is>
      </c>
      <c r="K901" s="70" t="inlineStr">
        <is>
          <t>Hyderabad</t>
        </is>
      </c>
    </row>
    <row r="902" ht="14.25" customHeight="1" s="56">
      <c r="A902" s="70" t="inlineStr">
        <is>
          <t>ORD-00901</t>
        </is>
      </c>
      <c r="B902" s="71" t="n">
        <v>45319</v>
      </c>
      <c r="C902" s="70" t="inlineStr">
        <is>
          <t>CUST-0277</t>
        </is>
      </c>
      <c r="D902" s="70" t="inlineStr">
        <is>
          <t>PROD-045</t>
        </is>
      </c>
      <c r="E902" s="70" t="inlineStr">
        <is>
          <t>R013</t>
        </is>
      </c>
      <c r="F902" s="72" t="n">
        <v>3</v>
      </c>
      <c r="G902" s="72" t="n">
        <v>3020</v>
      </c>
      <c r="H902" s="72" t="n">
        <v>20.7</v>
      </c>
      <c r="I902" s="72" t="n">
        <v>7184.58</v>
      </c>
      <c r="J902" s="70" t="inlineStr">
        <is>
          <t>Completed</t>
        </is>
      </c>
      <c r="K902" s="70" t="inlineStr">
        <is>
          <t>Chennai</t>
        </is>
      </c>
    </row>
    <row r="903" ht="14.25" customHeight="1" s="56">
      <c r="A903" s="70" t="inlineStr">
        <is>
          <t>ORD-00902</t>
        </is>
      </c>
      <c r="B903" s="71" t="n">
        <v>45445</v>
      </c>
      <c r="C903" s="70" t="inlineStr">
        <is>
          <t>CUST-0108</t>
        </is>
      </c>
      <c r="D903" s="70" t="inlineStr">
        <is>
          <t>PROD-015</t>
        </is>
      </c>
      <c r="E903" s="70" t="inlineStr">
        <is>
          <t>R013</t>
        </is>
      </c>
      <c r="F903" s="72" t="n">
        <v>9</v>
      </c>
      <c r="G903" s="72" t="n">
        <v>2720</v>
      </c>
      <c r="H903" s="72" t="n">
        <v>21.4</v>
      </c>
      <c r="I903" s="72" t="n">
        <v>19241.28</v>
      </c>
      <c r="J903" s="70" t="inlineStr">
        <is>
          <t>Completed</t>
        </is>
      </c>
      <c r="K903" s="70" t="inlineStr">
        <is>
          <t>Bengaluru</t>
        </is>
      </c>
    </row>
    <row r="904" ht="14.25" customHeight="1" s="56">
      <c r="A904" s="70" t="inlineStr">
        <is>
          <t>ORD-00903</t>
        </is>
      </c>
      <c r="B904" s="71" t="n">
        <v>45417</v>
      </c>
      <c r="C904" s="70" t="inlineStr">
        <is>
          <t>CUST-0203</t>
        </is>
      </c>
      <c r="D904" s="70" t="inlineStr">
        <is>
          <t>PROD-003</t>
        </is>
      </c>
      <c r="E904" s="70" t="inlineStr">
        <is>
          <t>R025</t>
        </is>
      </c>
      <c r="F904" s="72" t="n">
        <v>10</v>
      </c>
      <c r="G904" s="72" t="n">
        <v>3570</v>
      </c>
      <c r="H904" s="72" t="n">
        <v>4.4</v>
      </c>
      <c r="I904" s="72" t="n">
        <v>34129.2</v>
      </c>
      <c r="J904" s="70" t="inlineStr">
        <is>
          <t>Completed</t>
        </is>
      </c>
      <c r="K904" s="70" t="inlineStr">
        <is>
          <t>Chennai</t>
        </is>
      </c>
    </row>
    <row r="905" ht="14.25" customHeight="1" s="56">
      <c r="A905" s="70" t="inlineStr">
        <is>
          <t>ORD-00904</t>
        </is>
      </c>
      <c r="B905" s="71" t="n">
        <v>45309</v>
      </c>
      <c r="C905" s="70" t="inlineStr">
        <is>
          <t>CUST-0272</t>
        </is>
      </c>
      <c r="D905" s="70" t="inlineStr">
        <is>
          <t>PROD-040</t>
        </is>
      </c>
      <c r="E905" s="70" t="inlineStr">
        <is>
          <t>R014</t>
        </is>
      </c>
      <c r="F905" s="72" t="n">
        <v>8</v>
      </c>
      <c r="G905" s="72" t="n">
        <v>1080</v>
      </c>
      <c r="H905" s="72" t="n">
        <v>23.8</v>
      </c>
      <c r="I905" s="72" t="n">
        <v>6583.68</v>
      </c>
      <c r="J905" s="70" t="inlineStr">
        <is>
          <t>Completed</t>
        </is>
      </c>
      <c r="K905" s="70" t="inlineStr">
        <is>
          <t>Mumbai</t>
        </is>
      </c>
    </row>
    <row r="906" ht="14.25" customHeight="1" s="56">
      <c r="A906" s="70" t="inlineStr">
        <is>
          <t>ORD-00905</t>
        </is>
      </c>
      <c r="B906" s="71" t="n">
        <v>45367</v>
      </c>
      <c r="C906" s="70" t="inlineStr">
        <is>
          <t>CUST-0039</t>
        </is>
      </c>
      <c r="D906" s="70" t="inlineStr">
        <is>
          <t>PROD-035</t>
        </is>
      </c>
      <c r="E906" s="70" t="inlineStr">
        <is>
          <t>R011</t>
        </is>
      </c>
      <c r="F906" s="72" t="n">
        <v>8</v>
      </c>
      <c r="G906" s="72" t="n">
        <v>1090</v>
      </c>
      <c r="H906" s="72" t="n">
        <v>17.5</v>
      </c>
      <c r="I906" s="72" t="n">
        <v>7194</v>
      </c>
      <c r="J906" s="70" t="inlineStr">
        <is>
          <t>Completed</t>
        </is>
      </c>
      <c r="K906" s="70" t="inlineStr">
        <is>
          <t>Bengaluru</t>
        </is>
      </c>
    </row>
    <row r="907" ht="14.25" customHeight="1" s="56">
      <c r="A907" s="70" t="inlineStr">
        <is>
          <t>ORD-00906</t>
        </is>
      </c>
      <c r="B907" s="71" t="n">
        <v>45615</v>
      </c>
      <c r="C907" s="70" t="inlineStr">
        <is>
          <t>CUST-0105</t>
        </is>
      </c>
      <c r="D907" s="70" t="inlineStr">
        <is>
          <t>PROD-018</t>
        </is>
      </c>
      <c r="E907" s="70" t="inlineStr">
        <is>
          <t>R027</t>
        </is>
      </c>
      <c r="F907" s="72" t="n">
        <v>7</v>
      </c>
      <c r="G907" s="72" t="n">
        <v>3560</v>
      </c>
      <c r="H907" s="72" t="n">
        <v>11.1</v>
      </c>
      <c r="I907" s="72" t="n">
        <v>22153.88</v>
      </c>
      <c r="J907" s="70" t="inlineStr">
        <is>
          <t>Completed</t>
        </is>
      </c>
      <c r="K907" s="70" t="inlineStr">
        <is>
          <t>Chennai</t>
        </is>
      </c>
    </row>
    <row r="908" ht="14.25" customHeight="1" s="56">
      <c r="A908" s="70" t="inlineStr">
        <is>
          <t>ORD-00907</t>
        </is>
      </c>
      <c r="B908" s="71" t="n">
        <v>45499</v>
      </c>
      <c r="C908" s="70" t="inlineStr">
        <is>
          <t>CUST-0095</t>
        </is>
      </c>
      <c r="D908" s="70" t="inlineStr">
        <is>
          <t>PROD-060</t>
        </is>
      </c>
      <c r="E908" s="70" t="inlineStr">
        <is>
          <t>R022</t>
        </is>
      </c>
      <c r="F908" s="72" t="n">
        <v>6</v>
      </c>
      <c r="G908" s="72" t="n">
        <v>190</v>
      </c>
      <c r="H908" s="72" t="n">
        <v>17.1</v>
      </c>
      <c r="I908" s="72" t="n">
        <v>945.0599999999999</v>
      </c>
      <c r="J908" s="70" t="inlineStr">
        <is>
          <t>Cancelled</t>
        </is>
      </c>
      <c r="K908" s="70" t="inlineStr">
        <is>
          <t>Mumbai</t>
        </is>
      </c>
    </row>
    <row r="909" ht="14.25" customHeight="1" s="56">
      <c r="A909" s="70" t="inlineStr">
        <is>
          <t>ORD-00908</t>
        </is>
      </c>
      <c r="B909" s="71" t="n">
        <v>45356</v>
      </c>
      <c r="C909" s="70" t="inlineStr">
        <is>
          <t>CUST-0138</t>
        </is>
      </c>
      <c r="D909" s="70" t="inlineStr">
        <is>
          <t>PROD-025</t>
        </is>
      </c>
      <c r="E909" s="70" t="inlineStr">
        <is>
          <t>R025</t>
        </is>
      </c>
      <c r="F909" s="72" t="n">
        <v>7</v>
      </c>
      <c r="G909" s="72" t="n">
        <v>4060</v>
      </c>
      <c r="H909" s="72" t="n">
        <v>0.6</v>
      </c>
      <c r="I909" s="72" t="n">
        <v>28249.48</v>
      </c>
      <c r="J909" s="70" t="inlineStr">
        <is>
          <t>Completed</t>
        </is>
      </c>
      <c r="K909" s="70" t="inlineStr">
        <is>
          <t>Chennai</t>
        </is>
      </c>
    </row>
    <row r="910" ht="14.25" customHeight="1" s="56">
      <c r="A910" s="70" t="inlineStr">
        <is>
          <t>ORD-00909</t>
        </is>
      </c>
      <c r="B910" s="71" t="n">
        <v>45346</v>
      </c>
      <c r="C910" s="70" t="inlineStr">
        <is>
          <t>CUST-0155</t>
        </is>
      </c>
      <c r="D910" s="70" t="inlineStr">
        <is>
          <t>PROD-039</t>
        </is>
      </c>
      <c r="E910" s="70" t="inlineStr">
        <is>
          <t>R021</t>
        </is>
      </c>
      <c r="F910" s="72" t="n">
        <v>4</v>
      </c>
      <c r="G910" s="72" t="n">
        <v>4610</v>
      </c>
      <c r="H910" s="72" t="n">
        <v>1.9</v>
      </c>
      <c r="I910" s="72" t="n">
        <v>18089.64</v>
      </c>
      <c r="J910" s="70" t="inlineStr">
        <is>
          <t>Pending</t>
        </is>
      </c>
      <c r="K910" s="70" t="inlineStr">
        <is>
          <t>Pune</t>
        </is>
      </c>
    </row>
    <row r="911" ht="14.25" customHeight="1" s="56">
      <c r="A911" s="70" t="inlineStr">
        <is>
          <t>ORD-00910</t>
        </is>
      </c>
      <c r="B911" s="71" t="n">
        <v>45640</v>
      </c>
      <c r="C911" s="70" t="inlineStr">
        <is>
          <t>CUST-0198</t>
        </is>
      </c>
      <c r="D911" s="70" t="inlineStr">
        <is>
          <t>PROD-026</t>
        </is>
      </c>
      <c r="E911" s="70" t="inlineStr">
        <is>
          <t>R020</t>
        </is>
      </c>
      <c r="F911" s="72" t="n">
        <v>4</v>
      </c>
      <c r="G911" s="72" t="n">
        <v>4070</v>
      </c>
      <c r="H911" s="72" t="n">
        <v>26.8</v>
      </c>
      <c r="I911" s="72" t="n">
        <v>11916.96</v>
      </c>
      <c r="J911" s="70" t="inlineStr">
        <is>
          <t>Completed</t>
        </is>
      </c>
      <c r="K911" s="70" t="inlineStr">
        <is>
          <t>Chennai</t>
        </is>
      </c>
    </row>
    <row r="912" ht="14.25" customHeight="1" s="56">
      <c r="A912" s="70" t="inlineStr">
        <is>
          <t>ORD-00911</t>
        </is>
      </c>
      <c r="B912" s="71" t="n">
        <v>45633</v>
      </c>
      <c r="C912" s="70" t="inlineStr">
        <is>
          <t>CUST-0267</t>
        </is>
      </c>
      <c r="D912" s="70" t="inlineStr">
        <is>
          <t>PROD-014</t>
        </is>
      </c>
      <c r="E912" s="70" t="inlineStr">
        <is>
          <t>R004</t>
        </is>
      </c>
      <c r="F912" s="72" t="n">
        <v>4</v>
      </c>
      <c r="G912" s="72" t="n">
        <v>3620</v>
      </c>
      <c r="H912" s="72" t="n">
        <v>11.7</v>
      </c>
      <c r="I912" s="72" t="n">
        <v>12785.84</v>
      </c>
      <c r="J912" s="70" t="inlineStr">
        <is>
          <t>Completed</t>
        </is>
      </c>
      <c r="K912" s="70" t="inlineStr">
        <is>
          <t>Hyderabad</t>
        </is>
      </c>
    </row>
    <row r="913" ht="14.25" customHeight="1" s="56">
      <c r="A913" s="70" t="inlineStr">
        <is>
          <t>ORD-00912</t>
        </is>
      </c>
      <c r="B913" s="71" t="n">
        <v>45430</v>
      </c>
      <c r="C913" s="70" t="inlineStr">
        <is>
          <t>CUST-0248</t>
        </is>
      </c>
      <c r="D913" s="70" t="inlineStr">
        <is>
          <t>PROD-006</t>
        </is>
      </c>
      <c r="E913" s="70" t="inlineStr">
        <is>
          <t>R030</t>
        </is>
      </c>
      <c r="F913" s="72" t="n">
        <v>3</v>
      </c>
      <c r="G913" s="72" t="n">
        <v>3970</v>
      </c>
      <c r="H913" s="72" t="n">
        <v>24.7</v>
      </c>
      <c r="I913" s="72" t="n">
        <v>8968.23</v>
      </c>
      <c r="J913" s="70" t="inlineStr">
        <is>
          <t>Completed</t>
        </is>
      </c>
      <c r="K913" s="70" t="inlineStr">
        <is>
          <t>Chennai</t>
        </is>
      </c>
    </row>
    <row r="914" ht="14.25" customHeight="1" s="56">
      <c r="A914" s="70" t="inlineStr">
        <is>
          <t>ORD-00913</t>
        </is>
      </c>
      <c r="B914" s="71" t="n">
        <v>45355</v>
      </c>
      <c r="C914" s="70" t="inlineStr">
        <is>
          <t>CUST-0114</t>
        </is>
      </c>
      <c r="D914" s="70" t="inlineStr">
        <is>
          <t>PROD-030</t>
        </is>
      </c>
      <c r="E914" s="70" t="inlineStr">
        <is>
          <t>R028</t>
        </is>
      </c>
      <c r="F914" s="72" t="n">
        <v>4</v>
      </c>
      <c r="G914" s="72" t="n">
        <v>970</v>
      </c>
      <c r="H914" s="72" t="n">
        <v>0.4</v>
      </c>
      <c r="I914" s="72" t="n">
        <v>3864.48</v>
      </c>
      <c r="J914" s="70" t="inlineStr">
        <is>
          <t>Completed</t>
        </is>
      </c>
      <c r="K914" s="70" t="inlineStr">
        <is>
          <t>Bengaluru</t>
        </is>
      </c>
    </row>
    <row r="915" ht="14.25" customHeight="1" s="56">
      <c r="A915" s="70" t="inlineStr">
        <is>
          <t>ORD-00914</t>
        </is>
      </c>
      <c r="B915" s="71" t="n">
        <v>45379</v>
      </c>
      <c r="C915" s="70" t="inlineStr">
        <is>
          <t>CUST-0129</t>
        </is>
      </c>
      <c r="D915" s="70" t="inlineStr">
        <is>
          <t>PROD-057</t>
        </is>
      </c>
      <c r="E915" s="70" t="inlineStr">
        <is>
          <t>R023</t>
        </is>
      </c>
      <c r="F915" s="72" t="n">
        <v>2</v>
      </c>
      <c r="G915" s="72" t="n">
        <v>960</v>
      </c>
      <c r="H915" s="72" t="n">
        <v>1.4</v>
      </c>
      <c r="I915" s="72" t="n">
        <v>1893.12</v>
      </c>
      <c r="J915" s="70" t="inlineStr">
        <is>
          <t>Completed</t>
        </is>
      </c>
      <c r="K915" s="70" t="inlineStr">
        <is>
          <t>Hyderabad</t>
        </is>
      </c>
    </row>
    <row r="916" ht="14.25" customHeight="1" s="56">
      <c r="A916" s="70" t="inlineStr">
        <is>
          <t>ORD-00915</t>
        </is>
      </c>
      <c r="B916" s="71" t="n">
        <v>45375</v>
      </c>
      <c r="C916" s="70" t="inlineStr">
        <is>
          <t>CUST-0182</t>
        </is>
      </c>
      <c r="D916" s="70" t="inlineStr">
        <is>
          <t>PROD-005</t>
        </is>
      </c>
      <c r="E916" s="70" t="inlineStr">
        <is>
          <t>R016</t>
        </is>
      </c>
      <c r="F916" s="72" t="n">
        <v>7</v>
      </c>
      <c r="G916" s="72" t="n">
        <v>300</v>
      </c>
      <c r="H916" s="72" t="n">
        <v>20.4</v>
      </c>
      <c r="I916" s="72" t="n">
        <v>1671.6</v>
      </c>
      <c r="J916" s="70" t="inlineStr">
        <is>
          <t>Completed</t>
        </is>
      </c>
      <c r="K916" s="70" t="inlineStr">
        <is>
          <t>Mumbai</t>
        </is>
      </c>
    </row>
    <row r="917" ht="14.25" customHeight="1" s="56">
      <c r="A917" s="70" t="inlineStr">
        <is>
          <t>ORD-00916</t>
        </is>
      </c>
      <c r="B917" s="71" t="n">
        <v>45397</v>
      </c>
      <c r="C917" s="70" t="inlineStr">
        <is>
          <t>CUST-0020</t>
        </is>
      </c>
      <c r="D917" s="70" t="inlineStr">
        <is>
          <t>PROD-002</t>
        </is>
      </c>
      <c r="E917" s="70" t="inlineStr">
        <is>
          <t>R014</t>
        </is>
      </c>
      <c r="F917" s="72" t="n">
        <v>8</v>
      </c>
      <c r="G917" s="72" t="n">
        <v>2600</v>
      </c>
      <c r="H917" s="72" t="n">
        <v>2.2</v>
      </c>
      <c r="I917" s="72" t="n">
        <v>20342.4</v>
      </c>
      <c r="J917" s="70" t="inlineStr">
        <is>
          <t>Cancelled</t>
        </is>
      </c>
      <c r="K917" s="70" t="inlineStr">
        <is>
          <t>Hyderabad</t>
        </is>
      </c>
    </row>
    <row r="918" ht="14.25" customHeight="1" s="56">
      <c r="A918" s="70" t="inlineStr">
        <is>
          <t>ORD-00917</t>
        </is>
      </c>
      <c r="B918" s="71" t="n">
        <v>45571</v>
      </c>
      <c r="C918" s="70" t="inlineStr">
        <is>
          <t>CUST-0163</t>
        </is>
      </c>
      <c r="D918" s="70" t="inlineStr">
        <is>
          <t>PROD-032</t>
        </is>
      </c>
      <c r="E918" s="70" t="inlineStr">
        <is>
          <t>R008</t>
        </is>
      </c>
      <c r="F918" s="72" t="n">
        <v>2</v>
      </c>
      <c r="G918" s="72" t="n">
        <v>370</v>
      </c>
      <c r="H918" s="72" t="n">
        <v>17.7</v>
      </c>
      <c r="I918" s="72" t="n">
        <v>609.02</v>
      </c>
      <c r="J918" s="70" t="inlineStr">
        <is>
          <t>Completed</t>
        </is>
      </c>
      <c r="K918" s="70" t="inlineStr">
        <is>
          <t>Pune</t>
        </is>
      </c>
    </row>
    <row r="919" ht="14.25" customHeight="1" s="56">
      <c r="A919" s="70" t="inlineStr">
        <is>
          <t>ORD-00918</t>
        </is>
      </c>
      <c r="B919" s="71" t="n">
        <v>45455</v>
      </c>
      <c r="C919" s="70" t="inlineStr">
        <is>
          <t>CUST-0142</t>
        </is>
      </c>
      <c r="D919" s="70" t="inlineStr">
        <is>
          <t>PROD-047</t>
        </is>
      </c>
      <c r="E919" s="70" t="inlineStr">
        <is>
          <t>R026</t>
        </is>
      </c>
      <c r="F919" s="72" t="n">
        <v>4</v>
      </c>
      <c r="G919" s="72" t="n">
        <v>3450</v>
      </c>
      <c r="H919" s="72" t="n">
        <v>9.800000000000001</v>
      </c>
      <c r="I919" s="72" t="n">
        <v>12447.6</v>
      </c>
      <c r="J919" s="70" t="inlineStr">
        <is>
          <t>Cancelled</t>
        </is>
      </c>
      <c r="K919" s="70" t="inlineStr">
        <is>
          <t>Chennai</t>
        </is>
      </c>
    </row>
    <row r="920" ht="14.25" customHeight="1" s="56">
      <c r="A920" s="70" t="inlineStr">
        <is>
          <t>ORD-00919</t>
        </is>
      </c>
      <c r="B920" s="71" t="n">
        <v>45486</v>
      </c>
      <c r="C920" s="70" t="inlineStr">
        <is>
          <t>CUST-0221</t>
        </is>
      </c>
      <c r="D920" s="70" t="inlineStr">
        <is>
          <t>PROD-019</t>
        </is>
      </c>
      <c r="E920" s="70" t="inlineStr">
        <is>
          <t>R020</t>
        </is>
      </c>
      <c r="F920" s="72" t="n">
        <v>1</v>
      </c>
      <c r="G920" s="72" t="n">
        <v>2480</v>
      </c>
      <c r="H920" s="72" t="n">
        <v>5.8</v>
      </c>
      <c r="I920" s="72" t="n">
        <v>2336.16</v>
      </c>
      <c r="J920" s="70" t="inlineStr">
        <is>
          <t>Completed</t>
        </is>
      </c>
      <c r="K920" s="70" t="inlineStr">
        <is>
          <t>Delhi</t>
        </is>
      </c>
    </row>
    <row r="921" ht="14.25" customHeight="1" s="56">
      <c r="A921" s="70" t="inlineStr">
        <is>
          <t>ORD-00920</t>
        </is>
      </c>
      <c r="B921" s="71" t="n">
        <v>45329</v>
      </c>
      <c r="C921" s="70" t="inlineStr">
        <is>
          <t>CUST-0079</t>
        </is>
      </c>
      <c r="D921" s="70" t="inlineStr">
        <is>
          <t>PROD-028</t>
        </is>
      </c>
      <c r="E921" s="70" t="inlineStr">
        <is>
          <t>R019</t>
        </is>
      </c>
      <c r="F921" s="72" t="n">
        <v>5</v>
      </c>
      <c r="G921" s="72" t="n">
        <v>3660</v>
      </c>
      <c r="H921" s="72" t="n">
        <v>4.7</v>
      </c>
      <c r="I921" s="72" t="n">
        <v>17439.9</v>
      </c>
      <c r="J921" s="70" t="inlineStr">
        <is>
          <t>Pending</t>
        </is>
      </c>
      <c r="K921" s="70" t="inlineStr">
        <is>
          <t>Mumbai</t>
        </is>
      </c>
    </row>
    <row r="922" ht="14.25" customHeight="1" s="56">
      <c r="A922" s="70" t="inlineStr">
        <is>
          <t>ORD-00921</t>
        </is>
      </c>
      <c r="B922" s="71" t="n">
        <v>45315</v>
      </c>
      <c r="C922" s="70" t="inlineStr">
        <is>
          <t>CUST-0133</t>
        </is>
      </c>
      <c r="D922" s="70" t="inlineStr">
        <is>
          <t>PROD-044</t>
        </is>
      </c>
      <c r="E922" s="70" t="inlineStr">
        <is>
          <t>R023</t>
        </is>
      </c>
      <c r="F922" s="72" t="n">
        <v>7</v>
      </c>
      <c r="G922" s="72" t="n">
        <v>1650</v>
      </c>
      <c r="H922" s="72" t="n">
        <v>8.6</v>
      </c>
      <c r="I922" s="72" t="n">
        <v>10556.7</v>
      </c>
      <c r="J922" s="70" t="inlineStr">
        <is>
          <t>Completed</t>
        </is>
      </c>
      <c r="K922" s="70" t="inlineStr">
        <is>
          <t>Chennai</t>
        </is>
      </c>
    </row>
    <row r="923" ht="14.25" customHeight="1" s="56">
      <c r="A923" s="70" t="inlineStr">
        <is>
          <t>ORD-00922</t>
        </is>
      </c>
      <c r="B923" s="71" t="n">
        <v>45473</v>
      </c>
      <c r="C923" s="70" t="inlineStr">
        <is>
          <t>CUST-0086</t>
        </is>
      </c>
      <c r="D923" s="70" t="inlineStr">
        <is>
          <t>PROD-060</t>
        </is>
      </c>
      <c r="E923" s="70" t="inlineStr">
        <is>
          <t>R025</t>
        </is>
      </c>
      <c r="F923" s="72" t="n">
        <v>6</v>
      </c>
      <c r="G923" s="72" t="n">
        <v>190</v>
      </c>
      <c r="H923" s="72" t="n">
        <v>14.6</v>
      </c>
      <c r="I923" s="72" t="n">
        <v>973.5599999999999</v>
      </c>
      <c r="J923" s="70" t="inlineStr">
        <is>
          <t>Completed</t>
        </is>
      </c>
      <c r="K923" s="70" t="inlineStr">
        <is>
          <t>Hyderabad</t>
        </is>
      </c>
    </row>
    <row r="924" ht="14.25" customHeight="1" s="56">
      <c r="A924" s="70" t="inlineStr">
        <is>
          <t>ORD-00923</t>
        </is>
      </c>
      <c r="B924" s="71" t="n">
        <v>45546</v>
      </c>
      <c r="C924" s="70" t="inlineStr">
        <is>
          <t>CUST-0155</t>
        </is>
      </c>
      <c r="D924" s="70" t="inlineStr">
        <is>
          <t>PROD-022</t>
        </is>
      </c>
      <c r="E924" s="70" t="inlineStr">
        <is>
          <t>R001</t>
        </is>
      </c>
      <c r="F924" s="72" t="n">
        <v>5</v>
      </c>
      <c r="G924" s="72" t="n">
        <v>2270</v>
      </c>
      <c r="H924" s="72" t="n">
        <v>5.9</v>
      </c>
      <c r="I924" s="72" t="n">
        <v>10680.35</v>
      </c>
      <c r="J924" s="70" t="inlineStr">
        <is>
          <t>Completed</t>
        </is>
      </c>
      <c r="K924" s="70" t="inlineStr">
        <is>
          <t>Pune</t>
        </is>
      </c>
    </row>
    <row r="925" ht="14.25" customHeight="1" s="56">
      <c r="A925" s="70" t="inlineStr">
        <is>
          <t>ORD-00924</t>
        </is>
      </c>
      <c r="B925" s="71" t="n">
        <v>45625</v>
      </c>
      <c r="C925" s="70" t="inlineStr">
        <is>
          <t>CUST-0244</t>
        </is>
      </c>
      <c r="D925" s="70" t="inlineStr">
        <is>
          <t>PROD-024</t>
        </is>
      </c>
      <c r="E925" s="70" t="inlineStr">
        <is>
          <t>R011</t>
        </is>
      </c>
      <c r="F925" s="72" t="n">
        <v>1</v>
      </c>
      <c r="G925" s="72" t="n">
        <v>2270</v>
      </c>
      <c r="H925" s="72" t="n">
        <v>14.9</v>
      </c>
      <c r="I925" s="72" t="n">
        <v>1931.77</v>
      </c>
      <c r="J925" s="70" t="inlineStr">
        <is>
          <t>Completed</t>
        </is>
      </c>
      <c r="K925" s="70" t="inlineStr">
        <is>
          <t>Bengaluru</t>
        </is>
      </c>
    </row>
    <row r="926" ht="14.25" customHeight="1" s="56">
      <c r="A926" s="70" t="inlineStr">
        <is>
          <t>ORD-00925</t>
        </is>
      </c>
      <c r="B926" s="71" t="n">
        <v>45579</v>
      </c>
      <c r="C926" s="70" t="inlineStr">
        <is>
          <t>CUST-0262</t>
        </is>
      </c>
      <c r="D926" s="70" t="inlineStr">
        <is>
          <t>PROD-011</t>
        </is>
      </c>
      <c r="E926" s="70" t="inlineStr">
        <is>
          <t>R018</t>
        </is>
      </c>
      <c r="F926" s="72" t="n">
        <v>4</v>
      </c>
      <c r="G926" s="72" t="n">
        <v>3450</v>
      </c>
      <c r="H926" s="72" t="n">
        <v>11.7</v>
      </c>
      <c r="I926" s="72" t="n">
        <v>12185.4</v>
      </c>
      <c r="J926" s="70" t="inlineStr">
        <is>
          <t>Cancelled</t>
        </is>
      </c>
      <c r="K926" s="70" t="inlineStr">
        <is>
          <t>Mumbai</t>
        </is>
      </c>
    </row>
    <row r="927" ht="14.25" customHeight="1" s="56">
      <c r="A927" s="70" t="inlineStr">
        <is>
          <t>ORD-00926</t>
        </is>
      </c>
      <c r="B927" s="71" t="n">
        <v>45323</v>
      </c>
      <c r="C927" s="70" t="inlineStr">
        <is>
          <t>CUST-0251</t>
        </is>
      </c>
      <c r="D927" s="70" t="inlineStr">
        <is>
          <t>PROD-045</t>
        </is>
      </c>
      <c r="E927" s="70" t="inlineStr">
        <is>
          <t>R028</t>
        </is>
      </c>
      <c r="F927" s="72" t="n">
        <v>7</v>
      </c>
      <c r="G927" s="72" t="n">
        <v>3020</v>
      </c>
      <c r="H927" s="72" t="n">
        <v>18.8</v>
      </c>
      <c r="I927" s="72" t="n">
        <v>17165.68</v>
      </c>
      <c r="J927" s="70" t="inlineStr">
        <is>
          <t>Completed</t>
        </is>
      </c>
      <c r="K927" s="70" t="inlineStr">
        <is>
          <t>Mumbai</t>
        </is>
      </c>
    </row>
    <row r="928" ht="14.25" customHeight="1" s="56">
      <c r="A928" s="70" t="inlineStr">
        <is>
          <t>ORD-00927</t>
        </is>
      </c>
      <c r="B928" s="71" t="n">
        <v>45613</v>
      </c>
      <c r="C928" s="70" t="inlineStr">
        <is>
          <t>CUST-0007</t>
        </is>
      </c>
      <c r="D928" s="70" t="inlineStr">
        <is>
          <t>PROD-033</t>
        </is>
      </c>
      <c r="E928" s="70" t="inlineStr">
        <is>
          <t>R016</t>
        </is>
      </c>
      <c r="F928" s="72" t="n">
        <v>4</v>
      </c>
      <c r="G928" s="72" t="n">
        <v>2030</v>
      </c>
      <c r="H928" s="72" t="n">
        <v>25.7</v>
      </c>
      <c r="I928" s="72" t="n">
        <v>6033.16</v>
      </c>
      <c r="J928" s="70" t="inlineStr">
        <is>
          <t>Completed</t>
        </is>
      </c>
      <c r="K928" s="70" t="inlineStr">
        <is>
          <t>Bengaluru</t>
        </is>
      </c>
    </row>
    <row r="929" ht="14.25" customHeight="1" s="56">
      <c r="A929" s="70" t="inlineStr">
        <is>
          <t>ORD-00928</t>
        </is>
      </c>
      <c r="B929" s="71" t="n">
        <v>45362</v>
      </c>
      <c r="C929" s="70" t="inlineStr">
        <is>
          <t>CUST-0161</t>
        </is>
      </c>
      <c r="D929" s="70" t="inlineStr">
        <is>
          <t>PROD-011</t>
        </is>
      </c>
      <c r="E929" s="70" t="inlineStr">
        <is>
          <t>R014</t>
        </is>
      </c>
      <c r="F929" s="72" t="n">
        <v>4</v>
      </c>
      <c r="G929" s="72" t="n">
        <v>3450</v>
      </c>
      <c r="H929" s="72" t="n">
        <v>3.9</v>
      </c>
      <c r="I929" s="72" t="n">
        <v>13261.8</v>
      </c>
      <c r="J929" s="70" t="inlineStr">
        <is>
          <t>Completed</t>
        </is>
      </c>
      <c r="K929" s="70" t="inlineStr">
        <is>
          <t>Chennai</t>
        </is>
      </c>
    </row>
    <row r="930" ht="14.25" customHeight="1" s="56">
      <c r="A930" s="70" t="inlineStr">
        <is>
          <t>ORD-00929</t>
        </is>
      </c>
      <c r="B930" s="71" t="n">
        <v>45347</v>
      </c>
      <c r="C930" s="70" t="inlineStr">
        <is>
          <t>CUST-0251</t>
        </is>
      </c>
      <c r="D930" s="70" t="inlineStr">
        <is>
          <t>PROD-049</t>
        </is>
      </c>
      <c r="E930" s="70" t="inlineStr">
        <is>
          <t>R028</t>
        </is>
      </c>
      <c r="F930" s="72" t="n">
        <v>5</v>
      </c>
      <c r="G930" s="72" t="n">
        <v>960</v>
      </c>
      <c r="H930" s="72" t="n">
        <v>8</v>
      </c>
      <c r="I930" s="72" t="n">
        <v>4416</v>
      </c>
      <c r="J930" s="70" t="inlineStr">
        <is>
          <t>Completed</t>
        </is>
      </c>
      <c r="K930" s="70" t="inlineStr">
        <is>
          <t>Mumbai</t>
        </is>
      </c>
    </row>
    <row r="931" ht="14.25" customHeight="1" s="56">
      <c r="A931" s="70" t="inlineStr">
        <is>
          <t>ORD-00930</t>
        </is>
      </c>
      <c r="B931" s="71" t="n">
        <v>45550</v>
      </c>
      <c r="C931" s="70" t="inlineStr">
        <is>
          <t>CUST-0098</t>
        </is>
      </c>
      <c r="D931" s="70" t="inlineStr">
        <is>
          <t>PROD-006</t>
        </is>
      </c>
      <c r="E931" s="70" t="inlineStr">
        <is>
          <t>R001</t>
        </is>
      </c>
      <c r="F931" s="72" t="n">
        <v>7</v>
      </c>
      <c r="G931" s="72" t="n">
        <v>3970</v>
      </c>
      <c r="H931" s="72" t="n">
        <v>11.7</v>
      </c>
      <c r="I931" s="72" t="n">
        <v>24538.57</v>
      </c>
      <c r="J931" s="70" t="inlineStr">
        <is>
          <t>Completed</t>
        </is>
      </c>
      <c r="K931" s="70" t="inlineStr">
        <is>
          <t>Delhi</t>
        </is>
      </c>
    </row>
    <row r="932" ht="14.25" customHeight="1" s="56">
      <c r="A932" s="70" t="inlineStr">
        <is>
          <t>ORD-00931</t>
        </is>
      </c>
      <c r="B932" s="71" t="n">
        <v>45554</v>
      </c>
      <c r="C932" s="70" t="inlineStr">
        <is>
          <t>CUST-0200</t>
        </is>
      </c>
      <c r="D932" s="70" t="inlineStr">
        <is>
          <t>PROD-052</t>
        </is>
      </c>
      <c r="E932" s="70" t="inlineStr">
        <is>
          <t>R026</t>
        </is>
      </c>
      <c r="F932" s="72" t="n">
        <v>3</v>
      </c>
      <c r="G932" s="72" t="n">
        <v>5410</v>
      </c>
      <c r="H932" s="72" t="n">
        <v>10</v>
      </c>
      <c r="I932" s="72" t="n">
        <v>14607</v>
      </c>
      <c r="J932" s="70" t="inlineStr">
        <is>
          <t>Completed</t>
        </is>
      </c>
      <c r="K932" s="70" t="inlineStr">
        <is>
          <t>Hyderabad</t>
        </is>
      </c>
    </row>
    <row r="933" ht="14.25" customHeight="1" s="56">
      <c r="A933" s="70" t="inlineStr">
        <is>
          <t>ORD-00932</t>
        </is>
      </c>
      <c r="B933" s="71" t="n">
        <v>45428</v>
      </c>
      <c r="C933" s="70" t="inlineStr">
        <is>
          <t>CUST-0228</t>
        </is>
      </c>
      <c r="D933" s="70" t="inlineStr">
        <is>
          <t>PROD-003</t>
        </is>
      </c>
      <c r="E933" s="70" t="inlineStr">
        <is>
          <t>R007</t>
        </is>
      </c>
      <c r="F933" s="72" t="n">
        <v>8</v>
      </c>
      <c r="G933" s="72" t="n">
        <v>3570</v>
      </c>
      <c r="H933" s="72" t="n">
        <v>8.5</v>
      </c>
      <c r="I933" s="72" t="n">
        <v>26132.4</v>
      </c>
      <c r="J933" s="70" t="inlineStr">
        <is>
          <t>Completed</t>
        </is>
      </c>
      <c r="K933" s="70" t="inlineStr">
        <is>
          <t>Pune</t>
        </is>
      </c>
    </row>
    <row r="934" ht="14.25" customHeight="1" s="56">
      <c r="A934" s="70" t="inlineStr">
        <is>
          <t>ORD-00933</t>
        </is>
      </c>
      <c r="B934" s="71" t="n">
        <v>45517</v>
      </c>
      <c r="C934" s="70" t="inlineStr">
        <is>
          <t>CUST-0095</t>
        </is>
      </c>
      <c r="D934" s="70" t="inlineStr">
        <is>
          <t>PROD-002</t>
        </is>
      </c>
      <c r="E934" s="70" t="inlineStr">
        <is>
          <t>R014</t>
        </is>
      </c>
      <c r="F934" s="72" t="n">
        <v>7</v>
      </c>
      <c r="G934" s="72" t="n">
        <v>2600</v>
      </c>
      <c r="H934" s="72" t="n">
        <v>27.1</v>
      </c>
      <c r="I934" s="72" t="n">
        <v>13267.8</v>
      </c>
      <c r="J934" s="70" t="inlineStr">
        <is>
          <t>Completed</t>
        </is>
      </c>
      <c r="K934" s="70" t="inlineStr">
        <is>
          <t>Mumbai</t>
        </is>
      </c>
    </row>
    <row r="935" ht="14.25" customHeight="1" s="56">
      <c r="A935" s="70" t="inlineStr">
        <is>
          <t>ORD-00934</t>
        </is>
      </c>
      <c r="B935" s="71" t="n">
        <v>45442</v>
      </c>
      <c r="C935" s="70" t="inlineStr">
        <is>
          <t>CUST-0175</t>
        </is>
      </c>
      <c r="D935" s="70" t="inlineStr">
        <is>
          <t>PROD-053</t>
        </is>
      </c>
      <c r="E935" s="70" t="inlineStr">
        <is>
          <t>R026</t>
        </is>
      </c>
      <c r="F935" s="72" t="n">
        <v>6</v>
      </c>
      <c r="G935" s="72" t="n">
        <v>470</v>
      </c>
      <c r="H935" s="72" t="n">
        <v>2.4</v>
      </c>
      <c r="I935" s="72" t="n">
        <v>2752.32</v>
      </c>
      <c r="J935" s="70" t="inlineStr">
        <is>
          <t>Pending</t>
        </is>
      </c>
      <c r="K935" s="70" t="inlineStr">
        <is>
          <t>Delhi</t>
        </is>
      </c>
    </row>
    <row r="936" ht="14.25" customHeight="1" s="56">
      <c r="A936" s="70" t="inlineStr">
        <is>
          <t>ORD-00935</t>
        </is>
      </c>
      <c r="B936" s="71" t="n">
        <v>45371</v>
      </c>
      <c r="C936" s="70" t="inlineStr">
        <is>
          <t>CUST-0270</t>
        </is>
      </c>
      <c r="D936" s="70" t="inlineStr">
        <is>
          <t>PROD-053</t>
        </is>
      </c>
      <c r="E936" s="70" t="inlineStr">
        <is>
          <t>R025</t>
        </is>
      </c>
      <c r="F936" s="72" t="n">
        <v>3</v>
      </c>
      <c r="G936" s="72" t="n">
        <v>470</v>
      </c>
      <c r="H936" s="72" t="n">
        <v>6.3</v>
      </c>
      <c r="I936" s="72" t="n">
        <v>1321.17</v>
      </c>
      <c r="J936" s="70" t="inlineStr">
        <is>
          <t>Completed</t>
        </is>
      </c>
      <c r="K936" s="70" t="inlineStr">
        <is>
          <t>Bengaluru</t>
        </is>
      </c>
    </row>
    <row r="937" ht="14.25" customHeight="1" s="56">
      <c r="A937" s="70" t="inlineStr">
        <is>
          <t>ORD-00936</t>
        </is>
      </c>
      <c r="B937" s="71" t="n">
        <v>45540</v>
      </c>
      <c r="C937" s="70" t="inlineStr">
        <is>
          <t>CUST-0105</t>
        </is>
      </c>
      <c r="D937" s="70" t="inlineStr">
        <is>
          <t>PROD-059</t>
        </is>
      </c>
      <c r="E937" s="70" t="inlineStr">
        <is>
          <t>R004</t>
        </is>
      </c>
      <c r="F937" s="72" t="n">
        <v>3</v>
      </c>
      <c r="G937" s="72" t="n">
        <v>3780</v>
      </c>
      <c r="H937" s="72" t="n">
        <v>19.4</v>
      </c>
      <c r="I937" s="72" t="n">
        <v>9140.040000000001</v>
      </c>
      <c r="J937" s="70" t="inlineStr">
        <is>
          <t>Pending</t>
        </is>
      </c>
      <c r="K937" s="70" t="inlineStr">
        <is>
          <t>Chennai</t>
        </is>
      </c>
    </row>
    <row r="938" ht="14.25" customHeight="1" s="56">
      <c r="A938" s="70" t="inlineStr">
        <is>
          <t>ORD-00937</t>
        </is>
      </c>
      <c r="B938" s="71" t="n">
        <v>45392</v>
      </c>
      <c r="C938" s="70" t="inlineStr">
        <is>
          <t>CUST-0147</t>
        </is>
      </c>
      <c r="D938" s="70" t="inlineStr">
        <is>
          <t>PROD-056</t>
        </is>
      </c>
      <c r="E938" s="70" t="inlineStr">
        <is>
          <t>R019</t>
        </is>
      </c>
      <c r="F938" s="72" t="n">
        <v>5</v>
      </c>
      <c r="G938" s="72" t="n">
        <v>6940</v>
      </c>
      <c r="H938" s="72" t="n">
        <v>12.6</v>
      </c>
      <c r="I938" s="72" t="n">
        <v>30327.8</v>
      </c>
      <c r="J938" s="70" t="inlineStr">
        <is>
          <t>Completed</t>
        </is>
      </c>
      <c r="K938" s="70" t="inlineStr">
        <is>
          <t>Pune</t>
        </is>
      </c>
    </row>
    <row r="939" ht="14.25" customHeight="1" s="56">
      <c r="A939" s="70" t="inlineStr">
        <is>
          <t>ORD-00938</t>
        </is>
      </c>
      <c r="B939" s="71" t="n">
        <v>45386</v>
      </c>
      <c r="C939" s="70" t="inlineStr">
        <is>
          <t>CUST-0106</t>
        </is>
      </c>
      <c r="D939" s="70" t="inlineStr">
        <is>
          <t>PROD-004</t>
        </is>
      </c>
      <c r="E939" s="70" t="inlineStr">
        <is>
          <t>R030</t>
        </is>
      </c>
      <c r="F939" s="72" t="n">
        <v>2</v>
      </c>
      <c r="G939" s="72" t="n">
        <v>3870</v>
      </c>
      <c r="H939" s="72" t="n">
        <v>10.5</v>
      </c>
      <c r="I939" s="72" t="n">
        <v>6927.3</v>
      </c>
      <c r="J939" s="70" t="inlineStr">
        <is>
          <t>Completed</t>
        </is>
      </c>
      <c r="K939" s="70" t="inlineStr">
        <is>
          <t>Pune</t>
        </is>
      </c>
    </row>
    <row r="940" ht="14.25" customHeight="1" s="56">
      <c r="A940" s="70" t="inlineStr">
        <is>
          <t>ORD-00939</t>
        </is>
      </c>
      <c r="B940" s="71" t="n">
        <v>45516</v>
      </c>
      <c r="C940" s="70" t="inlineStr">
        <is>
          <t>CUST-0130</t>
        </is>
      </c>
      <c r="D940" s="70" t="inlineStr">
        <is>
          <t>PROD-052</t>
        </is>
      </c>
      <c r="E940" s="70" t="inlineStr">
        <is>
          <t>R014</t>
        </is>
      </c>
      <c r="F940" s="72" t="n">
        <v>8</v>
      </c>
      <c r="G940" s="72" t="n">
        <v>5410</v>
      </c>
      <c r="H940" s="72" t="n">
        <v>28.4</v>
      </c>
      <c r="I940" s="72" t="n">
        <v>30988.48</v>
      </c>
      <c r="J940" s="70" t="inlineStr">
        <is>
          <t>Pending</t>
        </is>
      </c>
      <c r="K940" s="70" t="inlineStr">
        <is>
          <t>Bengaluru</t>
        </is>
      </c>
    </row>
    <row r="941" ht="14.25" customHeight="1" s="56">
      <c r="A941" s="70" t="inlineStr">
        <is>
          <t>ORD-00940</t>
        </is>
      </c>
      <c r="B941" s="71" t="n">
        <v>45618</v>
      </c>
      <c r="C941" s="70" t="inlineStr">
        <is>
          <t>CUST-0241</t>
        </is>
      </c>
      <c r="D941" s="70" t="inlineStr">
        <is>
          <t>PROD-006</t>
        </is>
      </c>
      <c r="E941" s="70" t="inlineStr">
        <is>
          <t>R030</t>
        </is>
      </c>
      <c r="F941" s="72" t="n">
        <v>7</v>
      </c>
      <c r="G941" s="72" t="n">
        <v>3970</v>
      </c>
      <c r="H941" s="72" t="n">
        <v>12.3</v>
      </c>
      <c r="I941" s="72" t="n">
        <v>24371.83</v>
      </c>
      <c r="J941" s="70" t="inlineStr">
        <is>
          <t>Completed</t>
        </is>
      </c>
      <c r="K941" s="70" t="inlineStr">
        <is>
          <t>Pune</t>
        </is>
      </c>
    </row>
    <row r="942" ht="14.25" customHeight="1" s="56">
      <c r="A942" s="70" t="inlineStr">
        <is>
          <t>ORD-00941</t>
        </is>
      </c>
      <c r="B942" s="71" t="n">
        <v>45610</v>
      </c>
      <c r="C942" s="70" t="inlineStr">
        <is>
          <t>CUST-0151</t>
        </is>
      </c>
      <c r="D942" s="70" t="inlineStr">
        <is>
          <t>PROD-056</t>
        </is>
      </c>
      <c r="E942" s="70" t="inlineStr">
        <is>
          <t>R001</t>
        </is>
      </c>
      <c r="F942" s="72" t="n">
        <v>5</v>
      </c>
      <c r="G942" s="72" t="n">
        <v>6940</v>
      </c>
      <c r="H942" s="72" t="n">
        <v>1.5</v>
      </c>
      <c r="I942" s="72" t="n">
        <v>34179.5</v>
      </c>
      <c r="J942" s="70" t="inlineStr">
        <is>
          <t>Completed</t>
        </is>
      </c>
      <c r="K942" s="70" t="inlineStr">
        <is>
          <t>Mumbai</t>
        </is>
      </c>
    </row>
    <row r="943" ht="14.25" customHeight="1" s="56">
      <c r="A943" s="70" t="inlineStr">
        <is>
          <t>ORD-00942</t>
        </is>
      </c>
      <c r="B943" s="71" t="n">
        <v>45541</v>
      </c>
      <c r="C943" s="70" t="inlineStr">
        <is>
          <t>CUST-0022</t>
        </is>
      </c>
      <c r="D943" s="70" t="inlineStr">
        <is>
          <t>PROD-012</t>
        </is>
      </c>
      <c r="E943" s="70" t="inlineStr">
        <is>
          <t>R006</t>
        </is>
      </c>
      <c r="F943" s="72" t="n">
        <v>7</v>
      </c>
      <c r="G943" s="72" t="n">
        <v>3160</v>
      </c>
      <c r="H943" s="72" t="n">
        <v>2.4</v>
      </c>
      <c r="I943" s="72" t="n">
        <v>21589.12</v>
      </c>
      <c r="J943" s="70" t="inlineStr">
        <is>
          <t>Refunded</t>
        </is>
      </c>
      <c r="K943" s="70" t="inlineStr">
        <is>
          <t>Bengaluru</t>
        </is>
      </c>
    </row>
    <row r="944" ht="14.25" customHeight="1" s="56">
      <c r="A944" s="70" t="inlineStr">
        <is>
          <t>ORD-00943</t>
        </is>
      </c>
      <c r="B944" s="71" t="n">
        <v>45497</v>
      </c>
      <c r="C944" s="70" t="inlineStr">
        <is>
          <t>CUST-0030</t>
        </is>
      </c>
      <c r="D944" s="70" t="inlineStr">
        <is>
          <t>PROD-020</t>
        </is>
      </c>
      <c r="E944" s="70" t="inlineStr">
        <is>
          <t>R024</t>
        </is>
      </c>
      <c r="F944" s="72" t="n">
        <v>2</v>
      </c>
      <c r="G944" s="72" t="n">
        <v>820</v>
      </c>
      <c r="H944" s="72" t="n">
        <v>8.1</v>
      </c>
      <c r="I944" s="72" t="n">
        <v>1507.16</v>
      </c>
      <c r="J944" s="70" t="inlineStr">
        <is>
          <t>Completed</t>
        </is>
      </c>
      <c r="K944" s="70" t="inlineStr">
        <is>
          <t>Bengaluru</t>
        </is>
      </c>
    </row>
    <row r="945" ht="14.25" customHeight="1" s="56">
      <c r="A945" s="70" t="inlineStr">
        <is>
          <t>ORD-00944</t>
        </is>
      </c>
      <c r="B945" s="71" t="n">
        <v>45567</v>
      </c>
      <c r="C945" s="70" t="inlineStr">
        <is>
          <t>CUST-0176</t>
        </is>
      </c>
      <c r="D945" s="70" t="inlineStr">
        <is>
          <t>PROD-041</t>
        </is>
      </c>
      <c r="E945" s="70" t="inlineStr">
        <is>
          <t>R030</t>
        </is>
      </c>
      <c r="F945" s="72" t="n">
        <v>2</v>
      </c>
      <c r="G945" s="72" t="n">
        <v>1540</v>
      </c>
      <c r="H945" s="72" t="n">
        <v>17.7</v>
      </c>
      <c r="I945" s="72" t="n">
        <v>2534.84</v>
      </c>
      <c r="J945" s="70" t="inlineStr">
        <is>
          <t>Completed</t>
        </is>
      </c>
      <c r="K945" s="70" t="inlineStr">
        <is>
          <t>Bengaluru</t>
        </is>
      </c>
    </row>
    <row r="946" ht="14.25" customHeight="1" s="56">
      <c r="A946" s="70" t="inlineStr">
        <is>
          <t>ORD-00945</t>
        </is>
      </c>
      <c r="B946" s="71" t="n">
        <v>45451</v>
      </c>
      <c r="C946" s="70" t="inlineStr">
        <is>
          <t>CUST-0270</t>
        </is>
      </c>
      <c r="D946" s="70" t="inlineStr">
        <is>
          <t>PROD-004</t>
        </is>
      </c>
      <c r="E946" s="70" t="inlineStr">
        <is>
          <t>R001</t>
        </is>
      </c>
      <c r="F946" s="72" t="n">
        <v>10</v>
      </c>
      <c r="G946" s="72" t="n">
        <v>3870</v>
      </c>
      <c r="H946" s="72" t="n">
        <v>12.2</v>
      </c>
      <c r="I946" s="72" t="n">
        <v>33978.6</v>
      </c>
      <c r="J946" s="70" t="inlineStr">
        <is>
          <t>Refunded</t>
        </is>
      </c>
      <c r="K946" s="70" t="inlineStr">
        <is>
          <t>Bengaluru</t>
        </is>
      </c>
    </row>
    <row r="947" ht="14.25" customHeight="1" s="56">
      <c r="A947" s="70" t="inlineStr">
        <is>
          <t>ORD-00946</t>
        </is>
      </c>
      <c r="B947" s="71" t="n">
        <v>45488</v>
      </c>
      <c r="C947" s="70" t="inlineStr">
        <is>
          <t>CUST-0216</t>
        </is>
      </c>
      <c r="D947" s="70" t="inlineStr">
        <is>
          <t>PROD-008</t>
        </is>
      </c>
      <c r="E947" s="70" t="inlineStr">
        <is>
          <t>R002</t>
        </is>
      </c>
      <c r="F947" s="72" t="n">
        <v>7</v>
      </c>
      <c r="G947" s="72" t="n">
        <v>2660</v>
      </c>
      <c r="H947" s="72" t="n">
        <v>4.7</v>
      </c>
      <c r="I947" s="72" t="n">
        <v>17744.86</v>
      </c>
      <c r="J947" s="70" t="inlineStr">
        <is>
          <t>Completed</t>
        </is>
      </c>
      <c r="K947" s="70" t="inlineStr">
        <is>
          <t>Mumbai</t>
        </is>
      </c>
    </row>
    <row r="948" ht="14.25" customHeight="1" s="56">
      <c r="A948" s="70" t="inlineStr">
        <is>
          <t>ORD-00947</t>
        </is>
      </c>
      <c r="B948" s="71" t="n">
        <v>45431</v>
      </c>
      <c r="C948" s="70" t="inlineStr">
        <is>
          <t>CUST-0187</t>
        </is>
      </c>
      <c r="D948" s="70" t="inlineStr">
        <is>
          <t>PROD-003</t>
        </is>
      </c>
      <c r="E948" s="70" t="inlineStr">
        <is>
          <t>R009</t>
        </is>
      </c>
      <c r="F948" s="72" t="n">
        <v>4</v>
      </c>
      <c r="G948" s="72" t="n">
        <v>3570</v>
      </c>
      <c r="H948" s="72" t="n">
        <v>19.3</v>
      </c>
      <c r="I948" s="72" t="n">
        <v>11523.96</v>
      </c>
      <c r="J948" s="70" t="inlineStr">
        <is>
          <t>Completed</t>
        </is>
      </c>
      <c r="K948" s="70" t="inlineStr">
        <is>
          <t>Chennai</t>
        </is>
      </c>
    </row>
    <row r="949" ht="14.25" customHeight="1" s="56">
      <c r="A949" s="70" t="inlineStr">
        <is>
          <t>ORD-00948</t>
        </is>
      </c>
      <c r="B949" s="71" t="n">
        <v>45393</v>
      </c>
      <c r="C949" s="70" t="inlineStr">
        <is>
          <t>CUST-0143</t>
        </is>
      </c>
      <c r="D949" s="70" t="inlineStr">
        <is>
          <t>PROD-033</t>
        </is>
      </c>
      <c r="E949" s="70" t="inlineStr">
        <is>
          <t>R002</t>
        </is>
      </c>
      <c r="F949" s="72" t="n">
        <v>2</v>
      </c>
      <c r="G949" s="72" t="n">
        <v>2030</v>
      </c>
      <c r="H949" s="72" t="n">
        <v>2.6</v>
      </c>
      <c r="I949" s="72" t="n">
        <v>3954.44</v>
      </c>
      <c r="J949" s="70" t="inlineStr">
        <is>
          <t>Completed</t>
        </is>
      </c>
      <c r="K949" s="70" t="inlineStr">
        <is>
          <t>Chennai</t>
        </is>
      </c>
    </row>
    <row r="950" ht="14.25" customHeight="1" s="56">
      <c r="A950" s="70" t="inlineStr">
        <is>
          <t>ORD-00949</t>
        </is>
      </c>
      <c r="B950" s="71" t="n">
        <v>45427</v>
      </c>
      <c r="C950" s="70" t="inlineStr">
        <is>
          <t>CUST-0104</t>
        </is>
      </c>
      <c r="D950" s="70" t="inlineStr">
        <is>
          <t>PROD-012</t>
        </is>
      </c>
      <c r="E950" s="70" t="inlineStr">
        <is>
          <t>R013</t>
        </is>
      </c>
      <c r="F950" s="72" t="n">
        <v>6</v>
      </c>
      <c r="G950" s="72" t="n">
        <v>3160</v>
      </c>
      <c r="H950" s="72" t="n">
        <v>25.8</v>
      </c>
      <c r="I950" s="72" t="n">
        <v>14068.32</v>
      </c>
      <c r="J950" s="70" t="inlineStr">
        <is>
          <t>Completed</t>
        </is>
      </c>
      <c r="K950" s="70" t="inlineStr">
        <is>
          <t>Hyderabad</t>
        </is>
      </c>
    </row>
    <row r="951" ht="14.25" customHeight="1" s="56">
      <c r="A951" s="70" t="inlineStr">
        <is>
          <t>ORD-00950</t>
        </is>
      </c>
      <c r="B951" s="71" t="n">
        <v>45591</v>
      </c>
      <c r="C951" s="70" t="inlineStr">
        <is>
          <t>CUST-0121</t>
        </is>
      </c>
      <c r="D951" s="70" t="inlineStr">
        <is>
          <t>PROD-034</t>
        </is>
      </c>
      <c r="E951" s="70" t="inlineStr">
        <is>
          <t>R014</t>
        </is>
      </c>
      <c r="F951" s="72" t="n">
        <v>4</v>
      </c>
      <c r="G951" s="72" t="n">
        <v>5080</v>
      </c>
      <c r="H951" s="72" t="n">
        <v>2</v>
      </c>
      <c r="I951" s="72" t="n">
        <v>19913.6</v>
      </c>
      <c r="J951" s="70" t="inlineStr">
        <is>
          <t>Completed</t>
        </is>
      </c>
      <c r="K951" s="70" t="inlineStr">
        <is>
          <t xml:space="preserve"> Delhi </t>
        </is>
      </c>
    </row>
    <row r="952" ht="14.25" customHeight="1" s="56">
      <c r="A952" s="70" t="inlineStr">
        <is>
          <t>ORD-00951</t>
        </is>
      </c>
      <c r="B952" s="71" t="n">
        <v>45327</v>
      </c>
      <c r="C952" s="70" t="inlineStr">
        <is>
          <t>CUST-0228</t>
        </is>
      </c>
      <c r="D952" s="70" t="inlineStr">
        <is>
          <t>PROD-047</t>
        </is>
      </c>
      <c r="E952" s="70" t="inlineStr">
        <is>
          <t>R010</t>
        </is>
      </c>
      <c r="F952" s="72" t="n">
        <v>6</v>
      </c>
      <c r="G952" s="72" t="n">
        <v>3450</v>
      </c>
      <c r="H952" s="72" t="n">
        <v>1.8</v>
      </c>
      <c r="I952" s="72" t="n">
        <v>20327.4</v>
      </c>
      <c r="J952" s="70" t="inlineStr">
        <is>
          <t>Cancelled</t>
        </is>
      </c>
      <c r="K952" s="70" t="inlineStr">
        <is>
          <t>Pune</t>
        </is>
      </c>
    </row>
    <row r="953" ht="14.25" customHeight="1" s="56">
      <c r="A953" s="70" t="inlineStr">
        <is>
          <t>ORD-00952</t>
        </is>
      </c>
      <c r="B953" s="71" t="n">
        <v>45575</v>
      </c>
      <c r="C953" s="70" t="inlineStr">
        <is>
          <t>CUST-0218</t>
        </is>
      </c>
      <c r="D953" s="70" t="inlineStr">
        <is>
          <t>PROD-051</t>
        </is>
      </c>
      <c r="E953" s="70" t="inlineStr">
        <is>
          <t>R016</t>
        </is>
      </c>
      <c r="F953" s="72" t="n">
        <v>3</v>
      </c>
      <c r="G953" s="72" t="n">
        <v>3450</v>
      </c>
      <c r="H953" s="72" t="n">
        <v>4.7</v>
      </c>
      <c r="I953" s="72" t="n">
        <v>9863.549999999999</v>
      </c>
      <c r="J953" s="70" t="inlineStr">
        <is>
          <t>Pending</t>
        </is>
      </c>
      <c r="K953" s="70" t="inlineStr">
        <is>
          <t>Mumbai</t>
        </is>
      </c>
    </row>
    <row r="954" ht="14.25" customHeight="1" s="56">
      <c r="A954" s="70" t="inlineStr">
        <is>
          <t>ORD-00953</t>
        </is>
      </c>
      <c r="B954" s="71" t="n">
        <v>45367</v>
      </c>
      <c r="C954" s="70" t="inlineStr">
        <is>
          <t>CUST-0118</t>
        </is>
      </c>
      <c r="D954" s="70" t="inlineStr">
        <is>
          <t>PROD-001</t>
        </is>
      </c>
      <c r="E954" s="70" t="inlineStr">
        <is>
          <t>R027</t>
        </is>
      </c>
      <c r="F954" s="72" t="n">
        <v>7</v>
      </c>
      <c r="G954" s="72" t="n">
        <v>5330</v>
      </c>
      <c r="H954" s="72" t="n">
        <v>16.4</v>
      </c>
      <c r="I954" s="72" t="n">
        <v>31191.16</v>
      </c>
      <c r="J954" s="70" t="inlineStr">
        <is>
          <t>Completed</t>
        </is>
      </c>
      <c r="K954" s="70" t="inlineStr">
        <is>
          <t>Hyderabad</t>
        </is>
      </c>
    </row>
    <row r="955" ht="14.25" customHeight="1" s="56">
      <c r="A955" s="70" t="inlineStr">
        <is>
          <t>ORD-00954</t>
        </is>
      </c>
      <c r="B955" s="71" t="n">
        <v>45522</v>
      </c>
      <c r="C955" s="70" t="inlineStr">
        <is>
          <t>CUST-0262</t>
        </is>
      </c>
      <c r="D955" s="70" t="inlineStr">
        <is>
          <t>PROD-029</t>
        </is>
      </c>
      <c r="E955" s="70" t="inlineStr">
        <is>
          <t>R003</t>
        </is>
      </c>
      <c r="F955" s="72" t="n">
        <v>6</v>
      </c>
      <c r="G955" s="72" t="n">
        <v>2210</v>
      </c>
      <c r="H955" s="72" t="n">
        <v>13.1</v>
      </c>
      <c r="I955" s="72" t="n">
        <v>11522.94</v>
      </c>
      <c r="J955" s="70" t="inlineStr">
        <is>
          <t>Completed</t>
        </is>
      </c>
      <c r="K955" s="70" t="inlineStr">
        <is>
          <t>Mumbai</t>
        </is>
      </c>
    </row>
    <row r="956" ht="14.25" customHeight="1" s="56">
      <c r="A956" s="70" t="inlineStr">
        <is>
          <t>ORD-00955</t>
        </is>
      </c>
      <c r="B956" s="71" t="n">
        <v>45579</v>
      </c>
      <c r="C956" s="70" t="inlineStr">
        <is>
          <t>CUST-0137</t>
        </is>
      </c>
      <c r="D956" s="70" t="inlineStr">
        <is>
          <t>PROD-040</t>
        </is>
      </c>
      <c r="E956" s="70" t="inlineStr">
        <is>
          <t>R026</t>
        </is>
      </c>
      <c r="F956" s="72" t="n">
        <v>8</v>
      </c>
      <c r="G956" s="72" t="n">
        <v>1080</v>
      </c>
      <c r="H956" s="72" t="n">
        <v>8.699999999999999</v>
      </c>
      <c r="I956" s="72" t="n">
        <v>7888.32</v>
      </c>
      <c r="J956" s="70" t="inlineStr">
        <is>
          <t>Completed</t>
        </is>
      </c>
      <c r="K956" s="70" t="inlineStr">
        <is>
          <t>Mumbai</t>
        </is>
      </c>
    </row>
    <row r="957" ht="14.25" customHeight="1" s="56">
      <c r="A957" s="70" t="inlineStr">
        <is>
          <t>ORD-00956</t>
        </is>
      </c>
      <c r="B957" s="71" t="n">
        <v>45495</v>
      </c>
      <c r="C957" s="70" t="inlineStr">
        <is>
          <t>CUST-0145</t>
        </is>
      </c>
      <c r="D957" s="70" t="inlineStr">
        <is>
          <t>PROD-014</t>
        </is>
      </c>
      <c r="E957" s="70" t="inlineStr">
        <is>
          <t>R015</t>
        </is>
      </c>
      <c r="F957" s="72" t="n">
        <v>5</v>
      </c>
      <c r="G957" s="72" t="n">
        <v>3620</v>
      </c>
      <c r="H957" s="72" t="n">
        <v>16.1</v>
      </c>
      <c r="I957" s="72" t="n">
        <v>15185.9</v>
      </c>
      <c r="J957" s="70" t="inlineStr">
        <is>
          <t>Completed</t>
        </is>
      </c>
      <c r="K957" s="70" t="inlineStr">
        <is>
          <t>Bengaluru</t>
        </is>
      </c>
    </row>
    <row r="958" ht="14.25" customHeight="1" s="56">
      <c r="A958" s="70" t="inlineStr">
        <is>
          <t>ORD-00957</t>
        </is>
      </c>
      <c r="B958" s="71" t="n">
        <v>45483</v>
      </c>
      <c r="C958" s="70" t="inlineStr">
        <is>
          <t>CUST-0275</t>
        </is>
      </c>
      <c r="D958" s="70" t="inlineStr">
        <is>
          <t>PROD-018</t>
        </is>
      </c>
      <c r="E958" s="70" t="inlineStr">
        <is>
          <t>R011</t>
        </is>
      </c>
      <c r="F958" s="72" t="n">
        <v>7</v>
      </c>
      <c r="G958" s="72" t="n">
        <v>3560</v>
      </c>
      <c r="H958" s="72" t="n">
        <v>8.5</v>
      </c>
      <c r="I958" s="72" t="n">
        <v>22801.8</v>
      </c>
      <c r="J958" s="70" t="inlineStr">
        <is>
          <t>Completed</t>
        </is>
      </c>
      <c r="K958" s="70" t="inlineStr">
        <is>
          <t>Mumbai</t>
        </is>
      </c>
    </row>
    <row r="959" ht="14.25" customHeight="1" s="56">
      <c r="A959" s="70" t="inlineStr">
        <is>
          <t>ORD-00958</t>
        </is>
      </c>
      <c r="B959" s="71" t="n">
        <v>45496</v>
      </c>
      <c r="C959" s="70" t="inlineStr">
        <is>
          <t>CUST-0189</t>
        </is>
      </c>
      <c r="D959" s="70" t="inlineStr">
        <is>
          <t>PROD-033</t>
        </is>
      </c>
      <c r="E959" s="70" t="inlineStr">
        <is>
          <t>R025</t>
        </is>
      </c>
      <c r="F959" s="72" t="n">
        <v>8</v>
      </c>
      <c r="G959" s="72" t="n">
        <v>2030</v>
      </c>
      <c r="H959" s="72" t="n">
        <v>18.1</v>
      </c>
      <c r="I959" s="72" t="n">
        <v>13300.56</v>
      </c>
      <c r="J959" s="70" t="inlineStr">
        <is>
          <t>Completed</t>
        </is>
      </c>
      <c r="K959" s="70" t="inlineStr">
        <is>
          <t>Chennai</t>
        </is>
      </c>
    </row>
    <row r="960" ht="14.25" customHeight="1" s="56">
      <c r="A960" s="70" t="inlineStr">
        <is>
          <t>ORD-00959</t>
        </is>
      </c>
      <c r="B960" s="71" t="n">
        <v>45350</v>
      </c>
      <c r="C960" s="70" t="inlineStr">
        <is>
          <t>CUST-0105</t>
        </is>
      </c>
      <c r="D960" s="70" t="inlineStr">
        <is>
          <t>PROD-044</t>
        </is>
      </c>
      <c r="E960" s="70" t="inlineStr">
        <is>
          <t>R011</t>
        </is>
      </c>
      <c r="F960" s="72" t="n">
        <v>10</v>
      </c>
      <c r="G960" s="72" t="n">
        <v>1650</v>
      </c>
      <c r="H960" s="72" t="n">
        <v>7.1</v>
      </c>
      <c r="I960" s="72" t="n">
        <v>15328.5</v>
      </c>
      <c r="J960" s="70" t="inlineStr">
        <is>
          <t>Completed</t>
        </is>
      </c>
      <c r="K960" s="70" t="inlineStr">
        <is>
          <t>Chennai</t>
        </is>
      </c>
    </row>
    <row r="961" ht="14.25" customHeight="1" s="56">
      <c r="A961" s="70" t="inlineStr">
        <is>
          <t>ORD-00960</t>
        </is>
      </c>
      <c r="B961" s="71" t="n">
        <v>45517</v>
      </c>
      <c r="C961" s="70" t="inlineStr">
        <is>
          <t>CUST-0284</t>
        </is>
      </c>
      <c r="D961" s="70" t="inlineStr">
        <is>
          <t>PROD-021</t>
        </is>
      </c>
      <c r="E961" s="70" t="inlineStr">
        <is>
          <t>R017</t>
        </is>
      </c>
      <c r="F961" s="72" t="n">
        <v>4</v>
      </c>
      <c r="G961" s="72" t="n">
        <v>2760</v>
      </c>
      <c r="H961" s="72" t="n">
        <v>17.6</v>
      </c>
      <c r="I961" s="72" t="n">
        <v>9096.959999999999</v>
      </c>
      <c r="J961" s="70" t="inlineStr">
        <is>
          <t>Cancelled</t>
        </is>
      </c>
      <c r="K961" s="70" t="inlineStr">
        <is>
          <t>Hyderabad</t>
        </is>
      </c>
    </row>
    <row r="962" ht="14.25" customHeight="1" s="56">
      <c r="A962" s="70" t="inlineStr">
        <is>
          <t>ORD-00961</t>
        </is>
      </c>
      <c r="B962" s="71" t="n">
        <v>45460</v>
      </c>
      <c r="C962" s="70" t="inlineStr">
        <is>
          <t>CUST-0296</t>
        </is>
      </c>
      <c r="D962" s="70" t="inlineStr">
        <is>
          <t>PROD-006</t>
        </is>
      </c>
      <c r="E962" s="70" t="inlineStr">
        <is>
          <t>R009</t>
        </is>
      </c>
      <c r="F962" s="72" t="n">
        <v>4</v>
      </c>
      <c r="G962" s="72" t="n">
        <v>3970</v>
      </c>
      <c r="H962" s="72" t="n">
        <v>4.3</v>
      </c>
      <c r="I962" s="72" t="n">
        <v>15197.16</v>
      </c>
      <c r="J962" s="70" t="inlineStr">
        <is>
          <t>Completed</t>
        </is>
      </c>
      <c r="K962" s="70" t="inlineStr">
        <is>
          <t>Delhi</t>
        </is>
      </c>
    </row>
    <row r="963" ht="14.25" customHeight="1" s="56">
      <c r="A963" s="70" t="inlineStr">
        <is>
          <t>ORD-00962</t>
        </is>
      </c>
      <c r="B963" s="71" t="n">
        <v>45509</v>
      </c>
      <c r="C963" s="70" t="inlineStr">
        <is>
          <t>CUST-0087</t>
        </is>
      </c>
      <c r="D963" s="70" t="inlineStr">
        <is>
          <t>PROD-050</t>
        </is>
      </c>
      <c r="E963" s="70" t="inlineStr">
        <is>
          <t>R010</t>
        </is>
      </c>
      <c r="F963" s="72" t="n">
        <v>2</v>
      </c>
      <c r="G963" s="72" t="n">
        <v>6080</v>
      </c>
      <c r="H963" s="72" t="n">
        <v>23.8</v>
      </c>
      <c r="I963" s="72" t="n">
        <v>9265.92</v>
      </c>
      <c r="J963" s="70" t="inlineStr">
        <is>
          <t>Completed</t>
        </is>
      </c>
      <c r="K963" s="70" t="inlineStr">
        <is>
          <t>Pune</t>
        </is>
      </c>
    </row>
    <row r="964" ht="14.25" customHeight="1" s="56">
      <c r="A964" s="70" t="inlineStr">
        <is>
          <t>ORD-00963</t>
        </is>
      </c>
      <c r="B964" s="71" t="n">
        <v>45602</v>
      </c>
      <c r="C964" s="70" t="inlineStr">
        <is>
          <t>CUST-0012</t>
        </is>
      </c>
      <c r="D964" s="70" t="inlineStr">
        <is>
          <t>PROD-024</t>
        </is>
      </c>
      <c r="E964" s="70" t="inlineStr">
        <is>
          <t>R004</t>
        </is>
      </c>
      <c r="F964" s="72" t="n">
        <v>4</v>
      </c>
      <c r="G964" s="72" t="n">
        <v>2270</v>
      </c>
      <c r="H964" s="72" t="n">
        <v>28.9</v>
      </c>
      <c r="I964" s="72" t="n">
        <v>6455.88</v>
      </c>
      <c r="J964" s="70" t="inlineStr">
        <is>
          <t>Completed</t>
        </is>
      </c>
      <c r="K964" s="70" t="inlineStr">
        <is>
          <t>Pune</t>
        </is>
      </c>
    </row>
    <row r="965" ht="14.25" customHeight="1" s="56">
      <c r="A965" s="70" t="inlineStr">
        <is>
          <t>ORD-00964</t>
        </is>
      </c>
      <c r="B965" s="71" t="n">
        <v>45441</v>
      </c>
      <c r="C965" s="70" t="inlineStr">
        <is>
          <t>CUST-0241</t>
        </is>
      </c>
      <c r="D965" s="70" t="inlineStr">
        <is>
          <t>PROD-006</t>
        </is>
      </c>
      <c r="E965" s="70" t="inlineStr">
        <is>
          <t>R004</t>
        </is>
      </c>
      <c r="F965" s="72" t="n">
        <v>10</v>
      </c>
      <c r="G965" s="72" t="n">
        <v>3970</v>
      </c>
      <c r="H965" s="72" t="n">
        <v>26.2</v>
      </c>
      <c r="I965" s="72" t="n">
        <v>29298.6</v>
      </c>
      <c r="J965" s="70" t="inlineStr">
        <is>
          <t>Completed</t>
        </is>
      </c>
      <c r="K965" s="70" t="inlineStr">
        <is>
          <t>Pune</t>
        </is>
      </c>
    </row>
    <row r="966" ht="14.25" customHeight="1" s="56">
      <c r="A966" s="70" t="inlineStr">
        <is>
          <t>ORD-00965</t>
        </is>
      </c>
      <c r="B966" s="71" t="n">
        <v>45378</v>
      </c>
      <c r="C966" s="70" t="inlineStr">
        <is>
          <t>CUST-0133</t>
        </is>
      </c>
      <c r="D966" s="70" t="inlineStr">
        <is>
          <t>PROD-048</t>
        </is>
      </c>
      <c r="E966" s="70" t="inlineStr">
        <is>
          <t>R013</t>
        </is>
      </c>
      <c r="F966" s="72" t="n">
        <v>4</v>
      </c>
      <c r="G966" s="72" t="n">
        <v>5100</v>
      </c>
      <c r="H966" s="72" t="n">
        <v>2.1</v>
      </c>
      <c r="I966" s="72" t="n">
        <v>19971.6</v>
      </c>
      <c r="J966" s="70" t="inlineStr">
        <is>
          <t>Completed</t>
        </is>
      </c>
      <c r="K966" s="70" t="inlineStr">
        <is>
          <t>Chennai</t>
        </is>
      </c>
    </row>
    <row r="967" ht="14.25" customHeight="1" s="56">
      <c r="A967" s="70" t="inlineStr">
        <is>
          <t>ORD-00966</t>
        </is>
      </c>
      <c r="B967" s="71" t="n">
        <v>45428</v>
      </c>
      <c r="C967" s="70" t="inlineStr">
        <is>
          <t>CUST-0230</t>
        </is>
      </c>
      <c r="D967" s="70" t="inlineStr">
        <is>
          <t>PROD-045</t>
        </is>
      </c>
      <c r="E967" s="70" t="inlineStr">
        <is>
          <t>R024</t>
        </is>
      </c>
      <c r="F967" s="72" t="n">
        <v>5</v>
      </c>
      <c r="G967" s="72" t="n">
        <v>3020</v>
      </c>
      <c r="H967" s="72" t="n">
        <v>17.3</v>
      </c>
      <c r="I967" s="72" t="n">
        <v>12487.7</v>
      </c>
      <c r="J967" s="70" t="inlineStr">
        <is>
          <t>Completed</t>
        </is>
      </c>
      <c r="K967" s="70" t="inlineStr">
        <is>
          <t>Pune</t>
        </is>
      </c>
    </row>
    <row r="968" ht="14.25" customHeight="1" s="56">
      <c r="A968" s="70" t="inlineStr">
        <is>
          <t>ORD-00967</t>
        </is>
      </c>
      <c r="B968" s="71" t="n">
        <v>45521</v>
      </c>
      <c r="C968" s="70" t="inlineStr">
        <is>
          <t>CUST-0126</t>
        </is>
      </c>
      <c r="D968" s="70" t="inlineStr">
        <is>
          <t>PROD-057</t>
        </is>
      </c>
      <c r="E968" s="70" t="inlineStr">
        <is>
          <t>R016</t>
        </is>
      </c>
      <c r="F968" s="72" t="n">
        <v>8</v>
      </c>
      <c r="G968" s="72" t="n">
        <v>960</v>
      </c>
      <c r="H968" s="72" t="n">
        <v>1.3</v>
      </c>
      <c r="I968" s="72" t="n">
        <v>7580.16</v>
      </c>
      <c r="J968" s="70" t="inlineStr">
        <is>
          <t>Cancelled</t>
        </is>
      </c>
      <c r="K968" s="70" t="inlineStr">
        <is>
          <t>Mumbai</t>
        </is>
      </c>
    </row>
    <row r="969" ht="14.25" customHeight="1" s="56">
      <c r="A969" s="70" t="inlineStr">
        <is>
          <t>ORD-00968</t>
        </is>
      </c>
      <c r="B969" s="71" t="n">
        <v>45612</v>
      </c>
      <c r="C969" s="70" t="inlineStr">
        <is>
          <t>CUST-0233</t>
        </is>
      </c>
      <c r="D969" s="70" t="inlineStr">
        <is>
          <t>PROD-019</t>
        </is>
      </c>
      <c r="E969" s="70" t="inlineStr">
        <is>
          <t>R008</t>
        </is>
      </c>
      <c r="F969" s="72" t="n">
        <v>9</v>
      </c>
      <c r="G969" s="72" t="n">
        <v>2480</v>
      </c>
      <c r="H969" s="72" t="n">
        <v>15.6</v>
      </c>
      <c r="I969" s="72" t="n">
        <v>18838.08</v>
      </c>
      <c r="J969" s="70" t="inlineStr">
        <is>
          <t>Completed</t>
        </is>
      </c>
      <c r="K969" s="70" t="inlineStr">
        <is>
          <t>Mumbai</t>
        </is>
      </c>
    </row>
    <row r="970" ht="14.25" customHeight="1" s="56">
      <c r="A970" s="70" t="inlineStr">
        <is>
          <t>ORD-00969</t>
        </is>
      </c>
      <c r="B970" s="71" t="n">
        <v>45566</v>
      </c>
      <c r="C970" s="70" t="inlineStr">
        <is>
          <t>CUST-9555</t>
        </is>
      </c>
      <c r="D970" s="70" t="inlineStr">
        <is>
          <t>PROD-030</t>
        </is>
      </c>
      <c r="E970" s="70" t="inlineStr">
        <is>
          <t>R012</t>
        </is>
      </c>
      <c r="F970" s="72" t="n">
        <v>1</v>
      </c>
      <c r="G970" s="72" t="n">
        <v>970</v>
      </c>
      <c r="H970" s="72" t="n">
        <v>24.9</v>
      </c>
      <c r="I970" s="72" t="n">
        <v>728.47</v>
      </c>
      <c r="J970" s="70" t="inlineStr">
        <is>
          <t>Completed</t>
        </is>
      </c>
      <c r="K970" s="70" t="inlineStr">
        <is>
          <t>Bengaluru</t>
        </is>
      </c>
    </row>
    <row r="971" ht="14.25" customHeight="1" s="56">
      <c r="A971" s="70" t="inlineStr">
        <is>
          <t>ORD-00970</t>
        </is>
      </c>
      <c r="B971" s="71" t="n">
        <v>45606</v>
      </c>
      <c r="C971" s="70" t="inlineStr">
        <is>
          <t>CUST-0150</t>
        </is>
      </c>
      <c r="D971" s="70" t="inlineStr">
        <is>
          <t>PROD-023</t>
        </is>
      </c>
      <c r="E971" s="70" t="inlineStr">
        <is>
          <t>R022</t>
        </is>
      </c>
      <c r="F971" s="72" t="n">
        <v>4</v>
      </c>
      <c r="G971" s="72" t="n">
        <v>2380</v>
      </c>
      <c r="H971" s="72" t="n">
        <v>9.5</v>
      </c>
      <c r="I971" s="72" t="n">
        <v>8615.6</v>
      </c>
      <c r="J971" s="70" t="inlineStr">
        <is>
          <t>Cancelled</t>
        </is>
      </c>
      <c r="K971" s="70" t="inlineStr">
        <is>
          <t>Pune</t>
        </is>
      </c>
    </row>
    <row r="972" ht="14.25" customHeight="1" s="56">
      <c r="A972" s="70" t="inlineStr">
        <is>
          <t>ORD-00971</t>
        </is>
      </c>
      <c r="B972" s="71" t="n">
        <v>45423</v>
      </c>
      <c r="C972" s="70" t="inlineStr">
        <is>
          <t>CUST-0204</t>
        </is>
      </c>
      <c r="D972" s="70" t="inlineStr">
        <is>
          <t>PROD-052</t>
        </is>
      </c>
      <c r="E972" s="70" t="inlineStr">
        <is>
          <t>R005</t>
        </is>
      </c>
      <c r="F972" s="72" t="n">
        <v>4</v>
      </c>
      <c r="G972" s="72" t="n">
        <v>5410</v>
      </c>
      <c r="H972" s="72" t="n">
        <v>18.7</v>
      </c>
      <c r="I972" s="72" t="n">
        <v>17593.32</v>
      </c>
      <c r="J972" s="70" t="inlineStr">
        <is>
          <t>Completed</t>
        </is>
      </c>
      <c r="K972" s="70" t="inlineStr">
        <is>
          <t>Hyderabad</t>
        </is>
      </c>
    </row>
    <row r="973" ht="14.25" customHeight="1" s="56">
      <c r="A973" s="70" t="inlineStr">
        <is>
          <t>ORD-00972</t>
        </is>
      </c>
      <c r="B973" s="71" t="n">
        <v>45573</v>
      </c>
      <c r="C973" s="70" t="inlineStr">
        <is>
          <t>CUST-0040</t>
        </is>
      </c>
      <c r="D973" s="70" t="inlineStr">
        <is>
          <t>PROD-034</t>
        </is>
      </c>
      <c r="E973" s="70" t="inlineStr">
        <is>
          <t>R022</t>
        </is>
      </c>
      <c r="F973" s="72" t="n">
        <v>7</v>
      </c>
      <c r="G973" s="72" t="n">
        <v>5080</v>
      </c>
      <c r="H973" s="72" t="n">
        <v>6.5</v>
      </c>
      <c r="I973" s="72" t="n">
        <v>33248.6</v>
      </c>
      <c r="J973" s="70" t="inlineStr">
        <is>
          <t>Completed</t>
        </is>
      </c>
      <c r="K973" s="70" t="inlineStr">
        <is>
          <t>Chennai</t>
        </is>
      </c>
    </row>
    <row r="974" ht="14.25" customHeight="1" s="56">
      <c r="A974" s="70" t="inlineStr">
        <is>
          <t>ORD-00973</t>
        </is>
      </c>
      <c r="B974" s="71" t="n">
        <v>45339</v>
      </c>
      <c r="C974" s="70" t="inlineStr">
        <is>
          <t>CUST-0060</t>
        </is>
      </c>
      <c r="D974" s="70" t="inlineStr">
        <is>
          <t>PROD-007</t>
        </is>
      </c>
      <c r="E974" s="70" t="inlineStr">
        <is>
          <t>R025</t>
        </is>
      </c>
      <c r="F974" s="72" t="n">
        <v>5</v>
      </c>
      <c r="G974" s="72" t="n">
        <v>1430</v>
      </c>
      <c r="H974" s="72" t="n">
        <v>19.8</v>
      </c>
      <c r="I974" s="72" t="n">
        <v>5734.3</v>
      </c>
      <c r="J974" s="70" t="inlineStr">
        <is>
          <t>Completed</t>
        </is>
      </c>
      <c r="K974" s="70" t="inlineStr">
        <is>
          <t>Pune</t>
        </is>
      </c>
    </row>
    <row r="975" ht="14.25" customHeight="1" s="56">
      <c r="A975" s="70" t="inlineStr">
        <is>
          <t>ORD-00974</t>
        </is>
      </c>
      <c r="B975" s="71" t="n">
        <v>45611</v>
      </c>
      <c r="C975" s="70" t="inlineStr">
        <is>
          <t>CUST-0017</t>
        </is>
      </c>
      <c r="D975" s="70" t="inlineStr">
        <is>
          <t>PROD-037</t>
        </is>
      </c>
      <c r="E975" s="70" t="inlineStr">
        <is>
          <t>R011</t>
        </is>
      </c>
      <c r="F975" s="72" t="n">
        <v>7</v>
      </c>
      <c r="G975" s="72" t="n">
        <v>660</v>
      </c>
      <c r="H975" s="72" t="n">
        <v>17.3</v>
      </c>
      <c r="I975" s="72" t="n">
        <v>3820.74</v>
      </c>
      <c r="J975" s="70" t="inlineStr">
        <is>
          <t>Completed</t>
        </is>
      </c>
      <c r="K975" s="70" t="inlineStr">
        <is>
          <t>Delhi</t>
        </is>
      </c>
    </row>
    <row r="976" ht="14.25" customHeight="1" s="56">
      <c r="A976" s="70" t="inlineStr">
        <is>
          <t>ORD-00975</t>
        </is>
      </c>
      <c r="B976" s="71" t="n">
        <v>45505</v>
      </c>
      <c r="C976" s="70" t="inlineStr">
        <is>
          <t>CUST-0093</t>
        </is>
      </c>
      <c r="D976" s="70" t="inlineStr">
        <is>
          <t>PROD-041</t>
        </is>
      </c>
      <c r="E976" s="70" t="inlineStr">
        <is>
          <t>R004</t>
        </is>
      </c>
      <c r="F976" s="72" t="n">
        <v>10</v>
      </c>
      <c r="G976" s="72" t="n">
        <v>1540</v>
      </c>
      <c r="H976" s="72" t="n">
        <v>17.5</v>
      </c>
      <c r="I976" s="72" t="n">
        <v>12705</v>
      </c>
      <c r="J976" s="70" t="inlineStr">
        <is>
          <t>Completed</t>
        </is>
      </c>
      <c r="K976" s="70" t="inlineStr">
        <is>
          <t>Pune</t>
        </is>
      </c>
    </row>
    <row r="977" ht="14.25" customHeight="1" s="56">
      <c r="A977" s="70" t="inlineStr">
        <is>
          <t>ORD-01662</t>
        </is>
      </c>
      <c r="B977" s="71" t="n">
        <v>45358</v>
      </c>
      <c r="C977" s="70" t="inlineStr">
        <is>
          <t>CUST-0068</t>
        </is>
      </c>
      <c r="D977" s="70" t="inlineStr">
        <is>
          <t>PROD-029</t>
        </is>
      </c>
      <c r="E977" s="70" t="inlineStr">
        <is>
          <t>R003</t>
        </is>
      </c>
      <c r="F977" s="72" t="n">
        <v>10</v>
      </c>
      <c r="G977" s="72" t="n">
        <v>2210</v>
      </c>
      <c r="H977" s="72" t="n">
        <v>24.1</v>
      </c>
      <c r="I977" s="72" t="n">
        <v>16773.9</v>
      </c>
      <c r="J977" s="70" t="inlineStr">
        <is>
          <t>Pending</t>
        </is>
      </c>
      <c r="K977" s="70" t="inlineStr">
        <is>
          <t>Delhi</t>
        </is>
      </c>
    </row>
    <row r="978" ht="14.25" customHeight="1" s="56">
      <c r="A978" s="70" t="inlineStr">
        <is>
          <t>ORD-00977</t>
        </is>
      </c>
      <c r="B978" s="71" t="n">
        <v>45519</v>
      </c>
      <c r="C978" s="70" t="inlineStr">
        <is>
          <t>CUST-0251</t>
        </is>
      </c>
      <c r="D978" s="70" t="inlineStr">
        <is>
          <t>PROD-057</t>
        </is>
      </c>
      <c r="E978" s="70" t="inlineStr">
        <is>
          <t>R022</t>
        </is>
      </c>
      <c r="F978" s="72" t="n">
        <v>4</v>
      </c>
      <c r="G978" s="72" t="n">
        <v>960</v>
      </c>
      <c r="H978" s="72" t="n">
        <v>13.4</v>
      </c>
      <c r="I978" s="72" t="n">
        <v>3325.44</v>
      </c>
      <c r="J978" s="70" t="inlineStr">
        <is>
          <t>Completed</t>
        </is>
      </c>
      <c r="K978" s="70" t="inlineStr">
        <is>
          <t>Mumbai</t>
        </is>
      </c>
    </row>
    <row r="979" ht="14.25" customHeight="1" s="56">
      <c r="A979" s="70" t="inlineStr">
        <is>
          <t>ORD-00978</t>
        </is>
      </c>
      <c r="B979" s="71" t="n">
        <v>45628</v>
      </c>
      <c r="C979" s="70" t="inlineStr">
        <is>
          <t>CUST-0076</t>
        </is>
      </c>
      <c r="D979" s="70" t="inlineStr">
        <is>
          <t>PROD-047</t>
        </is>
      </c>
      <c r="E979" s="70" t="inlineStr">
        <is>
          <t>R022</t>
        </is>
      </c>
      <c r="F979" s="72" t="n">
        <v>8</v>
      </c>
      <c r="G979" s="72" t="n">
        <v>3450</v>
      </c>
      <c r="H979" s="72" t="n">
        <v>3.7</v>
      </c>
      <c r="I979" s="72" t="n">
        <v>26578.8</v>
      </c>
      <c r="J979" s="70" t="inlineStr">
        <is>
          <t>Completed</t>
        </is>
      </c>
      <c r="K979" s="70" t="inlineStr">
        <is>
          <t>Mumbai</t>
        </is>
      </c>
    </row>
    <row r="980" ht="14.25" customHeight="1" s="56">
      <c r="A980" s="70" t="inlineStr">
        <is>
          <t>ORD-00979</t>
        </is>
      </c>
      <c r="B980" s="71" t="n">
        <v>45481</v>
      </c>
      <c r="C980" s="70" t="inlineStr">
        <is>
          <t>CUST-9927</t>
        </is>
      </c>
      <c r="D980" s="70" t="inlineStr">
        <is>
          <t>PROD-033</t>
        </is>
      </c>
      <c r="E980" s="70" t="inlineStr">
        <is>
          <t>R005</t>
        </is>
      </c>
      <c r="F980" s="72" t="n">
        <v>6</v>
      </c>
      <c r="G980" s="72" t="n">
        <v>2030</v>
      </c>
      <c r="H980" s="72" t="n">
        <v>9.5</v>
      </c>
      <c r="I980" s="72" t="n">
        <v>11022.9</v>
      </c>
      <c r="J980" s="70" t="inlineStr">
        <is>
          <t>Completed</t>
        </is>
      </c>
      <c r="K980" s="70" t="inlineStr">
        <is>
          <t>Mumbai</t>
        </is>
      </c>
    </row>
    <row r="981" ht="14.25" customHeight="1" s="56">
      <c r="A981" s="70" t="inlineStr">
        <is>
          <t>ORD-00980</t>
        </is>
      </c>
      <c r="B981" s="71" t="n">
        <v>45399</v>
      </c>
      <c r="C981" s="70" t="inlineStr">
        <is>
          <t>CUST-0135</t>
        </is>
      </c>
      <c r="D981" s="70" t="inlineStr">
        <is>
          <t>PROD-011</t>
        </is>
      </c>
      <c r="E981" s="70" t="inlineStr">
        <is>
          <t>R009</t>
        </is>
      </c>
      <c r="F981" s="72" t="n">
        <v>7</v>
      </c>
      <c r="G981" s="72" t="n">
        <v>3450</v>
      </c>
      <c r="H981" s="72" t="n">
        <v>28.2</v>
      </c>
      <c r="I981" s="72" t="n">
        <v>17339.7</v>
      </c>
      <c r="J981" s="70" t="inlineStr">
        <is>
          <t>Completed</t>
        </is>
      </c>
      <c r="K981" s="70" t="inlineStr">
        <is>
          <t>Pune</t>
        </is>
      </c>
    </row>
    <row r="982" ht="14.25" customHeight="1" s="56">
      <c r="A982" s="70" t="inlineStr">
        <is>
          <t>ORD-00981</t>
        </is>
      </c>
      <c r="B982" s="71" t="n">
        <v>45531</v>
      </c>
      <c r="C982" s="70" t="inlineStr">
        <is>
          <t>CUST-0163</t>
        </is>
      </c>
      <c r="D982" s="70" t="inlineStr">
        <is>
          <t>PROD-027</t>
        </is>
      </c>
      <c r="E982" s="70" t="inlineStr">
        <is>
          <t>R011</t>
        </is>
      </c>
      <c r="F982" s="72" t="n">
        <v>7</v>
      </c>
      <c r="G982" s="72" t="n">
        <v>3780</v>
      </c>
      <c r="H982" s="72" t="n">
        <v>15.1</v>
      </c>
      <c r="I982" s="72" t="n">
        <v>22464.54</v>
      </c>
      <c r="J982" s="70" t="inlineStr">
        <is>
          <t>Completed</t>
        </is>
      </c>
      <c r="K982" s="70" t="inlineStr">
        <is>
          <t>Pune</t>
        </is>
      </c>
    </row>
    <row r="983" ht="14.25" customHeight="1" s="56">
      <c r="A983" s="70" t="inlineStr">
        <is>
          <t>ORD-00947</t>
        </is>
      </c>
      <c r="B983" s="71" t="n">
        <v>45417</v>
      </c>
      <c r="C983" s="70" t="inlineStr">
        <is>
          <t>CUST-0107</t>
        </is>
      </c>
      <c r="D983" s="70" t="inlineStr">
        <is>
          <t>PROD-021</t>
        </is>
      </c>
      <c r="E983" s="70" t="inlineStr">
        <is>
          <t>R002</t>
        </is>
      </c>
      <c r="F983" s="72" t="n">
        <v>4</v>
      </c>
      <c r="G983" s="72" t="n">
        <v>2760</v>
      </c>
      <c r="H983" s="72" t="n">
        <v>14.8</v>
      </c>
      <c r="I983" s="72" t="n">
        <v>9406.08</v>
      </c>
      <c r="J983" s="70" t="inlineStr">
        <is>
          <t>Completed</t>
        </is>
      </c>
      <c r="K983" s="70" t="inlineStr">
        <is>
          <t>Pune</t>
        </is>
      </c>
    </row>
    <row r="984" ht="14.25" customHeight="1" s="56">
      <c r="A984" s="70" t="inlineStr">
        <is>
          <t>ORD-00983</t>
        </is>
      </c>
      <c r="B984" s="71" t="n">
        <v>45327</v>
      </c>
      <c r="C984" s="70" t="inlineStr">
        <is>
          <t>CUST-0209</t>
        </is>
      </c>
      <c r="D984" s="70" t="inlineStr">
        <is>
          <t>PROD-041</t>
        </is>
      </c>
      <c r="E984" s="70" t="inlineStr">
        <is>
          <t>R029</t>
        </is>
      </c>
      <c r="F984" s="72" t="n">
        <v>4</v>
      </c>
      <c r="G984" s="72" t="n">
        <v>1540</v>
      </c>
      <c r="H984" s="72" t="n">
        <v>13.9</v>
      </c>
      <c r="I984" s="72" t="n">
        <v>5303.76</v>
      </c>
      <c r="J984" s="70" t="inlineStr">
        <is>
          <t>Completed</t>
        </is>
      </c>
      <c r="K984" s="70" t="inlineStr">
        <is>
          <t>Pune</t>
        </is>
      </c>
    </row>
    <row r="985" ht="14.25" customHeight="1" s="56">
      <c r="A985" s="70" t="inlineStr">
        <is>
          <t>ORD-00984</t>
        </is>
      </c>
      <c r="B985" s="71" t="n">
        <v>45438</v>
      </c>
      <c r="C985" s="70" t="inlineStr">
        <is>
          <t>CUST-0074</t>
        </is>
      </c>
      <c r="D985" s="70" t="inlineStr">
        <is>
          <t>PROD-031</t>
        </is>
      </c>
      <c r="E985" s="70" t="inlineStr">
        <is>
          <t>R007</t>
        </is>
      </c>
      <c r="F985" s="72" t="n">
        <v>2</v>
      </c>
      <c r="G985" s="72" t="n">
        <v>3730</v>
      </c>
      <c r="H985" s="72" t="n">
        <v>15.7</v>
      </c>
      <c r="I985" s="72" t="n">
        <v>6288.78</v>
      </c>
      <c r="J985" s="70" t="inlineStr">
        <is>
          <t>Cancelled</t>
        </is>
      </c>
      <c r="K985" s="70" t="inlineStr">
        <is>
          <t>Bengaluru</t>
        </is>
      </c>
    </row>
    <row r="986" ht="14.25" customHeight="1" s="56">
      <c r="A986" s="70" t="inlineStr">
        <is>
          <t>ORD-00985</t>
        </is>
      </c>
      <c r="B986" s="71" t="n">
        <v>45577</v>
      </c>
      <c r="C986" s="70" t="inlineStr">
        <is>
          <t>CUST-0037</t>
        </is>
      </c>
      <c r="D986" s="70" t="inlineStr">
        <is>
          <t>PROD-031</t>
        </is>
      </c>
      <c r="E986" s="70" t="inlineStr">
        <is>
          <t>R027</t>
        </is>
      </c>
      <c r="F986" s="72" t="n">
        <v>4</v>
      </c>
      <c r="G986" s="72" t="n">
        <v>3730</v>
      </c>
      <c r="H986" s="72" t="n">
        <v>2.1</v>
      </c>
      <c r="I986" s="72" t="n">
        <v>14606.68</v>
      </c>
      <c r="J986" s="70" t="inlineStr">
        <is>
          <t>Completed</t>
        </is>
      </c>
      <c r="K986" s="70" t="inlineStr">
        <is>
          <t>Bengaluru</t>
        </is>
      </c>
    </row>
    <row r="987" ht="14.25" customHeight="1" s="56">
      <c r="A987" s="70" t="inlineStr">
        <is>
          <t>ORD-00986</t>
        </is>
      </c>
      <c r="B987" s="71" t="n">
        <v>45457</v>
      </c>
      <c r="C987" s="70" t="inlineStr">
        <is>
          <t>CUST-0026</t>
        </is>
      </c>
      <c r="D987" s="70" t="inlineStr">
        <is>
          <t>PROD-012</t>
        </is>
      </c>
      <c r="E987" s="70" t="inlineStr">
        <is>
          <t>R013</t>
        </is>
      </c>
      <c r="F987" s="72" t="n">
        <v>1</v>
      </c>
      <c r="G987" s="72" t="n">
        <v>3160</v>
      </c>
      <c r="H987" s="72" t="n">
        <v>29.8</v>
      </c>
      <c r="I987" s="72" t="n">
        <v>2218.32</v>
      </c>
      <c r="J987" s="70" t="inlineStr">
        <is>
          <t>Completed</t>
        </is>
      </c>
      <c r="K987" s="70" t="inlineStr">
        <is>
          <t>Pune</t>
        </is>
      </c>
    </row>
    <row r="988" ht="14.25" customHeight="1" s="56">
      <c r="A988" s="70" t="inlineStr">
        <is>
          <t>ORD-00987</t>
        </is>
      </c>
      <c r="B988" s="71" t="n">
        <v>45544</v>
      </c>
      <c r="C988" s="70" t="inlineStr">
        <is>
          <t>CUST-0151</t>
        </is>
      </c>
      <c r="D988" s="70" t="inlineStr">
        <is>
          <t>PROD-042</t>
        </is>
      </c>
      <c r="E988" s="70" t="inlineStr">
        <is>
          <t>R022</t>
        </is>
      </c>
      <c r="F988" s="72" t="n">
        <v>9</v>
      </c>
      <c r="G988" s="72" t="n">
        <v>2290</v>
      </c>
      <c r="H988" s="72" t="n">
        <v>8.300000000000001</v>
      </c>
      <c r="I988" s="72" t="n">
        <v>18899.37</v>
      </c>
      <c r="J988" s="70" t="inlineStr">
        <is>
          <t>Pending</t>
        </is>
      </c>
      <c r="K988" s="70" t="inlineStr">
        <is>
          <t>Mumbai</t>
        </is>
      </c>
    </row>
    <row r="989" ht="14.25" customHeight="1" s="56">
      <c r="A989" s="70" t="inlineStr">
        <is>
          <t>ORD-00988</t>
        </is>
      </c>
      <c r="B989" s="71" t="n">
        <v>45632</v>
      </c>
      <c r="C989" s="70" t="inlineStr">
        <is>
          <t>CUST-0210</t>
        </is>
      </c>
      <c r="D989" s="70" t="inlineStr">
        <is>
          <t>PROD-004</t>
        </is>
      </c>
      <c r="E989" s="70" t="inlineStr">
        <is>
          <t>R013</t>
        </is>
      </c>
      <c r="F989" s="72" t="n">
        <v>2</v>
      </c>
      <c r="G989" s="72" t="n">
        <v>3870</v>
      </c>
      <c r="H989" s="72" t="n">
        <v>5.2</v>
      </c>
      <c r="I989" s="72" t="n">
        <v>7337.52</v>
      </c>
      <c r="J989" s="70" t="inlineStr">
        <is>
          <t>Completed</t>
        </is>
      </c>
      <c r="K989" s="70" t="inlineStr">
        <is>
          <t>Pune</t>
        </is>
      </c>
    </row>
    <row r="990" ht="14.25" customHeight="1" s="56">
      <c r="A990" s="70" t="inlineStr">
        <is>
          <t>ORD-00989</t>
        </is>
      </c>
      <c r="B990" s="71" t="n">
        <v>45465</v>
      </c>
      <c r="C990" s="70" t="inlineStr">
        <is>
          <t>CUST-0192</t>
        </is>
      </c>
      <c r="D990" s="70" t="inlineStr">
        <is>
          <t>PROD-003</t>
        </is>
      </c>
      <c r="E990" s="70" t="inlineStr">
        <is>
          <t>R007</t>
        </is>
      </c>
      <c r="F990" s="72" t="n">
        <v>5</v>
      </c>
      <c r="G990" s="72" t="n">
        <v>3570</v>
      </c>
      <c r="H990" s="72" t="n">
        <v>19.9</v>
      </c>
      <c r="I990" s="72" t="n">
        <v>14297.85</v>
      </c>
      <c r="J990" s="70" t="inlineStr">
        <is>
          <t>Completed</t>
        </is>
      </c>
      <c r="K990" s="70" t="inlineStr">
        <is>
          <t>Bengaluru</t>
        </is>
      </c>
    </row>
    <row r="991" ht="14.25" customHeight="1" s="56">
      <c r="A991" s="70" t="inlineStr">
        <is>
          <t>ORD-00990</t>
        </is>
      </c>
      <c r="B991" s="71" t="n">
        <v>45342</v>
      </c>
      <c r="C991" s="70" t="inlineStr">
        <is>
          <t>CUST-0161</t>
        </is>
      </c>
      <c r="D991" s="70" t="inlineStr">
        <is>
          <t>PROD-054</t>
        </is>
      </c>
      <c r="E991" s="70" t="inlineStr">
        <is>
          <t>R001</t>
        </is>
      </c>
      <c r="F991" s="72" t="n">
        <v>5</v>
      </c>
      <c r="G991" s="72" t="n">
        <v>1010</v>
      </c>
      <c r="H991" s="72" t="n">
        <v>2.2</v>
      </c>
      <c r="I991" s="72" t="n">
        <v>4938.9</v>
      </c>
      <c r="J991" s="70" t="inlineStr">
        <is>
          <t>Completed</t>
        </is>
      </c>
      <c r="K991" s="70" t="inlineStr">
        <is>
          <t>Chennai</t>
        </is>
      </c>
    </row>
    <row r="992" ht="14.25" customHeight="1" s="56">
      <c r="A992" s="70" t="inlineStr">
        <is>
          <t>ORD-00991</t>
        </is>
      </c>
      <c r="B992" s="71" t="n">
        <v>45309</v>
      </c>
      <c r="C992" s="70" t="inlineStr">
        <is>
          <t>CUST-0255</t>
        </is>
      </c>
      <c r="D992" s="70" t="inlineStr">
        <is>
          <t>PROD-042</t>
        </is>
      </c>
      <c r="E992" s="70" t="inlineStr">
        <is>
          <t>R004</t>
        </is>
      </c>
      <c r="F992" s="72" t="n">
        <v>10</v>
      </c>
      <c r="G992" s="72" t="n">
        <v>2290</v>
      </c>
      <c r="H992" s="72" t="n">
        <v>16.8</v>
      </c>
      <c r="I992" s="72" t="n">
        <v>19052.8</v>
      </c>
      <c r="J992" s="70" t="inlineStr">
        <is>
          <t>Cancelled</t>
        </is>
      </c>
      <c r="K992" s="70" t="inlineStr">
        <is>
          <t>Chennai</t>
        </is>
      </c>
    </row>
    <row r="993" ht="14.25" customHeight="1" s="56">
      <c r="A993" s="70" t="inlineStr">
        <is>
          <t>ORD-00992</t>
        </is>
      </c>
      <c r="B993" s="71" t="n">
        <v>45493</v>
      </c>
      <c r="C993" s="70" t="inlineStr">
        <is>
          <t>CUST-0027</t>
        </is>
      </c>
      <c r="D993" s="70" t="inlineStr">
        <is>
          <t>PROD-039</t>
        </is>
      </c>
      <c r="E993" s="70" t="inlineStr">
        <is>
          <t>R019</t>
        </is>
      </c>
      <c r="F993" s="72" t="n">
        <v>3</v>
      </c>
      <c r="G993" s="72" t="n">
        <v>4610</v>
      </c>
      <c r="H993" s="72" t="n">
        <v>13.2</v>
      </c>
      <c r="I993" s="72" t="n">
        <v>12004.44</v>
      </c>
      <c r="J993" s="70" t="inlineStr">
        <is>
          <t>Pending</t>
        </is>
      </c>
      <c r="K993" s="70" t="inlineStr">
        <is>
          <t>Hyderabad</t>
        </is>
      </c>
    </row>
    <row r="994" ht="14.25" customHeight="1" s="56">
      <c r="A994" s="70" t="inlineStr">
        <is>
          <t>ORD-00993</t>
        </is>
      </c>
      <c r="B994" s="71" t="n">
        <v>45356</v>
      </c>
      <c r="C994" s="70" t="inlineStr">
        <is>
          <t>CUST-0228</t>
        </is>
      </c>
      <c r="D994" s="70" t="inlineStr">
        <is>
          <t>PROD-017</t>
        </is>
      </c>
      <c r="E994" s="70" t="inlineStr">
        <is>
          <t>R003</t>
        </is>
      </c>
      <c r="F994" s="72" t="n">
        <v>1</v>
      </c>
      <c r="G994" s="72" t="n">
        <v>2510</v>
      </c>
      <c r="H994" s="72" t="n">
        <v>16.9</v>
      </c>
      <c r="I994" s="72" t="n">
        <v>2085.81</v>
      </c>
      <c r="J994" s="70" t="inlineStr">
        <is>
          <t>Completed</t>
        </is>
      </c>
      <c r="K994" s="70" t="inlineStr">
        <is>
          <t>Pune</t>
        </is>
      </c>
    </row>
    <row r="995" ht="14.25" customHeight="1" s="56">
      <c r="A995" s="70" t="inlineStr">
        <is>
          <t>ORD-00994</t>
        </is>
      </c>
      <c r="B995" s="71" t="n">
        <v>45367</v>
      </c>
      <c r="C995" s="70" t="inlineStr">
        <is>
          <t>CUST-0183</t>
        </is>
      </c>
      <c r="D995" s="70" t="inlineStr">
        <is>
          <t>PROD-045</t>
        </is>
      </c>
      <c r="E995" s="70" t="inlineStr">
        <is>
          <t>R009</t>
        </is>
      </c>
      <c r="F995" s="72" t="n">
        <v>1</v>
      </c>
      <c r="G995" s="72" t="n">
        <v>3020</v>
      </c>
      <c r="H995" s="72" t="n">
        <v>26.7</v>
      </c>
      <c r="I995" s="72" t="n">
        <v>2213.66</v>
      </c>
      <c r="J995" s="70" t="inlineStr">
        <is>
          <t>Completed</t>
        </is>
      </c>
      <c r="K995" s="70" t="inlineStr">
        <is>
          <t>Mumbai</t>
        </is>
      </c>
    </row>
    <row r="996" ht="14.25" customHeight="1" s="56">
      <c r="A996" s="70" t="inlineStr">
        <is>
          <t>ORD-00995</t>
        </is>
      </c>
      <c r="B996" s="71" t="n">
        <v>45313</v>
      </c>
      <c r="C996" s="70" t="inlineStr">
        <is>
          <t>CUST-0026</t>
        </is>
      </c>
      <c r="D996" s="70" t="inlineStr">
        <is>
          <t>PROD-060</t>
        </is>
      </c>
      <c r="E996" s="70" t="inlineStr">
        <is>
          <t>R012</t>
        </is>
      </c>
      <c r="F996" s="72" t="n">
        <v>6</v>
      </c>
      <c r="G996" s="72" t="n">
        <v>190</v>
      </c>
      <c r="H996" s="72" t="n">
        <v>7.1</v>
      </c>
      <c r="I996" s="72" t="n">
        <v>1059.06</v>
      </c>
      <c r="J996" s="70" t="inlineStr">
        <is>
          <t>Completed</t>
        </is>
      </c>
      <c r="K996" s="70" t="inlineStr">
        <is>
          <t>Pune</t>
        </is>
      </c>
    </row>
    <row r="997" ht="14.25" customHeight="1" s="56">
      <c r="A997" s="70" t="inlineStr">
        <is>
          <t>ORD-00996</t>
        </is>
      </c>
      <c r="B997" s="71" t="n">
        <v>45529</v>
      </c>
      <c r="C997" s="70" t="inlineStr">
        <is>
          <t>CUST-0211</t>
        </is>
      </c>
      <c r="D997" s="70" t="inlineStr">
        <is>
          <t>PROD-033</t>
        </is>
      </c>
      <c r="E997" s="70" t="inlineStr">
        <is>
          <t>R002</t>
        </is>
      </c>
      <c r="F997" s="72" t="n">
        <v>6</v>
      </c>
      <c r="G997" s="72" t="n">
        <v>2030</v>
      </c>
      <c r="H997" s="72" t="n">
        <v>13.5</v>
      </c>
      <c r="I997" s="72" t="n">
        <v>10535.7</v>
      </c>
      <c r="J997" s="70" t="inlineStr">
        <is>
          <t>Cancelled</t>
        </is>
      </c>
      <c r="K997" s="70" t="inlineStr">
        <is>
          <t>Bengaluru</t>
        </is>
      </c>
    </row>
    <row r="998" ht="14.25" customHeight="1" s="56">
      <c r="A998" s="70" t="inlineStr">
        <is>
          <t>ORD-00997</t>
        </is>
      </c>
      <c r="B998" s="71" t="n">
        <v>45547</v>
      </c>
      <c r="C998" s="70" t="inlineStr">
        <is>
          <t>CUST-0190</t>
        </is>
      </c>
      <c r="D998" s="70" t="inlineStr">
        <is>
          <t>PROD-036</t>
        </is>
      </c>
      <c r="E998" s="70" t="inlineStr">
        <is>
          <t>R012</t>
        </is>
      </c>
      <c r="F998" s="72" t="n">
        <v>10</v>
      </c>
      <c r="G998" s="72" t="n">
        <v>3250</v>
      </c>
      <c r="H998" s="72" t="n">
        <v>8.699999999999999</v>
      </c>
      <c r="I998" s="72" t="n">
        <v>29672.5</v>
      </c>
      <c r="J998" s="70" t="inlineStr">
        <is>
          <t>Completed</t>
        </is>
      </c>
      <c r="K998" s="70" t="inlineStr">
        <is>
          <t>Hyderabad</t>
        </is>
      </c>
    </row>
    <row r="999" ht="14.25" customHeight="1" s="56">
      <c r="A999" s="70" t="inlineStr">
        <is>
          <t>ORD-00998</t>
        </is>
      </c>
      <c r="B999" s="71" t="n">
        <v>45299</v>
      </c>
      <c r="C999" s="70" t="inlineStr">
        <is>
          <t>CUST-0172</t>
        </is>
      </c>
      <c r="D999" s="70" t="inlineStr">
        <is>
          <t>PROD-033</t>
        </is>
      </c>
      <c r="E999" s="70" t="inlineStr">
        <is>
          <t>R029</t>
        </is>
      </c>
      <c r="F999" s="72" t="n">
        <v>9</v>
      </c>
      <c r="G999" s="72" t="n">
        <v>2030</v>
      </c>
      <c r="H999" s="72" t="n">
        <v>29.3</v>
      </c>
      <c r="I999" s="72" t="n">
        <v>12916.89</v>
      </c>
      <c r="J999" s="70" t="inlineStr">
        <is>
          <t>Completed</t>
        </is>
      </c>
      <c r="K999" s="70" t="inlineStr">
        <is>
          <t>Pune</t>
        </is>
      </c>
    </row>
    <row r="1000" ht="14.25" customHeight="1" s="56">
      <c r="A1000" s="70" t="inlineStr">
        <is>
          <t>ORD-00999</t>
        </is>
      </c>
      <c r="B1000" s="71" t="n">
        <v>45380</v>
      </c>
      <c r="C1000" s="70" t="inlineStr">
        <is>
          <t>CUST-0272</t>
        </is>
      </c>
      <c r="D1000" s="70" t="inlineStr">
        <is>
          <t>PROD-023</t>
        </is>
      </c>
      <c r="E1000" s="70" t="inlineStr">
        <is>
          <t>R025</t>
        </is>
      </c>
      <c r="F1000" s="72" t="n">
        <v>1</v>
      </c>
      <c r="G1000" s="72" t="n">
        <v>2380</v>
      </c>
      <c r="H1000" s="72" t="n">
        <v>12.9</v>
      </c>
      <c r="I1000" s="72" t="n">
        <v>2072.98</v>
      </c>
      <c r="J1000" s="70" t="inlineStr">
        <is>
          <t>Completed</t>
        </is>
      </c>
      <c r="K1000" s="70" t="inlineStr">
        <is>
          <t>Mumbai</t>
        </is>
      </c>
    </row>
    <row r="1001" ht="14.25" customHeight="1" s="56">
      <c r="A1001" s="70" t="inlineStr">
        <is>
          <t>ORD-01000</t>
        </is>
      </c>
      <c r="B1001" s="71" t="n">
        <v>45521</v>
      </c>
      <c r="C1001" s="70" t="inlineStr">
        <is>
          <t>CUST-0232</t>
        </is>
      </c>
      <c r="D1001" s="70" t="inlineStr">
        <is>
          <t>PROD-011</t>
        </is>
      </c>
      <c r="E1001" s="70" t="inlineStr">
        <is>
          <t>R024</t>
        </is>
      </c>
      <c r="F1001" s="72" t="n">
        <v>10</v>
      </c>
      <c r="G1001" s="72" t="n">
        <v>3450</v>
      </c>
      <c r="H1001" s="72" t="n">
        <v>18.5</v>
      </c>
      <c r="I1001" s="72" t="n">
        <v>28117.5</v>
      </c>
      <c r="J1001" s="70" t="inlineStr">
        <is>
          <t>Completed</t>
        </is>
      </c>
      <c r="K1001" s="70" t="inlineStr">
        <is>
          <t>Hyderabad</t>
        </is>
      </c>
    </row>
    <row r="1002" ht="14.25" customHeight="1" s="56">
      <c r="A1002" s="70" t="inlineStr">
        <is>
          <t>ORD-01001</t>
        </is>
      </c>
      <c r="B1002" s="71" t="n">
        <v>45500</v>
      </c>
      <c r="C1002" s="70" t="inlineStr">
        <is>
          <t>CUST-0282</t>
        </is>
      </c>
      <c r="D1002" s="70" t="inlineStr">
        <is>
          <t>PROD-012</t>
        </is>
      </c>
      <c r="E1002" s="70" t="inlineStr">
        <is>
          <t>R002</t>
        </is>
      </c>
      <c r="F1002" s="72" t="n">
        <v>10</v>
      </c>
      <c r="G1002" s="72" t="n">
        <v>3160</v>
      </c>
      <c r="H1002" s="72" t="n">
        <v>26.3</v>
      </c>
      <c r="I1002" s="72" t="n">
        <v>23289.2</v>
      </c>
      <c r="J1002" s="70" t="inlineStr">
        <is>
          <t>Completed</t>
        </is>
      </c>
      <c r="K1002" s="70" t="inlineStr">
        <is>
          <t>Hyderabad</t>
        </is>
      </c>
    </row>
    <row r="1003" ht="14.25" customHeight="1" s="56">
      <c r="A1003" s="70" t="inlineStr">
        <is>
          <t>ORD-01002</t>
        </is>
      </c>
      <c r="B1003" s="71" t="n">
        <v>45531</v>
      </c>
      <c r="C1003" s="70" t="inlineStr">
        <is>
          <t>CUST-0164</t>
        </is>
      </c>
      <c r="D1003" s="70" t="inlineStr">
        <is>
          <t>PROD-038</t>
        </is>
      </c>
      <c r="E1003" s="70" t="inlineStr">
        <is>
          <t>R026</t>
        </is>
      </c>
      <c r="F1003" s="72" t="n">
        <v>10</v>
      </c>
      <c r="G1003" s="72" t="n">
        <v>5490</v>
      </c>
      <c r="H1003" s="72" t="n">
        <v>22.7</v>
      </c>
      <c r="I1003" s="72" t="n">
        <v>42437.7</v>
      </c>
      <c r="J1003" s="70" t="inlineStr">
        <is>
          <t>Completed</t>
        </is>
      </c>
      <c r="K1003" s="70" t="inlineStr">
        <is>
          <t>Chennai</t>
        </is>
      </c>
    </row>
    <row r="1004" ht="14.25" customHeight="1" s="56">
      <c r="A1004" s="70" t="inlineStr">
        <is>
          <t>ORD-01003</t>
        </is>
      </c>
      <c r="B1004" s="71" t="n">
        <v>45563</v>
      </c>
      <c r="C1004" s="70" t="inlineStr">
        <is>
          <t>CUST-0212</t>
        </is>
      </c>
      <c r="D1004" s="70" t="inlineStr">
        <is>
          <t>PROD-055</t>
        </is>
      </c>
      <c r="E1004" s="70" t="inlineStr">
        <is>
          <t>R006</t>
        </is>
      </c>
      <c r="F1004" s="72" t="n">
        <v>8</v>
      </c>
      <c r="G1004" s="72" t="n">
        <v>2860</v>
      </c>
      <c r="H1004" s="72" t="n">
        <v>14.3</v>
      </c>
      <c r="I1004" s="72" t="n">
        <v>19608.16</v>
      </c>
      <c r="J1004" s="70" t="inlineStr">
        <is>
          <t>Completed</t>
        </is>
      </c>
      <c r="K1004" s="70" t="inlineStr">
        <is>
          <t>Chennai</t>
        </is>
      </c>
    </row>
    <row r="1005" ht="14.25" customHeight="1" s="56">
      <c r="A1005" s="70" t="inlineStr">
        <is>
          <t>ORD-01004</t>
        </is>
      </c>
      <c r="B1005" s="71" t="n">
        <v>45416</v>
      </c>
      <c r="C1005" s="70" t="inlineStr">
        <is>
          <t>CUST-0234</t>
        </is>
      </c>
      <c r="D1005" s="70" t="inlineStr">
        <is>
          <t>PROD-049</t>
        </is>
      </c>
      <c r="E1005" s="70" t="inlineStr">
        <is>
          <t>R011</t>
        </is>
      </c>
      <c r="F1005" s="72" t="n">
        <v>1</v>
      </c>
      <c r="G1005" s="72" t="n">
        <v>960</v>
      </c>
      <c r="H1005" s="72" t="n">
        <v>11.9</v>
      </c>
      <c r="I1005" s="72" t="n">
        <v>845.76</v>
      </c>
      <c r="J1005" s="70" t="inlineStr">
        <is>
          <t>Completed</t>
        </is>
      </c>
      <c r="K1005" s="70" t="inlineStr">
        <is>
          <t>Bengaluru</t>
        </is>
      </c>
    </row>
    <row r="1006" ht="14.25" customHeight="1" s="56">
      <c r="A1006" s="70" t="inlineStr">
        <is>
          <t>ORD-01005</t>
        </is>
      </c>
      <c r="B1006" s="71" t="n">
        <v>45430</v>
      </c>
      <c r="C1006" s="70" t="inlineStr">
        <is>
          <t>CUST-0292</t>
        </is>
      </c>
      <c r="D1006" s="70" t="inlineStr">
        <is>
          <t>PROD-040</t>
        </is>
      </c>
      <c r="E1006" s="70" t="inlineStr">
        <is>
          <t>R007</t>
        </is>
      </c>
      <c r="F1006" s="72" t="n">
        <v>3</v>
      </c>
      <c r="G1006" s="72" t="n">
        <v>1080</v>
      </c>
      <c r="H1006" s="72" t="n">
        <v>26</v>
      </c>
      <c r="I1006" s="72" t="n">
        <v>2397.6</v>
      </c>
      <c r="J1006" s="70" t="inlineStr">
        <is>
          <t>Completed</t>
        </is>
      </c>
      <c r="K1006" s="70" t="inlineStr">
        <is>
          <t>Bengaluru</t>
        </is>
      </c>
    </row>
    <row r="1007" ht="14.25" customHeight="1" s="56">
      <c r="A1007" s="70" t="inlineStr">
        <is>
          <t>ORD-01006</t>
        </is>
      </c>
      <c r="B1007" s="71" t="n">
        <v>45585</v>
      </c>
      <c r="C1007" s="70" t="inlineStr">
        <is>
          <t>CUST-0018</t>
        </is>
      </c>
      <c r="D1007" s="70" t="inlineStr">
        <is>
          <t>PROD-055</t>
        </is>
      </c>
      <c r="E1007" s="70" t="inlineStr">
        <is>
          <t>R001</t>
        </is>
      </c>
      <c r="F1007" s="72" t="n">
        <v>10</v>
      </c>
      <c r="G1007" s="72" t="n">
        <v>2860</v>
      </c>
      <c r="H1007" s="72" t="n">
        <v>13.1</v>
      </c>
      <c r="I1007" s="72" t="n">
        <v>24853.4</v>
      </c>
      <c r="J1007" s="70" t="inlineStr">
        <is>
          <t>Refunded</t>
        </is>
      </c>
      <c r="K1007" s="70" t="inlineStr">
        <is>
          <t>Pune</t>
        </is>
      </c>
    </row>
    <row r="1008" ht="14.25" customHeight="1" s="56">
      <c r="A1008" s="70" t="inlineStr">
        <is>
          <t>ORD-01007</t>
        </is>
      </c>
      <c r="B1008" s="71" t="n">
        <v>45630</v>
      </c>
      <c r="C1008" s="70" t="inlineStr">
        <is>
          <t>CUST-0220</t>
        </is>
      </c>
      <c r="D1008" s="70" t="inlineStr">
        <is>
          <t>PROD-013</t>
        </is>
      </c>
      <c r="E1008" s="70" t="inlineStr">
        <is>
          <t>R001</t>
        </is>
      </c>
      <c r="F1008" s="72" t="n">
        <v>3</v>
      </c>
      <c r="G1008" s="72" t="n">
        <v>3640</v>
      </c>
      <c r="H1008" s="72" t="n">
        <v>18.2</v>
      </c>
      <c r="I1008" s="72" t="n">
        <v>8932.559999999999</v>
      </c>
      <c r="J1008" s="70" t="inlineStr">
        <is>
          <t>Completed</t>
        </is>
      </c>
      <c r="K1008" s="70" t="inlineStr">
        <is>
          <t>Chennai</t>
        </is>
      </c>
    </row>
    <row r="1009" ht="14.25" customHeight="1" s="56">
      <c r="A1009" s="70" t="inlineStr">
        <is>
          <t>ORD-01008</t>
        </is>
      </c>
      <c r="B1009" s="71" t="n">
        <v>45405</v>
      </c>
      <c r="C1009" s="70" t="inlineStr">
        <is>
          <t>CUST-0064</t>
        </is>
      </c>
      <c r="D1009" s="70" t="inlineStr">
        <is>
          <t>PROD-015</t>
        </is>
      </c>
      <c r="E1009" s="70" t="inlineStr">
        <is>
          <t>R018</t>
        </is>
      </c>
      <c r="F1009" s="72" t="n">
        <v>3</v>
      </c>
      <c r="G1009" s="72" t="n">
        <v>2720</v>
      </c>
      <c r="H1009" s="72" t="n">
        <v>3.6</v>
      </c>
      <c r="I1009" s="72" t="n">
        <v>7866.24</v>
      </c>
      <c r="J1009" s="70" t="inlineStr">
        <is>
          <t>Completed</t>
        </is>
      </c>
      <c r="K1009" s="70" t="inlineStr">
        <is>
          <t>Hyderabad</t>
        </is>
      </c>
    </row>
    <row r="1010" ht="14.25" customHeight="1" s="56">
      <c r="A1010" s="70" t="inlineStr">
        <is>
          <t>ORD-01009</t>
        </is>
      </c>
      <c r="B1010" s="71" t="n">
        <v>45630</v>
      </c>
      <c r="C1010" s="70" t="inlineStr">
        <is>
          <t>CUST-0077</t>
        </is>
      </c>
      <c r="D1010" s="70" t="inlineStr">
        <is>
          <t>PROD-024</t>
        </is>
      </c>
      <c r="E1010" s="70" t="inlineStr">
        <is>
          <t>R008</t>
        </is>
      </c>
      <c r="F1010" s="72" t="n">
        <v>4</v>
      </c>
      <c r="G1010" s="72" t="n">
        <v>2270</v>
      </c>
      <c r="H1010" s="72" t="n">
        <v>18.4</v>
      </c>
      <c r="I1010" s="72" t="n">
        <v>7409.28</v>
      </c>
      <c r="J1010" s="70" t="inlineStr">
        <is>
          <t>Completed</t>
        </is>
      </c>
      <c r="K1010" s="70" t="inlineStr">
        <is>
          <t>Hyderabad</t>
        </is>
      </c>
    </row>
    <row r="1011" ht="14.25" customHeight="1" s="56">
      <c r="A1011" s="70" t="inlineStr">
        <is>
          <t>ORD-01010</t>
        </is>
      </c>
      <c r="B1011" s="71" t="n">
        <v>45483</v>
      </c>
      <c r="C1011" s="70" t="inlineStr">
        <is>
          <t>CUST-0229</t>
        </is>
      </c>
      <c r="D1011" s="70" t="inlineStr">
        <is>
          <t>PROD-009</t>
        </is>
      </c>
      <c r="E1011" s="70" t="inlineStr">
        <is>
          <t>R029</t>
        </is>
      </c>
      <c r="F1011" s="72" t="n">
        <v>5</v>
      </c>
      <c r="G1011" s="72" t="n">
        <v>1220</v>
      </c>
      <c r="H1011" s="72" t="n">
        <v>13.9</v>
      </c>
      <c r="I1011" s="72" t="n">
        <v>5252.1</v>
      </c>
      <c r="J1011" s="70" t="inlineStr">
        <is>
          <t>Completed</t>
        </is>
      </c>
      <c r="K1011" s="70" t="inlineStr">
        <is>
          <t>Hyderabad</t>
        </is>
      </c>
    </row>
    <row r="1012" ht="14.25" customHeight="1" s="56">
      <c r="A1012" s="70" t="inlineStr">
        <is>
          <t>ORD-01011</t>
        </is>
      </c>
      <c r="B1012" s="71" t="n">
        <v>45530</v>
      </c>
      <c r="C1012" s="70" t="inlineStr">
        <is>
          <t>CUST-0129</t>
        </is>
      </c>
      <c r="D1012" s="70" t="inlineStr">
        <is>
          <t>PROD-010</t>
        </is>
      </c>
      <c r="E1012" s="70" t="inlineStr">
        <is>
          <t>R015</t>
        </is>
      </c>
      <c r="F1012" s="72" t="n">
        <v>8</v>
      </c>
      <c r="G1012" s="72" t="n">
        <v>2640</v>
      </c>
      <c r="H1012" s="72" t="n">
        <v>17.3</v>
      </c>
      <c r="I1012" s="72" t="n">
        <v>17466.24</v>
      </c>
      <c r="J1012" s="70" t="inlineStr">
        <is>
          <t>Completed</t>
        </is>
      </c>
      <c r="K1012" s="70" t="inlineStr">
        <is>
          <t>Hyderabad</t>
        </is>
      </c>
    </row>
    <row r="1013" ht="14.25" customHeight="1" s="56">
      <c r="A1013" s="70" t="inlineStr">
        <is>
          <t>ORD-01012</t>
        </is>
      </c>
      <c r="B1013" s="71" t="n">
        <v>45500</v>
      </c>
      <c r="C1013" s="70" t="inlineStr">
        <is>
          <t>CUST-0145</t>
        </is>
      </c>
      <c r="D1013" s="70" t="inlineStr">
        <is>
          <t>PROD-030</t>
        </is>
      </c>
      <c r="E1013" s="70" t="inlineStr">
        <is>
          <t>R015</t>
        </is>
      </c>
      <c r="F1013" s="72" t="n">
        <v>1</v>
      </c>
      <c r="G1013" s="72" t="n">
        <v>970</v>
      </c>
      <c r="H1013" s="72" t="n">
        <v>28</v>
      </c>
      <c r="I1013" s="72" t="n">
        <v>698.4</v>
      </c>
      <c r="J1013" s="70" t="inlineStr">
        <is>
          <t>Cancelled</t>
        </is>
      </c>
      <c r="K1013" s="70" t="inlineStr">
        <is>
          <t>Bengaluru</t>
        </is>
      </c>
    </row>
    <row r="1014" ht="14.25" customHeight="1" s="56">
      <c r="A1014" s="70" t="inlineStr">
        <is>
          <t>ORD-01013</t>
        </is>
      </c>
      <c r="B1014" s="71" t="n">
        <v>45358</v>
      </c>
      <c r="C1014" s="70" t="inlineStr">
        <is>
          <t>CUST-0258</t>
        </is>
      </c>
      <c r="D1014" s="70" t="inlineStr">
        <is>
          <t>PROD-031</t>
        </is>
      </c>
      <c r="E1014" s="70" t="inlineStr">
        <is>
          <t>R025</t>
        </is>
      </c>
      <c r="F1014" s="72" t="n">
        <v>8</v>
      </c>
      <c r="G1014" s="72" t="n">
        <v>3730</v>
      </c>
      <c r="H1014" s="72" t="n">
        <v>2.1</v>
      </c>
      <c r="I1014" s="72" t="n">
        <v>29213.36</v>
      </c>
      <c r="J1014" s="70" t="inlineStr">
        <is>
          <t>Refunded</t>
        </is>
      </c>
      <c r="K1014" s="70" t="inlineStr">
        <is>
          <t>Pune</t>
        </is>
      </c>
    </row>
    <row r="1015" ht="14.25" customHeight="1" s="56">
      <c r="A1015" s="70" t="inlineStr">
        <is>
          <t>ORD-01014</t>
        </is>
      </c>
      <c r="B1015" s="71" t="n">
        <v>45598</v>
      </c>
      <c r="C1015" s="70" t="inlineStr">
        <is>
          <t>CUST-0209</t>
        </is>
      </c>
      <c r="D1015" s="70" t="inlineStr">
        <is>
          <t>PROD-030</t>
        </is>
      </c>
      <c r="E1015" s="70" t="inlineStr">
        <is>
          <t>R024</t>
        </is>
      </c>
      <c r="F1015" s="72" t="n">
        <v>7</v>
      </c>
      <c r="G1015" s="72" t="n">
        <v>970</v>
      </c>
      <c r="H1015" s="72" t="n">
        <v>25.5</v>
      </c>
      <c r="I1015" s="72" t="n">
        <v>5058.55</v>
      </c>
      <c r="J1015" s="70" t="inlineStr">
        <is>
          <t>Completed</t>
        </is>
      </c>
      <c r="K1015" s="70" t="inlineStr">
        <is>
          <t>Pune</t>
        </is>
      </c>
    </row>
    <row r="1016" ht="14.25" customHeight="1" s="56">
      <c r="A1016" s="70" t="inlineStr">
        <is>
          <t>ORD-01015</t>
        </is>
      </c>
      <c r="B1016" s="71" t="n">
        <v>45318</v>
      </c>
      <c r="C1016" s="70" t="inlineStr">
        <is>
          <t>CUST-0131</t>
        </is>
      </c>
      <c r="D1016" s="70" t="inlineStr">
        <is>
          <t>PROD-003</t>
        </is>
      </c>
      <c r="E1016" s="70" t="inlineStr">
        <is>
          <t>R022</t>
        </is>
      </c>
      <c r="F1016" s="72" t="n">
        <v>6</v>
      </c>
      <c r="G1016" s="72" t="n">
        <v>3570</v>
      </c>
      <c r="H1016" s="72" t="n">
        <v>9.9</v>
      </c>
      <c r="I1016" s="72" t="n">
        <v>19299.42</v>
      </c>
      <c r="J1016" s="70" t="inlineStr">
        <is>
          <t>Completed</t>
        </is>
      </c>
      <c r="K1016" s="70" t="inlineStr">
        <is>
          <t>Delhi</t>
        </is>
      </c>
    </row>
    <row r="1017" ht="14.25" customHeight="1" s="56">
      <c r="A1017" s="70" t="inlineStr">
        <is>
          <t>ORD-01016</t>
        </is>
      </c>
      <c r="B1017" s="71" t="n">
        <v>45524</v>
      </c>
      <c r="C1017" s="70" t="inlineStr">
        <is>
          <t>CUST-0276</t>
        </is>
      </c>
      <c r="D1017" s="70" t="inlineStr">
        <is>
          <t>PROD-030</t>
        </is>
      </c>
      <c r="E1017" s="70" t="inlineStr">
        <is>
          <t>R016</t>
        </is>
      </c>
      <c r="F1017" s="72" t="n">
        <v>6</v>
      </c>
      <c r="G1017" s="72" t="n">
        <v>970</v>
      </c>
      <c r="H1017" s="72" t="n">
        <v>19.6</v>
      </c>
      <c r="I1017" s="72" t="n">
        <v>4679.28</v>
      </c>
      <c r="J1017" s="70" t="inlineStr">
        <is>
          <t>Completed</t>
        </is>
      </c>
      <c r="K1017" s="70" t="inlineStr">
        <is>
          <t>Chennai</t>
        </is>
      </c>
    </row>
    <row r="1018" ht="14.25" customHeight="1" s="56">
      <c r="A1018" s="70" t="inlineStr">
        <is>
          <t>ORD-01017</t>
        </is>
      </c>
      <c r="B1018" s="71" t="n">
        <v>45554</v>
      </c>
      <c r="C1018" s="70" t="inlineStr">
        <is>
          <t>CUST-0283</t>
        </is>
      </c>
      <c r="D1018" s="70" t="inlineStr">
        <is>
          <t>PROD-059</t>
        </is>
      </c>
      <c r="E1018" s="70" t="inlineStr">
        <is>
          <t>R011</t>
        </is>
      </c>
      <c r="F1018" s="72" t="n">
        <v>8</v>
      </c>
      <c r="G1018" s="72" t="n">
        <v>3780</v>
      </c>
      <c r="H1018" s="72" t="n">
        <v>26.5</v>
      </c>
      <c r="I1018" s="72" t="n">
        <v>22226.4</v>
      </c>
      <c r="J1018" s="70" t="inlineStr">
        <is>
          <t>Completed</t>
        </is>
      </c>
      <c r="K1018" s="70" t="inlineStr">
        <is>
          <t>Delhi</t>
        </is>
      </c>
    </row>
    <row r="1019" ht="14.25" customHeight="1" s="56">
      <c r="A1019" s="70" t="inlineStr">
        <is>
          <t>ORD-01018</t>
        </is>
      </c>
      <c r="B1019" s="71" t="n">
        <v>45528</v>
      </c>
      <c r="C1019" s="70" t="inlineStr">
        <is>
          <t>CUST-0195</t>
        </is>
      </c>
      <c r="D1019" s="70" t="inlineStr">
        <is>
          <t>PROD-058</t>
        </is>
      </c>
      <c r="E1019" s="70" t="inlineStr">
        <is>
          <t>R011</t>
        </is>
      </c>
      <c r="F1019" s="72" t="n">
        <v>6</v>
      </c>
      <c r="G1019" s="72" t="n">
        <v>2400</v>
      </c>
      <c r="H1019" s="72" t="n">
        <v>1.4</v>
      </c>
      <c r="I1019" s="72" t="n">
        <v>14198.4</v>
      </c>
      <c r="J1019" s="70" t="inlineStr">
        <is>
          <t>Completed</t>
        </is>
      </c>
      <c r="K1019" s="70" t="inlineStr">
        <is>
          <t>Bengaluru</t>
        </is>
      </c>
    </row>
    <row r="1020" ht="14.25" customHeight="1" s="56">
      <c r="A1020" s="70" t="inlineStr">
        <is>
          <t>ORD-01019</t>
        </is>
      </c>
      <c r="B1020" s="71" t="n">
        <v>45486</v>
      </c>
      <c r="C1020" s="70" t="inlineStr">
        <is>
          <t>CUST-0181</t>
        </is>
      </c>
      <c r="D1020" s="70" t="inlineStr">
        <is>
          <t>PROD-036</t>
        </is>
      </c>
      <c r="E1020" s="70" t="inlineStr">
        <is>
          <t>R021</t>
        </is>
      </c>
      <c r="F1020" s="72" t="n">
        <v>10</v>
      </c>
      <c r="G1020" s="72" t="n">
        <v>3250</v>
      </c>
      <c r="H1020" s="72" t="n">
        <v>19.3</v>
      </c>
      <c r="I1020" s="72" t="n">
        <v>26227.5</v>
      </c>
      <c r="J1020" s="70" t="inlineStr">
        <is>
          <t>Completed</t>
        </is>
      </c>
      <c r="K1020" s="70" t="inlineStr">
        <is>
          <t>Delhi</t>
        </is>
      </c>
    </row>
    <row r="1021" ht="14.25" customHeight="1" s="56">
      <c r="A1021" s="70" t="inlineStr">
        <is>
          <t>ORD-01020</t>
        </is>
      </c>
      <c r="B1021" s="71" t="n">
        <v>45336</v>
      </c>
      <c r="C1021" s="70" t="inlineStr">
        <is>
          <t>CUST-0149</t>
        </is>
      </c>
      <c r="D1021" s="70" t="inlineStr">
        <is>
          <t>PROD-021</t>
        </is>
      </c>
      <c r="E1021" s="70" t="inlineStr">
        <is>
          <t>R014</t>
        </is>
      </c>
      <c r="F1021" s="72" t="n">
        <v>7</v>
      </c>
      <c r="G1021" s="72" t="n">
        <v>2760</v>
      </c>
      <c r="H1021" s="72" t="n">
        <v>23.6</v>
      </c>
      <c r="I1021" s="72" t="n">
        <v>14760.48</v>
      </c>
      <c r="J1021" s="70" t="inlineStr">
        <is>
          <t>Pending</t>
        </is>
      </c>
      <c r="K1021" s="70" t="inlineStr">
        <is>
          <t>Hyderabad</t>
        </is>
      </c>
    </row>
    <row r="1022" ht="14.25" customHeight="1" s="56">
      <c r="A1022" s="70" t="inlineStr">
        <is>
          <t>ORD-01021</t>
        </is>
      </c>
      <c r="B1022" s="71" t="n">
        <v>45463</v>
      </c>
      <c r="C1022" s="70" t="inlineStr">
        <is>
          <t>CUST-0152</t>
        </is>
      </c>
      <c r="D1022" s="70" t="inlineStr">
        <is>
          <t>PROD-003</t>
        </is>
      </c>
      <c r="E1022" s="70" t="inlineStr">
        <is>
          <t>R001</t>
        </is>
      </c>
      <c r="F1022" s="72" t="n">
        <v>3</v>
      </c>
      <c r="G1022" s="72" t="n">
        <v>3570</v>
      </c>
      <c r="H1022" s="72" t="n">
        <v>26.3</v>
      </c>
      <c r="I1022" s="72" t="n">
        <v>7893.27</v>
      </c>
      <c r="J1022" s="70" t="inlineStr">
        <is>
          <t>Completed</t>
        </is>
      </c>
      <c r="K1022" s="70" t="inlineStr">
        <is>
          <t>Bengaluru</t>
        </is>
      </c>
    </row>
    <row r="1023" ht="14.25" customHeight="1" s="56">
      <c r="A1023" s="70" t="inlineStr">
        <is>
          <t>ORD-01022</t>
        </is>
      </c>
      <c r="B1023" s="71" t="n">
        <v>45392</v>
      </c>
      <c r="C1023" s="70" t="inlineStr">
        <is>
          <t>CUST-0085</t>
        </is>
      </c>
      <c r="D1023" s="70" t="inlineStr">
        <is>
          <t>PROD-027</t>
        </is>
      </c>
      <c r="E1023" s="70" t="inlineStr">
        <is>
          <t>R015</t>
        </is>
      </c>
      <c r="F1023" s="72" t="n">
        <v>4</v>
      </c>
      <c r="G1023" s="72" t="n">
        <v>3780</v>
      </c>
      <c r="H1023" s="72" t="n">
        <v>10.1</v>
      </c>
      <c r="I1023" s="72" t="n">
        <v>13592.88</v>
      </c>
      <c r="J1023" s="70" t="inlineStr">
        <is>
          <t>Completed</t>
        </is>
      </c>
      <c r="K1023" s="70" t="inlineStr">
        <is>
          <t>Chennai</t>
        </is>
      </c>
    </row>
    <row r="1024" ht="14.25" customHeight="1" s="56">
      <c r="A1024" s="70" t="inlineStr">
        <is>
          <t>ORD-01023</t>
        </is>
      </c>
      <c r="B1024" s="71" t="n">
        <v>45600</v>
      </c>
      <c r="C1024" s="70" t="inlineStr">
        <is>
          <t>CUST-0231</t>
        </is>
      </c>
      <c r="D1024" s="70" t="inlineStr">
        <is>
          <t>PROD-007</t>
        </is>
      </c>
      <c r="E1024" s="70" t="inlineStr">
        <is>
          <t>R019</t>
        </is>
      </c>
      <c r="F1024" s="72" t="n">
        <v>10</v>
      </c>
      <c r="G1024" s="72" t="n">
        <v>1430</v>
      </c>
      <c r="H1024" s="72" t="n">
        <v>3.7</v>
      </c>
      <c r="I1024" s="72" t="n">
        <v>13770.9</v>
      </c>
      <c r="J1024" s="70" t="inlineStr">
        <is>
          <t>Completed</t>
        </is>
      </c>
      <c r="K1024" s="70" t="inlineStr">
        <is>
          <t>Chennai</t>
        </is>
      </c>
    </row>
    <row r="1025" ht="14.25" customHeight="1" s="56">
      <c r="A1025" s="70" t="inlineStr">
        <is>
          <t>ORD-01024</t>
        </is>
      </c>
      <c r="B1025" s="71" t="n">
        <v>45411</v>
      </c>
      <c r="C1025" s="70" t="inlineStr">
        <is>
          <t>CUST-0044</t>
        </is>
      </c>
      <c r="D1025" s="70" t="inlineStr">
        <is>
          <t>PROD-022</t>
        </is>
      </c>
      <c r="E1025" s="70" t="inlineStr">
        <is>
          <t>R011</t>
        </is>
      </c>
      <c r="F1025" s="72" t="n">
        <v>6</v>
      </c>
      <c r="G1025" s="72" t="n">
        <v>2270</v>
      </c>
      <c r="H1025" s="72" t="n">
        <v>7.9</v>
      </c>
      <c r="I1025" s="72" t="n">
        <v>12544.02</v>
      </c>
      <c r="J1025" s="70" t="inlineStr">
        <is>
          <t>Refunded</t>
        </is>
      </c>
      <c r="K1025" s="70" t="inlineStr">
        <is>
          <t>Hyderabad</t>
        </is>
      </c>
    </row>
    <row r="1026" ht="14.25" customHeight="1" s="56">
      <c r="A1026" s="70" t="inlineStr">
        <is>
          <t>ORD-01025</t>
        </is>
      </c>
      <c r="B1026" s="71" t="n">
        <v>45406</v>
      </c>
      <c r="C1026" s="70" t="inlineStr">
        <is>
          <t>CUST-0027</t>
        </is>
      </c>
      <c r="D1026" s="70" t="inlineStr">
        <is>
          <t>PROD-054</t>
        </is>
      </c>
      <c r="E1026" s="70" t="inlineStr">
        <is>
          <t>R013</t>
        </is>
      </c>
      <c r="F1026" s="72" t="n">
        <v>1</v>
      </c>
      <c r="G1026" s="72" t="n">
        <v>1010</v>
      </c>
      <c r="H1026" s="72" t="n">
        <v>6.9</v>
      </c>
      <c r="I1026" s="72" t="n">
        <v>940.3099999999999</v>
      </c>
      <c r="J1026" s="70" t="inlineStr">
        <is>
          <t>Pending</t>
        </is>
      </c>
      <c r="K1026" s="70" t="inlineStr">
        <is>
          <t>Hyderabad</t>
        </is>
      </c>
    </row>
    <row r="1027" ht="14.25" customHeight="1" s="56">
      <c r="A1027" s="70" t="inlineStr">
        <is>
          <t>ORD-01026</t>
        </is>
      </c>
      <c r="B1027" s="71" t="n">
        <v>45411</v>
      </c>
      <c r="C1027" s="70" t="inlineStr">
        <is>
          <t>CUST-0101</t>
        </is>
      </c>
      <c r="D1027" s="70" t="inlineStr">
        <is>
          <t>PROD-055</t>
        </is>
      </c>
      <c r="E1027" s="70" t="inlineStr">
        <is>
          <t>R014</t>
        </is>
      </c>
      <c r="F1027" s="72" t="n">
        <v>2</v>
      </c>
      <c r="G1027" s="72" t="n">
        <v>2860</v>
      </c>
      <c r="H1027" s="72" t="n">
        <v>20.1</v>
      </c>
      <c r="I1027" s="72" t="n">
        <v>4570.28</v>
      </c>
      <c r="J1027" s="70" t="inlineStr">
        <is>
          <t>Completed</t>
        </is>
      </c>
      <c r="K1027" s="70" t="inlineStr">
        <is>
          <t>Hyderabad</t>
        </is>
      </c>
    </row>
    <row r="1028" ht="14.25" customHeight="1" s="56">
      <c r="A1028" s="70" t="inlineStr">
        <is>
          <t>ORD-01027</t>
        </is>
      </c>
      <c r="B1028" s="71" t="n">
        <v>45461</v>
      </c>
      <c r="C1028" s="70" t="inlineStr">
        <is>
          <t>CUST-0123</t>
        </is>
      </c>
      <c r="D1028" s="70" t="inlineStr">
        <is>
          <t>PROD-002</t>
        </is>
      </c>
      <c r="E1028" s="70" t="inlineStr">
        <is>
          <t>R019</t>
        </is>
      </c>
      <c r="F1028" s="72" t="n">
        <v>9</v>
      </c>
      <c r="G1028" s="72" t="n">
        <v>2600</v>
      </c>
      <c r="H1028" s="72" t="n">
        <v>15.9</v>
      </c>
      <c r="I1028" s="72" t="n">
        <v>19679.4</v>
      </c>
      <c r="J1028" s="70" t="inlineStr">
        <is>
          <t>Cancelled</t>
        </is>
      </c>
      <c r="K1028" s="70" t="inlineStr">
        <is>
          <t>Chennai</t>
        </is>
      </c>
    </row>
    <row r="1029" ht="14.25" customHeight="1" s="56">
      <c r="A1029" s="70" t="inlineStr">
        <is>
          <t>ORD-01028</t>
        </is>
      </c>
      <c r="B1029" s="71" t="n">
        <v>45409</v>
      </c>
      <c r="C1029" s="70" t="inlineStr">
        <is>
          <t>CUST-0124</t>
        </is>
      </c>
      <c r="D1029" s="70" t="inlineStr">
        <is>
          <t>PROD-053</t>
        </is>
      </c>
      <c r="E1029" s="70" t="inlineStr">
        <is>
          <t>R024</t>
        </is>
      </c>
      <c r="F1029" s="72" t="n">
        <v>10</v>
      </c>
      <c r="G1029" s="72" t="n">
        <v>470</v>
      </c>
      <c r="H1029" s="72" t="n">
        <v>23.1</v>
      </c>
      <c r="I1029" s="72" t="n">
        <v>3614.3</v>
      </c>
      <c r="J1029" s="70" t="inlineStr">
        <is>
          <t>Pending</t>
        </is>
      </c>
      <c r="K1029" s="70" t="inlineStr">
        <is>
          <t>Pune</t>
        </is>
      </c>
    </row>
    <row r="1030" ht="14.25" customHeight="1" s="56">
      <c r="A1030" s="70" t="inlineStr">
        <is>
          <t>ORD-01029</t>
        </is>
      </c>
      <c r="B1030" s="71" t="n">
        <v>45495</v>
      </c>
      <c r="C1030" s="70" t="inlineStr">
        <is>
          <t>CUST-0159</t>
        </is>
      </c>
      <c r="D1030" s="70" t="inlineStr">
        <is>
          <t>PROD-037</t>
        </is>
      </c>
      <c r="E1030" s="70" t="inlineStr">
        <is>
          <t>R013</t>
        </is>
      </c>
      <c r="F1030" s="72" t="n">
        <v>10</v>
      </c>
      <c r="G1030" s="72" t="n">
        <v>660</v>
      </c>
      <c r="H1030" s="72" t="n">
        <v>9.4</v>
      </c>
      <c r="I1030" s="72" t="n">
        <v>5979.6</v>
      </c>
      <c r="J1030" s="70" t="inlineStr">
        <is>
          <t>Completed</t>
        </is>
      </c>
      <c r="K1030" s="70" t="inlineStr">
        <is>
          <t>Hyderabad</t>
        </is>
      </c>
    </row>
    <row r="1031" ht="14.25" customHeight="1" s="56">
      <c r="A1031" s="70" t="inlineStr">
        <is>
          <t>ORD-01030</t>
        </is>
      </c>
      <c r="B1031" s="71" t="n">
        <v>45307</v>
      </c>
      <c r="C1031" s="70" t="inlineStr">
        <is>
          <t>CUST-0087</t>
        </is>
      </c>
      <c r="D1031" s="70" t="inlineStr">
        <is>
          <t>PROD-009</t>
        </is>
      </c>
      <c r="E1031" s="70" t="inlineStr">
        <is>
          <t>R023</t>
        </is>
      </c>
      <c r="F1031" s="72" t="n">
        <v>5</v>
      </c>
      <c r="G1031" s="72" t="n">
        <v>1220</v>
      </c>
      <c r="H1031" s="72" t="n">
        <v>23.3</v>
      </c>
      <c r="I1031" s="72" t="n">
        <v>4678.7</v>
      </c>
      <c r="J1031" s="70" t="inlineStr">
        <is>
          <t>Completed</t>
        </is>
      </c>
      <c r="K1031" s="70" t="inlineStr">
        <is>
          <t>Pune</t>
        </is>
      </c>
    </row>
    <row r="1032" ht="14.25" customHeight="1" s="56">
      <c r="A1032" s="70" t="inlineStr">
        <is>
          <t>ORD-01031</t>
        </is>
      </c>
      <c r="B1032" s="71" t="n">
        <v>45294</v>
      </c>
      <c r="C1032" s="70" t="inlineStr">
        <is>
          <t>CUST-0295</t>
        </is>
      </c>
      <c r="D1032" s="70" t="inlineStr">
        <is>
          <t>PROD-036</t>
        </is>
      </c>
      <c r="E1032" s="70" t="inlineStr">
        <is>
          <t>R011</t>
        </is>
      </c>
      <c r="F1032" s="72" t="n">
        <v>9</v>
      </c>
      <c r="G1032" s="72" t="n">
        <v>3250</v>
      </c>
      <c r="H1032" s="72" t="n">
        <v>19.6</v>
      </c>
      <c r="I1032" s="72" t="n">
        <v>23517</v>
      </c>
      <c r="J1032" s="70" t="inlineStr">
        <is>
          <t>Pending</t>
        </is>
      </c>
      <c r="K1032" s="70" t="inlineStr">
        <is>
          <t>Delhi</t>
        </is>
      </c>
    </row>
    <row r="1033" ht="14.25" customHeight="1" s="56">
      <c r="A1033" s="70" t="inlineStr">
        <is>
          <t>ORD-01032</t>
        </is>
      </c>
      <c r="B1033" s="71" t="n">
        <v>45542</v>
      </c>
      <c r="C1033" s="70" t="inlineStr">
        <is>
          <t>CUST-0211</t>
        </is>
      </c>
      <c r="D1033" s="70" t="inlineStr">
        <is>
          <t>PROD-016</t>
        </is>
      </c>
      <c r="E1033" s="70" t="inlineStr">
        <is>
          <t>R018</t>
        </is>
      </c>
      <c r="F1033" s="72" t="n">
        <v>7</v>
      </c>
      <c r="G1033" s="72" t="n">
        <v>620</v>
      </c>
      <c r="H1033" s="72" t="n">
        <v>29</v>
      </c>
      <c r="I1033" s="72" t="n">
        <v>3081.4</v>
      </c>
      <c r="J1033" s="70" t="inlineStr">
        <is>
          <t>Completed</t>
        </is>
      </c>
      <c r="K1033" s="70" t="inlineStr">
        <is>
          <t>Bengaluru</t>
        </is>
      </c>
    </row>
    <row r="1034" ht="14.25" customHeight="1" s="56">
      <c r="A1034" s="70" t="inlineStr">
        <is>
          <t>ORD-01033</t>
        </is>
      </c>
      <c r="B1034" s="71" t="n">
        <v>45453</v>
      </c>
      <c r="C1034" s="70" t="inlineStr">
        <is>
          <t>CUST-0265</t>
        </is>
      </c>
      <c r="D1034" s="70" t="inlineStr">
        <is>
          <t>PROD-026</t>
        </is>
      </c>
      <c r="E1034" s="70" t="inlineStr">
        <is>
          <t>R006</t>
        </is>
      </c>
      <c r="F1034" s="72" t="n">
        <v>9</v>
      </c>
      <c r="G1034" s="72" t="n">
        <v>4070</v>
      </c>
      <c r="H1034" s="72" t="n">
        <v>16.2</v>
      </c>
      <c r="I1034" s="72" t="n">
        <v>30695.94</v>
      </c>
      <c r="J1034" s="70" t="inlineStr">
        <is>
          <t>Completed</t>
        </is>
      </c>
      <c r="K1034" s="70" t="inlineStr">
        <is>
          <t>Chennai</t>
        </is>
      </c>
    </row>
    <row r="1035" ht="14.25" customHeight="1" s="56">
      <c r="A1035" s="70" t="inlineStr">
        <is>
          <t>ORD-01034</t>
        </is>
      </c>
      <c r="B1035" s="71" t="n">
        <v>45351</v>
      </c>
      <c r="C1035" s="70" t="inlineStr">
        <is>
          <t>CUST-0252</t>
        </is>
      </c>
      <c r="D1035" s="70" t="inlineStr">
        <is>
          <t>PROD-012</t>
        </is>
      </c>
      <c r="E1035" s="70" t="inlineStr">
        <is>
          <t>R007</t>
        </is>
      </c>
      <c r="F1035" s="72" t="n">
        <v>8</v>
      </c>
      <c r="G1035" s="72" t="n">
        <v>3160</v>
      </c>
      <c r="H1035" s="72" t="n">
        <v>23.8</v>
      </c>
      <c r="I1035" s="72" t="n">
        <v>19263.36</v>
      </c>
      <c r="J1035" s="70" t="inlineStr">
        <is>
          <t>Completed</t>
        </is>
      </c>
      <c r="K1035" s="70" t="inlineStr">
        <is>
          <t>Bengaluru</t>
        </is>
      </c>
    </row>
    <row r="1036" ht="14.25" customHeight="1" s="56">
      <c r="A1036" s="70" t="inlineStr">
        <is>
          <t>ORD-01035</t>
        </is>
      </c>
      <c r="B1036" s="71" t="n">
        <v>45422</v>
      </c>
      <c r="C1036" s="70" t="inlineStr">
        <is>
          <t>CUST-0180</t>
        </is>
      </c>
      <c r="D1036" s="70" t="inlineStr">
        <is>
          <t>PROD-029</t>
        </is>
      </c>
      <c r="E1036" s="70" t="inlineStr">
        <is>
          <t>R022</t>
        </is>
      </c>
      <c r="F1036" s="72" t="n">
        <v>3</v>
      </c>
      <c r="G1036" s="72" t="n">
        <v>2210</v>
      </c>
      <c r="H1036" s="72" t="n">
        <v>29.7</v>
      </c>
      <c r="I1036" s="72" t="n">
        <v>4660.89</v>
      </c>
      <c r="J1036" s="70" t="inlineStr">
        <is>
          <t>Completed</t>
        </is>
      </c>
      <c r="K1036" s="70" t="inlineStr">
        <is>
          <t>Chennai</t>
        </is>
      </c>
    </row>
    <row r="1037" ht="14.25" customHeight="1" s="56">
      <c r="A1037" s="70" t="inlineStr">
        <is>
          <t>ORD-01036</t>
        </is>
      </c>
      <c r="B1037" s="71" t="n">
        <v>45361</v>
      </c>
      <c r="C1037" s="70" t="inlineStr">
        <is>
          <t>CUST-0231</t>
        </is>
      </c>
      <c r="D1037" s="70" t="inlineStr">
        <is>
          <t>PROD-053</t>
        </is>
      </c>
      <c r="E1037" s="70" t="inlineStr">
        <is>
          <t>R025</t>
        </is>
      </c>
      <c r="F1037" s="72" t="n">
        <v>9</v>
      </c>
      <c r="G1037" s="72" t="n">
        <v>470</v>
      </c>
      <c r="H1037" s="72" t="n">
        <v>27.1</v>
      </c>
      <c r="I1037" s="72" t="n">
        <v>3083.67</v>
      </c>
      <c r="J1037" s="70" t="inlineStr">
        <is>
          <t>Completed</t>
        </is>
      </c>
      <c r="K1037" s="70" t="inlineStr">
        <is>
          <t>Chennai</t>
        </is>
      </c>
    </row>
    <row r="1038" ht="14.25" customHeight="1" s="56">
      <c r="A1038" s="70" t="inlineStr">
        <is>
          <t>ORD-01037</t>
        </is>
      </c>
      <c r="B1038" s="71" t="n">
        <v>45622</v>
      </c>
      <c r="C1038" s="70" t="inlineStr">
        <is>
          <t>CUST-0161</t>
        </is>
      </c>
      <c r="D1038" s="70" t="inlineStr">
        <is>
          <t>PROD-032</t>
        </is>
      </c>
      <c r="E1038" s="70" t="inlineStr">
        <is>
          <t>R020</t>
        </is>
      </c>
      <c r="F1038" s="72" t="n">
        <v>6</v>
      </c>
      <c r="G1038" s="72" t="n">
        <v>370</v>
      </c>
      <c r="H1038" s="72" t="n">
        <v>5.4</v>
      </c>
      <c r="I1038" s="72" t="n">
        <v>2100.12</v>
      </c>
      <c r="J1038" s="70" t="inlineStr">
        <is>
          <t>Completed</t>
        </is>
      </c>
      <c r="K1038" s="70" t="inlineStr">
        <is>
          <t>Chennai</t>
        </is>
      </c>
    </row>
    <row r="1039" ht="14.25" customHeight="1" s="56">
      <c r="A1039" s="70" t="inlineStr">
        <is>
          <t>ORD-01038</t>
        </is>
      </c>
      <c r="B1039" s="71" t="n">
        <v>45496</v>
      </c>
      <c r="C1039" s="70" t="inlineStr">
        <is>
          <t>CUST-0249</t>
        </is>
      </c>
      <c r="D1039" s="70" t="inlineStr">
        <is>
          <t>PROD-059</t>
        </is>
      </c>
      <c r="E1039" s="70" t="inlineStr">
        <is>
          <t>R018</t>
        </is>
      </c>
      <c r="F1039" s="72" t="n">
        <v>10</v>
      </c>
      <c r="G1039" s="72" t="n">
        <v>3780</v>
      </c>
      <c r="H1039" s="72" t="n">
        <v>21.5</v>
      </c>
      <c r="I1039" s="72" t="n">
        <v>29673</v>
      </c>
      <c r="J1039" s="70" t="inlineStr">
        <is>
          <t>Pending</t>
        </is>
      </c>
      <c r="K1039" s="70" t="inlineStr">
        <is>
          <t>Mumbai</t>
        </is>
      </c>
    </row>
    <row r="1040" ht="14.25" customHeight="1" s="56">
      <c r="A1040" s="70" t="inlineStr">
        <is>
          <t>ORD-01039</t>
        </is>
      </c>
      <c r="B1040" s="71" t="n">
        <v>45578</v>
      </c>
      <c r="C1040" s="70" t="inlineStr">
        <is>
          <t>CUST-0048</t>
        </is>
      </c>
      <c r="D1040" s="70" t="inlineStr">
        <is>
          <t>PROD-056</t>
        </is>
      </c>
      <c r="E1040" s="70" t="inlineStr">
        <is>
          <t>R009</t>
        </is>
      </c>
      <c r="F1040" s="72" t="n">
        <v>4</v>
      </c>
      <c r="G1040" s="72" t="n">
        <v>6940</v>
      </c>
      <c r="H1040" s="72" t="n">
        <v>3.9</v>
      </c>
      <c r="I1040" s="72" t="n">
        <v>26677.36</v>
      </c>
      <c r="J1040" s="70" t="inlineStr">
        <is>
          <t>Cancelled</t>
        </is>
      </c>
      <c r="K1040" s="70" t="inlineStr">
        <is>
          <t>Delhi</t>
        </is>
      </c>
    </row>
    <row r="1041" ht="14.25" customHeight="1" s="56">
      <c r="A1041" s="70" t="inlineStr">
        <is>
          <t>ORD-01040</t>
        </is>
      </c>
      <c r="B1041" s="71" t="n">
        <v>45476</v>
      </c>
      <c r="C1041" s="70" t="inlineStr">
        <is>
          <t>CUST-0068</t>
        </is>
      </c>
      <c r="D1041" s="70" t="inlineStr">
        <is>
          <t>PROD-031</t>
        </is>
      </c>
      <c r="E1041" s="70" t="inlineStr">
        <is>
          <t>R022</t>
        </is>
      </c>
      <c r="F1041" s="72" t="n">
        <v>3</v>
      </c>
      <c r="G1041" s="72" t="n">
        <v>3730</v>
      </c>
      <c r="H1041" s="72" t="n">
        <v>20.7</v>
      </c>
      <c r="I1041" s="72" t="n">
        <v>8873.67</v>
      </c>
      <c r="J1041" s="70" t="inlineStr">
        <is>
          <t>Completed</t>
        </is>
      </c>
      <c r="K1041" s="70" t="inlineStr">
        <is>
          <t>Delhi</t>
        </is>
      </c>
    </row>
    <row r="1042" ht="14.25" customHeight="1" s="56">
      <c r="A1042" s="70" t="inlineStr">
        <is>
          <t>ORD-01041</t>
        </is>
      </c>
      <c r="B1042" s="71" t="n">
        <v>45300</v>
      </c>
      <c r="C1042" s="70" t="inlineStr">
        <is>
          <t>CUST-0213</t>
        </is>
      </c>
      <c r="D1042" s="70" t="inlineStr">
        <is>
          <t>PROD-034</t>
        </is>
      </c>
      <c r="E1042" s="70" t="inlineStr">
        <is>
          <t>R025</t>
        </is>
      </c>
      <c r="F1042" s="72" t="n">
        <v>8</v>
      </c>
      <c r="G1042" s="72" t="n">
        <v>5080</v>
      </c>
      <c r="H1042" s="72" t="n">
        <v>6.2</v>
      </c>
      <c r="I1042" s="72" t="n">
        <v>38120.32</v>
      </c>
      <c r="J1042" s="70" t="inlineStr">
        <is>
          <t>Completed</t>
        </is>
      </c>
      <c r="K1042" s="70" t="inlineStr">
        <is>
          <t>Mumbai</t>
        </is>
      </c>
    </row>
    <row r="1043" ht="14.25" customHeight="1" s="56">
      <c r="A1043" s="70" t="inlineStr">
        <is>
          <t>ORD-01042</t>
        </is>
      </c>
      <c r="B1043" s="71" t="n">
        <v>45455</v>
      </c>
      <c r="C1043" s="70" t="inlineStr">
        <is>
          <t>CUST-0159</t>
        </is>
      </c>
      <c r="D1043" s="70" t="inlineStr">
        <is>
          <t>PROD-052</t>
        </is>
      </c>
      <c r="E1043" s="70" t="inlineStr">
        <is>
          <t>R001</t>
        </is>
      </c>
      <c r="F1043" s="72" t="n">
        <v>5</v>
      </c>
      <c r="G1043" s="72" t="n">
        <v>5410</v>
      </c>
      <c r="H1043" s="72" t="n">
        <v>5.2</v>
      </c>
      <c r="I1043" s="72" t="n">
        <v>25643.4</v>
      </c>
      <c r="J1043" s="70" t="inlineStr">
        <is>
          <t>Completed</t>
        </is>
      </c>
      <c r="K1043" s="70" t="inlineStr">
        <is>
          <t>Hyderabad</t>
        </is>
      </c>
    </row>
    <row r="1044" ht="14.25" customHeight="1" s="56">
      <c r="A1044" s="70" t="inlineStr">
        <is>
          <t>ORD-01043</t>
        </is>
      </c>
      <c r="B1044" s="71" t="n">
        <v>45404</v>
      </c>
      <c r="C1044" s="70" t="inlineStr">
        <is>
          <t>CUST-0298</t>
        </is>
      </c>
      <c r="D1044" s="70" t="inlineStr">
        <is>
          <t>PROD-015</t>
        </is>
      </c>
      <c r="E1044" s="70" t="inlineStr">
        <is>
          <t>R026</t>
        </is>
      </c>
      <c r="F1044" s="72" t="n">
        <v>6</v>
      </c>
      <c r="G1044" s="72" t="n">
        <v>2720</v>
      </c>
      <c r="H1044" s="72" t="n">
        <v>29.8</v>
      </c>
      <c r="I1044" s="72" t="n">
        <v>11456.64</v>
      </c>
      <c r="J1044" s="70" t="inlineStr">
        <is>
          <t>Pending</t>
        </is>
      </c>
      <c r="K1044" s="70" t="inlineStr">
        <is>
          <t>Delhi</t>
        </is>
      </c>
    </row>
    <row r="1045" ht="14.25" customHeight="1" s="56">
      <c r="A1045" s="70" t="inlineStr">
        <is>
          <t>ORD-01044</t>
        </is>
      </c>
      <c r="B1045" s="71" t="n">
        <v>45468</v>
      </c>
      <c r="C1045" s="70" t="inlineStr">
        <is>
          <t>CUST-0145</t>
        </is>
      </c>
      <c r="D1045" s="70" t="inlineStr">
        <is>
          <t>PROD-009</t>
        </is>
      </c>
      <c r="E1045" s="70" t="inlineStr">
        <is>
          <t>R010</t>
        </is>
      </c>
      <c r="F1045" s="72" t="n">
        <v>1</v>
      </c>
      <c r="G1045" s="72" t="n">
        <v>1220</v>
      </c>
      <c r="H1045" s="72" t="n">
        <v>22.6</v>
      </c>
      <c r="I1045" s="72" t="n">
        <v>944.28</v>
      </c>
      <c r="J1045" s="70" t="inlineStr">
        <is>
          <t>Completed</t>
        </is>
      </c>
      <c r="K1045" s="70" t="inlineStr">
        <is>
          <t>Bengaluru</t>
        </is>
      </c>
    </row>
    <row r="1046" ht="14.25" customHeight="1" s="56">
      <c r="A1046" s="70" t="inlineStr">
        <is>
          <t>ORD-01045</t>
        </is>
      </c>
      <c r="B1046" s="71" t="n">
        <v>45640</v>
      </c>
      <c r="C1046" s="70" t="inlineStr">
        <is>
          <t>CUST-0015</t>
        </is>
      </c>
      <c r="D1046" s="70" t="inlineStr">
        <is>
          <t>PROD-046</t>
        </is>
      </c>
      <c r="E1046" s="70" t="inlineStr">
        <is>
          <t>R008</t>
        </is>
      </c>
      <c r="F1046" s="72" t="n">
        <v>10</v>
      </c>
      <c r="G1046" s="72" t="n">
        <v>4880</v>
      </c>
      <c r="H1046" s="72" t="n">
        <v>7.3</v>
      </c>
      <c r="I1046" s="72" t="n">
        <v>45237.6</v>
      </c>
      <c r="J1046" s="70" t="inlineStr">
        <is>
          <t>Completed</t>
        </is>
      </c>
      <c r="K1046" s="70" t="inlineStr">
        <is>
          <t>Chennai</t>
        </is>
      </c>
    </row>
    <row r="1047" ht="14.25" customHeight="1" s="56">
      <c r="A1047" s="70" t="inlineStr">
        <is>
          <t>ORD-01046</t>
        </is>
      </c>
      <c r="B1047" s="71" t="n">
        <v>45450</v>
      </c>
      <c r="C1047" s="70" t="inlineStr">
        <is>
          <t>CUST-0054</t>
        </is>
      </c>
      <c r="D1047" s="70" t="inlineStr">
        <is>
          <t>PROD-022</t>
        </is>
      </c>
      <c r="E1047" s="70" t="inlineStr">
        <is>
          <t>R021</t>
        </is>
      </c>
      <c r="F1047" s="72" t="n">
        <v>10</v>
      </c>
      <c r="G1047" s="72" t="n">
        <v>2270</v>
      </c>
      <c r="H1047" s="72" t="n">
        <v>1.6</v>
      </c>
      <c r="I1047" s="72" t="n">
        <v>22336.8</v>
      </c>
      <c r="J1047" s="70" t="inlineStr">
        <is>
          <t>Completed</t>
        </is>
      </c>
      <c r="K1047" s="70" t="inlineStr">
        <is>
          <t>Mumbai</t>
        </is>
      </c>
    </row>
    <row r="1048" ht="14.25" customHeight="1" s="56">
      <c r="A1048" s="70" t="inlineStr">
        <is>
          <t>ORD-01047</t>
        </is>
      </c>
      <c r="B1048" s="71" t="n">
        <v>45589</v>
      </c>
      <c r="C1048" s="70" t="inlineStr">
        <is>
          <t>CUST-0150</t>
        </is>
      </c>
      <c r="D1048" s="70" t="inlineStr">
        <is>
          <t>PROD-030</t>
        </is>
      </c>
      <c r="E1048" s="70" t="inlineStr">
        <is>
          <t>R003</t>
        </is>
      </c>
      <c r="F1048" s="72" t="n">
        <v>8</v>
      </c>
      <c r="G1048" s="72" t="n">
        <v>970</v>
      </c>
      <c r="H1048" s="72" t="n">
        <v>13.1</v>
      </c>
      <c r="I1048" s="72" t="n">
        <v>6743.44</v>
      </c>
      <c r="J1048" s="70" t="inlineStr">
        <is>
          <t>Completed</t>
        </is>
      </c>
      <c r="K1048" s="70" t="inlineStr">
        <is>
          <t>Pune</t>
        </is>
      </c>
    </row>
    <row r="1049" ht="14.25" customHeight="1" s="56">
      <c r="A1049" s="70" t="inlineStr">
        <is>
          <t>ORD-01048</t>
        </is>
      </c>
      <c r="B1049" s="71" t="n">
        <v>45646</v>
      </c>
      <c r="C1049" s="70" t="inlineStr">
        <is>
          <t>CUST-0096</t>
        </is>
      </c>
      <c r="D1049" s="70" t="inlineStr">
        <is>
          <t>PROD-023</t>
        </is>
      </c>
      <c r="E1049" s="70" t="inlineStr">
        <is>
          <t>R012</t>
        </is>
      </c>
      <c r="F1049" s="72" t="n">
        <v>7</v>
      </c>
      <c r="G1049" s="72" t="n">
        <v>2380</v>
      </c>
      <c r="H1049" s="72" t="n">
        <v>10.6</v>
      </c>
      <c r="I1049" s="72" t="n">
        <v>14894.04</v>
      </c>
      <c r="J1049" s="70" t="inlineStr">
        <is>
          <t>Cancelled</t>
        </is>
      </c>
      <c r="K1049" s="70" t="inlineStr">
        <is>
          <t>Delhi</t>
        </is>
      </c>
    </row>
    <row r="1050" ht="14.25" customHeight="1" s="56">
      <c r="A1050" s="70" t="inlineStr">
        <is>
          <t>ORD-01049</t>
        </is>
      </c>
      <c r="B1050" s="71" t="n">
        <v>45488</v>
      </c>
      <c r="C1050" s="70" t="inlineStr">
        <is>
          <t>CUST-0288</t>
        </is>
      </c>
      <c r="D1050" s="70" t="inlineStr">
        <is>
          <t>PROD-014</t>
        </is>
      </c>
      <c r="E1050" s="70" t="inlineStr">
        <is>
          <t>R016</t>
        </is>
      </c>
      <c r="F1050" s="72" t="n">
        <v>6</v>
      </c>
      <c r="G1050" s="72" t="n">
        <v>3620</v>
      </c>
      <c r="H1050" s="72" t="n">
        <v>21.3</v>
      </c>
      <c r="I1050" s="72" t="n">
        <v>17093.64</v>
      </c>
      <c r="J1050" s="70" t="inlineStr">
        <is>
          <t>Cancelled</t>
        </is>
      </c>
      <c r="K1050" s="70" t="inlineStr">
        <is>
          <t>Hyderabad</t>
        </is>
      </c>
    </row>
    <row r="1051" ht="14.25" customHeight="1" s="56">
      <c r="A1051" s="70" t="inlineStr">
        <is>
          <t>ORD-01050</t>
        </is>
      </c>
      <c r="B1051" s="71" t="n">
        <v>45555</v>
      </c>
      <c r="C1051" s="70" t="inlineStr">
        <is>
          <t>CUST-0048</t>
        </is>
      </c>
      <c r="D1051" s="70" t="inlineStr">
        <is>
          <t>PROD-026</t>
        </is>
      </c>
      <c r="E1051" s="70" t="inlineStr">
        <is>
          <t>R027</t>
        </is>
      </c>
      <c r="F1051" s="72" t="n">
        <v>3</v>
      </c>
      <c r="G1051" s="72" t="n">
        <v>4070</v>
      </c>
      <c r="H1051" s="72" t="n">
        <v>8.199999999999999</v>
      </c>
      <c r="I1051" s="72" t="n">
        <v>11208.78</v>
      </c>
      <c r="J1051" s="70" t="inlineStr">
        <is>
          <t>Cancelled</t>
        </is>
      </c>
      <c r="K1051" s="70" t="inlineStr">
        <is>
          <t>Delhi</t>
        </is>
      </c>
    </row>
    <row r="1052" ht="14.25" customHeight="1" s="56">
      <c r="A1052" s="70" t="inlineStr">
        <is>
          <t>ORD-01051</t>
        </is>
      </c>
      <c r="B1052" s="71" t="n">
        <v>45578</v>
      </c>
      <c r="C1052" s="70" t="inlineStr">
        <is>
          <t>CUST-0104</t>
        </is>
      </c>
      <c r="D1052" s="70" t="inlineStr">
        <is>
          <t>PROD-048</t>
        </is>
      </c>
      <c r="E1052" s="70" t="inlineStr">
        <is>
          <t>R026</t>
        </is>
      </c>
      <c r="F1052" s="72" t="n">
        <v>8</v>
      </c>
      <c r="G1052" s="72" t="n">
        <v>5100</v>
      </c>
      <c r="H1052" s="72" t="n">
        <v>26.9</v>
      </c>
      <c r="I1052" s="72" t="n">
        <v>29824.8</v>
      </c>
      <c r="J1052" s="70" t="inlineStr">
        <is>
          <t>Completed</t>
        </is>
      </c>
      <c r="K1052" s="70" t="inlineStr">
        <is>
          <t>Hyderabad</t>
        </is>
      </c>
    </row>
    <row r="1053" ht="14.25" customHeight="1" s="56">
      <c r="A1053" s="70" t="inlineStr">
        <is>
          <t>ORD-01052</t>
        </is>
      </c>
      <c r="B1053" s="71" t="n">
        <v>45296</v>
      </c>
      <c r="C1053" s="70" t="inlineStr">
        <is>
          <t>CUST-0054</t>
        </is>
      </c>
      <c r="D1053" s="70" t="inlineStr">
        <is>
          <t>PROD-045</t>
        </is>
      </c>
      <c r="E1053" s="70" t="inlineStr">
        <is>
          <t>R017</t>
        </is>
      </c>
      <c r="F1053" s="72" t="n">
        <v>3</v>
      </c>
      <c r="G1053" s="72" t="n">
        <v>3020</v>
      </c>
      <c r="H1053" s="72" t="n">
        <v>18.5</v>
      </c>
      <c r="I1053" s="72" t="n">
        <v>7383.9</v>
      </c>
      <c r="J1053" s="70" t="inlineStr">
        <is>
          <t>Cancelled</t>
        </is>
      </c>
      <c r="K1053" s="70" t="inlineStr">
        <is>
          <t>Mumbai</t>
        </is>
      </c>
    </row>
    <row r="1054" ht="14.25" customHeight="1" s="56">
      <c r="A1054" s="70" t="inlineStr">
        <is>
          <t>ORD-01053</t>
        </is>
      </c>
      <c r="B1054" s="71" t="n">
        <v>45564</v>
      </c>
      <c r="C1054" s="70" t="inlineStr">
        <is>
          <t>CUST-0158</t>
        </is>
      </c>
      <c r="D1054" s="70" t="inlineStr">
        <is>
          <t>PROD-049</t>
        </is>
      </c>
      <c r="E1054" s="70" t="inlineStr">
        <is>
          <t>R002</t>
        </is>
      </c>
      <c r="F1054" s="72" t="n">
        <v>8</v>
      </c>
      <c r="G1054" s="72" t="n">
        <v>960</v>
      </c>
      <c r="H1054" s="72" t="n">
        <v>7.1</v>
      </c>
      <c r="I1054" s="72" t="n">
        <v>7134.72</v>
      </c>
      <c r="J1054" s="70" t="inlineStr">
        <is>
          <t>Completed</t>
        </is>
      </c>
      <c r="K1054" s="70" t="inlineStr">
        <is>
          <t>Pune</t>
        </is>
      </c>
    </row>
    <row r="1055" ht="14.25" customHeight="1" s="56">
      <c r="A1055" s="70" t="inlineStr">
        <is>
          <t>ORD-01054</t>
        </is>
      </c>
      <c r="B1055" s="71" t="n">
        <v>45383</v>
      </c>
      <c r="C1055" s="70" t="inlineStr">
        <is>
          <t>CUST-0231</t>
        </is>
      </c>
      <c r="D1055" s="70" t="inlineStr">
        <is>
          <t>PROD-034</t>
        </is>
      </c>
      <c r="E1055" s="70" t="inlineStr">
        <is>
          <t>R015</t>
        </is>
      </c>
      <c r="F1055" s="72" t="n">
        <v>8</v>
      </c>
      <c r="G1055" s="72" t="n">
        <v>5080</v>
      </c>
      <c r="H1055" s="72" t="n">
        <v>6.2</v>
      </c>
      <c r="I1055" s="72" t="n">
        <v>38120.32</v>
      </c>
      <c r="J1055" s="70" t="inlineStr">
        <is>
          <t>Completed</t>
        </is>
      </c>
      <c r="K1055" s="70" t="inlineStr">
        <is>
          <t>Chennai</t>
        </is>
      </c>
    </row>
    <row r="1056" ht="14.25" customHeight="1" s="56">
      <c r="A1056" s="70" t="inlineStr">
        <is>
          <t>ORD-01055</t>
        </is>
      </c>
      <c r="B1056" s="71" t="n">
        <v>45436</v>
      </c>
      <c r="C1056" s="70" t="inlineStr">
        <is>
          <t>CUST-0277</t>
        </is>
      </c>
      <c r="D1056" s="70" t="inlineStr">
        <is>
          <t>PROD-050</t>
        </is>
      </c>
      <c r="E1056" s="70" t="inlineStr">
        <is>
          <t>R010</t>
        </is>
      </c>
      <c r="F1056" s="72" t="n">
        <v>6</v>
      </c>
      <c r="G1056" s="72" t="n">
        <v>6080</v>
      </c>
      <c r="H1056" s="72" t="n">
        <v>25.8</v>
      </c>
      <c r="I1056" s="72" t="n">
        <v>27068.16</v>
      </c>
      <c r="J1056" s="70" t="inlineStr">
        <is>
          <t>Completed</t>
        </is>
      </c>
      <c r="K1056" s="70" t="inlineStr">
        <is>
          <t>Chennai</t>
        </is>
      </c>
    </row>
    <row r="1057" ht="14.25" customHeight="1" s="56">
      <c r="A1057" s="70" t="inlineStr">
        <is>
          <t>ORD-01056</t>
        </is>
      </c>
      <c r="B1057" s="71" t="n">
        <v>45544</v>
      </c>
      <c r="C1057" s="70" t="inlineStr">
        <is>
          <t>CUST-0232</t>
        </is>
      </c>
      <c r="D1057" s="70" t="inlineStr">
        <is>
          <t>PROD-041</t>
        </is>
      </c>
      <c r="E1057" s="70" t="inlineStr">
        <is>
          <t>R010</t>
        </is>
      </c>
      <c r="F1057" s="72" t="n">
        <v>5</v>
      </c>
      <c r="G1057" s="72" t="n">
        <v>1540</v>
      </c>
      <c r="H1057" s="72" t="n">
        <v>24.6</v>
      </c>
      <c r="I1057" s="72" t="n">
        <v>5805.8</v>
      </c>
      <c r="J1057" s="70" t="inlineStr">
        <is>
          <t>Completed</t>
        </is>
      </c>
      <c r="K1057" s="70" t="inlineStr">
        <is>
          <t>Hyderabad</t>
        </is>
      </c>
    </row>
    <row r="1058" ht="14.25" customHeight="1" s="56">
      <c r="A1058" s="70" t="inlineStr">
        <is>
          <t>ORD-01057</t>
        </is>
      </c>
      <c r="B1058" s="71" t="n">
        <v>45404</v>
      </c>
      <c r="C1058" s="70" t="inlineStr">
        <is>
          <t>CUST-0074</t>
        </is>
      </c>
      <c r="D1058" s="70" t="inlineStr">
        <is>
          <t>PROD-054</t>
        </is>
      </c>
      <c r="E1058" s="70" t="inlineStr">
        <is>
          <t>R024</t>
        </is>
      </c>
      <c r="F1058" s="72" t="n">
        <v>4</v>
      </c>
      <c r="G1058" s="72" t="n">
        <v>1010</v>
      </c>
      <c r="H1058" s="72" t="n">
        <v>2.9</v>
      </c>
      <c r="I1058" s="72" t="n">
        <v>3922.84</v>
      </c>
      <c r="J1058" s="70" t="inlineStr">
        <is>
          <t>Pending</t>
        </is>
      </c>
      <c r="K1058" s="70" t="inlineStr">
        <is>
          <t>Bengaluru</t>
        </is>
      </c>
    </row>
    <row r="1059" ht="14.25" customHeight="1" s="56">
      <c r="A1059" s="70" t="inlineStr">
        <is>
          <t>ORD-01058</t>
        </is>
      </c>
      <c r="B1059" s="71" t="n">
        <v>45586</v>
      </c>
      <c r="C1059" s="70" t="inlineStr">
        <is>
          <t>CUST-0068</t>
        </is>
      </c>
      <c r="D1059" s="70" t="inlineStr">
        <is>
          <t>PROD-049</t>
        </is>
      </c>
      <c r="E1059" s="70" t="inlineStr">
        <is>
          <t>R026</t>
        </is>
      </c>
      <c r="F1059" s="72" t="n">
        <v>5</v>
      </c>
      <c r="G1059" s="72" t="n">
        <v>960</v>
      </c>
      <c r="H1059" s="72" t="n">
        <v>11.4</v>
      </c>
      <c r="I1059" s="72" t="n">
        <v>4252.8</v>
      </c>
      <c r="J1059" s="70" t="inlineStr">
        <is>
          <t>Completed</t>
        </is>
      </c>
      <c r="K1059" s="70" t="inlineStr">
        <is>
          <t>Delhi</t>
        </is>
      </c>
    </row>
    <row r="1060" ht="14.25" customHeight="1" s="56">
      <c r="A1060" s="70" t="inlineStr">
        <is>
          <t>ORD-01059</t>
        </is>
      </c>
      <c r="B1060" s="71" t="n">
        <v>45524</v>
      </c>
      <c r="C1060" s="70" t="inlineStr">
        <is>
          <t>CUST-0152</t>
        </is>
      </c>
      <c r="D1060" s="70" t="inlineStr">
        <is>
          <t>PROD-041</t>
        </is>
      </c>
      <c r="E1060" s="70" t="inlineStr">
        <is>
          <t>R010</t>
        </is>
      </c>
      <c r="F1060" s="72" t="n">
        <v>1</v>
      </c>
      <c r="G1060" s="72" t="n">
        <v>1540</v>
      </c>
      <c r="H1060" s="72" t="n">
        <v>5.6</v>
      </c>
      <c r="I1060" s="72" t="n">
        <v>1453.76</v>
      </c>
      <c r="J1060" s="70" t="inlineStr">
        <is>
          <t>Completed</t>
        </is>
      </c>
      <c r="K1060" s="70" t="inlineStr">
        <is>
          <t>Bengaluru</t>
        </is>
      </c>
    </row>
    <row r="1061" ht="14.25" customHeight="1" s="56">
      <c r="A1061" s="70" t="inlineStr">
        <is>
          <t>ORD-01060</t>
        </is>
      </c>
      <c r="B1061" s="71" t="n">
        <v>45397</v>
      </c>
      <c r="C1061" s="70" t="inlineStr">
        <is>
          <t>CUST-0046</t>
        </is>
      </c>
      <c r="D1061" s="70" t="inlineStr">
        <is>
          <t>PROD-043</t>
        </is>
      </c>
      <c r="E1061" s="70" t="inlineStr">
        <is>
          <t>R019</t>
        </is>
      </c>
      <c r="F1061" s="72" t="n">
        <v>9</v>
      </c>
      <c r="G1061" s="72" t="n">
        <v>3350</v>
      </c>
      <c r="H1061" s="72" t="n">
        <v>2.1</v>
      </c>
      <c r="I1061" s="72" t="n">
        <v>29516.85</v>
      </c>
      <c r="J1061" s="70" t="inlineStr">
        <is>
          <t>Completed</t>
        </is>
      </c>
      <c r="K1061" s="70" t="inlineStr">
        <is>
          <t>Delhi</t>
        </is>
      </c>
    </row>
    <row r="1062" ht="14.25" customHeight="1" s="56">
      <c r="A1062" s="70" t="inlineStr">
        <is>
          <t>ORD-01061</t>
        </is>
      </c>
      <c r="B1062" s="71" t="n">
        <v>45336</v>
      </c>
      <c r="C1062" s="70" t="inlineStr">
        <is>
          <t>CUST-0201</t>
        </is>
      </c>
      <c r="D1062" s="70" t="inlineStr">
        <is>
          <t>PROD-051</t>
        </is>
      </c>
      <c r="E1062" s="70" t="inlineStr">
        <is>
          <t>R021</t>
        </is>
      </c>
      <c r="F1062" s="72" t="n">
        <v>7</v>
      </c>
      <c r="G1062" s="72" t="n">
        <v>3450</v>
      </c>
      <c r="H1062" s="72" t="n">
        <v>4.7</v>
      </c>
      <c r="I1062" s="72" t="n">
        <v>23014.95</v>
      </c>
      <c r="J1062" s="70" t="inlineStr">
        <is>
          <t>Completed</t>
        </is>
      </c>
      <c r="K1062" s="70" t="inlineStr">
        <is>
          <t>Hyderabad</t>
        </is>
      </c>
    </row>
    <row r="1063" ht="14.25" customHeight="1" s="56">
      <c r="A1063" s="70" t="inlineStr">
        <is>
          <t>ORD-01062</t>
        </is>
      </c>
      <c r="B1063" s="71" t="n">
        <v>45594</v>
      </c>
      <c r="C1063" s="70" t="inlineStr">
        <is>
          <t>CUST-0191</t>
        </is>
      </c>
      <c r="D1063" s="70" t="inlineStr">
        <is>
          <t>PROD-057</t>
        </is>
      </c>
      <c r="E1063" s="70" t="inlineStr">
        <is>
          <t>R019</t>
        </is>
      </c>
      <c r="F1063" s="72" t="n">
        <v>10</v>
      </c>
      <c r="G1063" s="72" t="n">
        <v>960</v>
      </c>
      <c r="H1063" s="72" t="n">
        <v>17.9</v>
      </c>
      <c r="I1063" s="72" t="n">
        <v>7881.6</v>
      </c>
      <c r="J1063" s="70" t="inlineStr">
        <is>
          <t>Completed</t>
        </is>
      </c>
      <c r="K1063" s="70" t="inlineStr">
        <is>
          <t>Hyderabad</t>
        </is>
      </c>
    </row>
    <row r="1064" ht="14.25" customHeight="1" s="56">
      <c r="A1064" s="70" t="inlineStr">
        <is>
          <t>ORD-01063</t>
        </is>
      </c>
      <c r="B1064" s="71" t="n">
        <v>45617</v>
      </c>
      <c r="C1064" s="70" t="inlineStr">
        <is>
          <t>CUST-0192</t>
        </is>
      </c>
      <c r="D1064" s="70" t="inlineStr">
        <is>
          <t>PROD-013</t>
        </is>
      </c>
      <c r="E1064" s="70" t="inlineStr">
        <is>
          <t>R014</t>
        </is>
      </c>
      <c r="F1064" s="72" t="n">
        <v>1</v>
      </c>
      <c r="G1064" s="72" t="n">
        <v>3640</v>
      </c>
      <c r="H1064" s="72" t="n">
        <v>8.800000000000001</v>
      </c>
      <c r="I1064" s="72" t="n">
        <v>3319.68</v>
      </c>
      <c r="J1064" s="70" t="inlineStr">
        <is>
          <t>Completed</t>
        </is>
      </c>
      <c r="K1064" s="70" t="inlineStr">
        <is>
          <t>Bengaluru</t>
        </is>
      </c>
    </row>
    <row r="1065" ht="14.25" customHeight="1" s="56">
      <c r="A1065" s="70" t="inlineStr">
        <is>
          <t>ORD-01064</t>
        </is>
      </c>
      <c r="B1065" s="71" t="n">
        <v>45378</v>
      </c>
      <c r="C1065" s="70" t="inlineStr">
        <is>
          <t>CUST-0074</t>
        </is>
      </c>
      <c r="D1065" s="70" t="inlineStr">
        <is>
          <t>PROD-029</t>
        </is>
      </c>
      <c r="E1065" s="70" t="inlineStr">
        <is>
          <t>R017</t>
        </is>
      </c>
      <c r="F1065" s="72" t="n">
        <v>1</v>
      </c>
      <c r="G1065" s="72" t="n">
        <v>2210</v>
      </c>
      <c r="H1065" s="72" t="n">
        <v>10.7</v>
      </c>
      <c r="I1065" s="72" t="n">
        <v>1973.53</v>
      </c>
      <c r="J1065" s="70" t="inlineStr">
        <is>
          <t>Completed</t>
        </is>
      </c>
      <c r="K1065" s="70" t="inlineStr">
        <is>
          <t>Bengaluru</t>
        </is>
      </c>
    </row>
    <row r="1066" ht="14.25" customHeight="1" s="56">
      <c r="A1066" s="70" t="inlineStr">
        <is>
          <t>ORD-01065</t>
        </is>
      </c>
      <c r="B1066" s="71" t="n">
        <v>45318</v>
      </c>
      <c r="C1066" s="70" t="inlineStr">
        <is>
          <t>CUST-0071</t>
        </is>
      </c>
      <c r="D1066" s="70" t="inlineStr">
        <is>
          <t>PROD-031</t>
        </is>
      </c>
      <c r="E1066" s="70" t="inlineStr">
        <is>
          <t>R005</t>
        </is>
      </c>
      <c r="F1066" s="72" t="n">
        <v>2</v>
      </c>
      <c r="G1066" s="72" t="n">
        <v>3730</v>
      </c>
      <c r="H1066" s="72" t="n">
        <v>13.9</v>
      </c>
      <c r="I1066" s="72" t="n">
        <v>6423.06</v>
      </c>
      <c r="J1066" s="70" t="inlineStr">
        <is>
          <t>Completed</t>
        </is>
      </c>
      <c r="K1066" s="70" t="inlineStr">
        <is>
          <t>Delhi</t>
        </is>
      </c>
    </row>
    <row r="1067" ht="14.25" customHeight="1" s="56">
      <c r="A1067" s="70" t="inlineStr">
        <is>
          <t>ORD-01066</t>
        </is>
      </c>
      <c r="B1067" s="71" t="n">
        <v>45542</v>
      </c>
      <c r="C1067" s="70" t="inlineStr">
        <is>
          <t>CUST-0210</t>
        </is>
      </c>
      <c r="D1067" s="70" t="inlineStr">
        <is>
          <t>PROD-052</t>
        </is>
      </c>
      <c r="E1067" s="70" t="inlineStr">
        <is>
          <t>R010</t>
        </is>
      </c>
      <c r="F1067" s="72" t="n">
        <v>7</v>
      </c>
      <c r="G1067" s="72" t="n">
        <v>5410</v>
      </c>
      <c r="H1067" s="72" t="n">
        <v>23.6</v>
      </c>
      <c r="I1067" s="72" t="n">
        <v>28932.68</v>
      </c>
      <c r="J1067" s="70" t="inlineStr">
        <is>
          <t>Completed</t>
        </is>
      </c>
      <c r="K1067" s="70" t="inlineStr">
        <is>
          <t>Pune</t>
        </is>
      </c>
    </row>
    <row r="1068" ht="14.25" customHeight="1" s="56">
      <c r="A1068" s="70" t="inlineStr">
        <is>
          <t>ORD-01067</t>
        </is>
      </c>
      <c r="B1068" s="71" t="n">
        <v>45618</v>
      </c>
      <c r="C1068" s="70" t="inlineStr">
        <is>
          <t>CUST-0054</t>
        </is>
      </c>
      <c r="D1068" s="70" t="inlineStr">
        <is>
          <t>PROD-027</t>
        </is>
      </c>
      <c r="E1068" s="70" t="inlineStr">
        <is>
          <t>R018</t>
        </is>
      </c>
      <c r="F1068" s="72" t="n">
        <v>7</v>
      </c>
      <c r="G1068" s="72" t="n">
        <v>3780</v>
      </c>
      <c r="H1068" s="72" t="n">
        <v>8.5</v>
      </c>
      <c r="I1068" s="72" t="n">
        <v>24210.9</v>
      </c>
      <c r="J1068" s="70" t="inlineStr">
        <is>
          <t>Cancelled</t>
        </is>
      </c>
      <c r="K1068" s="70" t="inlineStr">
        <is>
          <t>Mumbai</t>
        </is>
      </c>
    </row>
    <row r="1069" ht="14.25" customHeight="1" s="56">
      <c r="A1069" s="70" t="inlineStr">
        <is>
          <t>ORD-01068</t>
        </is>
      </c>
      <c r="B1069" s="71" t="n">
        <v>45555</v>
      </c>
      <c r="C1069" s="70" t="inlineStr">
        <is>
          <t>CUST-0194</t>
        </is>
      </c>
      <c r="D1069" s="70" t="inlineStr">
        <is>
          <t>PROD-039</t>
        </is>
      </c>
      <c r="E1069" s="70" t="inlineStr">
        <is>
          <t>R016</t>
        </is>
      </c>
      <c r="F1069" s="72" t="n">
        <v>9</v>
      </c>
      <c r="G1069" s="72" t="n">
        <v>4610</v>
      </c>
      <c r="H1069" s="72" t="n">
        <v>26.6</v>
      </c>
      <c r="I1069" s="72" t="n">
        <v>30453.66</v>
      </c>
      <c r="J1069" s="70" t="inlineStr">
        <is>
          <t>Completed</t>
        </is>
      </c>
      <c r="K1069" s="70" t="inlineStr">
        <is>
          <t>Delhi</t>
        </is>
      </c>
    </row>
    <row r="1070" ht="14.25" customHeight="1" s="56">
      <c r="A1070" s="70" t="inlineStr">
        <is>
          <t>ORD-01069</t>
        </is>
      </c>
      <c r="B1070" s="71" t="n">
        <v>45373</v>
      </c>
      <c r="C1070" s="70" t="inlineStr">
        <is>
          <t>CUST-0231</t>
        </is>
      </c>
      <c r="D1070" s="70" t="inlineStr">
        <is>
          <t>PROD-010</t>
        </is>
      </c>
      <c r="E1070" s="70" t="inlineStr">
        <is>
          <t>R025</t>
        </is>
      </c>
      <c r="F1070" s="72" t="n">
        <v>5</v>
      </c>
      <c r="G1070" s="72" t="n">
        <v>2640</v>
      </c>
      <c r="H1070" s="72" t="n">
        <v>1.5</v>
      </c>
      <c r="I1070" s="72" t="n">
        <v>13002</v>
      </c>
      <c r="J1070" s="70" t="inlineStr">
        <is>
          <t>Completed</t>
        </is>
      </c>
      <c r="K1070" s="70" t="inlineStr">
        <is>
          <t>Chennai</t>
        </is>
      </c>
    </row>
    <row r="1071" ht="14.25" customHeight="1" s="56">
      <c r="A1071" s="70" t="inlineStr">
        <is>
          <t>ORD-01070</t>
        </is>
      </c>
      <c r="B1071" s="71" t="n">
        <v>45515</v>
      </c>
      <c r="C1071" s="70" t="inlineStr">
        <is>
          <t>CUST-0053</t>
        </is>
      </c>
      <c r="D1071" s="70" t="inlineStr">
        <is>
          <t>PROD-014</t>
        </is>
      </c>
      <c r="E1071" s="70" t="inlineStr">
        <is>
          <t>R010</t>
        </is>
      </c>
      <c r="F1071" s="72" t="n">
        <v>3</v>
      </c>
      <c r="G1071" s="72" t="n">
        <v>3620</v>
      </c>
      <c r="H1071" s="72" t="n">
        <v>3.1</v>
      </c>
      <c r="I1071" s="72" t="n">
        <v>10523.34</v>
      </c>
      <c r="J1071" s="70" t="inlineStr">
        <is>
          <t>Completed</t>
        </is>
      </c>
      <c r="K1071" s="70" t="inlineStr">
        <is>
          <t>Delhi</t>
        </is>
      </c>
    </row>
    <row r="1072" ht="14.25" customHeight="1" s="56">
      <c r="A1072" s="70" t="inlineStr">
        <is>
          <t>ORD-01071</t>
        </is>
      </c>
      <c r="B1072" s="71" t="n">
        <v>45530</v>
      </c>
      <c r="C1072" s="70" t="inlineStr">
        <is>
          <t>CUST-0290</t>
        </is>
      </c>
      <c r="D1072" s="70" t="inlineStr">
        <is>
          <t>PROD-053</t>
        </is>
      </c>
      <c r="E1072" s="70" t="inlineStr">
        <is>
          <t>R018</t>
        </is>
      </c>
      <c r="F1072" s="72" t="n">
        <v>5</v>
      </c>
      <c r="G1072" s="72" t="n">
        <v>470</v>
      </c>
      <c r="H1072" s="72" t="n">
        <v>10.6</v>
      </c>
      <c r="I1072" s="72" t="n">
        <v>2100.9</v>
      </c>
      <c r="J1072" s="70" t="inlineStr">
        <is>
          <t>Cancelled</t>
        </is>
      </c>
      <c r="K1072" s="70" t="inlineStr">
        <is>
          <t>Delhi</t>
        </is>
      </c>
    </row>
    <row r="1073" ht="14.25" customHeight="1" s="56">
      <c r="A1073" s="70" t="inlineStr">
        <is>
          <t>ORD-01072</t>
        </is>
      </c>
      <c r="B1073" s="71" t="n">
        <v>45463</v>
      </c>
      <c r="C1073" s="70" t="inlineStr">
        <is>
          <t>CUST-0261</t>
        </is>
      </c>
      <c r="D1073" s="70" t="inlineStr">
        <is>
          <t>PROD-001</t>
        </is>
      </c>
      <c r="E1073" s="70" t="inlineStr">
        <is>
          <t>R009</t>
        </is>
      </c>
      <c r="F1073" s="72" t="n">
        <v>7</v>
      </c>
      <c r="G1073" s="72" t="n">
        <v>5330</v>
      </c>
      <c r="H1073" s="72" t="n">
        <v>25</v>
      </c>
      <c r="I1073" s="72" t="n">
        <v>27982.5</v>
      </c>
      <c r="J1073" s="70" t="inlineStr">
        <is>
          <t>Cancelled</t>
        </is>
      </c>
      <c r="K1073" s="70" t="inlineStr">
        <is>
          <t>Delhi</t>
        </is>
      </c>
    </row>
    <row r="1074" ht="14.25" customHeight="1" s="56">
      <c r="A1074" s="70" t="inlineStr">
        <is>
          <t>ORD-01073</t>
        </is>
      </c>
      <c r="B1074" s="71" t="n">
        <v>45292</v>
      </c>
      <c r="C1074" s="70" t="inlineStr">
        <is>
          <t>CUST-0045</t>
        </is>
      </c>
      <c r="D1074" s="70" t="inlineStr">
        <is>
          <t>PROD-050</t>
        </is>
      </c>
      <c r="E1074" s="70" t="inlineStr">
        <is>
          <t>R014</t>
        </is>
      </c>
      <c r="F1074" s="72" t="n">
        <v>1</v>
      </c>
      <c r="G1074" s="72" t="n">
        <v>6080</v>
      </c>
      <c r="H1074" s="72" t="n">
        <v>27.8</v>
      </c>
      <c r="I1074" s="72" t="n">
        <v>4389.76</v>
      </c>
      <c r="J1074" s="70" t="inlineStr">
        <is>
          <t>Completed</t>
        </is>
      </c>
      <c r="K1074" s="70" t="inlineStr">
        <is>
          <t>Chennai</t>
        </is>
      </c>
    </row>
    <row r="1075" ht="14.25" customHeight="1" s="56">
      <c r="A1075" s="70" t="inlineStr">
        <is>
          <t>ORD-01074</t>
        </is>
      </c>
      <c r="B1075" s="71" t="n">
        <v>45347</v>
      </c>
      <c r="C1075" s="70" t="inlineStr">
        <is>
          <t>CUST-0064</t>
        </is>
      </c>
      <c r="D1075" s="70" t="inlineStr">
        <is>
          <t>PROD-043</t>
        </is>
      </c>
      <c r="E1075" s="70" t="inlineStr">
        <is>
          <t>R024</t>
        </is>
      </c>
      <c r="F1075" s="72" t="n">
        <v>6</v>
      </c>
      <c r="G1075" s="72" t="n">
        <v>3350</v>
      </c>
      <c r="H1075" s="72" t="n">
        <v>12</v>
      </c>
      <c r="I1075" s="72" t="n">
        <v>17688</v>
      </c>
      <c r="J1075" s="70" t="inlineStr">
        <is>
          <t>Completed</t>
        </is>
      </c>
      <c r="K1075" s="70" t="inlineStr">
        <is>
          <t>Hyderabad</t>
        </is>
      </c>
    </row>
    <row r="1076" ht="14.25" customHeight="1" s="56">
      <c r="A1076" s="70" t="inlineStr">
        <is>
          <t>ORD-01075</t>
        </is>
      </c>
      <c r="B1076" s="71" t="n">
        <v>45592</v>
      </c>
      <c r="C1076" s="70" t="inlineStr">
        <is>
          <t>CUST-9754</t>
        </is>
      </c>
      <c r="D1076" s="70" t="inlineStr">
        <is>
          <t>PROD-056</t>
        </is>
      </c>
      <c r="E1076" s="70" t="inlineStr">
        <is>
          <t>R027</t>
        </is>
      </c>
      <c r="F1076" s="72" t="n">
        <v>6</v>
      </c>
      <c r="G1076" s="72" t="n">
        <v>6940</v>
      </c>
      <c r="H1076" s="72" t="n">
        <v>20</v>
      </c>
      <c r="I1076" s="72" t="n">
        <v>33312</v>
      </c>
      <c r="J1076" s="70" t="inlineStr">
        <is>
          <t>Completed</t>
        </is>
      </c>
      <c r="K1076" s="70" t="inlineStr">
        <is>
          <t>Chennai</t>
        </is>
      </c>
    </row>
    <row r="1077" ht="14.25" customHeight="1" s="56">
      <c r="A1077" s="70" t="inlineStr">
        <is>
          <t>ORD-01076</t>
        </is>
      </c>
      <c r="B1077" s="71" t="n">
        <v>45636</v>
      </c>
      <c r="C1077" s="70" t="inlineStr">
        <is>
          <t>CUST-0200</t>
        </is>
      </c>
      <c r="D1077" s="70" t="inlineStr">
        <is>
          <t>PROD-032</t>
        </is>
      </c>
      <c r="E1077" s="70" t="inlineStr">
        <is>
          <t>R007</t>
        </is>
      </c>
      <c r="F1077" s="72" t="n">
        <v>1</v>
      </c>
      <c r="G1077" s="72" t="n">
        <v>370</v>
      </c>
      <c r="H1077" s="72" t="n">
        <v>10</v>
      </c>
      <c r="I1077" s="72" t="n">
        <v>333</v>
      </c>
      <c r="J1077" s="70" t="inlineStr">
        <is>
          <t>Completed</t>
        </is>
      </c>
      <c r="K1077" s="70" t="inlineStr">
        <is>
          <t>Hyderabad</t>
        </is>
      </c>
    </row>
    <row r="1078" ht="14.25" customHeight="1" s="56">
      <c r="A1078" s="70" t="inlineStr">
        <is>
          <t>ORD-01077</t>
        </is>
      </c>
      <c r="B1078" s="71" t="n">
        <v>45432</v>
      </c>
      <c r="C1078" s="70" t="inlineStr">
        <is>
          <t>CUST-0058</t>
        </is>
      </c>
      <c r="D1078" s="70" t="inlineStr">
        <is>
          <t>PROD-038</t>
        </is>
      </c>
      <c r="E1078" s="70" t="inlineStr">
        <is>
          <t>R020</t>
        </is>
      </c>
      <c r="F1078" s="72" t="n">
        <v>2</v>
      </c>
      <c r="G1078" s="72" t="n">
        <v>5490</v>
      </c>
      <c r="H1078" s="72" t="n">
        <v>27.9</v>
      </c>
      <c r="I1078" s="72" t="n">
        <v>7916.58</v>
      </c>
      <c r="J1078" s="70" t="inlineStr">
        <is>
          <t>Completed</t>
        </is>
      </c>
      <c r="K1078" s="70" t="inlineStr">
        <is>
          <t>Bengaluru</t>
        </is>
      </c>
    </row>
    <row r="1079" ht="14.25" customHeight="1" s="56">
      <c r="A1079" s="70" t="inlineStr">
        <is>
          <t>ORD-01078</t>
        </is>
      </c>
      <c r="B1079" s="71" t="n">
        <v>45479</v>
      </c>
      <c r="C1079" s="70" t="inlineStr">
        <is>
          <t>CUST-0156</t>
        </is>
      </c>
      <c r="D1079" s="70" t="inlineStr">
        <is>
          <t>PROD-028</t>
        </is>
      </c>
      <c r="E1079" s="70" t="inlineStr">
        <is>
          <t>R009</t>
        </is>
      </c>
      <c r="F1079" s="72" t="n">
        <v>5</v>
      </c>
      <c r="G1079" s="72" t="n">
        <v>3660</v>
      </c>
      <c r="H1079" s="72" t="n">
        <v>4.6</v>
      </c>
      <c r="I1079" s="72" t="n">
        <v>17458.2</v>
      </c>
      <c r="J1079" s="70" t="inlineStr">
        <is>
          <t>Completed</t>
        </is>
      </c>
      <c r="K1079" s="70" t="inlineStr">
        <is>
          <t>Mumbai</t>
        </is>
      </c>
    </row>
    <row r="1080" ht="14.25" customHeight="1" s="56">
      <c r="A1080" s="70" t="inlineStr">
        <is>
          <t>ORD-01079</t>
        </is>
      </c>
      <c r="B1080" s="71" t="n">
        <v>45563</v>
      </c>
      <c r="C1080" s="70" t="inlineStr">
        <is>
          <t>CUST-0107</t>
        </is>
      </c>
      <c r="D1080" s="70" t="inlineStr">
        <is>
          <t>PROD-005</t>
        </is>
      </c>
      <c r="E1080" s="70" t="inlineStr">
        <is>
          <t>R029</t>
        </is>
      </c>
      <c r="F1080" s="72" t="n">
        <v>6</v>
      </c>
      <c r="G1080" s="72" t="n">
        <v>300</v>
      </c>
      <c r="H1080" s="72" t="n">
        <v>9</v>
      </c>
      <c r="I1080" s="72" t="n">
        <v>1638</v>
      </c>
      <c r="J1080" s="70" t="inlineStr">
        <is>
          <t>Completed</t>
        </is>
      </c>
      <c r="K1080" s="70" t="inlineStr">
        <is>
          <t>Pune</t>
        </is>
      </c>
    </row>
    <row r="1081" ht="14.25" customHeight="1" s="56">
      <c r="A1081" s="70" t="inlineStr">
        <is>
          <t>ORD-01080</t>
        </is>
      </c>
      <c r="B1081" s="71" t="n">
        <v>45523</v>
      </c>
      <c r="C1081" s="70" t="inlineStr">
        <is>
          <t>CUST-0184</t>
        </is>
      </c>
      <c r="D1081" s="70" t="inlineStr">
        <is>
          <t>PROD-005</t>
        </is>
      </c>
      <c r="E1081" s="70" t="inlineStr">
        <is>
          <t>R012</t>
        </is>
      </c>
      <c r="F1081" s="72" t="n">
        <v>3</v>
      </c>
      <c r="G1081" s="72" t="n">
        <v>300</v>
      </c>
      <c r="H1081" s="72" t="n">
        <v>19.2</v>
      </c>
      <c r="I1081" s="72" t="n">
        <v>727.2</v>
      </c>
      <c r="J1081" s="70" t="inlineStr">
        <is>
          <t>Completed</t>
        </is>
      </c>
      <c r="K1081" s="70" t="inlineStr">
        <is>
          <t>Pune</t>
        </is>
      </c>
    </row>
    <row r="1082" ht="14.25" customHeight="1" s="56">
      <c r="A1082" s="70" t="inlineStr">
        <is>
          <t>ORD-01081</t>
        </is>
      </c>
      <c r="B1082" s="71" t="n">
        <v>45537</v>
      </c>
      <c r="C1082" s="70" t="inlineStr">
        <is>
          <t>CUST-0202</t>
        </is>
      </c>
      <c r="D1082" s="70" t="inlineStr">
        <is>
          <t>PROD-049</t>
        </is>
      </c>
      <c r="E1082" s="70" t="inlineStr">
        <is>
          <t>R014</t>
        </is>
      </c>
      <c r="F1082" s="72" t="n">
        <v>6</v>
      </c>
      <c r="G1082" s="72" t="n">
        <v>960</v>
      </c>
      <c r="H1082" s="72" t="n">
        <v>29.3</v>
      </c>
      <c r="I1082" s="72" t="n">
        <v>4072.32</v>
      </c>
      <c r="J1082" s="70" t="inlineStr">
        <is>
          <t>Cancelled</t>
        </is>
      </c>
      <c r="K1082" s="70" t="inlineStr">
        <is>
          <t>Chennai</t>
        </is>
      </c>
    </row>
    <row r="1083" ht="14.25" customHeight="1" s="56">
      <c r="A1083" s="70" t="inlineStr">
        <is>
          <t>ORD-01082</t>
        </is>
      </c>
      <c r="B1083" s="71" t="n">
        <v>45383</v>
      </c>
      <c r="C1083" s="70" t="inlineStr">
        <is>
          <t>CUST-0137</t>
        </is>
      </c>
      <c r="D1083" s="70" t="inlineStr">
        <is>
          <t>PROD-022</t>
        </is>
      </c>
      <c r="E1083" s="70" t="inlineStr">
        <is>
          <t>R025</t>
        </is>
      </c>
      <c r="F1083" s="72" t="n">
        <v>1</v>
      </c>
      <c r="G1083" s="72" t="n">
        <v>2270</v>
      </c>
      <c r="H1083" s="72" t="n">
        <v>12.4</v>
      </c>
      <c r="I1083" s="72" t="n">
        <v>1988.52</v>
      </c>
      <c r="J1083" s="70" t="inlineStr">
        <is>
          <t>Completed</t>
        </is>
      </c>
      <c r="K1083" s="70" t="inlineStr">
        <is>
          <t>Mumbai</t>
        </is>
      </c>
    </row>
    <row r="1084" ht="14.25" customHeight="1" s="56">
      <c r="A1084" s="70" t="inlineStr">
        <is>
          <t>ORD-01083</t>
        </is>
      </c>
      <c r="B1084" s="71" t="n">
        <v>45541</v>
      </c>
      <c r="C1084" s="70" t="inlineStr">
        <is>
          <t>CUST-0108</t>
        </is>
      </c>
      <c r="D1084" s="70" t="inlineStr">
        <is>
          <t>PROD-033</t>
        </is>
      </c>
      <c r="E1084" s="70" t="inlineStr">
        <is>
          <t>R027</t>
        </is>
      </c>
      <c r="F1084" s="72" t="n">
        <v>10</v>
      </c>
      <c r="G1084" s="72" t="n">
        <v>2030</v>
      </c>
      <c r="H1084" s="72" t="n">
        <v>4</v>
      </c>
      <c r="I1084" s="72" t="n">
        <v>19488</v>
      </c>
      <c r="J1084" s="70" t="inlineStr">
        <is>
          <t>Completed</t>
        </is>
      </c>
      <c r="K1084" s="70" t="inlineStr">
        <is>
          <t>Bengaluru</t>
        </is>
      </c>
    </row>
    <row r="1085" ht="14.25" customHeight="1" s="56">
      <c r="A1085" s="70" t="inlineStr">
        <is>
          <t>ORD-01084</t>
        </is>
      </c>
      <c r="B1085" s="71" t="n">
        <v>45609</v>
      </c>
      <c r="C1085" s="70" t="inlineStr">
        <is>
          <t>CUST-0126</t>
        </is>
      </c>
      <c r="D1085" s="70" t="inlineStr">
        <is>
          <t>PROD-040</t>
        </is>
      </c>
      <c r="E1085" s="70" t="inlineStr">
        <is>
          <t>R021</t>
        </is>
      </c>
      <c r="F1085" s="72" t="n">
        <v>9</v>
      </c>
      <c r="G1085" s="72" t="n">
        <v>1080</v>
      </c>
      <c r="H1085" s="72" t="n">
        <v>19.2</v>
      </c>
      <c r="I1085" s="72" t="n">
        <v>7853.76</v>
      </c>
      <c r="J1085" s="70" t="inlineStr">
        <is>
          <t>Pending</t>
        </is>
      </c>
      <c r="K1085" s="70" t="inlineStr">
        <is>
          <t>Mumbai</t>
        </is>
      </c>
    </row>
    <row r="1086" ht="14.25" customHeight="1" s="56">
      <c r="A1086" s="70" t="inlineStr">
        <is>
          <t>ORD-01085</t>
        </is>
      </c>
      <c r="B1086" s="71" t="n">
        <v>45463</v>
      </c>
      <c r="C1086" s="70" t="inlineStr">
        <is>
          <t>CUST-0107</t>
        </is>
      </c>
      <c r="D1086" s="70" t="inlineStr">
        <is>
          <t>PROD-055</t>
        </is>
      </c>
      <c r="E1086" s="70" t="inlineStr">
        <is>
          <t>R025</t>
        </is>
      </c>
      <c r="F1086" s="72" t="n">
        <v>5</v>
      </c>
      <c r="G1086" s="72" t="n">
        <v>2860</v>
      </c>
      <c r="H1086" s="72" t="n">
        <v>25</v>
      </c>
      <c r="I1086" s="72" t="n">
        <v>10725</v>
      </c>
      <c r="J1086" s="70" t="inlineStr">
        <is>
          <t>Pending</t>
        </is>
      </c>
      <c r="K1086" s="70" t="inlineStr">
        <is>
          <t>Pune</t>
        </is>
      </c>
    </row>
    <row r="1087" ht="14.25" customHeight="1" s="56">
      <c r="A1087" s="70" t="inlineStr">
        <is>
          <t>ORD-01086</t>
        </is>
      </c>
      <c r="B1087" s="71" t="n">
        <v>45588</v>
      </c>
      <c r="C1087" s="70" t="inlineStr">
        <is>
          <t>CUST-0071</t>
        </is>
      </c>
      <c r="D1087" s="70" t="inlineStr">
        <is>
          <t>PROD-024</t>
        </is>
      </c>
      <c r="E1087" s="70" t="inlineStr">
        <is>
          <t>R012</t>
        </is>
      </c>
      <c r="F1087" s="72" t="n">
        <v>6</v>
      </c>
      <c r="G1087" s="72" t="n">
        <v>2270</v>
      </c>
      <c r="H1087" s="72" t="n">
        <v>9.300000000000001</v>
      </c>
      <c r="I1087" s="72" t="n">
        <v>12353.34</v>
      </c>
      <c r="J1087" s="70" t="inlineStr">
        <is>
          <t>Completed</t>
        </is>
      </c>
      <c r="K1087" s="70" t="inlineStr">
        <is>
          <t>Delhi</t>
        </is>
      </c>
    </row>
    <row r="1088" ht="14.25" customHeight="1" s="56">
      <c r="A1088" s="70" t="inlineStr">
        <is>
          <t>ORD-01087</t>
        </is>
      </c>
      <c r="B1088" s="71" t="n">
        <v>45328</v>
      </c>
      <c r="C1088" s="70" t="inlineStr">
        <is>
          <t>CUST-0238</t>
        </is>
      </c>
      <c r="D1088" s="70" t="inlineStr">
        <is>
          <t>PROD-015</t>
        </is>
      </c>
      <c r="E1088" s="70" t="inlineStr">
        <is>
          <t>R024</t>
        </is>
      </c>
      <c r="F1088" s="72" t="n">
        <v>1</v>
      </c>
      <c r="G1088" s="72" t="n">
        <v>2720</v>
      </c>
      <c r="H1088" s="72" t="n">
        <v>15.2</v>
      </c>
      <c r="I1088" s="72" t="n">
        <v>2306.56</v>
      </c>
      <c r="J1088" s="70" t="inlineStr">
        <is>
          <t>Completed</t>
        </is>
      </c>
      <c r="K1088" s="70" t="inlineStr">
        <is>
          <t>Delhi</t>
        </is>
      </c>
    </row>
    <row r="1089" ht="14.25" customHeight="1" s="56">
      <c r="A1089" s="70" t="inlineStr">
        <is>
          <t>ORD-01088</t>
        </is>
      </c>
      <c r="B1089" s="71" t="n">
        <v>45638</v>
      </c>
      <c r="C1089" s="70" t="inlineStr">
        <is>
          <t>CUST-0022</t>
        </is>
      </c>
      <c r="D1089" s="70" t="inlineStr">
        <is>
          <t>PROD-004</t>
        </is>
      </c>
      <c r="E1089" s="70" t="inlineStr">
        <is>
          <t>R005</t>
        </is>
      </c>
      <c r="F1089" s="72" t="n">
        <v>10</v>
      </c>
      <c r="G1089" s="72" t="n">
        <v>3870</v>
      </c>
      <c r="H1089" s="72" t="n">
        <v>4.9</v>
      </c>
      <c r="I1089" s="72" t="n">
        <v>36803.7</v>
      </c>
      <c r="J1089" s="70" t="inlineStr">
        <is>
          <t>Cancelled</t>
        </is>
      </c>
      <c r="K1089" s="70" t="inlineStr">
        <is>
          <t>Bengaluru</t>
        </is>
      </c>
    </row>
    <row r="1090" ht="14.25" customHeight="1" s="56">
      <c r="A1090" s="70" t="inlineStr">
        <is>
          <t>ORD-01089</t>
        </is>
      </c>
      <c r="B1090" s="71" t="n">
        <v>45332</v>
      </c>
      <c r="C1090" s="70" t="inlineStr">
        <is>
          <t>CUST-0100</t>
        </is>
      </c>
      <c r="D1090" s="70" t="inlineStr">
        <is>
          <t>PROD-011</t>
        </is>
      </c>
      <c r="E1090" s="70" t="inlineStr">
        <is>
          <t>R019</t>
        </is>
      </c>
      <c r="F1090" s="72" t="n">
        <v>8</v>
      </c>
      <c r="G1090" s="72" t="n">
        <v>3450</v>
      </c>
      <c r="H1090" s="72" t="n">
        <v>20.6</v>
      </c>
      <c r="I1090" s="72" t="n">
        <v>21914.4</v>
      </c>
      <c r="J1090" s="70" t="inlineStr">
        <is>
          <t>Completed</t>
        </is>
      </c>
      <c r="K1090" s="70" t="inlineStr">
        <is>
          <t>Hyderabad</t>
        </is>
      </c>
    </row>
    <row r="1091" ht="14.25" customHeight="1" s="56">
      <c r="A1091" s="70" t="inlineStr">
        <is>
          <t>ORD-01090</t>
        </is>
      </c>
      <c r="B1091" s="71" t="n">
        <v>45406</v>
      </c>
      <c r="C1091" s="70" t="inlineStr">
        <is>
          <t>CUST-0263</t>
        </is>
      </c>
      <c r="D1091" s="70" t="inlineStr">
        <is>
          <t>PROD-053</t>
        </is>
      </c>
      <c r="E1091" s="70" t="inlineStr">
        <is>
          <t>R002</t>
        </is>
      </c>
      <c r="F1091" s="72" t="n">
        <v>1</v>
      </c>
      <c r="G1091" s="72" t="n">
        <v>470</v>
      </c>
      <c r="H1091" s="72" t="n">
        <v>5.4</v>
      </c>
      <c r="I1091" s="72" t="n">
        <v>444.62</v>
      </c>
      <c r="J1091" s="70" t="inlineStr">
        <is>
          <t>Refunded</t>
        </is>
      </c>
      <c r="K1091" s="70" t="inlineStr">
        <is>
          <t>Mumbai</t>
        </is>
      </c>
    </row>
    <row r="1092" ht="14.25" customHeight="1" s="56">
      <c r="A1092" s="70" t="inlineStr">
        <is>
          <t>ORD-01091</t>
        </is>
      </c>
      <c r="B1092" s="71" t="n">
        <v>45405</v>
      </c>
      <c r="C1092" s="70" t="inlineStr">
        <is>
          <t>CUST-0032</t>
        </is>
      </c>
      <c r="D1092" s="70" t="inlineStr">
        <is>
          <t>PROD-006</t>
        </is>
      </c>
      <c r="E1092" s="70" t="inlineStr">
        <is>
          <t>R009</t>
        </is>
      </c>
      <c r="F1092" s="72" t="n">
        <v>5</v>
      </c>
      <c r="G1092" s="72" t="n">
        <v>3970</v>
      </c>
      <c r="H1092" s="72" t="n">
        <v>5.8</v>
      </c>
      <c r="I1092" s="72" t="n">
        <v>18698.7</v>
      </c>
      <c r="J1092" s="70" t="inlineStr">
        <is>
          <t>Completed</t>
        </is>
      </c>
      <c r="K1092" s="70" t="inlineStr">
        <is>
          <t>Hyderabad</t>
        </is>
      </c>
    </row>
    <row r="1093" ht="14.25" customHeight="1" s="56">
      <c r="A1093" s="70" t="inlineStr">
        <is>
          <t>ORD-01092</t>
        </is>
      </c>
      <c r="B1093" s="71" t="n">
        <v>45469</v>
      </c>
      <c r="C1093" s="70" t="inlineStr">
        <is>
          <t>CUST-0227</t>
        </is>
      </c>
      <c r="D1093" s="70" t="inlineStr">
        <is>
          <t>PROD-048</t>
        </is>
      </c>
      <c r="E1093" s="70" t="inlineStr">
        <is>
          <t>R012</t>
        </is>
      </c>
      <c r="F1093" s="72" t="n">
        <v>2</v>
      </c>
      <c r="G1093" s="72" t="n">
        <v>5100</v>
      </c>
      <c r="H1093" s="72" t="n">
        <v>19.9</v>
      </c>
      <c r="I1093" s="72" t="n">
        <v>8170.2</v>
      </c>
      <c r="J1093" s="70" t="inlineStr">
        <is>
          <t>Completed</t>
        </is>
      </c>
      <c r="K1093" s="70" t="inlineStr">
        <is>
          <t>Bengaluru</t>
        </is>
      </c>
    </row>
    <row r="1094" ht="14.25" customHeight="1" s="56">
      <c r="A1094" s="70" t="inlineStr">
        <is>
          <t>ORD-01093</t>
        </is>
      </c>
      <c r="B1094" s="71" t="n">
        <v>45656</v>
      </c>
      <c r="C1094" s="70" t="inlineStr">
        <is>
          <t>CUST-0124</t>
        </is>
      </c>
      <c r="D1094" s="70" t="inlineStr">
        <is>
          <t>PROD-047</t>
        </is>
      </c>
      <c r="E1094" s="70" t="inlineStr">
        <is>
          <t>R001</t>
        </is>
      </c>
      <c r="F1094" s="72" t="n">
        <v>6</v>
      </c>
      <c r="G1094" s="72" t="n">
        <v>3450</v>
      </c>
      <c r="H1094" s="72" t="n">
        <v>13</v>
      </c>
      <c r="I1094" s="72" t="n">
        <v>18009</v>
      </c>
      <c r="J1094" s="70" t="inlineStr">
        <is>
          <t>Completed</t>
        </is>
      </c>
      <c r="K1094" s="70" t="inlineStr">
        <is>
          <t>Pune</t>
        </is>
      </c>
    </row>
    <row r="1095" ht="14.25" customHeight="1" s="56">
      <c r="A1095" s="70" t="inlineStr">
        <is>
          <t>ORD-01094</t>
        </is>
      </c>
      <c r="B1095" s="71" t="n">
        <v>45653</v>
      </c>
      <c r="C1095" s="70" t="inlineStr">
        <is>
          <t>CUST-0276</t>
        </is>
      </c>
      <c r="D1095" s="70" t="inlineStr">
        <is>
          <t>PROD-031</t>
        </is>
      </c>
      <c r="E1095" s="70" t="inlineStr">
        <is>
          <t>R012</t>
        </is>
      </c>
      <c r="F1095" s="72" t="n">
        <v>9</v>
      </c>
      <c r="G1095" s="72" t="n">
        <v>3730</v>
      </c>
      <c r="H1095" s="72" t="n">
        <v>15.5</v>
      </c>
      <c r="I1095" s="72" t="n">
        <v>28366.65</v>
      </c>
      <c r="J1095" s="70" t="inlineStr">
        <is>
          <t>Completed</t>
        </is>
      </c>
      <c r="K1095" s="70" t="inlineStr">
        <is>
          <t>Chennai</t>
        </is>
      </c>
    </row>
    <row r="1096" ht="14.25" customHeight="1" s="56">
      <c r="A1096" s="70" t="inlineStr">
        <is>
          <t>ORD-01095</t>
        </is>
      </c>
      <c r="B1096" s="71" t="n">
        <v>45440</v>
      </c>
      <c r="C1096" s="70" t="inlineStr">
        <is>
          <t>CUST-0100</t>
        </is>
      </c>
      <c r="D1096" s="70" t="inlineStr">
        <is>
          <t>PROD-049</t>
        </is>
      </c>
      <c r="E1096" s="70" t="inlineStr">
        <is>
          <t>R020</t>
        </is>
      </c>
      <c r="F1096" s="72" t="n">
        <v>5</v>
      </c>
      <c r="G1096" s="72" t="n">
        <v>960</v>
      </c>
      <c r="H1096" s="72" t="n">
        <v>9.300000000000001</v>
      </c>
      <c r="I1096" s="72" t="n">
        <v>4353.6</v>
      </c>
      <c r="J1096" s="70" t="inlineStr">
        <is>
          <t>Completed</t>
        </is>
      </c>
      <c r="K1096" s="70" t="inlineStr">
        <is>
          <t>Hyderabad</t>
        </is>
      </c>
    </row>
    <row r="1097" ht="14.25" customHeight="1" s="56">
      <c r="A1097" s="70" t="inlineStr">
        <is>
          <t>ORD-01096</t>
        </is>
      </c>
      <c r="B1097" s="71" t="n">
        <v>45511</v>
      </c>
      <c r="C1097" s="70" t="inlineStr">
        <is>
          <t>CUST-0221</t>
        </is>
      </c>
      <c r="D1097" s="70" t="inlineStr">
        <is>
          <t>PROD-034</t>
        </is>
      </c>
      <c r="E1097" s="70" t="inlineStr">
        <is>
          <t>R008</t>
        </is>
      </c>
      <c r="F1097" s="72" t="n">
        <v>3</v>
      </c>
      <c r="G1097" s="72" t="n">
        <v>5080</v>
      </c>
      <c r="H1097" s="72" t="n">
        <v>17.4</v>
      </c>
      <c r="I1097" s="72" t="n">
        <v>12588.24</v>
      </c>
      <c r="J1097" s="70" t="inlineStr">
        <is>
          <t>Cancelled</t>
        </is>
      </c>
      <c r="K1097" s="70" t="inlineStr">
        <is>
          <t>Delhi</t>
        </is>
      </c>
    </row>
    <row r="1098" ht="14.25" customHeight="1" s="56">
      <c r="A1098" s="70" t="inlineStr">
        <is>
          <t>ORD-01097</t>
        </is>
      </c>
      <c r="B1098" s="71" t="n">
        <v>45300</v>
      </c>
      <c r="C1098" s="70" t="inlineStr">
        <is>
          <t>CUST-0266</t>
        </is>
      </c>
      <c r="D1098" s="70" t="inlineStr">
        <is>
          <t>PROD-004</t>
        </is>
      </c>
      <c r="E1098" s="70" t="inlineStr">
        <is>
          <t>R003</t>
        </is>
      </c>
      <c r="F1098" s="72" t="n">
        <v>4</v>
      </c>
      <c r="G1098" s="72" t="n">
        <v>3870</v>
      </c>
      <c r="H1098" s="72" t="n">
        <v>20.5</v>
      </c>
      <c r="I1098" s="72" t="n">
        <v>12306.6</v>
      </c>
      <c r="J1098" s="70" t="inlineStr">
        <is>
          <t>Pending</t>
        </is>
      </c>
      <c r="K1098" s="70" t="inlineStr">
        <is>
          <t>PUNE</t>
        </is>
      </c>
    </row>
    <row r="1099" ht="14.25" customHeight="1" s="56">
      <c r="A1099" s="70" t="inlineStr">
        <is>
          <t>ORD-01098</t>
        </is>
      </c>
      <c r="B1099" s="71" t="n">
        <v>45528</v>
      </c>
      <c r="C1099" s="70" t="inlineStr">
        <is>
          <t>CUST-0210</t>
        </is>
      </c>
      <c r="D1099" s="70" t="inlineStr">
        <is>
          <t>PROD-059</t>
        </is>
      </c>
      <c r="E1099" s="70" t="inlineStr">
        <is>
          <t>R024</t>
        </is>
      </c>
      <c r="F1099" s="72" t="n">
        <v>1</v>
      </c>
      <c r="G1099" s="72" t="n">
        <v>3780</v>
      </c>
      <c r="H1099" s="72" t="n">
        <v>21.5</v>
      </c>
      <c r="I1099" s="72" t="n">
        <v>2967.3</v>
      </c>
      <c r="J1099" s="70" t="inlineStr">
        <is>
          <t>Completed</t>
        </is>
      </c>
      <c r="K1099" s="70" t="inlineStr">
        <is>
          <t>Pune</t>
        </is>
      </c>
    </row>
    <row r="1100" ht="14.25" customHeight="1" s="56">
      <c r="A1100" s="70" t="inlineStr">
        <is>
          <t>ORD-01099</t>
        </is>
      </c>
      <c r="B1100" s="71" t="n">
        <v>45622</v>
      </c>
      <c r="C1100" s="70" t="inlineStr">
        <is>
          <t>CUST-0293</t>
        </is>
      </c>
      <c r="D1100" s="70" t="inlineStr">
        <is>
          <t>PROD-004</t>
        </is>
      </c>
      <c r="E1100" s="70" t="inlineStr">
        <is>
          <t>R017</t>
        </is>
      </c>
      <c r="F1100" s="72" t="n">
        <v>3</v>
      </c>
      <c r="G1100" s="72" t="n">
        <v>3870</v>
      </c>
      <c r="H1100" s="72" t="n">
        <v>21.9</v>
      </c>
      <c r="I1100" s="72" t="n">
        <v>9067.41</v>
      </c>
      <c r="J1100" s="70" t="inlineStr">
        <is>
          <t>Pending</t>
        </is>
      </c>
      <c r="K1100" s="70" t="inlineStr">
        <is>
          <t>Bengaluru</t>
        </is>
      </c>
    </row>
    <row r="1101" ht="14.25" customHeight="1" s="56">
      <c r="A1101" s="70" t="inlineStr">
        <is>
          <t>ORD-01100</t>
        </is>
      </c>
      <c r="B1101" s="71" t="n">
        <v>45463</v>
      </c>
      <c r="C1101" s="70" t="inlineStr">
        <is>
          <t>CUST-0291</t>
        </is>
      </c>
      <c r="D1101" s="70" t="inlineStr">
        <is>
          <t>PROD-033</t>
        </is>
      </c>
      <c r="E1101" s="70" t="inlineStr">
        <is>
          <t>R009</t>
        </is>
      </c>
      <c r="F1101" s="72" t="n">
        <v>4</v>
      </c>
      <c r="G1101" s="72" t="n">
        <v>2030</v>
      </c>
      <c r="H1101" s="72" t="n">
        <v>23.4</v>
      </c>
      <c r="I1101" s="72" t="n">
        <v>6219.92</v>
      </c>
      <c r="J1101" s="70" t="inlineStr">
        <is>
          <t>Completed</t>
        </is>
      </c>
      <c r="K1101" s="70" t="inlineStr">
        <is>
          <t>Pune</t>
        </is>
      </c>
    </row>
    <row r="1102" ht="14.25" customHeight="1" s="56">
      <c r="A1102" s="70" t="inlineStr">
        <is>
          <t>ORD-01101</t>
        </is>
      </c>
      <c r="B1102" s="71" t="n">
        <v>45407</v>
      </c>
      <c r="C1102" s="70" t="inlineStr">
        <is>
          <t>CUST-0295</t>
        </is>
      </c>
      <c r="D1102" s="70" t="inlineStr">
        <is>
          <t>PROD-029</t>
        </is>
      </c>
      <c r="E1102" s="70" t="inlineStr">
        <is>
          <t>R003</t>
        </is>
      </c>
      <c r="F1102" s="72" t="n">
        <v>6</v>
      </c>
      <c r="G1102" s="72" t="n">
        <v>2210</v>
      </c>
      <c r="H1102" s="72" t="n">
        <v>9.1</v>
      </c>
      <c r="I1102" s="72" t="n">
        <v>12053.34</v>
      </c>
      <c r="J1102" s="70" t="inlineStr">
        <is>
          <t>Completed</t>
        </is>
      </c>
      <c r="K1102" s="70" t="inlineStr">
        <is>
          <t>Delhi</t>
        </is>
      </c>
    </row>
    <row r="1103" ht="14.25" customHeight="1" s="56">
      <c r="A1103" s="70" t="inlineStr">
        <is>
          <t>ORD-01102</t>
        </is>
      </c>
      <c r="B1103" s="71" t="n">
        <v>45627</v>
      </c>
      <c r="C1103" s="70" t="inlineStr">
        <is>
          <t>CUST-0123</t>
        </is>
      </c>
      <c r="D1103" s="70" t="inlineStr">
        <is>
          <t>PROD-041</t>
        </is>
      </c>
      <c r="E1103" s="70" t="inlineStr">
        <is>
          <t>R017</t>
        </is>
      </c>
      <c r="F1103" s="72" t="n">
        <v>5</v>
      </c>
      <c r="G1103" s="72" t="n">
        <v>1540</v>
      </c>
      <c r="H1103" s="72" t="n">
        <v>18.1</v>
      </c>
      <c r="I1103" s="72" t="n">
        <v>6306.3</v>
      </c>
      <c r="J1103" s="70" t="inlineStr">
        <is>
          <t>Completed</t>
        </is>
      </c>
      <c r="K1103" s="70" t="inlineStr">
        <is>
          <t>Chennai</t>
        </is>
      </c>
    </row>
    <row r="1104" ht="14.25" customHeight="1" s="56">
      <c r="A1104" s="70" t="inlineStr">
        <is>
          <t>ORD-01103</t>
        </is>
      </c>
      <c r="B1104" s="71" t="n">
        <v>45393</v>
      </c>
      <c r="C1104" s="70" t="inlineStr">
        <is>
          <t>CUST-0167</t>
        </is>
      </c>
      <c r="D1104" s="70" t="inlineStr">
        <is>
          <t>PROD-054</t>
        </is>
      </c>
      <c r="E1104" s="70" t="inlineStr">
        <is>
          <t>R011</t>
        </is>
      </c>
      <c r="F1104" s="72" t="n">
        <v>1</v>
      </c>
      <c r="G1104" s="72" t="n">
        <v>1010</v>
      </c>
      <c r="H1104" s="72" t="n">
        <v>7.3</v>
      </c>
      <c r="I1104" s="72" t="n">
        <v>936.27</v>
      </c>
      <c r="J1104" s="70" t="inlineStr">
        <is>
          <t>Completed</t>
        </is>
      </c>
      <c r="K1104" s="70" t="inlineStr">
        <is>
          <t>Delhi</t>
        </is>
      </c>
    </row>
    <row r="1105" ht="14.25" customHeight="1" s="56">
      <c r="A1105" s="70" t="inlineStr">
        <is>
          <t>ORD-01104</t>
        </is>
      </c>
      <c r="B1105" s="71" t="n">
        <v>45360</v>
      </c>
      <c r="C1105" s="70" t="inlineStr">
        <is>
          <t>CUST-0247</t>
        </is>
      </c>
      <c r="D1105" s="70" t="inlineStr">
        <is>
          <t>PROD-001</t>
        </is>
      </c>
      <c r="E1105" s="70" t="inlineStr">
        <is>
          <t>R015</t>
        </is>
      </c>
      <c r="F1105" s="72" t="n">
        <v>10</v>
      </c>
      <c r="G1105" s="72" t="n">
        <v>5330</v>
      </c>
      <c r="H1105" s="72" t="n">
        <v>27.3</v>
      </c>
      <c r="I1105" s="72" t="n">
        <v>38749.1</v>
      </c>
      <c r="J1105" s="70" t="inlineStr">
        <is>
          <t>Completed</t>
        </is>
      </c>
      <c r="K1105" s="70" t="inlineStr">
        <is>
          <t>Pune</t>
        </is>
      </c>
    </row>
    <row r="1106" ht="14.25" customHeight="1" s="56">
      <c r="A1106" s="70" t="inlineStr">
        <is>
          <t>ORD-01105</t>
        </is>
      </c>
      <c r="B1106" s="71" t="n">
        <v>45548</v>
      </c>
      <c r="C1106" s="70" t="inlineStr">
        <is>
          <t>CUST-0224</t>
        </is>
      </c>
      <c r="D1106" s="70" t="inlineStr">
        <is>
          <t>PROD-003</t>
        </is>
      </c>
      <c r="E1106" s="70" t="inlineStr">
        <is>
          <t>R022</t>
        </is>
      </c>
      <c r="F1106" s="72" t="n">
        <v>7</v>
      </c>
      <c r="G1106" s="72" t="n">
        <v>3570</v>
      </c>
      <c r="H1106" s="72" t="n">
        <v>24.3</v>
      </c>
      <c r="I1106" s="72" t="n">
        <v>18917.43</v>
      </c>
      <c r="J1106" s="70" t="inlineStr">
        <is>
          <t>Completed</t>
        </is>
      </c>
      <c r="K1106" s="70" t="inlineStr">
        <is>
          <t>Chennai</t>
        </is>
      </c>
    </row>
    <row r="1107" ht="14.25" customHeight="1" s="56">
      <c r="A1107" s="70" t="inlineStr">
        <is>
          <t>ORD-01106</t>
        </is>
      </c>
      <c r="B1107" s="71" t="n">
        <v>45569</v>
      </c>
      <c r="C1107" s="70" t="inlineStr">
        <is>
          <t>CUST-0102</t>
        </is>
      </c>
      <c r="D1107" s="70" t="inlineStr">
        <is>
          <t>PROD-043</t>
        </is>
      </c>
      <c r="E1107" s="70" t="inlineStr">
        <is>
          <t>R017</t>
        </is>
      </c>
      <c r="F1107" s="72" t="n">
        <v>1</v>
      </c>
      <c r="G1107" s="72" t="n">
        <v>3350</v>
      </c>
      <c r="H1107" s="72" t="n">
        <v>14.9</v>
      </c>
      <c r="I1107" s="72" t="n">
        <v>2850.85</v>
      </c>
      <c r="J1107" s="70" t="inlineStr">
        <is>
          <t>Completed</t>
        </is>
      </c>
      <c r="K1107" s="70" t="inlineStr">
        <is>
          <t>Chennai</t>
        </is>
      </c>
    </row>
    <row r="1108" ht="14.25" customHeight="1" s="56">
      <c r="A1108" s="70" t="inlineStr">
        <is>
          <t>ORD-01107</t>
        </is>
      </c>
      <c r="B1108" s="71" t="n">
        <v>45541</v>
      </c>
      <c r="C1108" s="70" t="inlineStr">
        <is>
          <t>CUST-0151</t>
        </is>
      </c>
      <c r="D1108" s="70" t="inlineStr">
        <is>
          <t>PROD-017</t>
        </is>
      </c>
      <c r="E1108" s="70" t="inlineStr">
        <is>
          <t>R023</t>
        </is>
      </c>
      <c r="F1108" s="72" t="n">
        <v>2</v>
      </c>
      <c r="G1108" s="72" t="n">
        <v>2510</v>
      </c>
      <c r="H1108" s="72" t="n">
        <v>10.6</v>
      </c>
      <c r="I1108" s="72" t="n">
        <v>4487.88</v>
      </c>
      <c r="J1108" s="70" t="inlineStr">
        <is>
          <t>Completed</t>
        </is>
      </c>
      <c r="K1108" s="70" t="inlineStr">
        <is>
          <t>Mumbai</t>
        </is>
      </c>
    </row>
    <row r="1109" ht="14.25" customHeight="1" s="56">
      <c r="A1109" s="70" t="inlineStr">
        <is>
          <t>ORD-01108</t>
        </is>
      </c>
      <c r="B1109" s="71" t="n">
        <v>45369</v>
      </c>
      <c r="C1109" s="70" t="inlineStr">
        <is>
          <t>CUST-0182</t>
        </is>
      </c>
      <c r="D1109" s="70" t="inlineStr">
        <is>
          <t>PROD-030</t>
        </is>
      </c>
      <c r="E1109" s="70" t="inlineStr">
        <is>
          <t>R025</t>
        </is>
      </c>
      <c r="F1109" s="72" t="n">
        <v>5</v>
      </c>
      <c r="G1109" s="72" t="n">
        <v>970</v>
      </c>
      <c r="H1109" s="72" t="n">
        <v>6.8</v>
      </c>
      <c r="I1109" s="72" t="n">
        <v>4520.2</v>
      </c>
      <c r="J1109" s="70" t="inlineStr">
        <is>
          <t>Pending</t>
        </is>
      </c>
      <c r="K1109" s="70" t="inlineStr">
        <is>
          <t>Mumbai</t>
        </is>
      </c>
    </row>
    <row r="1110" ht="14.25" customHeight="1" s="56">
      <c r="A1110" s="70" t="inlineStr">
        <is>
          <t>ORD-01109</t>
        </is>
      </c>
      <c r="B1110" s="71" t="n">
        <v>45519</v>
      </c>
      <c r="C1110" s="70" t="inlineStr">
        <is>
          <t>CUST-0152</t>
        </is>
      </c>
      <c r="D1110" s="70" t="inlineStr">
        <is>
          <t>PROD-027</t>
        </is>
      </c>
      <c r="E1110" s="70" t="inlineStr">
        <is>
          <t>R002</t>
        </is>
      </c>
      <c r="F1110" s="72" t="n">
        <v>5</v>
      </c>
      <c r="G1110" s="72" t="n">
        <v>3780</v>
      </c>
      <c r="H1110" s="72" t="n">
        <v>16.6</v>
      </c>
      <c r="I1110" s="72" t="n">
        <v>15762.6</v>
      </c>
      <c r="J1110" s="70" t="inlineStr">
        <is>
          <t>Completed</t>
        </is>
      </c>
      <c r="K1110" s="70" t="inlineStr">
        <is>
          <t>Bengaluru</t>
        </is>
      </c>
    </row>
    <row r="1111" ht="14.25" customHeight="1" s="56">
      <c r="A1111" s="70" t="inlineStr">
        <is>
          <t>ORD-01110</t>
        </is>
      </c>
      <c r="B1111" s="71" t="n">
        <v>45379</v>
      </c>
      <c r="C1111" s="70" t="inlineStr">
        <is>
          <t>CUST-0247</t>
        </is>
      </c>
      <c r="D1111" s="70" t="inlineStr">
        <is>
          <t>PROD-017</t>
        </is>
      </c>
      <c r="E1111" s="70" t="inlineStr">
        <is>
          <t>R007</t>
        </is>
      </c>
      <c r="F1111" s="72" t="n">
        <v>3</v>
      </c>
      <c r="G1111" s="72" t="n">
        <v>2510</v>
      </c>
      <c r="H1111" s="72" t="n">
        <v>24.9</v>
      </c>
      <c r="I1111" s="72" t="n">
        <v>5655.03</v>
      </c>
      <c r="J1111" s="70" t="inlineStr">
        <is>
          <t>Cancelled</t>
        </is>
      </c>
      <c r="K1111" s="70" t="inlineStr">
        <is>
          <t>Pune</t>
        </is>
      </c>
    </row>
    <row r="1112" ht="14.25" customHeight="1" s="56">
      <c r="A1112" s="70" t="inlineStr">
        <is>
          <t>ORD-01111</t>
        </is>
      </c>
      <c r="B1112" s="71" t="n">
        <v>45548</v>
      </c>
      <c r="C1112" s="70" t="inlineStr">
        <is>
          <t>CUST-0220</t>
        </is>
      </c>
      <c r="D1112" s="70" t="inlineStr">
        <is>
          <t>PROD-033</t>
        </is>
      </c>
      <c r="E1112" s="70" t="inlineStr">
        <is>
          <t>R008</t>
        </is>
      </c>
      <c r="F1112" s="72" t="n">
        <v>3</v>
      </c>
      <c r="G1112" s="72" t="n">
        <v>2030</v>
      </c>
      <c r="H1112" s="72" t="n">
        <v>3.8</v>
      </c>
      <c r="I1112" s="72" t="n">
        <v>5858.58</v>
      </c>
      <c r="J1112" s="70" t="inlineStr">
        <is>
          <t>Completed</t>
        </is>
      </c>
      <c r="K1112" s="70" t="inlineStr">
        <is>
          <t>Chennai</t>
        </is>
      </c>
    </row>
    <row r="1113" ht="14.25" customHeight="1" s="56">
      <c r="A1113" s="70" t="inlineStr">
        <is>
          <t>ORD-01112</t>
        </is>
      </c>
      <c r="B1113" s="71" t="n">
        <v>45478</v>
      </c>
      <c r="C1113" s="70" t="inlineStr">
        <is>
          <t>CUST-0206</t>
        </is>
      </c>
      <c r="D1113" s="70" t="inlineStr">
        <is>
          <t>PROD-060</t>
        </is>
      </c>
      <c r="E1113" s="70" t="inlineStr">
        <is>
          <t>R014</t>
        </is>
      </c>
      <c r="F1113" s="72" t="n">
        <v>9</v>
      </c>
      <c r="G1113" s="72" t="n">
        <v>190</v>
      </c>
      <c r="H1113" s="72" t="n">
        <v>5.4</v>
      </c>
      <c r="I1113" s="72" t="n">
        <v>1617.66</v>
      </c>
      <c r="J1113" s="70" t="inlineStr">
        <is>
          <t>Completed</t>
        </is>
      </c>
      <c r="K1113" s="70" t="inlineStr">
        <is>
          <t>Mumbai</t>
        </is>
      </c>
    </row>
    <row r="1114" ht="14.25" customHeight="1" s="56">
      <c r="A1114" s="70" t="inlineStr">
        <is>
          <t>ORD-01113</t>
        </is>
      </c>
      <c r="B1114" s="71" t="n">
        <v>45338</v>
      </c>
      <c r="C1114" s="70" t="inlineStr">
        <is>
          <t>CUST-0219</t>
        </is>
      </c>
      <c r="D1114" s="70" t="inlineStr">
        <is>
          <t>PROD-029</t>
        </is>
      </c>
      <c r="E1114" s="70" t="inlineStr">
        <is>
          <t>R020</t>
        </is>
      </c>
      <c r="F1114" s="72" t="n">
        <v>6</v>
      </c>
      <c r="G1114" s="72" t="n">
        <v>2210</v>
      </c>
      <c r="H1114" s="72" t="n">
        <v>29.4</v>
      </c>
      <c r="I1114" s="72" t="n">
        <v>9361.559999999999</v>
      </c>
      <c r="J1114" s="70" t="inlineStr">
        <is>
          <t>Completed</t>
        </is>
      </c>
      <c r="K1114" s="70" t="inlineStr">
        <is>
          <t>Chennai</t>
        </is>
      </c>
    </row>
    <row r="1115" ht="14.25" customHeight="1" s="56">
      <c r="A1115" s="70" t="inlineStr">
        <is>
          <t>ORD-01114</t>
        </is>
      </c>
      <c r="B1115" s="71" t="n">
        <v>45546</v>
      </c>
      <c r="C1115" s="70" t="inlineStr">
        <is>
          <t>CUST-0298</t>
        </is>
      </c>
      <c r="D1115" s="70" t="inlineStr">
        <is>
          <t>PROD-013</t>
        </is>
      </c>
      <c r="E1115" s="70" t="inlineStr">
        <is>
          <t>R005</t>
        </is>
      </c>
      <c r="F1115" s="72" t="n">
        <v>4</v>
      </c>
      <c r="G1115" s="72" t="n">
        <v>3640</v>
      </c>
      <c r="H1115" s="72" t="n">
        <v>0.6</v>
      </c>
      <c r="I1115" s="72" t="n">
        <v>14472.64</v>
      </c>
      <c r="J1115" s="70" t="inlineStr">
        <is>
          <t>Completed</t>
        </is>
      </c>
      <c r="K1115" s="70" t="inlineStr">
        <is>
          <t>Delhi</t>
        </is>
      </c>
    </row>
    <row r="1116" ht="14.25" customHeight="1" s="56">
      <c r="A1116" s="70" t="inlineStr">
        <is>
          <t>ORD-01115</t>
        </is>
      </c>
      <c r="B1116" s="71" t="n">
        <v>45626</v>
      </c>
      <c r="C1116" s="70" t="inlineStr">
        <is>
          <t>CUST-0254</t>
        </is>
      </c>
      <c r="D1116" s="70" t="inlineStr">
        <is>
          <t>PROD-009</t>
        </is>
      </c>
      <c r="E1116" s="70" t="inlineStr">
        <is>
          <t>R009</t>
        </is>
      </c>
      <c r="F1116" s="72" t="n">
        <v>9</v>
      </c>
      <c r="G1116" s="72" t="n">
        <v>1220</v>
      </c>
      <c r="H1116" s="72" t="n">
        <v>24.1</v>
      </c>
      <c r="I1116" s="72" t="n">
        <v>8333.82</v>
      </c>
      <c r="J1116" s="70" t="inlineStr">
        <is>
          <t>Completed</t>
        </is>
      </c>
      <c r="K1116" s="70" t="inlineStr">
        <is>
          <t>Bengaluru</t>
        </is>
      </c>
    </row>
    <row r="1117" ht="14.25" customHeight="1" s="56">
      <c r="A1117" s="70" t="inlineStr">
        <is>
          <t>ORD-01116</t>
        </is>
      </c>
      <c r="B1117" s="71" t="n">
        <v>45402</v>
      </c>
      <c r="C1117" s="70" t="inlineStr">
        <is>
          <t>CUST-0085</t>
        </is>
      </c>
      <c r="D1117" s="70" t="inlineStr">
        <is>
          <t>PROD-056</t>
        </is>
      </c>
      <c r="E1117" s="70" t="inlineStr">
        <is>
          <t>R009</t>
        </is>
      </c>
      <c r="F1117" s="72" t="n">
        <v>2</v>
      </c>
      <c r="G1117" s="72" t="n">
        <v>6940</v>
      </c>
      <c r="H1117" s="72" t="n">
        <v>27</v>
      </c>
      <c r="I1117" s="72" t="n">
        <v>10132.4</v>
      </c>
      <c r="J1117" s="70" t="inlineStr">
        <is>
          <t>Completed</t>
        </is>
      </c>
      <c r="K1117" s="70" t="inlineStr">
        <is>
          <t>Chennai</t>
        </is>
      </c>
    </row>
    <row r="1118" ht="14.25" customHeight="1" s="56">
      <c r="A1118" s="70" t="inlineStr">
        <is>
          <t>ORD-01117</t>
        </is>
      </c>
      <c r="B1118" s="71" t="n">
        <v>45604</v>
      </c>
      <c r="C1118" s="70" t="inlineStr">
        <is>
          <t>CUST-0181</t>
        </is>
      </c>
      <c r="D1118" s="70" t="inlineStr">
        <is>
          <t>PROD-055</t>
        </is>
      </c>
      <c r="E1118" s="70" t="inlineStr">
        <is>
          <t>R010</t>
        </is>
      </c>
      <c r="F1118" s="72" t="n">
        <v>6</v>
      </c>
      <c r="G1118" s="72" t="n">
        <v>2860</v>
      </c>
      <c r="H1118" s="72" t="n">
        <v>6.6</v>
      </c>
      <c r="I1118" s="72" t="n">
        <v>16027.44</v>
      </c>
      <c r="J1118" s="70" t="inlineStr">
        <is>
          <t>Completed</t>
        </is>
      </c>
      <c r="K1118" s="70" t="inlineStr">
        <is>
          <t>Delhi</t>
        </is>
      </c>
    </row>
    <row r="1119" ht="14.25" customHeight="1" s="56">
      <c r="A1119" s="70" t="inlineStr">
        <is>
          <t>ORD-01118</t>
        </is>
      </c>
      <c r="B1119" s="71" t="n">
        <v>45545</v>
      </c>
      <c r="C1119" s="70" t="inlineStr">
        <is>
          <t>CUST-0143</t>
        </is>
      </c>
      <c r="D1119" s="70" t="inlineStr">
        <is>
          <t>PROD-015</t>
        </is>
      </c>
      <c r="E1119" s="70" t="inlineStr">
        <is>
          <t>R018</t>
        </is>
      </c>
      <c r="F1119" s="72" t="n">
        <v>5</v>
      </c>
      <c r="G1119" s="72" t="n">
        <v>2720</v>
      </c>
      <c r="H1119" s="72" t="n">
        <v>21.4</v>
      </c>
      <c r="I1119" s="72" t="n">
        <v>10689.6</v>
      </c>
      <c r="J1119" s="70" t="inlineStr">
        <is>
          <t>Completed</t>
        </is>
      </c>
      <c r="K1119" s="70" t="inlineStr">
        <is>
          <t>Chennai</t>
        </is>
      </c>
    </row>
    <row r="1120" ht="14.25" customHeight="1" s="56">
      <c r="A1120" s="70" t="inlineStr">
        <is>
          <t>ORD-01119</t>
        </is>
      </c>
      <c r="B1120" s="71" t="n">
        <v>45445</v>
      </c>
      <c r="C1120" s="70" t="inlineStr">
        <is>
          <t>CUST-0263</t>
        </is>
      </c>
      <c r="D1120" s="70" t="inlineStr">
        <is>
          <t>PROD-020</t>
        </is>
      </c>
      <c r="E1120" s="70" t="inlineStr">
        <is>
          <t>R006</t>
        </is>
      </c>
      <c r="F1120" s="72" t="n">
        <v>5</v>
      </c>
      <c r="G1120" s="72" t="n">
        <v>820</v>
      </c>
      <c r="H1120" s="72" t="n">
        <v>28.6</v>
      </c>
      <c r="I1120" s="72" t="n">
        <v>2927.4</v>
      </c>
      <c r="J1120" s="70" t="inlineStr">
        <is>
          <t>Completed</t>
        </is>
      </c>
      <c r="K1120" s="70" t="inlineStr">
        <is>
          <t>Mumbai</t>
        </is>
      </c>
    </row>
    <row r="1121" ht="14.25" customHeight="1" s="56">
      <c r="A1121" s="70" t="inlineStr">
        <is>
          <t>ORD-01120</t>
        </is>
      </c>
      <c r="B1121" s="71" t="n">
        <v>45489</v>
      </c>
      <c r="C1121" s="70" t="inlineStr">
        <is>
          <t>CUST-0105</t>
        </is>
      </c>
      <c r="D1121" s="70" t="inlineStr">
        <is>
          <t>PROD-042</t>
        </is>
      </c>
      <c r="E1121" s="70" t="inlineStr">
        <is>
          <t>R022</t>
        </is>
      </c>
      <c r="F1121" s="72" t="n">
        <v>6</v>
      </c>
      <c r="G1121" s="72" t="n">
        <v>2290</v>
      </c>
      <c r="H1121" s="72" t="n">
        <v>18.8</v>
      </c>
      <c r="I1121" s="72" t="n">
        <v>11156.88</v>
      </c>
      <c r="J1121" s="70" t="inlineStr">
        <is>
          <t>Completed</t>
        </is>
      </c>
      <c r="K1121" s="70" t="inlineStr">
        <is>
          <t>Chennai</t>
        </is>
      </c>
    </row>
    <row r="1122" ht="14.25" customHeight="1" s="56">
      <c r="A1122" s="70" t="inlineStr">
        <is>
          <t>ORD-01121</t>
        </is>
      </c>
      <c r="B1122" s="71" t="n">
        <v>45394</v>
      </c>
      <c r="C1122" s="70" t="inlineStr">
        <is>
          <t>CUST-0256</t>
        </is>
      </c>
      <c r="D1122" s="70" t="inlineStr">
        <is>
          <t>PROD-047</t>
        </is>
      </c>
      <c r="E1122" s="70" t="inlineStr">
        <is>
          <t>R021</t>
        </is>
      </c>
      <c r="F1122" s="72" t="n">
        <v>6</v>
      </c>
      <c r="G1122" s="72" t="n">
        <v>3450</v>
      </c>
      <c r="H1122" s="72" t="n">
        <v>28.4</v>
      </c>
      <c r="I1122" s="72" t="n">
        <v>14821.2</v>
      </c>
      <c r="J1122" s="70" t="inlineStr">
        <is>
          <t>Completed</t>
        </is>
      </c>
      <c r="K1122" s="70" t="inlineStr">
        <is>
          <t>Hyderabad</t>
        </is>
      </c>
    </row>
    <row r="1123" ht="14.25" customHeight="1" s="56">
      <c r="A1123" s="70" t="inlineStr">
        <is>
          <t>ORD-01122</t>
        </is>
      </c>
      <c r="B1123" s="71" t="n">
        <v>45340</v>
      </c>
      <c r="C1123" s="70" t="inlineStr">
        <is>
          <t>CUST-0260</t>
        </is>
      </c>
      <c r="D1123" s="70" t="inlineStr">
        <is>
          <t>PROD-033</t>
        </is>
      </c>
      <c r="E1123" s="70" t="inlineStr">
        <is>
          <t>R002</t>
        </is>
      </c>
      <c r="F1123" s="72" t="n">
        <v>10</v>
      </c>
      <c r="G1123" s="72" t="n">
        <v>2030</v>
      </c>
      <c r="H1123" s="72" t="n">
        <v>8</v>
      </c>
      <c r="I1123" s="72" t="n">
        <v>18676</v>
      </c>
      <c r="J1123" s="70" t="inlineStr">
        <is>
          <t>Completed</t>
        </is>
      </c>
      <c r="K1123" s="70" t="inlineStr">
        <is>
          <t>Bengaluru</t>
        </is>
      </c>
    </row>
    <row r="1124" ht="14.25" customHeight="1" s="56">
      <c r="A1124" s="70" t="inlineStr">
        <is>
          <t>ORD-01123</t>
        </is>
      </c>
      <c r="B1124" s="71" t="n">
        <v>45378</v>
      </c>
      <c r="C1124" s="70" t="inlineStr">
        <is>
          <t>CUST-0233</t>
        </is>
      </c>
      <c r="D1124" s="70" t="inlineStr">
        <is>
          <t>PROD-058</t>
        </is>
      </c>
      <c r="E1124" s="70" t="inlineStr">
        <is>
          <t>R022</t>
        </is>
      </c>
      <c r="F1124" s="72" t="n">
        <v>1</v>
      </c>
      <c r="G1124" s="72" t="n">
        <v>2400</v>
      </c>
      <c r="H1124" s="72" t="n">
        <v>9.699999999999999</v>
      </c>
      <c r="I1124" s="72" t="n">
        <v>2167.2</v>
      </c>
      <c r="J1124" s="70" t="inlineStr">
        <is>
          <t>Completed</t>
        </is>
      </c>
      <c r="K1124" s="70" t="inlineStr">
        <is>
          <t>Mumbai</t>
        </is>
      </c>
    </row>
    <row r="1125" ht="14.25" customHeight="1" s="56">
      <c r="A1125" s="70" t="inlineStr">
        <is>
          <t>ORD-01124</t>
        </is>
      </c>
      <c r="B1125" s="71" t="n">
        <v>45369</v>
      </c>
      <c r="C1125" s="70" t="inlineStr">
        <is>
          <t>CUST-0183</t>
        </is>
      </c>
      <c r="D1125" s="70" t="inlineStr">
        <is>
          <t>PROD-033</t>
        </is>
      </c>
      <c r="E1125" s="70" t="inlineStr">
        <is>
          <t>R014</t>
        </is>
      </c>
      <c r="F1125" s="72" t="n">
        <v>4</v>
      </c>
      <c r="G1125" s="72" t="n">
        <v>2030</v>
      </c>
      <c r="H1125" s="72" t="n">
        <v>24.8</v>
      </c>
      <c r="I1125" s="72" t="n">
        <v>6106.24</v>
      </c>
      <c r="J1125" s="70" t="inlineStr">
        <is>
          <t>Pending</t>
        </is>
      </c>
      <c r="K1125" s="70" t="inlineStr">
        <is>
          <t>Mumbai</t>
        </is>
      </c>
    </row>
    <row r="1126" ht="14.25" customHeight="1" s="56">
      <c r="A1126" s="70" t="inlineStr">
        <is>
          <t>ORD-01125</t>
        </is>
      </c>
      <c r="B1126" s="71" t="n">
        <v>45513</v>
      </c>
      <c r="C1126" s="70" t="inlineStr">
        <is>
          <t>CUST-0142</t>
        </is>
      </c>
      <c r="D1126" s="70" t="inlineStr">
        <is>
          <t>PROD-025</t>
        </is>
      </c>
      <c r="E1126" s="70" t="inlineStr">
        <is>
          <t>R002</t>
        </is>
      </c>
      <c r="F1126" s="72" t="n">
        <v>5</v>
      </c>
      <c r="G1126" s="72" t="n">
        <v>4060</v>
      </c>
      <c r="H1126" s="72" t="n">
        <v>9.1</v>
      </c>
      <c r="I1126" s="72" t="n">
        <v>18452.7</v>
      </c>
      <c r="J1126" s="70" t="inlineStr">
        <is>
          <t>Pending</t>
        </is>
      </c>
      <c r="K1126" s="70" t="inlineStr">
        <is>
          <t>Chennai</t>
        </is>
      </c>
    </row>
    <row r="1127" ht="14.25" customHeight="1" s="56">
      <c r="A1127" s="70" t="inlineStr">
        <is>
          <t>ORD-01126</t>
        </is>
      </c>
      <c r="B1127" s="71" t="n">
        <v>45438</v>
      </c>
      <c r="C1127" s="70" t="inlineStr">
        <is>
          <t>CUST-0150</t>
        </is>
      </c>
      <c r="D1127" s="70" t="inlineStr">
        <is>
          <t>PROD-033</t>
        </is>
      </c>
      <c r="E1127" s="70" t="inlineStr">
        <is>
          <t>R013</t>
        </is>
      </c>
      <c r="F1127" s="72" t="n">
        <v>9</v>
      </c>
      <c r="G1127" s="72" t="n">
        <v>2030</v>
      </c>
      <c r="H1127" s="72" t="n">
        <v>15.9</v>
      </c>
      <c r="I1127" s="72" t="n">
        <v>15365.07</v>
      </c>
      <c r="J1127" s="70" t="inlineStr">
        <is>
          <t>Pending</t>
        </is>
      </c>
      <c r="K1127" s="70" t="inlineStr">
        <is>
          <t>Pune</t>
        </is>
      </c>
    </row>
    <row r="1128" ht="14.25" customHeight="1" s="56">
      <c r="A1128" s="70" t="inlineStr">
        <is>
          <t>ORD-01127</t>
        </is>
      </c>
      <c r="B1128" s="71" t="n">
        <v>45529</v>
      </c>
      <c r="C1128" s="70" t="inlineStr">
        <is>
          <t>CUST-0001</t>
        </is>
      </c>
      <c r="D1128" s="70" t="inlineStr">
        <is>
          <t>PROD-043</t>
        </is>
      </c>
      <c r="E1128" s="70" t="inlineStr">
        <is>
          <t>R014</t>
        </is>
      </c>
      <c r="F1128" s="72" t="n">
        <v>1</v>
      </c>
      <c r="G1128" s="72" t="n">
        <v>3350</v>
      </c>
      <c r="H1128" s="72" t="n">
        <v>23.2</v>
      </c>
      <c r="I1128" s="72" t="n">
        <v>2572.8</v>
      </c>
      <c r="J1128" s="70" t="inlineStr">
        <is>
          <t>Refunded</t>
        </is>
      </c>
      <c r="K1128" s="70" t="inlineStr">
        <is>
          <t>Pune</t>
        </is>
      </c>
    </row>
    <row r="1129" ht="14.25" customHeight="1" s="56">
      <c r="A1129" s="70" t="inlineStr">
        <is>
          <t>ORD-01128</t>
        </is>
      </c>
      <c r="B1129" s="71" t="n">
        <v>45634</v>
      </c>
      <c r="C1129" s="70" t="inlineStr">
        <is>
          <t>CUST-0104</t>
        </is>
      </c>
      <c r="D1129" s="70" t="inlineStr">
        <is>
          <t>PROD-037</t>
        </is>
      </c>
      <c r="E1129" s="70" t="inlineStr">
        <is>
          <t>R006</t>
        </is>
      </c>
      <c r="F1129" s="72" t="n">
        <v>4</v>
      </c>
      <c r="G1129" s="72" t="n">
        <v>660</v>
      </c>
      <c r="H1129" s="72" t="n">
        <v>27.1</v>
      </c>
      <c r="I1129" s="72" t="n">
        <v>1924.56</v>
      </c>
      <c r="J1129" s="70" t="inlineStr">
        <is>
          <t>Completed</t>
        </is>
      </c>
      <c r="K1129" s="70" t="inlineStr">
        <is>
          <t>Hyderabad</t>
        </is>
      </c>
    </row>
    <row r="1130" ht="14.25" customHeight="1" s="56">
      <c r="A1130" s="70" t="inlineStr">
        <is>
          <t>ORD-01129</t>
        </is>
      </c>
      <c r="B1130" s="71" t="n">
        <v>45441</v>
      </c>
      <c r="C1130" s="70" t="inlineStr">
        <is>
          <t>CUST-0261</t>
        </is>
      </c>
      <c r="D1130" s="70" t="inlineStr">
        <is>
          <t>PROD-045</t>
        </is>
      </c>
      <c r="E1130" s="70" t="inlineStr">
        <is>
          <t>R014</t>
        </is>
      </c>
      <c r="F1130" s="72" t="n">
        <v>3</v>
      </c>
      <c r="G1130" s="72" t="n">
        <v>3020</v>
      </c>
      <c r="H1130" s="72" t="n">
        <v>7.2</v>
      </c>
      <c r="I1130" s="72" t="n">
        <v>8407.68</v>
      </c>
      <c r="J1130" s="70" t="inlineStr">
        <is>
          <t>Completed</t>
        </is>
      </c>
      <c r="K1130" s="70" t="inlineStr">
        <is>
          <t>Delhi</t>
        </is>
      </c>
    </row>
    <row r="1131" ht="14.25" customHeight="1" s="56">
      <c r="A1131" s="70" t="inlineStr">
        <is>
          <t>ORD-01130</t>
        </is>
      </c>
      <c r="B1131" s="71" t="n">
        <v>45409</v>
      </c>
      <c r="C1131" s="70" t="inlineStr">
        <is>
          <t>CUST-0010</t>
        </is>
      </c>
      <c r="D1131" s="70" t="inlineStr">
        <is>
          <t>PROD-008</t>
        </is>
      </c>
      <c r="E1131" s="70" t="inlineStr">
        <is>
          <t>R006</t>
        </is>
      </c>
      <c r="F1131" s="72" t="n">
        <v>3</v>
      </c>
      <c r="G1131" s="72" t="n">
        <v>2660</v>
      </c>
      <c r="H1131" s="72" t="n">
        <v>0.2</v>
      </c>
      <c r="I1131" s="72" t="n">
        <v>7964.04</v>
      </c>
      <c r="J1131" s="70" t="inlineStr">
        <is>
          <t>Completed</t>
        </is>
      </c>
      <c r="K1131" s="70" t="inlineStr">
        <is>
          <t>Mumbai</t>
        </is>
      </c>
    </row>
    <row r="1132" ht="14.25" customHeight="1" s="56">
      <c r="A1132" s="70" t="inlineStr">
        <is>
          <t>ORD-01131</t>
        </is>
      </c>
      <c r="B1132" s="71" t="n">
        <v>45650</v>
      </c>
      <c r="C1132" s="70" t="inlineStr">
        <is>
          <t>CUST-0237</t>
        </is>
      </c>
      <c r="D1132" s="70" t="inlineStr">
        <is>
          <t>PROD-054</t>
        </is>
      </c>
      <c r="E1132" s="70" t="inlineStr">
        <is>
          <t>R006</t>
        </is>
      </c>
      <c r="F1132" s="72" t="n">
        <v>4</v>
      </c>
      <c r="G1132" s="72" t="n">
        <v>1010</v>
      </c>
      <c r="H1132" s="72" t="n">
        <v>3.1</v>
      </c>
      <c r="I1132" s="72" t="n">
        <v>3914.76</v>
      </c>
      <c r="J1132" s="70" t="inlineStr">
        <is>
          <t>Completed</t>
        </is>
      </c>
      <c r="K1132" s="70" t="inlineStr">
        <is>
          <t>Mumbai</t>
        </is>
      </c>
    </row>
    <row r="1133" ht="14.25" customHeight="1" s="56">
      <c r="A1133" s="70" t="inlineStr">
        <is>
          <t>ORD-01132</t>
        </is>
      </c>
      <c r="B1133" s="71" t="n">
        <v>45380</v>
      </c>
      <c r="C1133" s="70" t="inlineStr">
        <is>
          <t>CUST-0128</t>
        </is>
      </c>
      <c r="D1133" s="70" t="inlineStr">
        <is>
          <t>PROD-038</t>
        </is>
      </c>
      <c r="E1133" s="70" t="inlineStr">
        <is>
          <t>R017</t>
        </is>
      </c>
      <c r="F1133" s="72" t="n">
        <v>5</v>
      </c>
      <c r="G1133" s="72" t="n">
        <v>5490</v>
      </c>
      <c r="H1133" s="72" t="n">
        <v>3.6</v>
      </c>
      <c r="I1133" s="72" t="n">
        <v>26461.8</v>
      </c>
      <c r="J1133" s="70" t="inlineStr">
        <is>
          <t>Completed</t>
        </is>
      </c>
      <c r="K1133" s="70" t="inlineStr">
        <is>
          <t>Hyderabad</t>
        </is>
      </c>
    </row>
    <row r="1134" ht="14.25" customHeight="1" s="56">
      <c r="A1134" s="70" t="inlineStr">
        <is>
          <t>ORD-01133</t>
        </is>
      </c>
      <c r="B1134" s="71" t="n">
        <v>45322</v>
      </c>
      <c r="C1134" s="70" t="inlineStr">
        <is>
          <t>CUST-0182</t>
        </is>
      </c>
      <c r="D1134" s="70" t="inlineStr">
        <is>
          <t>PROD-058</t>
        </is>
      </c>
      <c r="E1134" s="70" t="inlineStr">
        <is>
          <t>R019</t>
        </is>
      </c>
      <c r="F1134" s="72" t="n">
        <v>1</v>
      </c>
      <c r="G1134" s="72" t="n">
        <v>2400</v>
      </c>
      <c r="H1134" s="72" t="n">
        <v>24.3</v>
      </c>
      <c r="I1134" s="72" t="n">
        <v>1816.8</v>
      </c>
      <c r="J1134" s="70" t="inlineStr">
        <is>
          <t>Completed</t>
        </is>
      </c>
      <c r="K1134" s="70" t="inlineStr">
        <is>
          <t>Mumbai</t>
        </is>
      </c>
    </row>
    <row r="1135" ht="14.25" customHeight="1" s="56">
      <c r="A1135" s="70" t="inlineStr">
        <is>
          <t>ORD-01134</t>
        </is>
      </c>
      <c r="B1135" s="71" t="n">
        <v>45532</v>
      </c>
      <c r="C1135" s="70" t="inlineStr">
        <is>
          <t>CUST-0131</t>
        </is>
      </c>
      <c r="D1135" s="70" t="inlineStr">
        <is>
          <t>PROD-037</t>
        </is>
      </c>
      <c r="E1135" s="70" t="inlineStr">
        <is>
          <t>R009</t>
        </is>
      </c>
      <c r="F1135" s="72" t="n">
        <v>8</v>
      </c>
      <c r="G1135" s="72" t="n">
        <v>660</v>
      </c>
      <c r="H1135" s="72" t="n">
        <v>19.8</v>
      </c>
      <c r="I1135" s="72" t="n">
        <v>4234.56</v>
      </c>
      <c r="J1135" s="70" t="inlineStr">
        <is>
          <t>Completed</t>
        </is>
      </c>
      <c r="K1135" s="70" t="inlineStr">
        <is>
          <t>Delhi</t>
        </is>
      </c>
    </row>
    <row r="1136" ht="14.25" customHeight="1" s="56">
      <c r="A1136" s="70" t="inlineStr">
        <is>
          <t>ORD-01135</t>
        </is>
      </c>
      <c r="B1136" s="71" t="n">
        <v>45504</v>
      </c>
      <c r="C1136" s="70" t="inlineStr">
        <is>
          <t>CUST-0023</t>
        </is>
      </c>
      <c r="D1136" s="70" t="inlineStr">
        <is>
          <t>PROD-001</t>
        </is>
      </c>
      <c r="E1136" s="70" t="inlineStr">
        <is>
          <t>R016</t>
        </is>
      </c>
      <c r="F1136" s="72" t="n">
        <v>9</v>
      </c>
      <c r="G1136" s="72" t="n">
        <v>5330</v>
      </c>
      <c r="H1136" s="72" t="n">
        <v>16.5</v>
      </c>
      <c r="I1136" s="72" t="n">
        <v>40054.95</v>
      </c>
      <c r="J1136" s="70" t="inlineStr">
        <is>
          <t>Completed</t>
        </is>
      </c>
      <c r="K1136" s="70" t="inlineStr">
        <is>
          <t>Chennai</t>
        </is>
      </c>
    </row>
    <row r="1137" ht="14.25" customHeight="1" s="56">
      <c r="A1137" s="70" t="inlineStr">
        <is>
          <t>ORD-01136</t>
        </is>
      </c>
      <c r="B1137" s="71" t="n">
        <v>45516</v>
      </c>
      <c r="C1137" s="70" t="inlineStr">
        <is>
          <t>CUST-0171</t>
        </is>
      </c>
      <c r="D1137" s="70" t="inlineStr">
        <is>
          <t>PROD-002</t>
        </is>
      </c>
      <c r="E1137" s="70" t="inlineStr">
        <is>
          <t>R007</t>
        </is>
      </c>
      <c r="F1137" s="72" t="n">
        <v>5</v>
      </c>
      <c r="G1137" s="72" t="n">
        <v>2600</v>
      </c>
      <c r="H1137" s="72" t="n">
        <v>0.3</v>
      </c>
      <c r="I1137" s="72" t="n">
        <v>12961</v>
      </c>
      <c r="J1137" s="70" t="inlineStr">
        <is>
          <t>Completed</t>
        </is>
      </c>
      <c r="K1137" s="70" t="inlineStr">
        <is>
          <t>Chennai</t>
        </is>
      </c>
    </row>
    <row r="1138" ht="14.25" customHeight="1" s="56">
      <c r="A1138" s="70" t="inlineStr">
        <is>
          <t>ORD-01137</t>
        </is>
      </c>
      <c r="B1138" s="71" t="n">
        <v>45462</v>
      </c>
      <c r="C1138" s="70" t="inlineStr">
        <is>
          <t>CUST-0116</t>
        </is>
      </c>
      <c r="D1138" s="70" t="inlineStr">
        <is>
          <t>PROD-034</t>
        </is>
      </c>
      <c r="E1138" s="70" t="inlineStr">
        <is>
          <t>R018</t>
        </is>
      </c>
      <c r="F1138" s="72" t="n">
        <v>4</v>
      </c>
      <c r="G1138" s="72" t="n">
        <v>5080</v>
      </c>
      <c r="H1138" s="72" t="n">
        <v>13.8</v>
      </c>
      <c r="I1138" s="72" t="n">
        <v>17515.84</v>
      </c>
      <c r="J1138" s="70" t="inlineStr">
        <is>
          <t>Pending</t>
        </is>
      </c>
      <c r="K1138" s="70" t="inlineStr">
        <is>
          <t>Bengaluru</t>
        </is>
      </c>
    </row>
    <row r="1139" ht="14.25" customHeight="1" s="56">
      <c r="A1139" s="70" t="inlineStr">
        <is>
          <t>ORD-01138</t>
        </is>
      </c>
      <c r="B1139" s="71" t="n">
        <v>45597</v>
      </c>
      <c r="C1139" s="70" t="inlineStr">
        <is>
          <t>CUST-0021</t>
        </is>
      </c>
      <c r="D1139" s="70" t="inlineStr">
        <is>
          <t>PROD-023</t>
        </is>
      </c>
      <c r="E1139" s="70" t="inlineStr">
        <is>
          <t>R002</t>
        </is>
      </c>
      <c r="F1139" s="72" t="n">
        <v>7</v>
      </c>
      <c r="G1139" s="72" t="n">
        <v>2380</v>
      </c>
      <c r="H1139" s="72" t="n">
        <v>15.5</v>
      </c>
      <c r="I1139" s="72" t="n">
        <v>14077.7</v>
      </c>
      <c r="J1139" s="70" t="inlineStr">
        <is>
          <t>Completed</t>
        </is>
      </c>
      <c r="K1139" s="70" t="inlineStr">
        <is>
          <t>Pune</t>
        </is>
      </c>
    </row>
    <row r="1140" ht="14.25" customHeight="1" s="56">
      <c r="A1140" s="70" t="inlineStr">
        <is>
          <t>ORD-01139</t>
        </is>
      </c>
      <c r="B1140" s="71" t="n">
        <v>45648</v>
      </c>
      <c r="C1140" s="70" t="inlineStr">
        <is>
          <t>CUST-0234</t>
        </is>
      </c>
      <c r="D1140" s="70" t="inlineStr">
        <is>
          <t>PROD-046</t>
        </is>
      </c>
      <c r="E1140" s="70" t="inlineStr">
        <is>
          <t>R006</t>
        </is>
      </c>
      <c r="F1140" s="72" t="n">
        <v>3</v>
      </c>
      <c r="G1140" s="72" t="n">
        <v>4880</v>
      </c>
      <c r="H1140" s="72" t="n">
        <v>6.1</v>
      </c>
      <c r="I1140" s="72" t="n">
        <v>13746.96</v>
      </c>
      <c r="J1140" s="70" t="inlineStr">
        <is>
          <t>Completed</t>
        </is>
      </c>
      <c r="K1140" s="70" t="inlineStr">
        <is>
          <t>Bengaluru</t>
        </is>
      </c>
    </row>
    <row r="1141" ht="14.25" customHeight="1" s="56">
      <c r="A1141" s="70" t="inlineStr">
        <is>
          <t>ORD-01140</t>
        </is>
      </c>
      <c r="B1141" s="71" t="n">
        <v>45355</v>
      </c>
      <c r="C1141" s="70" t="inlineStr">
        <is>
          <t>CUST-0225</t>
        </is>
      </c>
      <c r="D1141" s="70" t="inlineStr">
        <is>
          <t>PROD-043</t>
        </is>
      </c>
      <c r="E1141" s="70" t="inlineStr">
        <is>
          <t>R009</t>
        </is>
      </c>
      <c r="F1141" s="72" t="n">
        <v>2</v>
      </c>
      <c r="G1141" s="72" t="n">
        <v>3350</v>
      </c>
      <c r="H1141" s="72" t="n">
        <v>17.2</v>
      </c>
      <c r="I1141" s="72" t="n">
        <v>5547.6</v>
      </c>
      <c r="J1141" s="70" t="inlineStr">
        <is>
          <t>Completed</t>
        </is>
      </c>
      <c r="K1141" s="70" t="inlineStr">
        <is>
          <t>Chennai</t>
        </is>
      </c>
    </row>
    <row r="1142" ht="14.25" customHeight="1" s="56">
      <c r="A1142" s="70" t="inlineStr">
        <is>
          <t>ORD-01141</t>
        </is>
      </c>
      <c r="B1142" s="71" t="n">
        <v>45331</v>
      </c>
      <c r="C1142" s="70" t="inlineStr">
        <is>
          <t>CUST-0268</t>
        </is>
      </c>
      <c r="D1142" s="70" t="inlineStr">
        <is>
          <t>PROD-030</t>
        </is>
      </c>
      <c r="E1142" s="70" t="inlineStr">
        <is>
          <t>R024</t>
        </is>
      </c>
      <c r="F1142" s="72" t="n">
        <v>5</v>
      </c>
      <c r="G1142" s="72" t="n">
        <v>970</v>
      </c>
      <c r="H1142" s="72" t="n">
        <v>23.6</v>
      </c>
      <c r="I1142" s="72" t="n">
        <v>3705.4</v>
      </c>
      <c r="J1142" s="70" t="inlineStr">
        <is>
          <t>Completed</t>
        </is>
      </c>
      <c r="K1142" s="70" t="inlineStr">
        <is>
          <t>Chennai</t>
        </is>
      </c>
    </row>
    <row r="1143" ht="14.25" customHeight="1" s="56">
      <c r="A1143" s="70" t="inlineStr">
        <is>
          <t>ORD-01142</t>
        </is>
      </c>
      <c r="B1143" s="71" t="n">
        <v>45632</v>
      </c>
      <c r="C1143" s="70" t="inlineStr">
        <is>
          <t>CUST-0248</t>
        </is>
      </c>
      <c r="D1143" s="70" t="inlineStr">
        <is>
          <t>PROD-005</t>
        </is>
      </c>
      <c r="E1143" s="70" t="inlineStr">
        <is>
          <t>R022</t>
        </is>
      </c>
      <c r="F1143" s="72" t="n">
        <v>5</v>
      </c>
      <c r="G1143" s="72" t="n">
        <v>300</v>
      </c>
      <c r="H1143" s="72" t="n">
        <v>3.8</v>
      </c>
      <c r="I1143" s="72" t="n">
        <v>1443</v>
      </c>
      <c r="J1143" s="70" t="inlineStr">
        <is>
          <t>Completed</t>
        </is>
      </c>
      <c r="K1143" s="70" t="inlineStr">
        <is>
          <t>Chennai</t>
        </is>
      </c>
    </row>
    <row r="1144" ht="14.25" customHeight="1" s="56">
      <c r="A1144" s="70" t="inlineStr">
        <is>
          <t>ORD-01143</t>
        </is>
      </c>
      <c r="B1144" s="71" t="n">
        <v>45358</v>
      </c>
      <c r="C1144" s="70" t="inlineStr">
        <is>
          <t>CUST-0026</t>
        </is>
      </c>
      <c r="D1144" s="70" t="inlineStr">
        <is>
          <t>PROD-006</t>
        </is>
      </c>
      <c r="E1144" s="70" t="inlineStr">
        <is>
          <t>R005</t>
        </is>
      </c>
      <c r="F1144" s="72" t="n">
        <v>9</v>
      </c>
      <c r="G1144" s="72" t="n">
        <v>3970</v>
      </c>
      <c r="H1144" s="72" t="n">
        <v>0.8</v>
      </c>
      <c r="I1144" s="72" t="n">
        <v>35444.16</v>
      </c>
      <c r="J1144" s="70" t="inlineStr">
        <is>
          <t>Completed</t>
        </is>
      </c>
      <c r="K1144" s="70" t="inlineStr">
        <is>
          <t>Pune</t>
        </is>
      </c>
    </row>
    <row r="1145" ht="14.25" customHeight="1" s="56">
      <c r="A1145" s="70" t="inlineStr">
        <is>
          <t>ORD-01144</t>
        </is>
      </c>
      <c r="B1145" s="71" t="n">
        <v>45440</v>
      </c>
      <c r="C1145" s="70" t="inlineStr">
        <is>
          <t>CUST-0257</t>
        </is>
      </c>
      <c r="D1145" s="70" t="inlineStr">
        <is>
          <t>PROD-015</t>
        </is>
      </c>
      <c r="E1145" s="70" t="inlineStr">
        <is>
          <t>R013</t>
        </is>
      </c>
      <c r="F1145" s="72" t="n">
        <v>4</v>
      </c>
      <c r="G1145" s="72" t="n">
        <v>2720</v>
      </c>
      <c r="H1145" s="72" t="n">
        <v>12.7</v>
      </c>
      <c r="I1145" s="72" t="n">
        <v>9498.24</v>
      </c>
      <c r="J1145" s="70" t="inlineStr">
        <is>
          <t>Completed</t>
        </is>
      </c>
      <c r="K1145" s="70" t="inlineStr">
        <is>
          <t>Mumbai</t>
        </is>
      </c>
    </row>
    <row r="1146" ht="14.25" customHeight="1" s="56">
      <c r="A1146" s="70" t="inlineStr">
        <is>
          <t>ORD-01145</t>
        </is>
      </c>
      <c r="B1146" s="71" t="n">
        <v>45412</v>
      </c>
      <c r="C1146" s="70" t="inlineStr">
        <is>
          <t>CUST-0258</t>
        </is>
      </c>
      <c r="D1146" s="70" t="inlineStr">
        <is>
          <t>PROD-016</t>
        </is>
      </c>
      <c r="E1146" s="70" t="inlineStr">
        <is>
          <t>R021</t>
        </is>
      </c>
      <c r="F1146" s="72" t="n">
        <v>3</v>
      </c>
      <c r="G1146" s="72" t="n">
        <v>620</v>
      </c>
      <c r="H1146" s="72" t="n">
        <v>5.5</v>
      </c>
      <c r="I1146" s="72" t="n">
        <v>1757.7</v>
      </c>
      <c r="J1146" s="70" t="inlineStr">
        <is>
          <t>Completed</t>
        </is>
      </c>
      <c r="K1146" s="70" t="inlineStr">
        <is>
          <t>Pune</t>
        </is>
      </c>
    </row>
    <row r="1147" ht="14.25" customHeight="1" s="56">
      <c r="A1147" s="70" t="inlineStr">
        <is>
          <t>ORD-01146</t>
        </is>
      </c>
      <c r="B1147" s="71" t="n">
        <v>45479</v>
      </c>
      <c r="C1147" s="70" t="inlineStr">
        <is>
          <t>CUST-0142</t>
        </is>
      </c>
      <c r="D1147" s="70" t="inlineStr">
        <is>
          <t>PROD-041</t>
        </is>
      </c>
      <c r="E1147" s="70" t="inlineStr">
        <is>
          <t>R024</t>
        </is>
      </c>
      <c r="F1147" s="72" t="n">
        <v>2</v>
      </c>
      <c r="G1147" s="72" t="n">
        <v>1540</v>
      </c>
      <c r="H1147" s="72" t="n">
        <v>2.2</v>
      </c>
      <c r="I1147" s="72" t="n">
        <v>3012.24</v>
      </c>
      <c r="J1147" s="70" t="inlineStr">
        <is>
          <t>Pending</t>
        </is>
      </c>
      <c r="K1147" s="70" t="inlineStr">
        <is>
          <t>Chennai</t>
        </is>
      </c>
    </row>
    <row r="1148" ht="14.25" customHeight="1" s="56">
      <c r="A1148" s="70" t="inlineStr">
        <is>
          <t>ORD-01147</t>
        </is>
      </c>
      <c r="B1148" s="71" t="n">
        <v>45534</v>
      </c>
      <c r="C1148" s="70" t="inlineStr">
        <is>
          <t>CUST-0020</t>
        </is>
      </c>
      <c r="D1148" s="70" t="inlineStr">
        <is>
          <t>PROD-042</t>
        </is>
      </c>
      <c r="E1148" s="70" t="inlineStr">
        <is>
          <t>R026</t>
        </is>
      </c>
      <c r="F1148" s="72" t="n">
        <v>1</v>
      </c>
      <c r="G1148" s="72" t="n">
        <v>2290</v>
      </c>
      <c r="H1148" s="72" t="n">
        <v>24.4</v>
      </c>
      <c r="I1148" s="72" t="n">
        <v>1731.24</v>
      </c>
      <c r="J1148" s="70" t="inlineStr">
        <is>
          <t>Cancelled</t>
        </is>
      </c>
      <c r="K1148" s="70" t="inlineStr">
        <is>
          <t>Hyderabad</t>
        </is>
      </c>
    </row>
    <row r="1149" ht="14.25" customHeight="1" s="56">
      <c r="A1149" s="70" t="inlineStr">
        <is>
          <t>ORD-01148</t>
        </is>
      </c>
      <c r="B1149" s="71" t="n">
        <v>45313</v>
      </c>
      <c r="C1149" s="70" t="inlineStr">
        <is>
          <t>CUST-0016</t>
        </is>
      </c>
      <c r="D1149" s="70" t="inlineStr">
        <is>
          <t>PROD-015</t>
        </is>
      </c>
      <c r="E1149" s="70" t="inlineStr">
        <is>
          <t>R018</t>
        </is>
      </c>
      <c r="F1149" s="72" t="n">
        <v>8</v>
      </c>
      <c r="G1149" s="72" t="n">
        <v>2720</v>
      </c>
      <c r="H1149" s="72" t="n">
        <v>1.7</v>
      </c>
      <c r="I1149" s="72" t="n">
        <v>21390.08</v>
      </c>
      <c r="J1149" s="70" t="inlineStr">
        <is>
          <t>Completed</t>
        </is>
      </c>
      <c r="K1149" s="70" t="inlineStr">
        <is>
          <t>Delhi</t>
        </is>
      </c>
    </row>
    <row r="1150" ht="14.25" customHeight="1" s="56">
      <c r="A1150" s="70" t="inlineStr">
        <is>
          <t>ORD-01149</t>
        </is>
      </c>
      <c r="B1150" s="71" t="n">
        <v>45390</v>
      </c>
      <c r="C1150" s="70" t="inlineStr">
        <is>
          <t>CUST-0288</t>
        </is>
      </c>
      <c r="D1150" s="70" t="inlineStr">
        <is>
          <t>PROD-025</t>
        </is>
      </c>
      <c r="E1150" s="70" t="inlineStr">
        <is>
          <t>R023</t>
        </is>
      </c>
      <c r="F1150" s="72" t="n">
        <v>4</v>
      </c>
      <c r="G1150" s="72" t="n">
        <v>4060</v>
      </c>
      <c r="H1150" s="72" t="n">
        <v>19.6</v>
      </c>
      <c r="I1150" s="72" t="n">
        <v>13056.96</v>
      </c>
      <c r="J1150" s="70" t="inlineStr">
        <is>
          <t>Cancelled</t>
        </is>
      </c>
      <c r="K1150" s="70" t="inlineStr">
        <is>
          <t>Hyderabad</t>
        </is>
      </c>
    </row>
    <row r="1151" ht="14.25" customHeight="1" s="56">
      <c r="A1151" s="70" t="inlineStr">
        <is>
          <t>ORD-01150</t>
        </is>
      </c>
      <c r="B1151" s="71" t="n">
        <v>45370</v>
      </c>
      <c r="C1151" s="70" t="inlineStr">
        <is>
          <t>CUST-0133</t>
        </is>
      </c>
      <c r="D1151" s="70" t="inlineStr">
        <is>
          <t>PROD-003</t>
        </is>
      </c>
      <c r="E1151" s="70" t="inlineStr">
        <is>
          <t>R016</t>
        </is>
      </c>
      <c r="F1151" s="72" t="n">
        <v>8</v>
      </c>
      <c r="G1151" s="72" t="n">
        <v>3570</v>
      </c>
      <c r="H1151" s="72" t="n">
        <v>10.8</v>
      </c>
      <c r="I1151" s="72" t="n">
        <v>25475.52</v>
      </c>
      <c r="J1151" s="70" t="inlineStr">
        <is>
          <t>Completed</t>
        </is>
      </c>
      <c r="K1151" s="70" t="inlineStr">
        <is>
          <t>Chennai</t>
        </is>
      </c>
    </row>
    <row r="1152" ht="14.25" customHeight="1" s="56">
      <c r="A1152" s="70" t="inlineStr">
        <is>
          <t>ORD-01151</t>
        </is>
      </c>
      <c r="B1152" s="71" t="n">
        <v>45324</v>
      </c>
      <c r="C1152" s="70" t="inlineStr">
        <is>
          <t>CUST-0192</t>
        </is>
      </c>
      <c r="D1152" s="70" t="inlineStr">
        <is>
          <t>PROD-051</t>
        </is>
      </c>
      <c r="E1152" s="70" t="inlineStr">
        <is>
          <t>R004</t>
        </is>
      </c>
      <c r="F1152" s="72" t="n">
        <v>10</v>
      </c>
      <c r="G1152" s="72" t="n">
        <v>3450</v>
      </c>
      <c r="H1152" s="72" t="n">
        <v>13.5</v>
      </c>
      <c r="I1152" s="72" t="n">
        <v>29842.5</v>
      </c>
      <c r="J1152" s="70" t="inlineStr">
        <is>
          <t>Pending</t>
        </is>
      </c>
      <c r="K1152" s="70" t="inlineStr">
        <is>
          <t>Bengaluru</t>
        </is>
      </c>
    </row>
    <row r="1153" ht="14.25" customHeight="1" s="56">
      <c r="A1153" s="70" t="inlineStr">
        <is>
          <t>ORD-01152</t>
        </is>
      </c>
      <c r="B1153" s="71" t="n">
        <v>45469</v>
      </c>
      <c r="C1153" s="70" t="inlineStr">
        <is>
          <t>CUST-0298</t>
        </is>
      </c>
      <c r="D1153" s="70" t="inlineStr">
        <is>
          <t>PROD-010</t>
        </is>
      </c>
      <c r="E1153" s="70" t="inlineStr">
        <is>
          <t>R007</t>
        </is>
      </c>
      <c r="F1153" s="72" t="n">
        <v>10</v>
      </c>
      <c r="G1153" s="72" t="n">
        <v>2640</v>
      </c>
      <c r="H1153" s="72" t="n">
        <v>29.8</v>
      </c>
      <c r="I1153" s="72" t="n">
        <v>18532.8</v>
      </c>
      <c r="J1153" s="70" t="inlineStr">
        <is>
          <t>Completed</t>
        </is>
      </c>
      <c r="K1153" s="70" t="inlineStr">
        <is>
          <t>Delhi</t>
        </is>
      </c>
    </row>
    <row r="1154" ht="14.25" customHeight="1" s="56">
      <c r="A1154" s="70" t="inlineStr">
        <is>
          <t>ORD-01153</t>
        </is>
      </c>
      <c r="B1154" s="71" t="n">
        <v>45619</v>
      </c>
      <c r="C1154" s="70" t="inlineStr">
        <is>
          <t>CUST-0088</t>
        </is>
      </c>
      <c r="D1154" s="70" t="inlineStr">
        <is>
          <t>PROD-032</t>
        </is>
      </c>
      <c r="E1154" s="70" t="inlineStr">
        <is>
          <t>R009</t>
        </is>
      </c>
      <c r="F1154" s="72" t="n">
        <v>3</v>
      </c>
      <c r="G1154" s="72" t="n">
        <v>370</v>
      </c>
      <c r="H1154" s="72" t="n">
        <v>25.5</v>
      </c>
      <c r="I1154" s="72" t="n">
        <v>826.95</v>
      </c>
      <c r="J1154" s="70" t="inlineStr">
        <is>
          <t>Completed</t>
        </is>
      </c>
      <c r="K1154" s="70" t="inlineStr">
        <is>
          <t>Chennai</t>
        </is>
      </c>
    </row>
    <row r="1155" ht="14.25" customHeight="1" s="56">
      <c r="A1155" s="70" t="inlineStr">
        <is>
          <t>ORD-01154</t>
        </is>
      </c>
      <c r="B1155" s="71" t="n">
        <v>45627</v>
      </c>
      <c r="C1155" s="70" t="inlineStr">
        <is>
          <t>CUST-0274</t>
        </is>
      </c>
      <c r="D1155" s="70" t="inlineStr">
        <is>
          <t>PROD-009</t>
        </is>
      </c>
      <c r="E1155" s="70" t="inlineStr">
        <is>
          <t>R030</t>
        </is>
      </c>
      <c r="F1155" s="72" t="n">
        <v>3</v>
      </c>
      <c r="G1155" s="72" t="n">
        <v>1220</v>
      </c>
      <c r="H1155" s="72" t="n">
        <v>7.7</v>
      </c>
      <c r="I1155" s="72" t="n">
        <v>3378.18</v>
      </c>
      <c r="J1155" s="70" t="inlineStr">
        <is>
          <t>Pending</t>
        </is>
      </c>
      <c r="K1155" s="70" t="inlineStr">
        <is>
          <t>Bengaluru</t>
        </is>
      </c>
    </row>
    <row r="1156" ht="14.25" customHeight="1" s="56">
      <c r="A1156" s="70" t="inlineStr">
        <is>
          <t>ORD-01155</t>
        </is>
      </c>
      <c r="B1156" s="71" t="n">
        <v>45499</v>
      </c>
      <c r="C1156" s="70" t="inlineStr">
        <is>
          <t>CUST-0165</t>
        </is>
      </c>
      <c r="D1156" s="70" t="inlineStr">
        <is>
          <t>PROD-010</t>
        </is>
      </c>
      <c r="E1156" s="70" t="inlineStr">
        <is>
          <t>R022</t>
        </is>
      </c>
      <c r="F1156" s="72" t="n">
        <v>1</v>
      </c>
      <c r="G1156" s="72" t="n">
        <v>2640</v>
      </c>
      <c r="H1156" s="72" t="n">
        <v>23.6</v>
      </c>
      <c r="I1156" s="72" t="n">
        <v>2016.96</v>
      </c>
      <c r="J1156" s="70" t="inlineStr">
        <is>
          <t>Completed</t>
        </is>
      </c>
      <c r="K1156" s="70" t="inlineStr">
        <is>
          <t>Pune</t>
        </is>
      </c>
    </row>
    <row r="1157" ht="14.25" customHeight="1" s="56">
      <c r="A1157" s="70" t="inlineStr">
        <is>
          <t>ORD-01156</t>
        </is>
      </c>
      <c r="B1157" s="71" t="n">
        <v>45563</v>
      </c>
      <c r="C1157" s="70" t="inlineStr">
        <is>
          <t>CUST-0275</t>
        </is>
      </c>
      <c r="D1157" s="70" t="inlineStr">
        <is>
          <t>PROD-048</t>
        </is>
      </c>
      <c r="E1157" s="70" t="inlineStr">
        <is>
          <t>R011</t>
        </is>
      </c>
      <c r="F1157" s="72" t="n">
        <v>9</v>
      </c>
      <c r="G1157" s="72" t="n">
        <v>5100</v>
      </c>
      <c r="H1157" s="72" t="n">
        <v>9.5</v>
      </c>
      <c r="I1157" s="72" t="n">
        <v>41539.5</v>
      </c>
      <c r="J1157" s="70" t="inlineStr">
        <is>
          <t>Completed</t>
        </is>
      </c>
      <c r="K1157" s="70" t="inlineStr">
        <is>
          <t>Mumbai</t>
        </is>
      </c>
    </row>
    <row r="1158" ht="14.25" customHeight="1" s="56">
      <c r="A1158" s="70" t="inlineStr">
        <is>
          <t>ORD-01157</t>
        </is>
      </c>
      <c r="B1158" s="71" t="n">
        <v>45435</v>
      </c>
      <c r="C1158" s="70" t="inlineStr">
        <is>
          <t>CUST-0225</t>
        </is>
      </c>
      <c r="D1158" s="70" t="inlineStr">
        <is>
          <t>PROD-050</t>
        </is>
      </c>
      <c r="E1158" s="70" t="inlineStr">
        <is>
          <t>R008</t>
        </is>
      </c>
      <c r="F1158" s="72" t="n">
        <v>7</v>
      </c>
      <c r="G1158" s="72" t="n">
        <v>6080</v>
      </c>
      <c r="H1158" s="72" t="n">
        <v>17.5</v>
      </c>
      <c r="I1158" s="72" t="n">
        <v>35112</v>
      </c>
      <c r="J1158" s="70" t="inlineStr">
        <is>
          <t>Completed</t>
        </is>
      </c>
      <c r="K1158" s="70" t="inlineStr">
        <is>
          <t>Chennai</t>
        </is>
      </c>
    </row>
    <row r="1159" ht="14.25" customHeight="1" s="56">
      <c r="A1159" s="70" t="inlineStr">
        <is>
          <t>ORD-01158</t>
        </is>
      </c>
      <c r="B1159" s="71" t="n">
        <v>45602</v>
      </c>
      <c r="C1159" s="70" t="inlineStr">
        <is>
          <t>CUST-0059</t>
        </is>
      </c>
      <c r="D1159" s="70" t="inlineStr">
        <is>
          <t>PROD-005</t>
        </is>
      </c>
      <c r="E1159" s="70" t="inlineStr">
        <is>
          <t>R026</t>
        </is>
      </c>
      <c r="F1159" s="72" t="n">
        <v>1</v>
      </c>
      <c r="G1159" s="72" t="n">
        <v>300</v>
      </c>
      <c r="H1159" s="72" t="n">
        <v>26.9</v>
      </c>
      <c r="I1159" s="72" t="n">
        <v>219.3</v>
      </c>
      <c r="J1159" s="70" t="inlineStr">
        <is>
          <t>Completed</t>
        </is>
      </c>
      <c r="K1159" s="70" t="inlineStr">
        <is>
          <t>Pune</t>
        </is>
      </c>
    </row>
    <row r="1160" ht="14.25" customHeight="1" s="56">
      <c r="A1160" s="70" t="inlineStr">
        <is>
          <t>ORD-01159</t>
        </is>
      </c>
      <c r="B1160" s="71" t="n">
        <v>45650</v>
      </c>
      <c r="C1160" s="70" t="inlineStr">
        <is>
          <t>CUST-0149</t>
        </is>
      </c>
      <c r="D1160" s="70" t="inlineStr">
        <is>
          <t>PROD-045</t>
        </is>
      </c>
      <c r="E1160" s="70" t="inlineStr">
        <is>
          <t>R020</t>
        </is>
      </c>
      <c r="F1160" s="72" t="n">
        <v>6</v>
      </c>
      <c r="G1160" s="72" t="n">
        <v>3020</v>
      </c>
      <c r="H1160" s="72" t="n">
        <v>28.5</v>
      </c>
      <c r="I1160" s="72" t="n">
        <v>12955.8</v>
      </c>
      <c r="J1160" s="70" t="inlineStr">
        <is>
          <t>Completed</t>
        </is>
      </c>
      <c r="K1160" s="70" t="inlineStr">
        <is>
          <t>Hyderabad</t>
        </is>
      </c>
    </row>
    <row r="1161" ht="14.25" customHeight="1" s="56">
      <c r="A1161" s="70" t="inlineStr">
        <is>
          <t>ORD-01160</t>
        </is>
      </c>
      <c r="B1161" s="71" t="n">
        <v>45294</v>
      </c>
      <c r="C1161" s="70" t="inlineStr">
        <is>
          <t>CUST-0283</t>
        </is>
      </c>
      <c r="D1161" s="70" t="inlineStr">
        <is>
          <t>PROD-005</t>
        </is>
      </c>
      <c r="E1161" s="70" t="inlineStr">
        <is>
          <t>R018</t>
        </is>
      </c>
      <c r="F1161" s="72" t="n">
        <v>8</v>
      </c>
      <c r="G1161" s="72" t="n">
        <v>300</v>
      </c>
      <c r="H1161" s="72" t="n">
        <v>1.2</v>
      </c>
      <c r="I1161" s="72" t="n">
        <v>2371.2</v>
      </c>
      <c r="J1161" s="70" t="inlineStr">
        <is>
          <t>Completed</t>
        </is>
      </c>
      <c r="K1161" s="70" t="inlineStr">
        <is>
          <t>Delhi</t>
        </is>
      </c>
    </row>
    <row r="1162" ht="14.25" customHeight="1" s="56">
      <c r="A1162" s="70" t="inlineStr">
        <is>
          <t>ORD-01161</t>
        </is>
      </c>
      <c r="B1162" s="71" t="n">
        <v>45523</v>
      </c>
      <c r="C1162" s="70" t="inlineStr">
        <is>
          <t>CUST-0039</t>
        </is>
      </c>
      <c r="D1162" s="70" t="inlineStr">
        <is>
          <t>PROD-043</t>
        </is>
      </c>
      <c r="E1162" s="70" t="inlineStr">
        <is>
          <t>R011</t>
        </is>
      </c>
      <c r="F1162" s="72" t="n">
        <v>9</v>
      </c>
      <c r="G1162" s="72" t="n">
        <v>3350</v>
      </c>
      <c r="H1162" s="72" t="n">
        <v>0.6</v>
      </c>
      <c r="I1162" s="72" t="n">
        <v>29969.1</v>
      </c>
      <c r="J1162" s="70" t="inlineStr">
        <is>
          <t>Refunded</t>
        </is>
      </c>
      <c r="K1162" s="70" t="inlineStr">
        <is>
          <t>Bengaluru</t>
        </is>
      </c>
    </row>
    <row r="1163" ht="14.25" customHeight="1" s="56">
      <c r="A1163" s="70" t="inlineStr">
        <is>
          <t>ORD-01162</t>
        </is>
      </c>
      <c r="B1163" s="71" t="n">
        <v>45479</v>
      </c>
      <c r="C1163" s="70" t="inlineStr">
        <is>
          <t>CUST-0046</t>
        </is>
      </c>
      <c r="D1163" s="70" t="inlineStr">
        <is>
          <t>PROD-026</t>
        </is>
      </c>
      <c r="E1163" s="70" t="inlineStr">
        <is>
          <t>R024</t>
        </is>
      </c>
      <c r="F1163" s="72" t="n">
        <v>4</v>
      </c>
      <c r="G1163" s="72" t="n">
        <v>4070</v>
      </c>
      <c r="H1163" s="72" t="n">
        <v>10.1</v>
      </c>
      <c r="I1163" s="72" t="n">
        <v>14635.72</v>
      </c>
      <c r="J1163" s="70" t="inlineStr">
        <is>
          <t>Completed</t>
        </is>
      </c>
      <c r="K1163" s="70" t="inlineStr">
        <is>
          <t>Delhi</t>
        </is>
      </c>
    </row>
    <row r="1164" ht="14.25" customHeight="1" s="56">
      <c r="A1164" s="70" t="inlineStr">
        <is>
          <t>ORD-01163</t>
        </is>
      </c>
      <c r="B1164" s="71" t="n">
        <v>45614</v>
      </c>
      <c r="C1164" s="70" t="inlineStr">
        <is>
          <t>CUST-0105</t>
        </is>
      </c>
      <c r="D1164" s="70" t="inlineStr">
        <is>
          <t>PROD-059</t>
        </is>
      </c>
      <c r="E1164" s="70" t="inlineStr">
        <is>
          <t>R024</t>
        </is>
      </c>
      <c r="F1164" s="72" t="n">
        <v>9</v>
      </c>
      <c r="G1164" s="72" t="n">
        <v>3780</v>
      </c>
      <c r="H1164" s="72" t="n">
        <v>27.8</v>
      </c>
      <c r="I1164" s="72" t="n">
        <v>24562.44</v>
      </c>
      <c r="J1164" s="70" t="inlineStr">
        <is>
          <t>Cancelled</t>
        </is>
      </c>
      <c r="K1164" s="70" t="inlineStr">
        <is>
          <t>Chennai</t>
        </is>
      </c>
    </row>
    <row r="1165" ht="14.25" customHeight="1" s="56">
      <c r="A1165" s="70" t="inlineStr">
        <is>
          <t>ORD-01164</t>
        </is>
      </c>
      <c r="B1165" s="71" t="n">
        <v>45407</v>
      </c>
      <c r="C1165" s="70" t="inlineStr">
        <is>
          <t>CUST-0006</t>
        </is>
      </c>
      <c r="D1165" s="70" t="inlineStr">
        <is>
          <t>PROD-040</t>
        </is>
      </c>
      <c r="E1165" s="70" t="inlineStr">
        <is>
          <t>R030</t>
        </is>
      </c>
      <c r="F1165" s="72" t="n">
        <v>6</v>
      </c>
      <c r="G1165" s="72" t="n">
        <v>1080</v>
      </c>
      <c r="H1165" s="72" t="n">
        <v>17.5</v>
      </c>
      <c r="I1165" s="72" t="n">
        <v>5346</v>
      </c>
      <c r="J1165" s="70" t="inlineStr">
        <is>
          <t>Completed</t>
        </is>
      </c>
      <c r="K1165" s="70" t="inlineStr">
        <is>
          <t>Pune</t>
        </is>
      </c>
    </row>
    <row r="1166" ht="14.25" customHeight="1" s="56">
      <c r="A1166" s="70" t="inlineStr">
        <is>
          <t>ORD-01165</t>
        </is>
      </c>
      <c r="B1166" s="71" t="n">
        <v>45603</v>
      </c>
      <c r="C1166" s="70" t="inlineStr">
        <is>
          <t>CUST-0192</t>
        </is>
      </c>
      <c r="D1166" s="70" t="inlineStr">
        <is>
          <t>PROD-002</t>
        </is>
      </c>
      <c r="E1166" s="70" t="inlineStr">
        <is>
          <t>R023</t>
        </is>
      </c>
      <c r="F1166" s="72" t="n">
        <v>3</v>
      </c>
      <c r="G1166" s="72" t="n">
        <v>2600</v>
      </c>
      <c r="H1166" s="72" t="n">
        <v>1.9</v>
      </c>
      <c r="I1166" s="72" t="n">
        <v>7651.8</v>
      </c>
      <c r="J1166" s="70" t="inlineStr">
        <is>
          <t>Completed</t>
        </is>
      </c>
      <c r="K1166" s="70" t="inlineStr">
        <is>
          <t>Bengaluru</t>
        </is>
      </c>
    </row>
    <row r="1167" ht="14.25" customHeight="1" s="56">
      <c r="A1167" s="70" t="inlineStr">
        <is>
          <t>ORD-01166</t>
        </is>
      </c>
      <c r="B1167" s="71" t="n">
        <v>45375</v>
      </c>
      <c r="C1167" s="70" t="inlineStr">
        <is>
          <t>CUST-0290</t>
        </is>
      </c>
      <c r="D1167" s="70" t="inlineStr">
        <is>
          <t>PROD-015</t>
        </is>
      </c>
      <c r="E1167" s="70" t="inlineStr">
        <is>
          <t>R008</t>
        </is>
      </c>
      <c r="F1167" s="72" t="n">
        <v>5</v>
      </c>
      <c r="G1167" s="72" t="n">
        <v>2720</v>
      </c>
      <c r="H1167" s="72" t="n">
        <v>1.8</v>
      </c>
      <c r="I1167" s="72" t="n">
        <v>13355.2</v>
      </c>
      <c r="J1167" s="70" t="inlineStr">
        <is>
          <t>Cancelled</t>
        </is>
      </c>
      <c r="K1167" s="70" t="inlineStr">
        <is>
          <t>Delhi</t>
        </is>
      </c>
    </row>
    <row r="1168" ht="14.25" customHeight="1" s="56">
      <c r="A1168" s="70" t="inlineStr">
        <is>
          <t>ORD-01167</t>
        </is>
      </c>
      <c r="B1168" s="71" t="n">
        <v>45485</v>
      </c>
      <c r="C1168" s="70" t="inlineStr">
        <is>
          <t>CUST-0287</t>
        </is>
      </c>
      <c r="D1168" s="70" t="inlineStr">
        <is>
          <t>PROD-028</t>
        </is>
      </c>
      <c r="E1168" s="70" t="inlineStr">
        <is>
          <t>R012</t>
        </is>
      </c>
      <c r="F1168" s="72" t="n">
        <v>8</v>
      </c>
      <c r="G1168" s="72" t="n">
        <v>3660</v>
      </c>
      <c r="H1168" s="72" t="n">
        <v>29.5</v>
      </c>
      <c r="I1168" s="72" t="n">
        <v>20642.4</v>
      </c>
      <c r="J1168" s="70" t="inlineStr">
        <is>
          <t>Completed</t>
        </is>
      </c>
      <c r="K1168" s="70" t="inlineStr">
        <is>
          <t>Chennai</t>
        </is>
      </c>
    </row>
    <row r="1169" ht="14.25" customHeight="1" s="56">
      <c r="A1169" s="70" t="inlineStr">
        <is>
          <t>ORD-01168</t>
        </is>
      </c>
      <c r="B1169" s="71" t="n">
        <v>45567</v>
      </c>
      <c r="C1169" s="70" t="inlineStr">
        <is>
          <t>CUST-0025</t>
        </is>
      </c>
      <c r="D1169" s="70" t="inlineStr">
        <is>
          <t>PROD-044</t>
        </is>
      </c>
      <c r="E1169" s="70" t="inlineStr">
        <is>
          <t>R005</t>
        </is>
      </c>
      <c r="F1169" s="72" t="n">
        <v>9</v>
      </c>
      <c r="G1169" s="72" t="n">
        <v>1650</v>
      </c>
      <c r="H1169" s="72" t="n">
        <v>19.8</v>
      </c>
      <c r="I1169" s="72" t="n">
        <v>11909.7</v>
      </c>
      <c r="J1169" s="70" t="inlineStr">
        <is>
          <t>Refunded</t>
        </is>
      </c>
      <c r="K1169" s="70" t="inlineStr">
        <is>
          <t>Bengaluru</t>
        </is>
      </c>
    </row>
    <row r="1170" ht="14.25" customHeight="1" s="56">
      <c r="A1170" s="70" t="inlineStr">
        <is>
          <t>ORD-01169</t>
        </is>
      </c>
      <c r="B1170" s="71" t="n">
        <v>45502</v>
      </c>
      <c r="C1170" s="70" t="inlineStr">
        <is>
          <t>CUST-0139</t>
        </is>
      </c>
      <c r="D1170" s="70" t="inlineStr">
        <is>
          <t>PROD-055</t>
        </is>
      </c>
      <c r="E1170" s="70" t="inlineStr">
        <is>
          <t>R019</t>
        </is>
      </c>
      <c r="F1170" s="72" t="n">
        <v>3</v>
      </c>
      <c r="G1170" s="72" t="n">
        <v>2860</v>
      </c>
      <c r="H1170" s="72" t="n">
        <v>22.7</v>
      </c>
      <c r="I1170" s="72" t="n">
        <v>6632.34</v>
      </c>
      <c r="J1170" s="70" t="inlineStr">
        <is>
          <t>Completed</t>
        </is>
      </c>
      <c r="K1170" s="70" t="inlineStr">
        <is>
          <t>Hyderabad</t>
        </is>
      </c>
    </row>
    <row r="1171" ht="14.25" customHeight="1" s="56">
      <c r="A1171" s="70" t="inlineStr">
        <is>
          <t>ORD-01170</t>
        </is>
      </c>
      <c r="B1171" s="71" t="n">
        <v>45429</v>
      </c>
      <c r="C1171" s="70" t="inlineStr">
        <is>
          <t>CUST-0278</t>
        </is>
      </c>
      <c r="D1171" s="70" t="inlineStr">
        <is>
          <t>PROD-051</t>
        </is>
      </c>
      <c r="E1171" s="70" t="inlineStr">
        <is>
          <t>R025</t>
        </is>
      </c>
      <c r="F1171" s="72" t="n">
        <v>4</v>
      </c>
      <c r="G1171" s="72" t="n">
        <v>3450</v>
      </c>
      <c r="H1171" s="72" t="n">
        <v>9.199999999999999</v>
      </c>
      <c r="I1171" s="72" t="n">
        <v>12530.4</v>
      </c>
      <c r="J1171" s="70" t="inlineStr">
        <is>
          <t>Completed</t>
        </is>
      </c>
      <c r="K1171" s="70" t="inlineStr">
        <is>
          <t>Hyderabad</t>
        </is>
      </c>
    </row>
    <row r="1172" ht="14.25" customHeight="1" s="56">
      <c r="A1172" s="70" t="inlineStr">
        <is>
          <t>ORD-01171</t>
        </is>
      </c>
      <c r="B1172" s="71" t="n">
        <v>45405</v>
      </c>
      <c r="C1172" s="70" t="inlineStr">
        <is>
          <t>CUST-0258</t>
        </is>
      </c>
      <c r="D1172" s="70" t="inlineStr">
        <is>
          <t>PROD-033</t>
        </is>
      </c>
      <c r="E1172" s="70" t="inlineStr">
        <is>
          <t>R003</t>
        </is>
      </c>
      <c r="F1172" s="72" t="n">
        <v>4</v>
      </c>
      <c r="G1172" s="72" t="n">
        <v>2030</v>
      </c>
      <c r="H1172" s="72" t="n">
        <v>17.1</v>
      </c>
      <c r="I1172" s="72" t="n">
        <v>6731.48</v>
      </c>
      <c r="J1172" s="70" t="inlineStr">
        <is>
          <t>Completed</t>
        </is>
      </c>
      <c r="K1172" s="70" t="inlineStr">
        <is>
          <t>Pune</t>
        </is>
      </c>
    </row>
    <row r="1173" ht="14.25" customHeight="1" s="56">
      <c r="A1173" s="70" t="inlineStr">
        <is>
          <t>ORD-01172</t>
        </is>
      </c>
      <c r="B1173" s="71" t="n">
        <v>45401</v>
      </c>
      <c r="C1173" s="70" t="inlineStr">
        <is>
          <t>CUST-0106</t>
        </is>
      </c>
      <c r="D1173" s="70" t="inlineStr">
        <is>
          <t>PROD-022</t>
        </is>
      </c>
      <c r="E1173" s="70" t="inlineStr">
        <is>
          <t>R016</t>
        </is>
      </c>
      <c r="F1173" s="72" t="n">
        <v>4</v>
      </c>
      <c r="G1173" s="72" t="n">
        <v>2270</v>
      </c>
      <c r="H1173" s="72" t="n">
        <v>27.3</v>
      </c>
      <c r="I1173" s="72" t="n">
        <v>6601.16</v>
      </c>
      <c r="J1173" s="70" t="inlineStr">
        <is>
          <t>Completed</t>
        </is>
      </c>
      <c r="K1173" s="70" t="inlineStr">
        <is>
          <t>Pune</t>
        </is>
      </c>
    </row>
    <row r="1174" ht="14.25" customHeight="1" s="56">
      <c r="A1174" s="70" t="inlineStr">
        <is>
          <t>ORD-01173</t>
        </is>
      </c>
      <c r="B1174" s="71" t="n">
        <v>45373</v>
      </c>
      <c r="C1174" s="70" t="inlineStr">
        <is>
          <t>CUST-0009</t>
        </is>
      </c>
      <c r="D1174" s="70" t="inlineStr">
        <is>
          <t>PROD-034</t>
        </is>
      </c>
      <c r="E1174" s="70" t="inlineStr">
        <is>
          <t>R013</t>
        </is>
      </c>
      <c r="F1174" s="72" t="n">
        <v>9</v>
      </c>
      <c r="G1174" s="72" t="n">
        <v>5080</v>
      </c>
      <c r="H1174" s="72" t="n">
        <v>10.9</v>
      </c>
      <c r="I1174" s="72" t="n">
        <v>40736.52</v>
      </c>
      <c r="J1174" s="70" t="inlineStr">
        <is>
          <t>Completed</t>
        </is>
      </c>
      <c r="K1174" s="70" t="inlineStr">
        <is>
          <t>Mumbai</t>
        </is>
      </c>
    </row>
    <row r="1175" ht="14.25" customHeight="1" s="56">
      <c r="A1175" s="70" t="inlineStr">
        <is>
          <t>ORD-01174</t>
        </is>
      </c>
      <c r="B1175" s="71" t="n">
        <v>45602</v>
      </c>
      <c r="C1175" s="70" t="inlineStr">
        <is>
          <t>CUST-0209</t>
        </is>
      </c>
      <c r="D1175" s="70" t="inlineStr">
        <is>
          <t>PROD-026</t>
        </is>
      </c>
      <c r="E1175" s="70" t="inlineStr">
        <is>
          <t>R029</t>
        </is>
      </c>
      <c r="F1175" s="72" t="n">
        <v>8</v>
      </c>
      <c r="G1175" s="72" t="n">
        <v>4070</v>
      </c>
      <c r="H1175" s="72" t="n">
        <v>17.7</v>
      </c>
      <c r="I1175" s="72" t="n">
        <v>26796.88</v>
      </c>
      <c r="J1175" s="70" t="inlineStr">
        <is>
          <t>Completed</t>
        </is>
      </c>
      <c r="K1175" s="70" t="inlineStr">
        <is>
          <t>Pune</t>
        </is>
      </c>
    </row>
    <row r="1176" ht="14.25" customHeight="1" s="56">
      <c r="A1176" s="70" t="inlineStr">
        <is>
          <t>ORD-01175</t>
        </is>
      </c>
      <c r="B1176" s="71" t="n">
        <v>45372</v>
      </c>
      <c r="C1176" s="70" t="inlineStr">
        <is>
          <t>CUST-0111</t>
        </is>
      </c>
      <c r="D1176" s="70" t="inlineStr">
        <is>
          <t>PROD-041</t>
        </is>
      </c>
      <c r="E1176" s="70" t="inlineStr">
        <is>
          <t>R005</t>
        </is>
      </c>
      <c r="F1176" s="72" t="n">
        <v>1</v>
      </c>
      <c r="G1176" s="72" t="n">
        <v>1540</v>
      </c>
      <c r="H1176" s="72" t="n">
        <v>0.9</v>
      </c>
      <c r="I1176" s="72" t="n">
        <v>1526.14</v>
      </c>
      <c r="J1176" s="70" t="inlineStr">
        <is>
          <t>Completed</t>
        </is>
      </c>
      <c r="K1176" s="70" t="inlineStr">
        <is>
          <t>Chennai</t>
        </is>
      </c>
    </row>
    <row r="1177" ht="14.25" customHeight="1" s="56">
      <c r="A1177" s="70" t="inlineStr">
        <is>
          <t>ORD-01176</t>
        </is>
      </c>
      <c r="B1177" s="71" t="n">
        <v>45416</v>
      </c>
      <c r="C1177" s="70" t="inlineStr">
        <is>
          <t>CUST-0014</t>
        </is>
      </c>
      <c r="D1177" s="70" t="inlineStr">
        <is>
          <t>PROD-048</t>
        </is>
      </c>
      <c r="E1177" s="70" t="inlineStr">
        <is>
          <t>R024</t>
        </is>
      </c>
      <c r="F1177" s="72" t="n">
        <v>10</v>
      </c>
      <c r="G1177" s="72" t="n">
        <v>5100</v>
      </c>
      <c r="H1177" s="72" t="n">
        <v>3</v>
      </c>
      <c r="I1177" s="72" t="n">
        <v>49470</v>
      </c>
      <c r="J1177" s="70" t="inlineStr">
        <is>
          <t>Completed</t>
        </is>
      </c>
      <c r="K1177" s="70" t="inlineStr">
        <is>
          <t>Bengaluru</t>
        </is>
      </c>
    </row>
    <row r="1178" ht="14.25" customHeight="1" s="56">
      <c r="A1178" s="70" t="inlineStr">
        <is>
          <t>ORD-01177</t>
        </is>
      </c>
      <c r="B1178" s="71" t="n">
        <v>45656</v>
      </c>
      <c r="C1178" s="70" t="inlineStr">
        <is>
          <t>CUST-0073</t>
        </is>
      </c>
      <c r="D1178" s="70" t="inlineStr">
        <is>
          <t>PROD-014</t>
        </is>
      </c>
      <c r="E1178" s="70" t="inlineStr">
        <is>
          <t>R006</t>
        </is>
      </c>
      <c r="F1178" s="72" t="n">
        <v>6</v>
      </c>
      <c r="G1178" s="72" t="n">
        <v>3620</v>
      </c>
      <c r="H1178" s="72" t="n">
        <v>20.2</v>
      </c>
      <c r="I1178" s="72" t="n">
        <v>17332.56</v>
      </c>
      <c r="J1178" s="70" t="inlineStr">
        <is>
          <t>Completed</t>
        </is>
      </c>
      <c r="K1178" s="70" t="inlineStr">
        <is>
          <t>Pune</t>
        </is>
      </c>
    </row>
    <row r="1179" ht="14.25" customHeight="1" s="56">
      <c r="A1179" s="70" t="inlineStr">
        <is>
          <t>ORD-01178</t>
        </is>
      </c>
      <c r="B1179" s="71" t="n">
        <v>45324</v>
      </c>
      <c r="C1179" s="70" t="inlineStr">
        <is>
          <t>CUST-0147</t>
        </is>
      </c>
      <c r="D1179" s="70" t="inlineStr">
        <is>
          <t>PROD-046</t>
        </is>
      </c>
      <c r="E1179" s="70" t="inlineStr">
        <is>
          <t>R003</t>
        </is>
      </c>
      <c r="F1179" s="72" t="n">
        <v>7</v>
      </c>
      <c r="G1179" s="72" t="n">
        <v>4880</v>
      </c>
      <c r="H1179" s="72" t="n">
        <v>5</v>
      </c>
      <c r="I1179" s="72" t="n">
        <v>32452</v>
      </c>
      <c r="J1179" s="70" t="inlineStr">
        <is>
          <t>Completed</t>
        </is>
      </c>
      <c r="K1179" s="70" t="inlineStr">
        <is>
          <t>Pune</t>
        </is>
      </c>
    </row>
    <row r="1180" ht="14.25" customHeight="1" s="56">
      <c r="A1180" s="70" t="inlineStr">
        <is>
          <t>ORD-01179</t>
        </is>
      </c>
      <c r="B1180" s="71" t="n">
        <v>45472</v>
      </c>
      <c r="C1180" s="70" t="inlineStr">
        <is>
          <t>CUST-0006</t>
        </is>
      </c>
      <c r="D1180" s="70" t="inlineStr">
        <is>
          <t>PROD-010</t>
        </is>
      </c>
      <c r="E1180" s="70" t="inlineStr">
        <is>
          <t>R024</t>
        </is>
      </c>
      <c r="F1180" s="72" t="n">
        <v>1</v>
      </c>
      <c r="G1180" s="72" t="n">
        <v>2640</v>
      </c>
      <c r="H1180" s="72" t="n">
        <v>4.1</v>
      </c>
      <c r="I1180" s="72" t="n">
        <v>2531.76</v>
      </c>
      <c r="J1180" s="70" t="inlineStr">
        <is>
          <t>Completed</t>
        </is>
      </c>
      <c r="K1180" s="70" t="inlineStr">
        <is>
          <t>Pune</t>
        </is>
      </c>
    </row>
    <row r="1181" ht="14.25" customHeight="1" s="56">
      <c r="A1181" s="70" t="inlineStr">
        <is>
          <t>ORD-01180</t>
        </is>
      </c>
      <c r="B1181" s="71" t="n">
        <v>45508</v>
      </c>
      <c r="C1181" s="70" t="inlineStr">
        <is>
          <t>CUST-0031</t>
        </is>
      </c>
      <c r="D1181" s="70" t="inlineStr">
        <is>
          <t>PROD-026</t>
        </is>
      </c>
      <c r="E1181" s="70" t="inlineStr">
        <is>
          <t>R020</t>
        </is>
      </c>
      <c r="F1181" s="72" t="n">
        <v>9</v>
      </c>
      <c r="G1181" s="72" t="n">
        <v>4070</v>
      </c>
      <c r="H1181" s="72" t="n">
        <v>4.4</v>
      </c>
      <c r="I1181" s="72" t="n">
        <v>35018.28</v>
      </c>
      <c r="J1181" s="70" t="inlineStr">
        <is>
          <t>Completed</t>
        </is>
      </c>
      <c r="K1181" s="70" t="inlineStr">
        <is>
          <t>Hyderabad</t>
        </is>
      </c>
    </row>
    <row r="1182" ht="14.25" customHeight="1" s="56">
      <c r="A1182" s="70" t="inlineStr">
        <is>
          <t>ORD-01181</t>
        </is>
      </c>
      <c r="B1182" s="71" t="n">
        <v>45617</v>
      </c>
      <c r="C1182" s="70" t="inlineStr">
        <is>
          <t>CUST-0084</t>
        </is>
      </c>
      <c r="D1182" s="70" t="inlineStr">
        <is>
          <t>PROD-003</t>
        </is>
      </c>
      <c r="E1182" s="70" t="inlineStr">
        <is>
          <t>R025</t>
        </is>
      </c>
      <c r="F1182" s="72" t="n">
        <v>9</v>
      </c>
      <c r="G1182" s="72" t="n">
        <v>3570</v>
      </c>
      <c r="H1182" s="72" t="n">
        <v>24.8</v>
      </c>
      <c r="I1182" s="72" t="n">
        <v>24161.76</v>
      </c>
      <c r="J1182" s="70" t="inlineStr">
        <is>
          <t>Completed</t>
        </is>
      </c>
      <c r="K1182" s="70" t="inlineStr">
        <is>
          <t>Chennai</t>
        </is>
      </c>
    </row>
    <row r="1183" ht="14.25" customHeight="1" s="56">
      <c r="A1183" s="70" t="inlineStr">
        <is>
          <t>ORD-01182</t>
        </is>
      </c>
      <c r="B1183" s="71" t="n">
        <v>45470</v>
      </c>
      <c r="C1183" s="70" t="inlineStr">
        <is>
          <t>CUST-0203</t>
        </is>
      </c>
      <c r="D1183" s="70" t="inlineStr">
        <is>
          <t>PROD-043</t>
        </is>
      </c>
      <c r="E1183" s="70" t="inlineStr">
        <is>
          <t>R005</t>
        </is>
      </c>
      <c r="F1183" s="72" t="n">
        <v>10</v>
      </c>
      <c r="G1183" s="72" t="n">
        <v>3350</v>
      </c>
      <c r="H1183" s="72" t="n">
        <v>25.1</v>
      </c>
      <c r="I1183" s="72" t="n">
        <v>25091.5</v>
      </c>
      <c r="J1183" s="70" t="inlineStr">
        <is>
          <t>Cancelled</t>
        </is>
      </c>
      <c r="K1183" s="70" t="inlineStr">
        <is>
          <t>Chennai</t>
        </is>
      </c>
    </row>
    <row r="1184" ht="14.25" customHeight="1" s="56">
      <c r="A1184" s="70" t="inlineStr">
        <is>
          <t>ORD-01183</t>
        </is>
      </c>
      <c r="B1184" s="71" t="n">
        <v>45307</v>
      </c>
      <c r="C1184" s="70" t="inlineStr">
        <is>
          <t>CUST-0138</t>
        </is>
      </c>
      <c r="D1184" s="70" t="inlineStr">
        <is>
          <t>PROD-059</t>
        </is>
      </c>
      <c r="E1184" s="70" t="inlineStr">
        <is>
          <t>R025</t>
        </is>
      </c>
      <c r="F1184" s="72" t="n">
        <v>3</v>
      </c>
      <c r="G1184" s="72" t="n">
        <v>3780</v>
      </c>
      <c r="H1184" s="72" t="n">
        <v>3.8</v>
      </c>
      <c r="I1184" s="72" t="n">
        <v>10909.08</v>
      </c>
      <c r="J1184" s="70" t="inlineStr">
        <is>
          <t>Completed</t>
        </is>
      </c>
      <c r="K1184" s="70" t="inlineStr">
        <is>
          <t>Chennai</t>
        </is>
      </c>
    </row>
    <row r="1185" ht="14.25" customHeight="1" s="56">
      <c r="A1185" s="70" t="inlineStr">
        <is>
          <t>ORD-01184</t>
        </is>
      </c>
      <c r="B1185" s="71" t="n">
        <v>45651</v>
      </c>
      <c r="C1185" s="70" t="inlineStr">
        <is>
          <t>CUST-0157</t>
        </is>
      </c>
      <c r="D1185" s="70" t="inlineStr">
        <is>
          <t>PROD-003</t>
        </is>
      </c>
      <c r="E1185" s="70" t="inlineStr">
        <is>
          <t>R008</t>
        </is>
      </c>
      <c r="F1185" s="72" t="n">
        <v>4</v>
      </c>
      <c r="G1185" s="72" t="n">
        <v>3570</v>
      </c>
      <c r="H1185" s="72" t="n">
        <v>0.9</v>
      </c>
      <c r="I1185" s="72" t="n">
        <v>14151.48</v>
      </c>
      <c r="J1185" s="70" t="inlineStr">
        <is>
          <t>Pending</t>
        </is>
      </c>
      <c r="K1185" s="70" t="inlineStr">
        <is>
          <t>Pune</t>
        </is>
      </c>
    </row>
    <row r="1186" ht="14.25" customHeight="1" s="56">
      <c r="A1186" s="70" t="inlineStr">
        <is>
          <t>ORD-01185</t>
        </is>
      </c>
      <c r="B1186" s="71" t="n">
        <v>45436</v>
      </c>
      <c r="C1186" s="70" t="inlineStr">
        <is>
          <t>CUST-0298</t>
        </is>
      </c>
      <c r="D1186" s="70" t="inlineStr">
        <is>
          <t>PROD-055</t>
        </is>
      </c>
      <c r="E1186" s="70" t="inlineStr">
        <is>
          <t>R024</t>
        </is>
      </c>
      <c r="F1186" s="72" t="n">
        <v>5</v>
      </c>
      <c r="G1186" s="72" t="n">
        <v>2860</v>
      </c>
      <c r="H1186" s="72" t="n">
        <v>20.1</v>
      </c>
      <c r="I1186" s="72" t="n">
        <v>11425.7</v>
      </c>
      <c r="J1186" s="70" t="inlineStr">
        <is>
          <t>Completed</t>
        </is>
      </c>
      <c r="K1186" s="70" t="inlineStr">
        <is>
          <t>Delhi</t>
        </is>
      </c>
    </row>
    <row r="1187" ht="14.25" customHeight="1" s="56">
      <c r="A1187" s="70" t="inlineStr">
        <is>
          <t>ORD-01186</t>
        </is>
      </c>
      <c r="B1187" s="71" t="n">
        <v>45518</v>
      </c>
      <c r="C1187" s="70" t="inlineStr">
        <is>
          <t>CUST-0132</t>
        </is>
      </c>
      <c r="D1187" s="70" t="inlineStr">
        <is>
          <t>PROD-016</t>
        </is>
      </c>
      <c r="E1187" s="70" t="inlineStr">
        <is>
          <t>R003</t>
        </is>
      </c>
      <c r="F1187" s="72" t="n">
        <v>1</v>
      </c>
      <c r="G1187" s="72" t="n">
        <v>620</v>
      </c>
      <c r="H1187" s="72" t="n">
        <v>1.1</v>
      </c>
      <c r="I1187" s="72" t="n">
        <v>613.1799999999999</v>
      </c>
      <c r="J1187" s="70" t="inlineStr">
        <is>
          <t>Cancelled</t>
        </is>
      </c>
      <c r="K1187" s="70" t="inlineStr">
        <is>
          <t>Delhi</t>
        </is>
      </c>
    </row>
    <row r="1188" ht="14.25" customHeight="1" s="56">
      <c r="A1188" s="70" t="inlineStr">
        <is>
          <t>ORD-01187</t>
        </is>
      </c>
      <c r="B1188" s="71" t="n">
        <v>45432</v>
      </c>
      <c r="C1188" s="70" t="inlineStr">
        <is>
          <t>CUST-0006</t>
        </is>
      </c>
      <c r="D1188" s="70" t="inlineStr">
        <is>
          <t>PROD-003</t>
        </is>
      </c>
      <c r="E1188" s="70" t="inlineStr">
        <is>
          <t>R012</t>
        </is>
      </c>
      <c r="F1188" s="72" t="n">
        <v>1</v>
      </c>
      <c r="G1188" s="72" t="n">
        <v>3570</v>
      </c>
      <c r="H1188" s="72" t="n">
        <v>11.1</v>
      </c>
      <c r="I1188" s="72" t="n">
        <v>3173.73</v>
      </c>
      <c r="J1188" s="70" t="inlineStr">
        <is>
          <t>Cancelled</t>
        </is>
      </c>
      <c r="K1188" s="70" t="inlineStr">
        <is>
          <t>Pune</t>
        </is>
      </c>
    </row>
    <row r="1189" ht="14.25" customHeight="1" s="56">
      <c r="A1189" s="70" t="inlineStr">
        <is>
          <t>ORD-01188</t>
        </is>
      </c>
      <c r="B1189" s="71" t="n">
        <v>45551</v>
      </c>
      <c r="C1189" s="70" t="inlineStr">
        <is>
          <t>CUST-0011</t>
        </is>
      </c>
      <c r="D1189" s="70" t="inlineStr">
        <is>
          <t>PROD-001</t>
        </is>
      </c>
      <c r="E1189" s="70" t="inlineStr">
        <is>
          <t>R012</t>
        </is>
      </c>
      <c r="F1189" s="72" t="n">
        <v>1</v>
      </c>
      <c r="G1189" s="72" t="n">
        <v>5330</v>
      </c>
      <c r="H1189" s="72" t="n">
        <v>3.5</v>
      </c>
      <c r="I1189" s="72" t="n">
        <v>5143.45</v>
      </c>
      <c r="J1189" s="70" t="inlineStr">
        <is>
          <t>Completed</t>
        </is>
      </c>
      <c r="K1189" s="70" t="inlineStr">
        <is>
          <t>Chennai</t>
        </is>
      </c>
    </row>
    <row r="1190" ht="14.25" customHeight="1" s="56">
      <c r="A1190" s="70" t="inlineStr">
        <is>
          <t>ORD-01189</t>
        </is>
      </c>
      <c r="B1190" s="71" t="n">
        <v>45348</v>
      </c>
      <c r="C1190" s="70" t="inlineStr">
        <is>
          <t>CUST-0170</t>
        </is>
      </c>
      <c r="D1190" s="70" t="inlineStr">
        <is>
          <t>PROD-052</t>
        </is>
      </c>
      <c r="E1190" s="70" t="inlineStr">
        <is>
          <t>R018</t>
        </is>
      </c>
      <c r="F1190" s="72" t="n">
        <v>7</v>
      </c>
      <c r="G1190" s="72" t="n">
        <v>5410</v>
      </c>
      <c r="H1190" s="72" t="n">
        <v>26.2</v>
      </c>
      <c r="I1190" s="72" t="n">
        <v>27948.06</v>
      </c>
      <c r="J1190" s="70" t="inlineStr">
        <is>
          <t>Completed</t>
        </is>
      </c>
      <c r="K1190" s="70" t="inlineStr">
        <is>
          <t>Mumbai</t>
        </is>
      </c>
    </row>
    <row r="1191" ht="14.25" customHeight="1" s="56">
      <c r="A1191" s="70" t="inlineStr">
        <is>
          <t>ORD-01190</t>
        </is>
      </c>
      <c r="B1191" s="71" t="n">
        <v>45374</v>
      </c>
      <c r="C1191" s="70" t="inlineStr">
        <is>
          <t>CUST-0109</t>
        </is>
      </c>
      <c r="D1191" s="70" t="inlineStr">
        <is>
          <t>PROD-034</t>
        </is>
      </c>
      <c r="E1191" s="70" t="inlineStr">
        <is>
          <t>R016</t>
        </is>
      </c>
      <c r="F1191" s="72" t="n">
        <v>10</v>
      </c>
      <c r="G1191" s="72" t="n">
        <v>5080</v>
      </c>
      <c r="H1191" s="72" t="n">
        <v>3.7</v>
      </c>
      <c r="I1191" s="72" t="n">
        <v>48920.4</v>
      </c>
      <c r="J1191" s="70" t="inlineStr">
        <is>
          <t>Pending</t>
        </is>
      </c>
      <c r="K1191" s="70" t="inlineStr">
        <is>
          <t>Pune</t>
        </is>
      </c>
    </row>
    <row r="1192" ht="14.25" customHeight="1" s="56">
      <c r="A1192" s="70" t="inlineStr">
        <is>
          <t>ORD-01191</t>
        </is>
      </c>
      <c r="B1192" s="71" t="n">
        <v>45370</v>
      </c>
      <c r="C1192" s="70" t="inlineStr">
        <is>
          <t>CUST-0066</t>
        </is>
      </c>
      <c r="D1192" s="70" t="inlineStr">
        <is>
          <t>PROD-003</t>
        </is>
      </c>
      <c r="E1192" s="70" t="inlineStr">
        <is>
          <t>R005</t>
        </is>
      </c>
      <c r="F1192" s="72" t="n">
        <v>9</v>
      </c>
      <c r="G1192" s="72" t="n">
        <v>3570</v>
      </c>
      <c r="H1192" s="72" t="n">
        <v>5.6</v>
      </c>
      <c r="I1192" s="72" t="n">
        <v>30330.72</v>
      </c>
      <c r="J1192" s="70" t="inlineStr">
        <is>
          <t>Completed</t>
        </is>
      </c>
      <c r="K1192" s="70" t="inlineStr">
        <is>
          <t>Delhi</t>
        </is>
      </c>
    </row>
    <row r="1193" ht="14.25" customHeight="1" s="56">
      <c r="A1193" s="70" t="inlineStr">
        <is>
          <t>ORD-01192</t>
        </is>
      </c>
      <c r="B1193" s="71" t="n">
        <v>45656</v>
      </c>
      <c r="C1193" s="70" t="inlineStr">
        <is>
          <t>CUST-0055</t>
        </is>
      </c>
      <c r="D1193" s="70" t="inlineStr">
        <is>
          <t>PROD-030</t>
        </is>
      </c>
      <c r="E1193" s="70" t="inlineStr">
        <is>
          <t>R022</t>
        </is>
      </c>
      <c r="F1193" s="72" t="n">
        <v>9</v>
      </c>
      <c r="G1193" s="72" t="n">
        <v>970</v>
      </c>
      <c r="H1193" s="72" t="n">
        <v>19.5</v>
      </c>
      <c r="I1193" s="72" t="n">
        <v>7027.65</v>
      </c>
      <c r="J1193" s="70" t="inlineStr">
        <is>
          <t>Completed</t>
        </is>
      </c>
      <c r="K1193" s="70" t="inlineStr">
        <is>
          <t>Bengaluru</t>
        </is>
      </c>
    </row>
    <row r="1194" ht="14.25" customHeight="1" s="56">
      <c r="A1194" s="70" t="inlineStr">
        <is>
          <t>ORD-01193</t>
        </is>
      </c>
      <c r="B1194" s="71" t="n">
        <v>45357</v>
      </c>
      <c r="C1194" s="70" t="inlineStr">
        <is>
          <t>CUST-0298</t>
        </is>
      </c>
      <c r="D1194" s="70" t="inlineStr">
        <is>
          <t>PROD-005</t>
        </is>
      </c>
      <c r="E1194" s="70" t="inlineStr">
        <is>
          <t>R009</t>
        </is>
      </c>
      <c r="F1194" s="72" t="n">
        <v>10</v>
      </c>
      <c r="G1194" s="72" t="n">
        <v>300</v>
      </c>
      <c r="H1194" s="72" t="n">
        <v>23</v>
      </c>
      <c r="I1194" s="72" t="n">
        <v>2310</v>
      </c>
      <c r="J1194" s="70" t="inlineStr">
        <is>
          <t>Cancelled</t>
        </is>
      </c>
      <c r="K1194" s="70" t="inlineStr">
        <is>
          <t>Delhi</t>
        </is>
      </c>
    </row>
    <row r="1195" ht="14.25" customHeight="1" s="56">
      <c r="A1195" s="70" t="inlineStr">
        <is>
          <t>ORD-01194</t>
        </is>
      </c>
      <c r="B1195" s="71" t="n">
        <v>45479</v>
      </c>
      <c r="C1195" s="70" t="inlineStr">
        <is>
          <t>CUST-0024</t>
        </is>
      </c>
      <c r="D1195" s="70" t="inlineStr">
        <is>
          <t>PROD-050</t>
        </is>
      </c>
      <c r="E1195" s="70" t="inlineStr">
        <is>
          <t>R003</t>
        </is>
      </c>
      <c r="F1195" s="72" t="n">
        <v>10</v>
      </c>
      <c r="G1195" s="72" t="n">
        <v>6080</v>
      </c>
      <c r="H1195" s="72" t="n">
        <v>3.9</v>
      </c>
      <c r="I1195" s="72" t="n">
        <v>58428.8</v>
      </c>
      <c r="J1195" s="70" t="inlineStr">
        <is>
          <t>Completed</t>
        </is>
      </c>
      <c r="K1195" s="70" t="inlineStr">
        <is>
          <t>Chennai</t>
        </is>
      </c>
    </row>
    <row r="1196" ht="14.25" customHeight="1" s="56">
      <c r="A1196" s="70" t="inlineStr">
        <is>
          <t>ORD-01195</t>
        </is>
      </c>
      <c r="B1196" s="71" t="n">
        <v>45539</v>
      </c>
      <c r="C1196" s="70" t="inlineStr">
        <is>
          <t>CUST-0008</t>
        </is>
      </c>
      <c r="D1196" s="70" t="inlineStr">
        <is>
          <t>PROD-048</t>
        </is>
      </c>
      <c r="E1196" s="70" t="inlineStr">
        <is>
          <t>R011</t>
        </is>
      </c>
      <c r="F1196" s="72" t="n">
        <v>2</v>
      </c>
      <c r="G1196" s="72" t="n">
        <v>5100</v>
      </c>
      <c r="H1196" s="72" t="n">
        <v>11</v>
      </c>
      <c r="I1196" s="72" t="n">
        <v>9078</v>
      </c>
      <c r="J1196" s="70" t="inlineStr">
        <is>
          <t>Completed</t>
        </is>
      </c>
      <c r="K1196" s="70" t="inlineStr">
        <is>
          <t>Pune</t>
        </is>
      </c>
    </row>
    <row r="1197" ht="14.25" customHeight="1" s="56">
      <c r="A1197" s="70" t="inlineStr">
        <is>
          <t>ORD-01196</t>
        </is>
      </c>
      <c r="B1197" s="71" t="n">
        <v>45394</v>
      </c>
      <c r="C1197" s="70" t="inlineStr">
        <is>
          <t>CUST-0070</t>
        </is>
      </c>
      <c r="D1197" s="70" t="inlineStr">
        <is>
          <t>PROD-011</t>
        </is>
      </c>
      <c r="E1197" s="70" t="inlineStr">
        <is>
          <t>R019</t>
        </is>
      </c>
      <c r="F1197" s="72" t="n">
        <v>9</v>
      </c>
      <c r="G1197" s="72" t="n">
        <v>3450</v>
      </c>
      <c r="H1197" s="72" t="n">
        <v>23.7</v>
      </c>
      <c r="I1197" s="72" t="n">
        <v>23691.15</v>
      </c>
      <c r="J1197" s="70" t="inlineStr">
        <is>
          <t>Completed</t>
        </is>
      </c>
      <c r="K1197" s="70" t="inlineStr">
        <is>
          <t>Mumbai</t>
        </is>
      </c>
    </row>
    <row r="1198" ht="14.25" customHeight="1" s="56">
      <c r="A1198" s="70" t="inlineStr">
        <is>
          <t>ORD-01197</t>
        </is>
      </c>
      <c r="B1198" s="71" t="n">
        <v>45335</v>
      </c>
      <c r="C1198" s="70" t="inlineStr">
        <is>
          <t>CUST-0270</t>
        </is>
      </c>
      <c r="D1198" s="70" t="inlineStr">
        <is>
          <t>PROD-019</t>
        </is>
      </c>
      <c r="E1198" s="70" t="inlineStr">
        <is>
          <t>R011</t>
        </is>
      </c>
      <c r="F1198" s="72" t="n">
        <v>5</v>
      </c>
      <c r="G1198" s="72" t="n">
        <v>2480</v>
      </c>
      <c r="H1198" s="72" t="n">
        <v>20.4</v>
      </c>
      <c r="I1198" s="72" t="n">
        <v>9870.4</v>
      </c>
      <c r="J1198" s="70" t="inlineStr">
        <is>
          <t>Completed</t>
        </is>
      </c>
      <c r="K1198" s="70" t="inlineStr">
        <is>
          <t>Bengaluru</t>
        </is>
      </c>
    </row>
    <row r="1199" ht="14.25" customHeight="1" s="56">
      <c r="A1199" s="70" t="inlineStr">
        <is>
          <t>ORD-01198</t>
        </is>
      </c>
      <c r="B1199" s="71" t="n">
        <v>45334</v>
      </c>
      <c r="C1199" s="70" t="inlineStr">
        <is>
          <t>CUST-0175</t>
        </is>
      </c>
      <c r="D1199" s="70" t="inlineStr">
        <is>
          <t>PROD-060</t>
        </is>
      </c>
      <c r="E1199" s="70" t="inlineStr">
        <is>
          <t>R010</t>
        </is>
      </c>
      <c r="F1199" s="72" t="n">
        <v>4</v>
      </c>
      <c r="G1199" s="72" t="n">
        <v>190</v>
      </c>
      <c r="H1199" s="72" t="n">
        <v>2.6</v>
      </c>
      <c r="I1199" s="72" t="n">
        <v>740.24</v>
      </c>
      <c r="J1199" s="70" t="inlineStr">
        <is>
          <t>Completed</t>
        </is>
      </c>
      <c r="K1199" s="70" t="inlineStr">
        <is>
          <t>Delhi</t>
        </is>
      </c>
    </row>
    <row r="1200" ht="14.25" customHeight="1" s="56">
      <c r="A1200" s="70" t="inlineStr">
        <is>
          <t>ORD-01199</t>
        </is>
      </c>
      <c r="B1200" s="71" t="n">
        <v>45300</v>
      </c>
      <c r="C1200" s="70" t="inlineStr">
        <is>
          <t>CUST-0227</t>
        </is>
      </c>
      <c r="D1200" s="70" t="inlineStr">
        <is>
          <t>PROD-022</t>
        </is>
      </c>
      <c r="E1200" s="70" t="inlineStr">
        <is>
          <t>R020</t>
        </is>
      </c>
      <c r="F1200" s="72" t="n">
        <v>4</v>
      </c>
      <c r="G1200" s="72" t="n">
        <v>2270</v>
      </c>
      <c r="H1200" s="72" t="n">
        <v>8.1</v>
      </c>
      <c r="I1200" s="72" t="n">
        <v>8344.52</v>
      </c>
      <c r="J1200" s="70" t="inlineStr">
        <is>
          <t>Pending</t>
        </is>
      </c>
      <c r="K1200" s="70" t="inlineStr">
        <is>
          <t>Bengaluru</t>
        </is>
      </c>
    </row>
    <row r="1201" ht="14.25" customHeight="1" s="56">
      <c r="A1201" s="70" t="inlineStr">
        <is>
          <t>ORD-01200</t>
        </is>
      </c>
      <c r="B1201" s="71" t="n">
        <v>45400</v>
      </c>
      <c r="C1201" s="70" t="inlineStr">
        <is>
          <t>CUST-0041</t>
        </is>
      </c>
      <c r="D1201" s="70" t="inlineStr">
        <is>
          <t>PROD-017</t>
        </is>
      </c>
      <c r="E1201" s="70" t="inlineStr">
        <is>
          <t>R028</t>
        </is>
      </c>
      <c r="F1201" s="72" t="n">
        <v>7</v>
      </c>
      <c r="G1201" s="72" t="n">
        <v>2510</v>
      </c>
      <c r="H1201" s="72" t="n">
        <v>25.5</v>
      </c>
      <c r="I1201" s="72" t="n">
        <v>13089.65</v>
      </c>
      <c r="J1201" s="70" t="inlineStr">
        <is>
          <t>Completed</t>
        </is>
      </c>
      <c r="K1201" s="70" t="inlineStr">
        <is>
          <t>Bengaluru</t>
        </is>
      </c>
    </row>
    <row r="1202" ht="14.25" customHeight="1" s="56">
      <c r="A1202" s="70" t="inlineStr">
        <is>
          <t>ORD-01201</t>
        </is>
      </c>
      <c r="B1202" s="71" t="n">
        <v>45423</v>
      </c>
      <c r="C1202" s="70" t="inlineStr">
        <is>
          <t>CUST-0147</t>
        </is>
      </c>
      <c r="D1202" s="70" t="inlineStr">
        <is>
          <t>PROD-059</t>
        </is>
      </c>
      <c r="E1202" s="70" t="inlineStr">
        <is>
          <t>R004</t>
        </is>
      </c>
      <c r="F1202" s="72" t="n">
        <v>3</v>
      </c>
      <c r="G1202" s="72" t="n">
        <v>3780</v>
      </c>
      <c r="H1202" s="72" t="n">
        <v>16.8</v>
      </c>
      <c r="I1202" s="72" t="n">
        <v>9434.879999999999</v>
      </c>
      <c r="J1202" s="70" t="inlineStr">
        <is>
          <t>Completed</t>
        </is>
      </c>
      <c r="K1202" s="70" t="inlineStr">
        <is>
          <t>Pune</t>
        </is>
      </c>
    </row>
    <row r="1203" ht="14.25" customHeight="1" s="56">
      <c r="A1203" s="70" t="inlineStr">
        <is>
          <t>ORD-01202</t>
        </is>
      </c>
      <c r="B1203" s="71" t="n">
        <v>45518</v>
      </c>
      <c r="C1203" s="70" t="inlineStr">
        <is>
          <t>CUST-0185</t>
        </is>
      </c>
      <c r="D1203" s="70" t="inlineStr">
        <is>
          <t>PROD-003</t>
        </is>
      </c>
      <c r="E1203" s="70" t="inlineStr">
        <is>
          <t>R010</t>
        </is>
      </c>
      <c r="F1203" s="72" t="n">
        <v>7</v>
      </c>
      <c r="G1203" s="72" t="n">
        <v>3570</v>
      </c>
      <c r="H1203" s="72" t="n">
        <v>23.7</v>
      </c>
      <c r="I1203" s="72" t="n">
        <v>19067.37</v>
      </c>
      <c r="J1203" s="70" t="inlineStr">
        <is>
          <t>Completed</t>
        </is>
      </c>
      <c r="K1203" s="70" t="inlineStr">
        <is>
          <t>Hyderabad</t>
        </is>
      </c>
    </row>
    <row r="1204" ht="14.25" customHeight="1" s="56">
      <c r="A1204" s="70" t="inlineStr">
        <is>
          <t>ORD-01203</t>
        </is>
      </c>
      <c r="B1204" s="71" t="n">
        <v>45559</v>
      </c>
      <c r="C1204" s="70" t="inlineStr">
        <is>
          <t>CUST-0210</t>
        </is>
      </c>
      <c r="D1204" s="70" t="inlineStr">
        <is>
          <t>PROD-037</t>
        </is>
      </c>
      <c r="E1204" s="70" t="inlineStr">
        <is>
          <t>R011</t>
        </is>
      </c>
      <c r="F1204" s="72" t="n">
        <v>4</v>
      </c>
      <c r="G1204" s="72" t="n">
        <v>660</v>
      </c>
      <c r="H1204" s="72" t="n">
        <v>3.6</v>
      </c>
      <c r="I1204" s="72" t="n">
        <v>2544.96</v>
      </c>
      <c r="J1204" s="70" t="inlineStr">
        <is>
          <t>Completed</t>
        </is>
      </c>
      <c r="K1204" s="70" t="inlineStr">
        <is>
          <t>Pune</t>
        </is>
      </c>
    </row>
    <row r="1205" ht="14.25" customHeight="1" s="56">
      <c r="A1205" s="70" t="inlineStr">
        <is>
          <t>ORD-01204</t>
        </is>
      </c>
      <c r="B1205" s="71" t="n">
        <v>45501</v>
      </c>
      <c r="C1205" s="70" t="inlineStr">
        <is>
          <t>CUST-0289</t>
        </is>
      </c>
      <c r="D1205" s="70" t="inlineStr">
        <is>
          <t>PROD-030</t>
        </is>
      </c>
      <c r="E1205" s="70" t="inlineStr">
        <is>
          <t>R010</t>
        </is>
      </c>
      <c r="F1205" s="72" t="n">
        <v>7</v>
      </c>
      <c r="G1205" s="72" t="n">
        <v>970</v>
      </c>
      <c r="H1205" s="72" t="n">
        <v>23.7</v>
      </c>
      <c r="I1205" s="72" t="n">
        <v>5180.77</v>
      </c>
      <c r="J1205" s="70" t="inlineStr">
        <is>
          <t>Completed</t>
        </is>
      </c>
      <c r="K1205" s="70" t="inlineStr">
        <is>
          <t>Mumbai</t>
        </is>
      </c>
    </row>
    <row r="1206" ht="14.25" customHeight="1" s="56">
      <c r="A1206" s="70" t="inlineStr">
        <is>
          <t>ORD-01205</t>
        </is>
      </c>
      <c r="B1206" s="71" t="n">
        <v>45338</v>
      </c>
      <c r="C1206" s="70" t="inlineStr">
        <is>
          <t>CUST-0017</t>
        </is>
      </c>
      <c r="D1206" s="70" t="inlineStr">
        <is>
          <t>PROD-024</t>
        </is>
      </c>
      <c r="E1206" s="70" t="inlineStr">
        <is>
          <t>R006</t>
        </is>
      </c>
      <c r="F1206" s="72" t="n">
        <v>8</v>
      </c>
      <c r="G1206" s="72" t="n">
        <v>2270</v>
      </c>
      <c r="H1206" s="72" t="n">
        <v>6.8</v>
      </c>
      <c r="I1206" s="72" t="n">
        <v>16925.12</v>
      </c>
      <c r="J1206" s="70" t="inlineStr">
        <is>
          <t>Completed</t>
        </is>
      </c>
      <c r="K1206" s="70" t="inlineStr">
        <is>
          <t>Delhi</t>
        </is>
      </c>
    </row>
    <row r="1207" ht="14.25" customHeight="1" s="56">
      <c r="A1207" s="70" t="inlineStr">
        <is>
          <t>ORD-01206</t>
        </is>
      </c>
      <c r="B1207" s="71" t="n">
        <v>45585</v>
      </c>
      <c r="C1207" s="70" t="inlineStr">
        <is>
          <t>CUST-0115</t>
        </is>
      </c>
      <c r="D1207" s="70" t="inlineStr">
        <is>
          <t>PROD-058</t>
        </is>
      </c>
      <c r="E1207" s="70" t="inlineStr">
        <is>
          <t>R012</t>
        </is>
      </c>
      <c r="F1207" s="72" t="n">
        <v>1</v>
      </c>
      <c r="G1207" s="72" t="n">
        <v>2400</v>
      </c>
      <c r="H1207" s="72" t="n">
        <v>26.5</v>
      </c>
      <c r="I1207" s="72" t="n">
        <v>1764</v>
      </c>
      <c r="J1207" s="70" t="inlineStr">
        <is>
          <t>Completed</t>
        </is>
      </c>
      <c r="K1207" s="70" t="inlineStr">
        <is>
          <t>Mumbai</t>
        </is>
      </c>
    </row>
    <row r="1208" ht="14.25" customHeight="1" s="56">
      <c r="A1208" s="70" t="inlineStr">
        <is>
          <t>ORD-01207</t>
        </is>
      </c>
      <c r="B1208" s="71" t="n">
        <v>45525</v>
      </c>
      <c r="C1208" s="70" t="inlineStr">
        <is>
          <t>CUST-0183</t>
        </is>
      </c>
      <c r="D1208" s="70" t="inlineStr">
        <is>
          <t>PROD-034</t>
        </is>
      </c>
      <c r="E1208" s="70" t="inlineStr">
        <is>
          <t>R010</t>
        </is>
      </c>
      <c r="F1208" s="72" t="n">
        <v>5</v>
      </c>
      <c r="G1208" s="72" t="n">
        <v>5080</v>
      </c>
      <c r="H1208" s="72" t="n">
        <v>29.6</v>
      </c>
      <c r="I1208" s="72" t="n">
        <v>17881.6</v>
      </c>
      <c r="J1208" s="70" t="inlineStr">
        <is>
          <t>Completed</t>
        </is>
      </c>
      <c r="K1208" s="70" t="inlineStr">
        <is>
          <t>Mumbai</t>
        </is>
      </c>
    </row>
    <row r="1209" ht="14.25" customHeight="1" s="56">
      <c r="A1209" s="70" t="inlineStr">
        <is>
          <t>ORD-01208</t>
        </is>
      </c>
      <c r="B1209" s="71" t="n">
        <v>45351</v>
      </c>
      <c r="C1209" s="70" t="inlineStr">
        <is>
          <t>CUST-0193</t>
        </is>
      </c>
      <c r="D1209" s="70" t="inlineStr">
        <is>
          <t>PROD-043</t>
        </is>
      </c>
      <c r="E1209" s="70" t="inlineStr">
        <is>
          <t>R014</t>
        </is>
      </c>
      <c r="F1209" s="72" t="n">
        <v>9</v>
      </c>
      <c r="G1209" s="72" t="n">
        <v>3350</v>
      </c>
      <c r="H1209" s="72" t="n">
        <v>6.2</v>
      </c>
      <c r="I1209" s="72" t="n">
        <v>28280.7</v>
      </c>
      <c r="J1209" s="70" t="inlineStr">
        <is>
          <t>Completed</t>
        </is>
      </c>
      <c r="K1209" s="70" t="inlineStr">
        <is>
          <t>Bengaluru</t>
        </is>
      </c>
    </row>
    <row r="1210" ht="14.25" customHeight="1" s="56">
      <c r="A1210" s="70" t="inlineStr">
        <is>
          <t>ORD-01209</t>
        </is>
      </c>
      <c r="B1210" s="71" t="n">
        <v>45560</v>
      </c>
      <c r="C1210" s="70" t="inlineStr">
        <is>
          <t>CUST-0019</t>
        </is>
      </c>
      <c r="D1210" s="70" t="inlineStr">
        <is>
          <t>PROD-041</t>
        </is>
      </c>
      <c r="E1210" s="70" t="inlineStr">
        <is>
          <t>R001</t>
        </is>
      </c>
      <c r="F1210" s="72" t="n">
        <v>4</v>
      </c>
      <c r="G1210" s="72" t="n">
        <v>1540</v>
      </c>
      <c r="H1210" s="72" t="n">
        <v>22.2</v>
      </c>
      <c r="I1210" s="72" t="n">
        <v>4792.48</v>
      </c>
      <c r="J1210" s="70" t="inlineStr">
        <is>
          <t>Completed</t>
        </is>
      </c>
      <c r="K1210" s="70" t="inlineStr">
        <is>
          <t>Chennai</t>
        </is>
      </c>
    </row>
    <row r="1211" ht="14.25" customHeight="1" s="56">
      <c r="A1211" s="70" t="inlineStr">
        <is>
          <t>ORD-01210</t>
        </is>
      </c>
      <c r="B1211" s="71" t="n">
        <v>45431</v>
      </c>
      <c r="C1211" s="70" t="inlineStr">
        <is>
          <t>CUST-0097</t>
        </is>
      </c>
      <c r="D1211" s="70" t="inlineStr">
        <is>
          <t>PROD-034</t>
        </is>
      </c>
      <c r="E1211" s="70" t="inlineStr">
        <is>
          <t>R002</t>
        </is>
      </c>
      <c r="F1211" s="72" t="n">
        <v>10</v>
      </c>
      <c r="G1211" s="72" t="n">
        <v>5080</v>
      </c>
      <c r="H1211" s="72" t="n">
        <v>11.8</v>
      </c>
      <c r="I1211" s="72" t="n">
        <v>44805.6</v>
      </c>
      <c r="J1211" s="70" t="inlineStr">
        <is>
          <t>Completed</t>
        </is>
      </c>
      <c r="K1211" s="70" t="inlineStr">
        <is>
          <t>Mumbai</t>
        </is>
      </c>
    </row>
    <row r="1212" ht="14.25" customHeight="1" s="56">
      <c r="A1212" s="70" t="inlineStr">
        <is>
          <t>ORD-01211</t>
        </is>
      </c>
      <c r="B1212" s="71" t="n">
        <v>45296</v>
      </c>
      <c r="C1212" s="70" t="inlineStr">
        <is>
          <t>CUST-0237</t>
        </is>
      </c>
      <c r="D1212" s="70" t="inlineStr">
        <is>
          <t>PROD-018</t>
        </is>
      </c>
      <c r="E1212" s="70" t="inlineStr">
        <is>
          <t>R012</t>
        </is>
      </c>
      <c r="F1212" s="72" t="n">
        <v>9</v>
      </c>
      <c r="G1212" s="72" t="n">
        <v>3560</v>
      </c>
      <c r="H1212" s="72" t="n">
        <v>15.9</v>
      </c>
      <c r="I1212" s="72" t="n">
        <v>26945.64</v>
      </c>
      <c r="J1212" s="70" t="inlineStr">
        <is>
          <t>Completed</t>
        </is>
      </c>
      <c r="K1212" s="70" t="inlineStr">
        <is>
          <t>Mumbai</t>
        </is>
      </c>
    </row>
    <row r="1213" ht="14.25" customHeight="1" s="56">
      <c r="A1213" s="70" t="inlineStr">
        <is>
          <t>ORD-01212</t>
        </is>
      </c>
      <c r="B1213" s="71" t="n">
        <v>45629</v>
      </c>
      <c r="C1213" s="70" t="inlineStr">
        <is>
          <t>CUST-0252</t>
        </is>
      </c>
      <c r="D1213" s="70" t="inlineStr">
        <is>
          <t>PROD-040</t>
        </is>
      </c>
      <c r="E1213" s="70" t="inlineStr">
        <is>
          <t>R009</t>
        </is>
      </c>
      <c r="F1213" s="72" t="n">
        <v>2</v>
      </c>
      <c r="G1213" s="72" t="n">
        <v>1080</v>
      </c>
      <c r="H1213" s="72" t="n">
        <v>21.1</v>
      </c>
      <c r="I1213" s="72" t="n">
        <v>1704.24</v>
      </c>
      <c r="J1213" s="70" t="inlineStr">
        <is>
          <t>Completed</t>
        </is>
      </c>
      <c r="K1213" s="70" t="inlineStr">
        <is>
          <t>Bengaluru</t>
        </is>
      </c>
    </row>
    <row r="1214" ht="14.25" customHeight="1" s="56">
      <c r="A1214" s="70" t="inlineStr">
        <is>
          <t>ORD-01213</t>
        </is>
      </c>
      <c r="B1214" s="71" t="n">
        <v>45310</v>
      </c>
      <c r="C1214" s="70" t="inlineStr">
        <is>
          <t>CUST-0216</t>
        </is>
      </c>
      <c r="D1214" s="70" t="inlineStr">
        <is>
          <t>PROD-023</t>
        </is>
      </c>
      <c r="E1214" s="70" t="inlineStr">
        <is>
          <t>R018</t>
        </is>
      </c>
      <c r="F1214" s="72" t="n">
        <v>5</v>
      </c>
      <c r="G1214" s="72" t="n">
        <v>2380</v>
      </c>
      <c r="H1214" s="72" t="n">
        <v>20.5</v>
      </c>
      <c r="I1214" s="72" t="n">
        <v>9460.5</v>
      </c>
      <c r="J1214" s="70" t="inlineStr">
        <is>
          <t>Completed</t>
        </is>
      </c>
      <c r="K1214" s="70" t="inlineStr">
        <is>
          <t>Mumbai</t>
        </is>
      </c>
    </row>
    <row r="1215" ht="14.25" customHeight="1" s="56">
      <c r="A1215" s="70" t="inlineStr">
        <is>
          <t>ORD-01214</t>
        </is>
      </c>
      <c r="B1215" s="71" t="n">
        <v>45498</v>
      </c>
      <c r="C1215" s="70" t="inlineStr">
        <is>
          <t>CUST-0248</t>
        </is>
      </c>
      <c r="D1215" s="70" t="inlineStr">
        <is>
          <t>PROD-019</t>
        </is>
      </c>
      <c r="E1215" s="70" t="inlineStr">
        <is>
          <t>R025</t>
        </is>
      </c>
      <c r="F1215" s="72" t="n">
        <v>9</v>
      </c>
      <c r="G1215" s="72" t="n">
        <v>2480</v>
      </c>
      <c r="H1215" s="72" t="n">
        <v>1.2</v>
      </c>
      <c r="I1215" s="72" t="n">
        <v>22052.16</v>
      </c>
      <c r="J1215" s="70" t="inlineStr">
        <is>
          <t>Completed</t>
        </is>
      </c>
      <c r="K1215" s="70" t="inlineStr">
        <is>
          <t>Chennai</t>
        </is>
      </c>
    </row>
    <row r="1216" ht="14.25" customHeight="1" s="56">
      <c r="A1216" s="70" t="inlineStr">
        <is>
          <t>ORD-01215</t>
        </is>
      </c>
      <c r="B1216" s="71" t="n">
        <v>45348</v>
      </c>
      <c r="C1216" s="70" t="inlineStr">
        <is>
          <t>CUST-0044</t>
        </is>
      </c>
      <c r="D1216" s="70" t="inlineStr">
        <is>
          <t>PROD-042</t>
        </is>
      </c>
      <c r="E1216" s="70" t="inlineStr">
        <is>
          <t>R012</t>
        </is>
      </c>
      <c r="F1216" s="72" t="n">
        <v>9</v>
      </c>
      <c r="G1216" s="72" t="n">
        <v>2290</v>
      </c>
      <c r="H1216" s="72" t="n">
        <v>0.9</v>
      </c>
      <c r="I1216" s="72" t="n">
        <v>20424.51</v>
      </c>
      <c r="J1216" s="70" t="inlineStr">
        <is>
          <t>Completed</t>
        </is>
      </c>
      <c r="K1216" s="70" t="inlineStr">
        <is>
          <t>Hyderabad</t>
        </is>
      </c>
    </row>
    <row r="1217" ht="14.25" customHeight="1" s="56">
      <c r="A1217" s="70" t="inlineStr">
        <is>
          <t>ORD-01216</t>
        </is>
      </c>
      <c r="B1217" s="71" t="n">
        <v>45382</v>
      </c>
      <c r="C1217" s="70" t="inlineStr">
        <is>
          <t>CUST-0251</t>
        </is>
      </c>
      <c r="D1217" s="70" t="inlineStr">
        <is>
          <t>PROD-011</t>
        </is>
      </c>
      <c r="E1217" s="70" t="inlineStr">
        <is>
          <t>R011</t>
        </is>
      </c>
      <c r="F1217" s="72" t="n">
        <v>3</v>
      </c>
      <c r="G1217" s="72" t="n">
        <v>3450</v>
      </c>
      <c r="H1217" s="72" t="n">
        <v>29.5</v>
      </c>
      <c r="I1217" s="72" t="n">
        <v>7296.75</v>
      </c>
      <c r="J1217" s="70" t="inlineStr">
        <is>
          <t>Completed</t>
        </is>
      </c>
      <c r="K1217" s="70" t="inlineStr">
        <is>
          <t>Mumbai</t>
        </is>
      </c>
    </row>
    <row r="1218" ht="14.25" customHeight="1" s="56">
      <c r="A1218" s="70" t="inlineStr">
        <is>
          <t>ORD-01217</t>
        </is>
      </c>
      <c r="B1218" s="71" t="n">
        <v>45569</v>
      </c>
      <c r="C1218" s="70" t="inlineStr">
        <is>
          <t>CUST-0280</t>
        </is>
      </c>
      <c r="D1218" s="70" t="inlineStr">
        <is>
          <t>PROD-047</t>
        </is>
      </c>
      <c r="E1218" s="70" t="inlineStr">
        <is>
          <t>R024</t>
        </is>
      </c>
      <c r="F1218" s="72" t="n">
        <v>9</v>
      </c>
      <c r="G1218" s="72" t="n">
        <v>3450</v>
      </c>
      <c r="H1218" s="72" t="n">
        <v>19.4</v>
      </c>
      <c r="I1218" s="72" t="n">
        <v>25026.3</v>
      </c>
      <c r="J1218" s="70" t="inlineStr">
        <is>
          <t>Completed</t>
        </is>
      </c>
      <c r="K1218" s="70" t="inlineStr">
        <is>
          <t>Delhi</t>
        </is>
      </c>
    </row>
    <row r="1219" ht="14.25" customHeight="1" s="56">
      <c r="A1219" s="70" t="inlineStr">
        <is>
          <t>ORD-01218</t>
        </is>
      </c>
      <c r="B1219" s="71" t="n">
        <v>45516</v>
      </c>
      <c r="C1219" s="70" t="inlineStr">
        <is>
          <t>CUST-0108</t>
        </is>
      </c>
      <c r="D1219" s="70" t="inlineStr">
        <is>
          <t>PROD-002</t>
        </is>
      </c>
      <c r="E1219" s="70" t="inlineStr">
        <is>
          <t>R030</t>
        </is>
      </c>
      <c r="F1219" s="72" t="n">
        <v>2</v>
      </c>
      <c r="G1219" s="72" t="n">
        <v>2600</v>
      </c>
      <c r="H1219" s="72" t="n">
        <v>20.2</v>
      </c>
      <c r="I1219" s="72" t="n">
        <v>4149.6</v>
      </c>
      <c r="J1219" s="70" t="inlineStr">
        <is>
          <t>Cancelled</t>
        </is>
      </c>
      <c r="K1219" s="70" t="inlineStr">
        <is>
          <t>Bengaluru</t>
        </is>
      </c>
    </row>
    <row r="1220" ht="14.25" customHeight="1" s="56">
      <c r="A1220" s="70" t="inlineStr">
        <is>
          <t>ORD-01219</t>
        </is>
      </c>
      <c r="B1220" s="71" t="n">
        <v>45519</v>
      </c>
      <c r="C1220" s="70" t="inlineStr">
        <is>
          <t>CUST-0058</t>
        </is>
      </c>
      <c r="D1220" s="70" t="inlineStr">
        <is>
          <t>PROD-021</t>
        </is>
      </c>
      <c r="E1220" s="70" t="inlineStr">
        <is>
          <t>R025</t>
        </is>
      </c>
      <c r="F1220" s="72" t="n">
        <v>1</v>
      </c>
      <c r="G1220" s="72" t="n">
        <v>2760</v>
      </c>
      <c r="H1220" s="72" t="n">
        <v>9.5</v>
      </c>
      <c r="I1220" s="72" t="n">
        <v>2497.8</v>
      </c>
      <c r="J1220" s="70" t="inlineStr">
        <is>
          <t>Completed</t>
        </is>
      </c>
      <c r="K1220" s="70" t="inlineStr">
        <is>
          <t>Bengaluru</t>
        </is>
      </c>
    </row>
    <row r="1221" ht="14.25" customHeight="1" s="56">
      <c r="A1221" s="70" t="inlineStr">
        <is>
          <t>ORD-01220</t>
        </is>
      </c>
      <c r="B1221" s="71" t="n">
        <v>45593</v>
      </c>
      <c r="C1221" s="70" t="inlineStr">
        <is>
          <t>CUST-0090</t>
        </is>
      </c>
      <c r="D1221" s="70" t="inlineStr">
        <is>
          <t>PROD-039</t>
        </is>
      </c>
      <c r="E1221" s="70" t="inlineStr">
        <is>
          <t>R003</t>
        </is>
      </c>
      <c r="F1221" s="72" t="n">
        <v>4</v>
      </c>
      <c r="G1221" s="72" t="n">
        <v>4610</v>
      </c>
      <c r="H1221" s="72" t="n">
        <v>14.8</v>
      </c>
      <c r="I1221" s="72" t="n">
        <v>15710.88</v>
      </c>
      <c r="J1221" s="70" t="inlineStr">
        <is>
          <t>Completed</t>
        </is>
      </c>
      <c r="K1221" s="70" t="inlineStr">
        <is>
          <t>Bengaluru</t>
        </is>
      </c>
    </row>
    <row r="1222" ht="14.25" customHeight="1" s="56">
      <c r="A1222" s="70" t="inlineStr">
        <is>
          <t>ORD-01221</t>
        </is>
      </c>
      <c r="B1222" s="71" t="n">
        <v>45532</v>
      </c>
      <c r="C1222" s="70" t="inlineStr">
        <is>
          <t>CUST-0204</t>
        </is>
      </c>
      <c r="D1222" s="70" t="inlineStr">
        <is>
          <t>PROD-019</t>
        </is>
      </c>
      <c r="E1222" s="70" t="inlineStr">
        <is>
          <t>R024</t>
        </is>
      </c>
      <c r="F1222" s="72" t="n">
        <v>3</v>
      </c>
      <c r="G1222" s="72" t="n">
        <v>2480</v>
      </c>
      <c r="H1222" s="72" t="n">
        <v>3.7</v>
      </c>
      <c r="I1222" s="72" t="n">
        <v>7164.72</v>
      </c>
      <c r="J1222" s="70" t="inlineStr">
        <is>
          <t>Completed</t>
        </is>
      </c>
      <c r="K1222" s="70" t="inlineStr">
        <is>
          <t>Hyderabad</t>
        </is>
      </c>
    </row>
    <row r="1223" ht="14.25" customHeight="1" s="56">
      <c r="A1223" s="70" t="inlineStr">
        <is>
          <t>ORD-01222</t>
        </is>
      </c>
      <c r="B1223" s="71" t="n">
        <v>45610</v>
      </c>
      <c r="C1223" s="70" t="inlineStr">
        <is>
          <t>CUST-0044</t>
        </is>
      </c>
      <c r="D1223" s="70" t="inlineStr">
        <is>
          <t>PROD-056</t>
        </is>
      </c>
      <c r="E1223" s="70" t="inlineStr">
        <is>
          <t>R011</t>
        </is>
      </c>
      <c r="F1223" s="72" t="n">
        <v>5</v>
      </c>
      <c r="G1223" s="72" t="n">
        <v>6940</v>
      </c>
      <c r="H1223" s="72" t="n">
        <v>0.3</v>
      </c>
      <c r="I1223" s="72" t="n">
        <v>34595.9</v>
      </c>
      <c r="J1223" s="70" t="inlineStr">
        <is>
          <t>Completed</t>
        </is>
      </c>
      <c r="K1223" s="70" t="inlineStr">
        <is>
          <t>Hyderabad</t>
        </is>
      </c>
    </row>
    <row r="1224" ht="14.25" customHeight="1" s="56">
      <c r="A1224" s="70" t="inlineStr">
        <is>
          <t>ORD-01223</t>
        </is>
      </c>
      <c r="B1224" s="71" t="n">
        <v>45560</v>
      </c>
      <c r="C1224" s="70" t="inlineStr">
        <is>
          <t>CUST-0068</t>
        </is>
      </c>
      <c r="D1224" s="70" t="inlineStr">
        <is>
          <t>PROD-022</t>
        </is>
      </c>
      <c r="E1224" s="70" t="inlineStr">
        <is>
          <t>R023</t>
        </is>
      </c>
      <c r="F1224" s="72" t="n">
        <v>8</v>
      </c>
      <c r="G1224" s="72" t="n">
        <v>2270</v>
      </c>
      <c r="H1224" s="72" t="n">
        <v>15.6</v>
      </c>
      <c r="I1224" s="72" t="n">
        <v>15327.04</v>
      </c>
      <c r="J1224" s="70" t="inlineStr">
        <is>
          <t>Pending</t>
        </is>
      </c>
      <c r="K1224" s="70" t="inlineStr">
        <is>
          <t>Delhi</t>
        </is>
      </c>
    </row>
    <row r="1225" ht="14.25" customHeight="1" s="56">
      <c r="A1225" s="70" t="inlineStr">
        <is>
          <t>ORD-01224</t>
        </is>
      </c>
      <c r="B1225" s="71" t="n">
        <v>45431</v>
      </c>
      <c r="C1225" s="70" t="inlineStr">
        <is>
          <t>CUST-0127</t>
        </is>
      </c>
      <c r="D1225" s="70" t="inlineStr">
        <is>
          <t>PROD-048</t>
        </is>
      </c>
      <c r="E1225" s="70" t="inlineStr">
        <is>
          <t>R030</t>
        </is>
      </c>
      <c r="F1225" s="72" t="n">
        <v>5</v>
      </c>
      <c r="G1225" s="72" t="n">
        <v>5100</v>
      </c>
      <c r="H1225" s="72" t="n">
        <v>9.5</v>
      </c>
      <c r="I1225" s="72" t="n">
        <v>23077.5</v>
      </c>
      <c r="J1225" s="70" t="inlineStr">
        <is>
          <t>Completed</t>
        </is>
      </c>
      <c r="K1225" s="70" t="inlineStr">
        <is>
          <t>Bengaluru</t>
        </is>
      </c>
    </row>
    <row r="1226" ht="14.25" customHeight="1" s="56">
      <c r="A1226" s="70" t="inlineStr">
        <is>
          <t>ORD-01225</t>
        </is>
      </c>
      <c r="B1226" s="71" t="n">
        <v>45594</v>
      </c>
      <c r="C1226" s="70" t="inlineStr">
        <is>
          <t>CUST-0191</t>
        </is>
      </c>
      <c r="D1226" s="70" t="inlineStr">
        <is>
          <t>PROD-036</t>
        </is>
      </c>
      <c r="E1226" s="70" t="inlineStr">
        <is>
          <t>R011</t>
        </is>
      </c>
      <c r="F1226" s="72" t="n">
        <v>5</v>
      </c>
      <c r="G1226" s="72" t="n">
        <v>3250</v>
      </c>
      <c r="H1226" s="72" t="n">
        <v>8.1</v>
      </c>
      <c r="I1226" s="72" t="n">
        <v>14933.75</v>
      </c>
      <c r="J1226" s="70" t="inlineStr">
        <is>
          <t>Completed</t>
        </is>
      </c>
      <c r="K1226" s="70" t="inlineStr">
        <is>
          <t>Hyderabad</t>
        </is>
      </c>
    </row>
    <row r="1227" ht="14.25" customHeight="1" s="56">
      <c r="A1227" s="70" t="inlineStr">
        <is>
          <t>ORD-01226</t>
        </is>
      </c>
      <c r="B1227" s="71" t="n">
        <v>45609</v>
      </c>
      <c r="C1227" s="70" t="inlineStr">
        <is>
          <t>CUST-0028</t>
        </is>
      </c>
      <c r="D1227" s="70" t="inlineStr">
        <is>
          <t>PROD-006</t>
        </is>
      </c>
      <c r="E1227" s="70" t="inlineStr">
        <is>
          <t>R003</t>
        </is>
      </c>
      <c r="F1227" s="72" t="n">
        <v>6</v>
      </c>
      <c r="G1227" s="72" t="n">
        <v>3970</v>
      </c>
      <c r="H1227" s="72" t="n">
        <v>18.8</v>
      </c>
      <c r="I1227" s="72" t="n">
        <v>19341.84</v>
      </c>
      <c r="J1227" s="70" t="inlineStr">
        <is>
          <t>Pending</t>
        </is>
      </c>
      <c r="K1227" s="70" t="inlineStr">
        <is>
          <t>Bengaluru</t>
        </is>
      </c>
    </row>
    <row r="1228" ht="14.25" customHeight="1" s="56">
      <c r="A1228" s="70" t="inlineStr">
        <is>
          <t>ORD-01227</t>
        </is>
      </c>
      <c r="B1228" s="71" t="n">
        <v>45546</v>
      </c>
      <c r="C1228" s="70" t="inlineStr">
        <is>
          <t>CUST-0027</t>
        </is>
      </c>
      <c r="D1228" s="70" t="inlineStr">
        <is>
          <t>PROD-001</t>
        </is>
      </c>
      <c r="E1228" s="70" t="inlineStr">
        <is>
          <t>R025</t>
        </is>
      </c>
      <c r="F1228" s="72" t="n">
        <v>4</v>
      </c>
      <c r="G1228" s="72" t="n">
        <v>5330</v>
      </c>
      <c r="H1228" s="72" t="n">
        <v>19.7</v>
      </c>
      <c r="I1228" s="72" t="n">
        <v>17119.96</v>
      </c>
      <c r="J1228" s="70" t="inlineStr">
        <is>
          <t>Completed</t>
        </is>
      </c>
      <c r="K1228" s="70" t="inlineStr">
        <is>
          <t>Hyderabad</t>
        </is>
      </c>
    </row>
    <row r="1229" ht="14.25" customHeight="1" s="56">
      <c r="A1229" s="70" t="inlineStr">
        <is>
          <t>ORD-01228</t>
        </is>
      </c>
      <c r="B1229" s="71" t="n">
        <v>45607</v>
      </c>
      <c r="C1229" s="70" t="inlineStr">
        <is>
          <t>CUST-0193</t>
        </is>
      </c>
      <c r="D1229" s="70" t="inlineStr">
        <is>
          <t>PROD-008</t>
        </is>
      </c>
      <c r="E1229" s="70" t="inlineStr">
        <is>
          <t>R004</t>
        </is>
      </c>
      <c r="F1229" s="72" t="n">
        <v>7</v>
      </c>
      <c r="G1229" s="72" t="n">
        <v>2660</v>
      </c>
      <c r="H1229" s="72" t="n">
        <v>8.5</v>
      </c>
      <c r="I1229" s="72" t="n">
        <v>17037.3</v>
      </c>
      <c r="J1229" s="70" t="inlineStr">
        <is>
          <t>Completed</t>
        </is>
      </c>
      <c r="K1229" s="70" t="inlineStr">
        <is>
          <t>Bengaluru</t>
        </is>
      </c>
    </row>
    <row r="1230" ht="14.25" customHeight="1" s="56">
      <c r="A1230" s="70" t="inlineStr">
        <is>
          <t>ORD-01229</t>
        </is>
      </c>
      <c r="B1230" s="71" t="n">
        <v>45422</v>
      </c>
      <c r="C1230" s="70" t="inlineStr">
        <is>
          <t>CUST-0202</t>
        </is>
      </c>
      <c r="D1230" s="70" t="inlineStr">
        <is>
          <t>PROD-012</t>
        </is>
      </c>
      <c r="E1230" s="70" t="inlineStr">
        <is>
          <t>R029</t>
        </is>
      </c>
      <c r="F1230" s="72" t="n">
        <v>5</v>
      </c>
      <c r="G1230" s="72" t="n">
        <v>3160</v>
      </c>
      <c r="H1230" s="72" t="n">
        <v>13.4</v>
      </c>
      <c r="I1230" s="72" t="n">
        <v>13682.8</v>
      </c>
      <c r="J1230" s="70" t="inlineStr">
        <is>
          <t>Pending</t>
        </is>
      </c>
      <c r="K1230" s="70" t="inlineStr">
        <is>
          <t>Chennai</t>
        </is>
      </c>
    </row>
    <row r="1231" ht="14.25" customHeight="1" s="56">
      <c r="A1231" s="70" t="inlineStr">
        <is>
          <t>ORD-01230</t>
        </is>
      </c>
      <c r="B1231" s="71" t="n">
        <v>45634</v>
      </c>
      <c r="C1231" s="70" t="inlineStr">
        <is>
          <t>CUST-0230</t>
        </is>
      </c>
      <c r="D1231" s="70" t="inlineStr">
        <is>
          <t>PROD-054</t>
        </is>
      </c>
      <c r="E1231" s="70" t="inlineStr">
        <is>
          <t>R019</t>
        </is>
      </c>
      <c r="F1231" s="72" t="n">
        <v>10</v>
      </c>
      <c r="G1231" s="72" t="n">
        <v>1010</v>
      </c>
      <c r="H1231" s="72" t="n">
        <v>14</v>
      </c>
      <c r="I1231" s="72" t="n">
        <v>8686</v>
      </c>
      <c r="J1231" s="70" t="inlineStr">
        <is>
          <t>Completed</t>
        </is>
      </c>
      <c r="K1231" s="70" t="inlineStr">
        <is>
          <t>Pune</t>
        </is>
      </c>
    </row>
    <row r="1232" ht="14.25" customHeight="1" s="56">
      <c r="A1232" s="70" t="inlineStr">
        <is>
          <t>ORD-01231</t>
        </is>
      </c>
      <c r="B1232" s="71" t="n">
        <v>45376</v>
      </c>
      <c r="C1232" s="70" t="inlineStr">
        <is>
          <t>CUST-0280</t>
        </is>
      </c>
      <c r="D1232" s="70" t="inlineStr">
        <is>
          <t>PROD-041</t>
        </is>
      </c>
      <c r="E1232" s="70" t="inlineStr">
        <is>
          <t>R003</t>
        </is>
      </c>
      <c r="F1232" s="72" t="n">
        <v>3</v>
      </c>
      <c r="G1232" s="72" t="n">
        <v>1540</v>
      </c>
      <c r="H1232" s="72" t="n">
        <v>13.7</v>
      </c>
      <c r="I1232" s="72" t="n">
        <v>3987.06</v>
      </c>
      <c r="J1232" s="70" t="inlineStr">
        <is>
          <t>Pending</t>
        </is>
      </c>
      <c r="K1232" s="70" t="inlineStr">
        <is>
          <t>Delhi</t>
        </is>
      </c>
    </row>
    <row r="1233" ht="14.25" customHeight="1" s="56">
      <c r="A1233" s="70" t="inlineStr">
        <is>
          <t>ORD-01232</t>
        </is>
      </c>
      <c r="B1233" s="71" t="n">
        <v>45313</v>
      </c>
      <c r="C1233" s="70" t="inlineStr">
        <is>
          <t>CUST-0196</t>
        </is>
      </c>
      <c r="D1233" s="70" t="inlineStr">
        <is>
          <t>PROD-048</t>
        </is>
      </c>
      <c r="E1233" s="70" t="inlineStr">
        <is>
          <t>R009</t>
        </is>
      </c>
      <c r="F1233" s="72" t="n">
        <v>10</v>
      </c>
      <c r="G1233" s="72" t="n">
        <v>5100</v>
      </c>
      <c r="H1233" s="72" t="n">
        <v>13.8</v>
      </c>
      <c r="I1233" s="72" t="n">
        <v>43962</v>
      </c>
      <c r="J1233" s="70" t="inlineStr">
        <is>
          <t>Completed</t>
        </is>
      </c>
      <c r="K1233" s="70" t="inlineStr">
        <is>
          <t>Chennai</t>
        </is>
      </c>
    </row>
    <row r="1234" ht="14.25" customHeight="1" s="56">
      <c r="A1234" s="70" t="inlineStr">
        <is>
          <t>ORD-01233</t>
        </is>
      </c>
      <c r="B1234" s="71" t="n">
        <v>45457</v>
      </c>
      <c r="C1234" s="70" t="inlineStr">
        <is>
          <t>CUST-0019</t>
        </is>
      </c>
      <c r="D1234" s="70" t="inlineStr">
        <is>
          <t>PROD-007</t>
        </is>
      </c>
      <c r="E1234" s="70" t="inlineStr">
        <is>
          <t>R030</t>
        </is>
      </c>
      <c r="F1234" s="72" t="n">
        <v>3</v>
      </c>
      <c r="G1234" s="72" t="n">
        <v>1430</v>
      </c>
      <c r="H1234" s="72" t="n">
        <v>1.5</v>
      </c>
      <c r="I1234" s="72" t="n">
        <v>4225.65</v>
      </c>
      <c r="J1234" s="70" t="inlineStr">
        <is>
          <t>Completed</t>
        </is>
      </c>
      <c r="K1234" s="70" t="inlineStr">
        <is>
          <t>Chennai</t>
        </is>
      </c>
    </row>
    <row r="1235" ht="14.25" customHeight="1" s="56">
      <c r="A1235" s="70" t="inlineStr">
        <is>
          <t>ORD-01234</t>
        </is>
      </c>
      <c r="B1235" s="71" t="n">
        <v>45620</v>
      </c>
      <c r="C1235" s="70" t="inlineStr">
        <is>
          <t>CUST-0201</t>
        </is>
      </c>
      <c r="D1235" s="70" t="inlineStr">
        <is>
          <t>PROD-038</t>
        </is>
      </c>
      <c r="E1235" s="70" t="inlineStr">
        <is>
          <t>R013</t>
        </is>
      </c>
      <c r="F1235" s="72" t="n">
        <v>8</v>
      </c>
      <c r="G1235" s="72" t="n">
        <v>5490</v>
      </c>
      <c r="H1235" s="72" t="n">
        <v>23.2</v>
      </c>
      <c r="I1235" s="72" t="n">
        <v>33730.56</v>
      </c>
      <c r="J1235" s="70" t="inlineStr">
        <is>
          <t>Completed</t>
        </is>
      </c>
      <c r="K1235" s="70" t="inlineStr">
        <is>
          <t>Hyderabad</t>
        </is>
      </c>
    </row>
    <row r="1236" ht="14.25" customHeight="1" s="56">
      <c r="A1236" s="70" t="inlineStr">
        <is>
          <t>ORD-01235</t>
        </is>
      </c>
      <c r="B1236" s="71" t="n">
        <v>45495</v>
      </c>
      <c r="C1236" s="70" t="inlineStr">
        <is>
          <t>CUST-0146</t>
        </is>
      </c>
      <c r="D1236" s="70" t="inlineStr">
        <is>
          <t>PROD-044</t>
        </is>
      </c>
      <c r="E1236" s="70" t="inlineStr">
        <is>
          <t>R008</t>
        </is>
      </c>
      <c r="F1236" s="72" t="n">
        <v>6</v>
      </c>
      <c r="G1236" s="72" t="n">
        <v>1650</v>
      </c>
      <c r="H1236" s="72" t="n">
        <v>16.8</v>
      </c>
      <c r="I1236" s="72" t="n">
        <v>8236.799999999999</v>
      </c>
      <c r="J1236" s="70" t="inlineStr">
        <is>
          <t>Completed</t>
        </is>
      </c>
      <c r="K1236" s="70" t="inlineStr">
        <is>
          <t>Hyderabad</t>
        </is>
      </c>
    </row>
    <row r="1237" ht="14.25" customHeight="1" s="56">
      <c r="A1237" s="70" t="inlineStr">
        <is>
          <t>ORD-01236</t>
        </is>
      </c>
      <c r="B1237" s="71" t="n">
        <v>45460</v>
      </c>
      <c r="C1237" s="70" t="inlineStr">
        <is>
          <t>CUST-0199</t>
        </is>
      </c>
      <c r="D1237" s="70" t="inlineStr">
        <is>
          <t>PROD-045</t>
        </is>
      </c>
      <c r="E1237" s="70" t="inlineStr">
        <is>
          <t>R018</t>
        </is>
      </c>
      <c r="F1237" s="72" t="n">
        <v>3</v>
      </c>
      <c r="G1237" s="72" t="n">
        <v>3020</v>
      </c>
      <c r="H1237" s="72" t="n">
        <v>14.5</v>
      </c>
      <c r="I1237" s="72" t="n">
        <v>7746.3</v>
      </c>
      <c r="J1237" s="70" t="inlineStr">
        <is>
          <t>Completed</t>
        </is>
      </c>
      <c r="K1237" s="70" t="inlineStr">
        <is>
          <t>Hyderabad</t>
        </is>
      </c>
    </row>
    <row r="1238" ht="14.25" customHeight="1" s="56">
      <c r="A1238" s="70" t="inlineStr">
        <is>
          <t>ORD-01237</t>
        </is>
      </c>
      <c r="B1238" s="71" t="n">
        <v>45438</v>
      </c>
      <c r="C1238" s="70" t="inlineStr">
        <is>
          <t>CUST-0099</t>
        </is>
      </c>
      <c r="D1238" s="70" t="inlineStr">
        <is>
          <t>PROD-041</t>
        </is>
      </c>
      <c r="E1238" s="70" t="inlineStr">
        <is>
          <t>R003</t>
        </is>
      </c>
      <c r="F1238" s="72" t="n">
        <v>5</v>
      </c>
      <c r="G1238" s="72" t="n">
        <v>1540</v>
      </c>
      <c r="H1238" s="72" t="n">
        <v>27.2</v>
      </c>
      <c r="I1238" s="72" t="n">
        <v>5605.6</v>
      </c>
      <c r="J1238" s="70" t="inlineStr">
        <is>
          <t>Completed</t>
        </is>
      </c>
      <c r="K1238" s="70" t="inlineStr">
        <is>
          <t>Bengaluru</t>
        </is>
      </c>
    </row>
    <row r="1239" ht="14.25" customHeight="1" s="56">
      <c r="A1239" s="70" t="inlineStr">
        <is>
          <t>ORD-00372</t>
        </is>
      </c>
      <c r="B1239" s="71" t="n">
        <v>45307</v>
      </c>
      <c r="C1239" s="70" t="inlineStr">
        <is>
          <t>CUST-0094</t>
        </is>
      </c>
      <c r="D1239" s="70" t="inlineStr">
        <is>
          <t>PROD-056</t>
        </is>
      </c>
      <c r="E1239" s="70" t="inlineStr">
        <is>
          <t>R023</t>
        </is>
      </c>
      <c r="F1239" s="72" t="n">
        <v>4</v>
      </c>
      <c r="G1239" s="72" t="n">
        <v>6940</v>
      </c>
      <c r="H1239" s="72" t="n">
        <v>3.2</v>
      </c>
      <c r="I1239" s="72" t="n">
        <v>26871.68</v>
      </c>
      <c r="J1239" s="70" t="inlineStr">
        <is>
          <t>Completed</t>
        </is>
      </c>
      <c r="K1239" s="70" t="inlineStr">
        <is>
          <t>Pune</t>
        </is>
      </c>
    </row>
    <row r="1240" ht="14.25" customHeight="1" s="56">
      <c r="A1240" s="70" t="inlineStr">
        <is>
          <t>ORD-01239</t>
        </is>
      </c>
      <c r="B1240" s="71" t="n">
        <v>45517</v>
      </c>
      <c r="C1240" s="70" t="inlineStr">
        <is>
          <t>CUST-0275</t>
        </is>
      </c>
      <c r="D1240" s="70" t="inlineStr">
        <is>
          <t>PROD-048</t>
        </is>
      </c>
      <c r="E1240" s="70" t="inlineStr">
        <is>
          <t>R017</t>
        </is>
      </c>
      <c r="F1240" s="72" t="n">
        <v>2</v>
      </c>
      <c r="G1240" s="72" t="n">
        <v>5100</v>
      </c>
      <c r="H1240" s="72" t="n">
        <v>18.1</v>
      </c>
      <c r="I1240" s="72" t="n">
        <v>8353.799999999999</v>
      </c>
      <c r="J1240" s="70" t="inlineStr">
        <is>
          <t>Completed</t>
        </is>
      </c>
      <c r="K1240" s="70" t="inlineStr">
        <is>
          <t>Mumbai</t>
        </is>
      </c>
    </row>
    <row r="1241" ht="14.25" customHeight="1" s="56">
      <c r="A1241" s="70" t="inlineStr">
        <is>
          <t>ORD-01240</t>
        </is>
      </c>
      <c r="B1241" s="71" t="n">
        <v>45575</v>
      </c>
      <c r="C1241" s="70" t="inlineStr">
        <is>
          <t>CUST-0230</t>
        </is>
      </c>
      <c r="D1241" s="70" t="inlineStr">
        <is>
          <t>PROD-001</t>
        </is>
      </c>
      <c r="E1241" s="70" t="inlineStr">
        <is>
          <t>R016</t>
        </is>
      </c>
      <c r="F1241" s="72" t="n">
        <v>6</v>
      </c>
      <c r="G1241" s="72" t="n">
        <v>5330</v>
      </c>
      <c r="H1241" s="72" t="n">
        <v>0.3</v>
      </c>
      <c r="I1241" s="72" t="n">
        <v>31884.06</v>
      </c>
      <c r="J1241" s="70" t="inlineStr">
        <is>
          <t>Pending</t>
        </is>
      </c>
      <c r="K1241" s="70" t="inlineStr">
        <is>
          <t>Pune</t>
        </is>
      </c>
    </row>
    <row r="1242" ht="14.25" customHeight="1" s="56">
      <c r="A1242" s="70" t="inlineStr">
        <is>
          <t>ORD-01241</t>
        </is>
      </c>
      <c r="B1242" s="71" t="n">
        <v>45449</v>
      </c>
      <c r="C1242" s="70" t="inlineStr">
        <is>
          <t>CUST-0227</t>
        </is>
      </c>
      <c r="D1242" s="70" t="inlineStr">
        <is>
          <t>PROD-057</t>
        </is>
      </c>
      <c r="E1242" s="70" t="inlineStr">
        <is>
          <t>R029</t>
        </is>
      </c>
      <c r="F1242" s="72" t="n">
        <v>5</v>
      </c>
      <c r="G1242" s="72" t="n">
        <v>960</v>
      </c>
      <c r="H1242" s="72" t="n">
        <v>16.6</v>
      </c>
      <c r="I1242" s="72" t="n">
        <v>4003.2</v>
      </c>
      <c r="J1242" s="70" t="inlineStr">
        <is>
          <t>Completed</t>
        </is>
      </c>
      <c r="K1242" s="70" t="inlineStr">
        <is>
          <t>Bengaluru</t>
        </is>
      </c>
    </row>
    <row r="1243" ht="14.25" customHeight="1" s="56">
      <c r="A1243" s="70" t="inlineStr">
        <is>
          <t>ORD-01365</t>
        </is>
      </c>
      <c r="B1243" s="71" t="n">
        <v>45481</v>
      </c>
      <c r="C1243" s="70" t="inlineStr">
        <is>
          <t>CUST-0200</t>
        </is>
      </c>
      <c r="D1243" s="70" t="inlineStr">
        <is>
          <t>PROD-014</t>
        </is>
      </c>
      <c r="E1243" s="70" t="inlineStr">
        <is>
          <t>R022</t>
        </is>
      </c>
      <c r="F1243" s="72" t="n">
        <v>7</v>
      </c>
      <c r="G1243" s="72" t="n">
        <v>3620</v>
      </c>
      <c r="H1243" s="72" t="n">
        <v>5.4</v>
      </c>
      <c r="I1243" s="72" t="n">
        <v>23971.64</v>
      </c>
      <c r="J1243" s="70" t="inlineStr">
        <is>
          <t>Completed</t>
        </is>
      </c>
      <c r="K1243" s="70" t="inlineStr">
        <is>
          <t>Hyderabad</t>
        </is>
      </c>
    </row>
    <row r="1244" ht="14.25" customHeight="1" s="56">
      <c r="A1244" s="70" t="inlineStr">
        <is>
          <t>ORD-01243</t>
        </is>
      </c>
      <c r="B1244" s="71" t="n">
        <v>45368</v>
      </c>
      <c r="C1244" s="70" t="inlineStr">
        <is>
          <t>CUST-0268</t>
        </is>
      </c>
      <c r="D1244" s="70" t="inlineStr">
        <is>
          <t>PROD-002</t>
        </is>
      </c>
      <c r="E1244" s="70" t="inlineStr">
        <is>
          <t>R006</t>
        </is>
      </c>
      <c r="F1244" s="72" t="n">
        <v>6</v>
      </c>
      <c r="G1244" s="72" t="n">
        <v>2600</v>
      </c>
      <c r="H1244" s="72" t="n">
        <v>25.9</v>
      </c>
      <c r="I1244" s="72" t="n">
        <v>11559.6</v>
      </c>
      <c r="J1244" s="70" t="inlineStr">
        <is>
          <t>Completed</t>
        </is>
      </c>
      <c r="K1244" s="70" t="inlineStr">
        <is>
          <t>Chennai</t>
        </is>
      </c>
    </row>
    <row r="1245" ht="14.25" customHeight="1" s="56">
      <c r="A1245" s="70" t="inlineStr">
        <is>
          <t>ORD-01244</t>
        </is>
      </c>
      <c r="B1245" s="71" t="n">
        <v>45298</v>
      </c>
      <c r="C1245" s="70" t="inlineStr">
        <is>
          <t>CUST-0163</t>
        </is>
      </c>
      <c r="D1245" s="70" t="inlineStr">
        <is>
          <t>PROD-008</t>
        </is>
      </c>
      <c r="E1245" s="70" t="inlineStr">
        <is>
          <t>R013</t>
        </is>
      </c>
      <c r="F1245" s="72" t="n">
        <v>7</v>
      </c>
      <c r="G1245" s="72" t="n">
        <v>2660</v>
      </c>
      <c r="H1245" s="72" t="n">
        <v>20.2</v>
      </c>
      <c r="I1245" s="72" t="n">
        <v>14858.76</v>
      </c>
      <c r="J1245" s="70" t="inlineStr">
        <is>
          <t>Completed</t>
        </is>
      </c>
      <c r="K1245" s="70" t="inlineStr">
        <is>
          <t>Pune</t>
        </is>
      </c>
    </row>
    <row r="1246" ht="14.25" customHeight="1" s="56">
      <c r="A1246" s="70" t="inlineStr">
        <is>
          <t>ORD-01245</t>
        </is>
      </c>
      <c r="B1246" s="71" t="n">
        <v>45472</v>
      </c>
      <c r="C1246" s="70" t="inlineStr">
        <is>
          <t>CUST-0233</t>
        </is>
      </c>
      <c r="D1246" s="70" t="inlineStr">
        <is>
          <t>PROD-019</t>
        </is>
      </c>
      <c r="E1246" s="70" t="inlineStr">
        <is>
          <t>R022</t>
        </is>
      </c>
      <c r="F1246" s="72" t="n">
        <v>9</v>
      </c>
      <c r="G1246" s="72" t="n">
        <v>2480</v>
      </c>
      <c r="H1246" s="72" t="n">
        <v>14.7</v>
      </c>
      <c r="I1246" s="72" t="n">
        <v>19038.96</v>
      </c>
      <c r="J1246" s="70" t="inlineStr">
        <is>
          <t>Completed</t>
        </is>
      </c>
      <c r="K1246" s="70" t="inlineStr">
        <is>
          <t>Mumbai</t>
        </is>
      </c>
    </row>
    <row r="1247" ht="14.25" customHeight="1" s="56">
      <c r="A1247" s="70" t="inlineStr">
        <is>
          <t>ORD-01246</t>
        </is>
      </c>
      <c r="B1247" s="71" t="n">
        <v>45568</v>
      </c>
      <c r="C1247" s="70" t="inlineStr">
        <is>
          <t>CUST-0181</t>
        </is>
      </c>
      <c r="D1247" s="70" t="inlineStr">
        <is>
          <t>PROD-008</t>
        </is>
      </c>
      <c r="E1247" s="70" t="inlineStr">
        <is>
          <t>R015</t>
        </is>
      </c>
      <c r="F1247" s="72" t="n">
        <v>4</v>
      </c>
      <c r="G1247" s="72" t="n">
        <v>2660</v>
      </c>
      <c r="H1247" s="72" t="n">
        <v>8.9</v>
      </c>
      <c r="I1247" s="72" t="n">
        <v>9693.040000000001</v>
      </c>
      <c r="J1247" s="70" t="inlineStr">
        <is>
          <t>Completed</t>
        </is>
      </c>
      <c r="K1247" s="70" t="inlineStr">
        <is>
          <t>Delhi</t>
        </is>
      </c>
    </row>
    <row r="1248" ht="14.25" customHeight="1" s="56">
      <c r="A1248" s="70" t="inlineStr">
        <is>
          <t>ORD-01247</t>
        </is>
      </c>
      <c r="B1248" s="71" t="n">
        <v>45540</v>
      </c>
      <c r="C1248" s="70" t="inlineStr">
        <is>
          <t>CUST-0254</t>
        </is>
      </c>
      <c r="D1248" s="70" t="inlineStr">
        <is>
          <t>PROD-001</t>
        </is>
      </c>
      <c r="E1248" s="70" t="inlineStr">
        <is>
          <t>R010</t>
        </is>
      </c>
      <c r="F1248" s="72" t="n">
        <v>1</v>
      </c>
      <c r="G1248" s="72" t="n">
        <v>5330</v>
      </c>
      <c r="H1248" s="72" t="n">
        <v>26.8</v>
      </c>
      <c r="I1248" s="72" t="n">
        <v>3901.56</v>
      </c>
      <c r="J1248" s="70" t="inlineStr">
        <is>
          <t>Completed</t>
        </is>
      </c>
      <c r="K1248" s="70" t="inlineStr">
        <is>
          <t>Bengaluru</t>
        </is>
      </c>
    </row>
    <row r="1249" ht="14.25" customHeight="1" s="56">
      <c r="A1249" s="70" t="inlineStr">
        <is>
          <t>ORD-01248</t>
        </is>
      </c>
      <c r="B1249" s="71" t="n">
        <v>45544</v>
      </c>
      <c r="C1249" s="70" t="inlineStr">
        <is>
          <t>CUST-0116</t>
        </is>
      </c>
      <c r="D1249" s="70" t="inlineStr">
        <is>
          <t>PROD-051</t>
        </is>
      </c>
      <c r="E1249" s="70" t="inlineStr">
        <is>
          <t>R027</t>
        </is>
      </c>
      <c r="F1249" s="72" t="n">
        <v>6</v>
      </c>
      <c r="G1249" s="72" t="n">
        <v>3450</v>
      </c>
      <c r="H1249" s="72" t="n">
        <v>19.2</v>
      </c>
      <c r="I1249" s="72" t="n">
        <v>16725.6</v>
      </c>
      <c r="J1249" s="70" t="inlineStr">
        <is>
          <t>Pending</t>
        </is>
      </c>
      <c r="K1249" s="70" t="inlineStr">
        <is>
          <t>Bengaluru</t>
        </is>
      </c>
    </row>
    <row r="1250" ht="14.25" customHeight="1" s="56">
      <c r="A1250" s="70" t="inlineStr">
        <is>
          <t>ORD-01249</t>
        </is>
      </c>
      <c r="B1250" s="71" t="n">
        <v>45334</v>
      </c>
      <c r="C1250" s="70" t="inlineStr">
        <is>
          <t>CUST-0259</t>
        </is>
      </c>
      <c r="D1250" s="70" t="inlineStr">
        <is>
          <t>PROD-060</t>
        </is>
      </c>
      <c r="E1250" s="70" t="inlineStr">
        <is>
          <t>R025</t>
        </is>
      </c>
      <c r="F1250" s="72" t="n">
        <v>10</v>
      </c>
      <c r="G1250" s="72" t="n">
        <v>190</v>
      </c>
      <c r="H1250" s="72" t="n">
        <v>18.1</v>
      </c>
      <c r="I1250" s="72" t="n">
        <v>1556.1</v>
      </c>
      <c r="J1250" s="70" t="inlineStr">
        <is>
          <t>Completed</t>
        </is>
      </c>
      <c r="K1250" s="70" t="inlineStr">
        <is>
          <t>Mumbai</t>
        </is>
      </c>
    </row>
    <row r="1251" ht="14.25" customHeight="1" s="56">
      <c r="A1251" s="70" t="inlineStr">
        <is>
          <t>ORD-01250</t>
        </is>
      </c>
      <c r="B1251" s="71" t="n">
        <v>45584</v>
      </c>
      <c r="C1251" s="70" t="inlineStr">
        <is>
          <t>CUST-0198</t>
        </is>
      </c>
      <c r="D1251" s="70" t="inlineStr">
        <is>
          <t>PROD-006</t>
        </is>
      </c>
      <c r="E1251" s="70" t="inlineStr">
        <is>
          <t>R009</t>
        </is>
      </c>
      <c r="F1251" s="72" t="n">
        <v>9</v>
      </c>
      <c r="G1251" s="72" t="n">
        <v>3970</v>
      </c>
      <c r="H1251" s="72" t="n">
        <v>18.2</v>
      </c>
      <c r="I1251" s="72" t="n">
        <v>29227.14</v>
      </c>
      <c r="J1251" s="70" t="inlineStr">
        <is>
          <t>Pending</t>
        </is>
      </c>
      <c r="K1251" s="70" t="inlineStr">
        <is>
          <t>Chennai</t>
        </is>
      </c>
    </row>
    <row r="1252" ht="14.25" customHeight="1" s="56">
      <c r="A1252" s="70" t="inlineStr">
        <is>
          <t>ORD-01251</t>
        </is>
      </c>
      <c r="B1252" s="71" t="n">
        <v>45404</v>
      </c>
      <c r="C1252" s="70" t="inlineStr">
        <is>
          <t>CUST-0204</t>
        </is>
      </c>
      <c r="D1252" s="70" t="inlineStr">
        <is>
          <t>PROD-039</t>
        </is>
      </c>
      <c r="E1252" s="70" t="inlineStr">
        <is>
          <t>R002</t>
        </is>
      </c>
      <c r="F1252" s="72" t="n">
        <v>4</v>
      </c>
      <c r="G1252" s="72" t="n">
        <v>4610</v>
      </c>
      <c r="H1252" s="72" t="n">
        <v>15.1</v>
      </c>
      <c r="I1252" s="72" t="n">
        <v>15655.56</v>
      </c>
      <c r="J1252" s="70" t="inlineStr">
        <is>
          <t>Cancelled</t>
        </is>
      </c>
      <c r="K1252" s="70" t="inlineStr">
        <is>
          <t>Hyderabad</t>
        </is>
      </c>
    </row>
    <row r="1253" ht="14.25" customHeight="1" s="56">
      <c r="A1253" s="70" t="inlineStr">
        <is>
          <t>ORD-01252</t>
        </is>
      </c>
      <c r="B1253" s="71" t="n">
        <v>45476</v>
      </c>
      <c r="C1253" s="70" t="inlineStr">
        <is>
          <t>CUST-0216</t>
        </is>
      </c>
      <c r="D1253" s="70" t="inlineStr">
        <is>
          <t>PROD-016</t>
        </is>
      </c>
      <c r="E1253" s="70" t="inlineStr">
        <is>
          <t>R025</t>
        </is>
      </c>
      <c r="F1253" s="72" t="n">
        <v>2</v>
      </c>
      <c r="G1253" s="72" t="n">
        <v>620</v>
      </c>
      <c r="H1253" s="72" t="n">
        <v>3.3</v>
      </c>
      <c r="I1253" s="72" t="n">
        <v>1199.08</v>
      </c>
      <c r="J1253" s="70" t="inlineStr">
        <is>
          <t>Completed</t>
        </is>
      </c>
      <c r="K1253" s="70" t="inlineStr">
        <is>
          <t>Mumbai</t>
        </is>
      </c>
    </row>
    <row r="1254" ht="14.25" customHeight="1" s="56">
      <c r="A1254" s="70" t="inlineStr">
        <is>
          <t>ORD-01253</t>
        </is>
      </c>
      <c r="B1254" s="71" t="n">
        <v>45481</v>
      </c>
      <c r="C1254" s="70" t="inlineStr">
        <is>
          <t>CUST-0030</t>
        </is>
      </c>
      <c r="D1254" s="70" t="inlineStr">
        <is>
          <t>PROD-041</t>
        </is>
      </c>
      <c r="E1254" s="70" t="inlineStr">
        <is>
          <t>R025</t>
        </is>
      </c>
      <c r="F1254" s="72" t="n">
        <v>7</v>
      </c>
      <c r="G1254" s="72" t="n">
        <v>1540</v>
      </c>
      <c r="H1254" s="72" t="n">
        <v>27.5</v>
      </c>
      <c r="I1254" s="72" t="n">
        <v>7815.5</v>
      </c>
      <c r="J1254" s="70" t="inlineStr">
        <is>
          <t>Completed</t>
        </is>
      </c>
      <c r="K1254" s="70" t="inlineStr">
        <is>
          <t>Bengaluru</t>
        </is>
      </c>
    </row>
    <row r="1255" ht="14.25" customHeight="1" s="56">
      <c r="A1255" s="70" t="inlineStr">
        <is>
          <t>ORD-01254</t>
        </is>
      </c>
      <c r="B1255" s="71" t="n">
        <v>45480</v>
      </c>
      <c r="C1255" s="70" t="inlineStr">
        <is>
          <t>CUST-0019</t>
        </is>
      </c>
      <c r="D1255" s="70" t="inlineStr">
        <is>
          <t>PROD-053</t>
        </is>
      </c>
      <c r="E1255" s="70" t="inlineStr">
        <is>
          <t>R017</t>
        </is>
      </c>
      <c r="F1255" s="72" t="n">
        <v>10</v>
      </c>
      <c r="G1255" s="72" t="n">
        <v>470</v>
      </c>
      <c r="H1255" s="72" t="n">
        <v>3.9</v>
      </c>
      <c r="I1255" s="72" t="n">
        <v>4516.7</v>
      </c>
      <c r="J1255" s="70" t="inlineStr">
        <is>
          <t>Completed</t>
        </is>
      </c>
      <c r="K1255" s="70" t="inlineStr">
        <is>
          <t>Chennai</t>
        </is>
      </c>
    </row>
    <row r="1256" ht="14.25" customHeight="1" s="56">
      <c r="A1256" s="70" t="inlineStr">
        <is>
          <t>ORD-01255</t>
        </is>
      </c>
      <c r="B1256" s="71" t="n">
        <v>45603</v>
      </c>
      <c r="C1256" s="70" t="inlineStr">
        <is>
          <t>CUST-0034</t>
        </is>
      </c>
      <c r="D1256" s="70" t="inlineStr">
        <is>
          <t>PROD-046</t>
        </is>
      </c>
      <c r="E1256" s="70" t="inlineStr">
        <is>
          <t>R002</t>
        </is>
      </c>
      <c r="F1256" s="72" t="n">
        <v>5</v>
      </c>
      <c r="G1256" s="72" t="n">
        <v>4880</v>
      </c>
      <c r="H1256" s="72" t="n">
        <v>27.4</v>
      </c>
      <c r="I1256" s="72" t="n">
        <v>17714.4</v>
      </c>
      <c r="J1256" s="70" t="inlineStr">
        <is>
          <t>Completed</t>
        </is>
      </c>
      <c r="K1256" s="70" t="inlineStr">
        <is>
          <t>Delhi</t>
        </is>
      </c>
    </row>
    <row r="1257" ht="14.25" customHeight="1" s="56">
      <c r="A1257" s="70" t="inlineStr">
        <is>
          <t>ORD-01256</t>
        </is>
      </c>
      <c r="B1257" s="71" t="n">
        <v>45548</v>
      </c>
      <c r="C1257" s="70" t="inlineStr">
        <is>
          <t>CUST-0063</t>
        </is>
      </c>
      <c r="D1257" s="70" t="inlineStr">
        <is>
          <t>PROD-052</t>
        </is>
      </c>
      <c r="E1257" s="70" t="inlineStr">
        <is>
          <t>R029</t>
        </is>
      </c>
      <c r="F1257" s="72" t="n">
        <v>1</v>
      </c>
      <c r="G1257" s="72" t="n">
        <v>5410</v>
      </c>
      <c r="H1257" s="72" t="n">
        <v>8.300000000000001</v>
      </c>
      <c r="I1257" s="72" t="n">
        <v>4960.97</v>
      </c>
      <c r="J1257" s="70" t="inlineStr">
        <is>
          <t>Completed</t>
        </is>
      </c>
      <c r="K1257" s="70" t="inlineStr">
        <is>
          <t>Mumbai</t>
        </is>
      </c>
    </row>
    <row r="1258" ht="14.25" customHeight="1" s="56">
      <c r="A1258" s="70" t="inlineStr">
        <is>
          <t>ORD-01257</t>
        </is>
      </c>
      <c r="B1258" s="71" t="n">
        <v>45482</v>
      </c>
      <c r="C1258" s="70" t="inlineStr">
        <is>
          <t>CUST-0203</t>
        </is>
      </c>
      <c r="D1258" s="70" t="inlineStr">
        <is>
          <t>PROD-004</t>
        </is>
      </c>
      <c r="E1258" s="70" t="inlineStr">
        <is>
          <t>R022</t>
        </is>
      </c>
      <c r="F1258" s="72" t="n">
        <v>8</v>
      </c>
      <c r="G1258" s="72" t="n">
        <v>3870</v>
      </c>
      <c r="H1258" s="72" t="n">
        <v>9.300000000000001</v>
      </c>
      <c r="I1258" s="72" t="n">
        <v>28080.72</v>
      </c>
      <c r="J1258" s="70" t="inlineStr">
        <is>
          <t>Pending</t>
        </is>
      </c>
      <c r="K1258" s="70" t="inlineStr">
        <is>
          <t>Chennai</t>
        </is>
      </c>
    </row>
    <row r="1259" ht="14.25" customHeight="1" s="56">
      <c r="A1259" s="70" t="inlineStr">
        <is>
          <t>ORD-01258</t>
        </is>
      </c>
      <c r="B1259" s="71" t="n">
        <v>45457</v>
      </c>
      <c r="C1259" s="70" t="inlineStr">
        <is>
          <t>CUST-0016</t>
        </is>
      </c>
      <c r="D1259" s="70" t="inlineStr">
        <is>
          <t>PROD-010</t>
        </is>
      </c>
      <c r="E1259" s="70" t="inlineStr">
        <is>
          <t>R017</t>
        </is>
      </c>
      <c r="F1259" s="72" t="n">
        <v>10</v>
      </c>
      <c r="G1259" s="72" t="n">
        <v>2640</v>
      </c>
      <c r="H1259" s="72" t="n">
        <v>19.9</v>
      </c>
      <c r="I1259" s="72" t="n">
        <v>21146.4</v>
      </c>
      <c r="J1259" s="70" t="inlineStr">
        <is>
          <t>Completed</t>
        </is>
      </c>
      <c r="K1259" s="70" t="inlineStr">
        <is>
          <t>Delhi</t>
        </is>
      </c>
    </row>
    <row r="1260" ht="14.25" customHeight="1" s="56">
      <c r="A1260" s="70" t="inlineStr">
        <is>
          <t>ORD-01259</t>
        </is>
      </c>
      <c r="B1260" s="71" t="n">
        <v>45508</v>
      </c>
      <c r="C1260" s="70" t="inlineStr">
        <is>
          <t>CUST-0198</t>
        </is>
      </c>
      <c r="D1260" s="70" t="inlineStr">
        <is>
          <t>PROD-034</t>
        </is>
      </c>
      <c r="E1260" s="70" t="inlineStr">
        <is>
          <t>R007</t>
        </is>
      </c>
      <c r="F1260" s="72" t="n">
        <v>1</v>
      </c>
      <c r="G1260" s="72" t="n">
        <v>5080</v>
      </c>
      <c r="H1260" s="72" t="n">
        <v>8.6</v>
      </c>
      <c r="I1260" s="72" t="n">
        <v>4643.12</v>
      </c>
      <c r="J1260" s="70" t="inlineStr">
        <is>
          <t>Completed</t>
        </is>
      </c>
      <c r="K1260" s="70" t="inlineStr">
        <is>
          <t>Chennai</t>
        </is>
      </c>
    </row>
    <row r="1261" ht="14.25" customHeight="1" s="56">
      <c r="A1261" s="70" t="inlineStr">
        <is>
          <t>ORD-01260</t>
        </is>
      </c>
      <c r="B1261" s="71" t="n">
        <v>45399</v>
      </c>
      <c r="C1261" s="70" t="inlineStr">
        <is>
          <t>CUST-0212</t>
        </is>
      </c>
      <c r="D1261" s="70" t="inlineStr">
        <is>
          <t>PROD-036</t>
        </is>
      </c>
      <c r="E1261" s="70" t="inlineStr">
        <is>
          <t>R018</t>
        </is>
      </c>
      <c r="F1261" s="72" t="n">
        <v>9</v>
      </c>
      <c r="G1261" s="72" t="n">
        <v>3250</v>
      </c>
      <c r="H1261" s="72" t="n">
        <v>18.2</v>
      </c>
      <c r="I1261" s="72" t="n">
        <v>23926.5</v>
      </c>
      <c r="J1261" s="70" t="inlineStr">
        <is>
          <t>Pending</t>
        </is>
      </c>
      <c r="K1261" s="70" t="inlineStr">
        <is>
          <t>Chennai</t>
        </is>
      </c>
    </row>
    <row r="1262" ht="14.25" customHeight="1" s="56">
      <c r="A1262" s="70" t="inlineStr">
        <is>
          <t>ORD-01261</t>
        </is>
      </c>
      <c r="B1262" s="71" t="n">
        <v>45607</v>
      </c>
      <c r="C1262" s="70" t="inlineStr">
        <is>
          <t>CUST-0265</t>
        </is>
      </c>
      <c r="D1262" s="70" t="inlineStr">
        <is>
          <t>PROD-006</t>
        </is>
      </c>
      <c r="E1262" s="70" t="inlineStr">
        <is>
          <t>R002</t>
        </is>
      </c>
      <c r="F1262" s="72" t="n">
        <v>8</v>
      </c>
      <c r="G1262" s="72" t="n">
        <v>3970</v>
      </c>
      <c r="H1262" s="72" t="n">
        <v>22.4</v>
      </c>
      <c r="I1262" s="72" t="n">
        <v>24645.76</v>
      </c>
      <c r="J1262" s="70" t="inlineStr">
        <is>
          <t>Completed</t>
        </is>
      </c>
      <c r="K1262" s="70" t="inlineStr">
        <is>
          <t>Chennai</t>
        </is>
      </c>
    </row>
    <row r="1263" ht="14.25" customHeight="1" s="56">
      <c r="A1263" s="70" t="inlineStr">
        <is>
          <t>ORD-01262</t>
        </is>
      </c>
      <c r="B1263" s="71" t="n">
        <v>45407</v>
      </c>
      <c r="C1263" s="70" t="inlineStr">
        <is>
          <t>CUST-0165</t>
        </is>
      </c>
      <c r="D1263" s="70" t="inlineStr">
        <is>
          <t>PROD-037</t>
        </is>
      </c>
      <c r="E1263" s="70" t="inlineStr">
        <is>
          <t>R017</t>
        </is>
      </c>
      <c r="F1263" s="72" t="n">
        <v>3</v>
      </c>
      <c r="G1263" s="72" t="n">
        <v>660</v>
      </c>
      <c r="H1263" s="72" t="n">
        <v>3.1</v>
      </c>
      <c r="I1263" s="72" t="n">
        <v>1918.62</v>
      </c>
      <c r="J1263" s="70" t="inlineStr">
        <is>
          <t>Completed</t>
        </is>
      </c>
      <c r="K1263" s="70" t="inlineStr">
        <is>
          <t>Pune</t>
        </is>
      </c>
    </row>
    <row r="1264" ht="14.25" customHeight="1" s="56">
      <c r="A1264" s="70" t="inlineStr">
        <is>
          <t>ORD-01263</t>
        </is>
      </c>
      <c r="B1264" s="71" t="n">
        <v>45357</v>
      </c>
      <c r="C1264" s="70" t="inlineStr">
        <is>
          <t>CUST-0109</t>
        </is>
      </c>
      <c r="D1264" s="70" t="inlineStr">
        <is>
          <t>PROD-002</t>
        </is>
      </c>
      <c r="E1264" s="70" t="inlineStr">
        <is>
          <t>R022</t>
        </is>
      </c>
      <c r="F1264" s="72" t="n">
        <v>7</v>
      </c>
      <c r="G1264" s="72" t="n">
        <v>2600</v>
      </c>
      <c r="H1264" s="72" t="n">
        <v>15.4</v>
      </c>
      <c r="I1264" s="72" t="n">
        <v>15397.2</v>
      </c>
      <c r="J1264" s="70" t="inlineStr">
        <is>
          <t>Completed</t>
        </is>
      </c>
      <c r="K1264" s="70" t="inlineStr">
        <is>
          <t>Pune</t>
        </is>
      </c>
    </row>
    <row r="1265" ht="14.25" customHeight="1" s="56">
      <c r="A1265" s="70" t="inlineStr">
        <is>
          <t>ORD-01264</t>
        </is>
      </c>
      <c r="B1265" s="71" t="n">
        <v>45565</v>
      </c>
      <c r="C1265" s="70" t="inlineStr">
        <is>
          <t>CUST-0155</t>
        </is>
      </c>
      <c r="D1265" s="70" t="inlineStr">
        <is>
          <t>PROD-037</t>
        </is>
      </c>
      <c r="E1265" s="70" t="inlineStr">
        <is>
          <t>R015</t>
        </is>
      </c>
      <c r="F1265" s="72" t="n">
        <v>9</v>
      </c>
      <c r="G1265" s="72" t="n">
        <v>660</v>
      </c>
      <c r="H1265" s="72" t="n">
        <v>23.7</v>
      </c>
      <c r="I1265" s="72" t="n">
        <v>4532.22</v>
      </c>
      <c r="J1265" s="70" t="inlineStr">
        <is>
          <t>Completed</t>
        </is>
      </c>
      <c r="K1265" s="70" t="inlineStr">
        <is>
          <t>Pune</t>
        </is>
      </c>
    </row>
    <row r="1266" ht="14.25" customHeight="1" s="56">
      <c r="A1266" s="70" t="inlineStr">
        <is>
          <t>ORD-01265</t>
        </is>
      </c>
      <c r="B1266" s="71" t="n">
        <v>45395</v>
      </c>
      <c r="C1266" s="70" t="inlineStr">
        <is>
          <t>CUST-0194</t>
        </is>
      </c>
      <c r="D1266" s="70" t="inlineStr">
        <is>
          <t>PROD-023</t>
        </is>
      </c>
      <c r="E1266" s="70" t="inlineStr">
        <is>
          <t>R021</t>
        </is>
      </c>
      <c r="F1266" s="72" t="n">
        <v>3</v>
      </c>
      <c r="G1266" s="72" t="n">
        <v>2380</v>
      </c>
      <c r="H1266" s="72" t="n">
        <v>19.5</v>
      </c>
      <c r="I1266" s="72" t="n">
        <v>5747.7</v>
      </c>
      <c r="J1266" s="70" t="inlineStr">
        <is>
          <t>Cancelled</t>
        </is>
      </c>
      <c r="K1266" s="70" t="inlineStr">
        <is>
          <t>Delhi</t>
        </is>
      </c>
    </row>
    <row r="1267" ht="14.25" customHeight="1" s="56">
      <c r="A1267" s="70" t="inlineStr">
        <is>
          <t>ORD-01266</t>
        </is>
      </c>
      <c r="B1267" s="71" t="n">
        <v>45624</v>
      </c>
      <c r="C1267" s="70" t="inlineStr">
        <is>
          <t>CUST-0084</t>
        </is>
      </c>
      <c r="D1267" s="70" t="inlineStr">
        <is>
          <t>PROD-044</t>
        </is>
      </c>
      <c r="E1267" s="70" t="inlineStr">
        <is>
          <t>R010</t>
        </is>
      </c>
      <c r="F1267" s="72" t="n">
        <v>9</v>
      </c>
      <c r="G1267" s="72" t="n">
        <v>1650</v>
      </c>
      <c r="H1267" s="72" t="n">
        <v>2.5</v>
      </c>
      <c r="I1267" s="72" t="n">
        <v>14478.75</v>
      </c>
      <c r="J1267" s="70" t="inlineStr">
        <is>
          <t>Completed</t>
        </is>
      </c>
      <c r="K1267" s="70" t="inlineStr">
        <is>
          <t>Chennai</t>
        </is>
      </c>
    </row>
    <row r="1268" ht="14.25" customHeight="1" s="56">
      <c r="A1268" s="70" t="inlineStr">
        <is>
          <t>ORD-01267</t>
        </is>
      </c>
      <c r="B1268" s="71" t="n">
        <v>45650</v>
      </c>
      <c r="C1268" s="70" t="inlineStr">
        <is>
          <t>CUST-9684</t>
        </is>
      </c>
      <c r="D1268" s="70" t="inlineStr">
        <is>
          <t>PROD-010</t>
        </is>
      </c>
      <c r="E1268" s="70" t="inlineStr">
        <is>
          <t>R006</t>
        </is>
      </c>
      <c r="F1268" s="72" t="n">
        <v>8</v>
      </c>
      <c r="G1268" s="72" t="n">
        <v>2640</v>
      </c>
      <c r="H1268" s="72" t="n">
        <v>24.4</v>
      </c>
      <c r="I1268" s="72" t="n">
        <v>15966.72</v>
      </c>
      <c r="J1268" s="70" t="inlineStr">
        <is>
          <t>Completed</t>
        </is>
      </c>
      <c r="K1268" s="70" t="inlineStr">
        <is>
          <t>Mumbai</t>
        </is>
      </c>
    </row>
    <row r="1269" ht="14.25" customHeight="1" s="56">
      <c r="A1269" s="70" t="inlineStr">
        <is>
          <t>ORD-01268</t>
        </is>
      </c>
      <c r="B1269" s="71" t="n">
        <v>45370</v>
      </c>
      <c r="C1269" s="70" t="inlineStr">
        <is>
          <t>CUST-0218</t>
        </is>
      </c>
      <c r="D1269" s="70" t="inlineStr">
        <is>
          <t>PROD-023</t>
        </is>
      </c>
      <c r="E1269" s="70" t="inlineStr">
        <is>
          <t>R013</t>
        </is>
      </c>
      <c r="F1269" s="72" t="n">
        <v>8</v>
      </c>
      <c r="G1269" s="72" t="n">
        <v>2380</v>
      </c>
      <c r="H1269" s="72" t="n">
        <v>24.2</v>
      </c>
      <c r="I1269" s="72" t="n">
        <v>14432.32</v>
      </c>
      <c r="J1269" s="70" t="inlineStr">
        <is>
          <t>Completed</t>
        </is>
      </c>
      <c r="K1269" s="70" t="inlineStr">
        <is>
          <t>Mumbai</t>
        </is>
      </c>
    </row>
    <row r="1270" ht="14.25" customHeight="1" s="56">
      <c r="A1270" s="70" t="inlineStr">
        <is>
          <t>ORD-01269</t>
        </is>
      </c>
      <c r="B1270" s="71" t="n">
        <v>45373</v>
      </c>
      <c r="C1270" s="70" t="inlineStr">
        <is>
          <t>CUST-0194</t>
        </is>
      </c>
      <c r="D1270" s="70" t="inlineStr">
        <is>
          <t>PROD-029</t>
        </is>
      </c>
      <c r="E1270" s="70" t="inlineStr">
        <is>
          <t>R007</t>
        </is>
      </c>
      <c r="F1270" s="72" t="n">
        <v>10</v>
      </c>
      <c r="G1270" s="72" t="n">
        <v>2210</v>
      </c>
      <c r="H1270" s="72" t="n">
        <v>3.6</v>
      </c>
      <c r="I1270" s="72" t="n">
        <v>21304.4</v>
      </c>
      <c r="J1270" s="70" t="inlineStr">
        <is>
          <t>Completed</t>
        </is>
      </c>
      <c r="K1270" s="70" t="inlineStr">
        <is>
          <t>Delhi</t>
        </is>
      </c>
    </row>
    <row r="1271" ht="14.25" customHeight="1" s="56">
      <c r="A1271" s="70" t="inlineStr">
        <is>
          <t>ORD-01270</t>
        </is>
      </c>
      <c r="B1271" s="71" t="n">
        <v>45391</v>
      </c>
      <c r="C1271" s="70" t="inlineStr">
        <is>
          <t>CUST-0037</t>
        </is>
      </c>
      <c r="D1271" s="70" t="inlineStr">
        <is>
          <t>PROD-050</t>
        </is>
      </c>
      <c r="E1271" s="70" t="inlineStr">
        <is>
          <t>R018</t>
        </is>
      </c>
      <c r="F1271" s="72" t="n">
        <v>9</v>
      </c>
      <c r="G1271" s="72" t="n">
        <v>6080</v>
      </c>
      <c r="H1271" s="72" t="n">
        <v>17.2</v>
      </c>
      <c r="I1271" s="72" t="n">
        <v>45308.16</v>
      </c>
      <c r="J1271" s="70" t="inlineStr">
        <is>
          <t>Pending</t>
        </is>
      </c>
      <c r="K1271" s="70" t="inlineStr">
        <is>
          <t>Bengaluru</t>
        </is>
      </c>
    </row>
    <row r="1272" ht="14.25" customHeight="1" s="56">
      <c r="A1272" s="70" t="inlineStr">
        <is>
          <t>ORD-01271</t>
        </is>
      </c>
      <c r="B1272" s="71" t="n">
        <v>45332</v>
      </c>
      <c r="C1272" s="70" t="inlineStr">
        <is>
          <t>CUST-0245</t>
        </is>
      </c>
      <c r="D1272" s="70" t="inlineStr">
        <is>
          <t>PROD-054</t>
        </is>
      </c>
      <c r="E1272" s="70" t="inlineStr">
        <is>
          <t>R022</t>
        </is>
      </c>
      <c r="F1272" s="72" t="n">
        <v>8</v>
      </c>
      <c r="G1272" s="72" t="n">
        <v>1010</v>
      </c>
      <c r="H1272" s="72" t="n">
        <v>12.3</v>
      </c>
      <c r="I1272" s="72" t="n">
        <v>7086.16</v>
      </c>
      <c r="J1272" s="70" t="inlineStr">
        <is>
          <t>Completed</t>
        </is>
      </c>
      <c r="K1272" s="70" t="inlineStr">
        <is>
          <t>Hyderabad</t>
        </is>
      </c>
    </row>
    <row r="1273" ht="14.25" customHeight="1" s="56">
      <c r="A1273" s="70" t="inlineStr">
        <is>
          <t>ORD-01272</t>
        </is>
      </c>
      <c r="B1273" s="71" t="n">
        <v>45582</v>
      </c>
      <c r="C1273" s="70" t="inlineStr">
        <is>
          <t>CUST-0266</t>
        </is>
      </c>
      <c r="D1273" s="70" t="inlineStr">
        <is>
          <t>PROD-028</t>
        </is>
      </c>
      <c r="E1273" s="70" t="inlineStr">
        <is>
          <t>R011</t>
        </is>
      </c>
      <c r="F1273" s="72" t="n">
        <v>8</v>
      </c>
      <c r="G1273" s="72" t="n">
        <v>3660</v>
      </c>
      <c r="H1273" s="72" t="n">
        <v>8.4</v>
      </c>
      <c r="I1273" s="72" t="n">
        <v>26820.48</v>
      </c>
      <c r="J1273" s="70" t="inlineStr">
        <is>
          <t>Completed</t>
        </is>
      </c>
      <c r="K1273" s="70" t="inlineStr">
        <is>
          <t>Pune</t>
        </is>
      </c>
    </row>
    <row r="1274" ht="14.25" customHeight="1" s="56">
      <c r="A1274" s="70" t="inlineStr">
        <is>
          <t>ORD-01273</t>
        </is>
      </c>
      <c r="B1274" s="71" t="n">
        <v>45443</v>
      </c>
      <c r="C1274" s="70" t="inlineStr">
        <is>
          <t>CUST-0058</t>
        </is>
      </c>
      <c r="D1274" s="70" t="inlineStr">
        <is>
          <t>PROD-039</t>
        </is>
      </c>
      <c r="E1274" s="70" t="inlineStr">
        <is>
          <t>R029</t>
        </is>
      </c>
      <c r="F1274" s="72" t="n">
        <v>8</v>
      </c>
      <c r="G1274" s="72" t="n">
        <v>4610</v>
      </c>
      <c r="H1274" s="72" t="n">
        <v>15.4</v>
      </c>
      <c r="I1274" s="72" t="n">
        <v>31200.48</v>
      </c>
      <c r="J1274" s="70" t="inlineStr">
        <is>
          <t>Cancelled</t>
        </is>
      </c>
      <c r="K1274" s="70" t="inlineStr">
        <is>
          <t>Bengaluru</t>
        </is>
      </c>
    </row>
    <row r="1275" ht="14.25" customHeight="1" s="56">
      <c r="A1275" s="70" t="inlineStr">
        <is>
          <t>ORD-01274</t>
        </is>
      </c>
      <c r="B1275" s="71" t="n">
        <v>45525</v>
      </c>
      <c r="C1275" s="70" t="inlineStr">
        <is>
          <t>CUST-0058</t>
        </is>
      </c>
      <c r="D1275" s="70" t="inlineStr">
        <is>
          <t>PROD-048</t>
        </is>
      </c>
      <c r="E1275" s="70" t="inlineStr">
        <is>
          <t>R006</t>
        </is>
      </c>
      <c r="F1275" s="72" t="n">
        <v>9</v>
      </c>
      <c r="G1275" s="72" t="n">
        <v>5100</v>
      </c>
      <c r="H1275" s="72" t="n">
        <v>25.2</v>
      </c>
      <c r="I1275" s="72" t="n">
        <v>34333.2</v>
      </c>
      <c r="J1275" s="70" t="inlineStr">
        <is>
          <t>Cancelled</t>
        </is>
      </c>
      <c r="K1275" s="70" t="inlineStr">
        <is>
          <t>Bengaluru</t>
        </is>
      </c>
    </row>
    <row r="1276" ht="14.25" customHeight="1" s="56">
      <c r="A1276" s="70" t="inlineStr">
        <is>
          <t>ORD-01275</t>
        </is>
      </c>
      <c r="B1276" s="71" t="n">
        <v>45377</v>
      </c>
      <c r="C1276" s="70" t="inlineStr">
        <is>
          <t>CUST-0028</t>
        </is>
      </c>
      <c r="D1276" s="70" t="inlineStr">
        <is>
          <t>PROD-045</t>
        </is>
      </c>
      <c r="E1276" s="70" t="inlineStr">
        <is>
          <t>R019</t>
        </is>
      </c>
      <c r="F1276" s="72" t="n">
        <v>5</v>
      </c>
      <c r="G1276" s="72" t="n">
        <v>3020</v>
      </c>
      <c r="H1276" s="72" t="n">
        <v>23</v>
      </c>
      <c r="I1276" s="72" t="n">
        <v>11627</v>
      </c>
      <c r="J1276" s="70" t="inlineStr">
        <is>
          <t>Completed</t>
        </is>
      </c>
      <c r="K1276" s="70" t="inlineStr">
        <is>
          <t>Bengaluru</t>
        </is>
      </c>
    </row>
    <row r="1277" ht="14.25" customHeight="1" s="56">
      <c r="A1277" s="70" t="inlineStr">
        <is>
          <t>ORD-01276</t>
        </is>
      </c>
      <c r="B1277" s="71" t="n">
        <v>45413</v>
      </c>
      <c r="C1277" s="70" t="inlineStr">
        <is>
          <t>CUST-0262</t>
        </is>
      </c>
      <c r="D1277" s="70" t="inlineStr">
        <is>
          <t>PROD-059</t>
        </is>
      </c>
      <c r="E1277" s="70" t="inlineStr">
        <is>
          <t>R015</t>
        </is>
      </c>
      <c r="F1277" s="72" t="n">
        <v>8</v>
      </c>
      <c r="G1277" s="72" t="n">
        <v>3780</v>
      </c>
      <c r="H1277" s="72" t="n">
        <v>17.1</v>
      </c>
      <c r="I1277" s="72" t="n">
        <v>25068.96</v>
      </c>
      <c r="J1277" s="70" t="inlineStr">
        <is>
          <t>Completed</t>
        </is>
      </c>
      <c r="K1277" s="70" t="inlineStr">
        <is>
          <t>Mumbai</t>
        </is>
      </c>
    </row>
    <row r="1278" ht="14.25" customHeight="1" s="56">
      <c r="A1278" s="70" t="inlineStr">
        <is>
          <t>ORD-01277</t>
        </is>
      </c>
      <c r="B1278" s="71" t="n">
        <v>45437</v>
      </c>
      <c r="C1278" s="70" t="inlineStr">
        <is>
          <t>CUST-0241</t>
        </is>
      </c>
      <c r="D1278" s="70" t="inlineStr">
        <is>
          <t>PROD-029</t>
        </is>
      </c>
      <c r="E1278" s="70" t="inlineStr">
        <is>
          <t>R001</t>
        </is>
      </c>
      <c r="F1278" s="72" t="n">
        <v>10</v>
      </c>
      <c r="G1278" s="72" t="n">
        <v>2210</v>
      </c>
      <c r="H1278" s="72" t="n">
        <v>8.5</v>
      </c>
      <c r="I1278" s="72" t="n">
        <v>20221.5</v>
      </c>
      <c r="J1278" s="70" t="inlineStr">
        <is>
          <t>Completed</t>
        </is>
      </c>
      <c r="K1278" s="70" t="inlineStr">
        <is>
          <t>Pune</t>
        </is>
      </c>
    </row>
    <row r="1279" ht="14.25" customHeight="1" s="56">
      <c r="A1279" s="70" t="inlineStr">
        <is>
          <t>ORD-01278</t>
        </is>
      </c>
      <c r="B1279" s="71" t="n">
        <v>45604</v>
      </c>
      <c r="C1279" s="70" t="inlineStr">
        <is>
          <t>CUST-0109</t>
        </is>
      </c>
      <c r="D1279" s="70" t="inlineStr">
        <is>
          <t>PROD-029</t>
        </is>
      </c>
      <c r="E1279" s="70" t="inlineStr">
        <is>
          <t>R015</t>
        </is>
      </c>
      <c r="F1279" s="72" t="n">
        <v>4</v>
      </c>
      <c r="G1279" s="72" t="n">
        <v>2210</v>
      </c>
      <c r="H1279" s="72" t="n">
        <v>3.1</v>
      </c>
      <c r="I1279" s="72" t="n">
        <v>8565.959999999999</v>
      </c>
      <c r="J1279" s="70" t="inlineStr">
        <is>
          <t>Completed</t>
        </is>
      </c>
      <c r="K1279" s="70" t="inlineStr">
        <is>
          <t>Pune</t>
        </is>
      </c>
    </row>
    <row r="1280" ht="14.25" customHeight="1" s="56">
      <c r="A1280" s="70" t="inlineStr">
        <is>
          <t>ORD-01279</t>
        </is>
      </c>
      <c r="B1280" s="71" t="n">
        <v>45540</v>
      </c>
      <c r="C1280" s="70" t="inlineStr">
        <is>
          <t>CUST-0228</t>
        </is>
      </c>
      <c r="D1280" s="70" t="inlineStr">
        <is>
          <t>PROD-044</t>
        </is>
      </c>
      <c r="E1280" s="70" t="inlineStr">
        <is>
          <t>R015</t>
        </is>
      </c>
      <c r="F1280" s="72" t="n">
        <v>1</v>
      </c>
      <c r="G1280" s="72" t="n">
        <v>1650</v>
      </c>
      <c r="H1280" s="72" t="n">
        <v>10</v>
      </c>
      <c r="I1280" s="72" t="n">
        <v>1485</v>
      </c>
      <c r="J1280" s="70" t="inlineStr">
        <is>
          <t>Completed</t>
        </is>
      </c>
      <c r="K1280" s="70" t="inlineStr">
        <is>
          <t>Pune</t>
        </is>
      </c>
    </row>
    <row r="1281" ht="14.25" customHeight="1" s="56">
      <c r="A1281" s="70" t="inlineStr">
        <is>
          <t>ORD-01280</t>
        </is>
      </c>
      <c r="B1281" s="71" t="n">
        <v>45597</v>
      </c>
      <c r="C1281" s="70" t="inlineStr">
        <is>
          <t>CUST-0239</t>
        </is>
      </c>
      <c r="D1281" s="70" t="inlineStr">
        <is>
          <t>PROD-060</t>
        </is>
      </c>
      <c r="E1281" s="70" t="inlineStr">
        <is>
          <t>R005</t>
        </is>
      </c>
      <c r="F1281" s="72" t="n">
        <v>6</v>
      </c>
      <c r="G1281" s="72" t="n">
        <v>190</v>
      </c>
      <c r="H1281" s="72" t="n">
        <v>3.5</v>
      </c>
      <c r="I1281" s="72" t="n">
        <v>1100.1</v>
      </c>
      <c r="J1281" s="70" t="inlineStr">
        <is>
          <t>Cancelled</t>
        </is>
      </c>
      <c r="K1281" s="70" t="inlineStr">
        <is>
          <t>Mumbai</t>
        </is>
      </c>
    </row>
    <row r="1282" ht="14.25" customHeight="1" s="56">
      <c r="A1282" s="70" t="inlineStr">
        <is>
          <t>ORD-01281</t>
        </is>
      </c>
      <c r="B1282" s="71" t="n">
        <v>45589</v>
      </c>
      <c r="C1282" s="70" t="inlineStr">
        <is>
          <t>CUST-0092</t>
        </is>
      </c>
      <c r="D1282" s="70" t="inlineStr">
        <is>
          <t>PROD-055</t>
        </is>
      </c>
      <c r="E1282" s="70" t="inlineStr">
        <is>
          <t>R027</t>
        </is>
      </c>
      <c r="F1282" s="72" t="n">
        <v>8</v>
      </c>
      <c r="G1282" s="72" t="n">
        <v>2860</v>
      </c>
      <c r="H1282" s="72" t="n">
        <v>14.7</v>
      </c>
      <c r="I1282" s="72" t="n">
        <v>19516.64</v>
      </c>
      <c r="J1282" s="70" t="inlineStr">
        <is>
          <t>Completed</t>
        </is>
      </c>
      <c r="K1282" s="70" t="inlineStr">
        <is>
          <t>Bengaluru</t>
        </is>
      </c>
    </row>
    <row r="1283" ht="14.25" customHeight="1" s="56">
      <c r="A1283" s="70" t="inlineStr">
        <is>
          <t>ORD-01282</t>
        </is>
      </c>
      <c r="B1283" s="71" t="n">
        <v>45448</v>
      </c>
      <c r="C1283" s="70" t="inlineStr">
        <is>
          <t>CUST-0283</t>
        </is>
      </c>
      <c r="D1283" s="70" t="inlineStr">
        <is>
          <t>PROD-005</t>
        </is>
      </c>
      <c r="E1283" s="70" t="inlineStr">
        <is>
          <t>R030</t>
        </is>
      </c>
      <c r="F1283" s="72" t="n">
        <v>9</v>
      </c>
      <c r="G1283" s="72" t="n">
        <v>300</v>
      </c>
      <c r="H1283" s="72" t="n">
        <v>19.5</v>
      </c>
      <c r="I1283" s="72" t="n">
        <v>2173.5</v>
      </c>
      <c r="J1283" s="70" t="inlineStr">
        <is>
          <t>Completed</t>
        </is>
      </c>
      <c r="K1283" s="70" t="inlineStr">
        <is>
          <t>Delhi</t>
        </is>
      </c>
    </row>
    <row r="1284" ht="14.25" customHeight="1" s="56">
      <c r="A1284" s="70" t="inlineStr">
        <is>
          <t>ORD-01283</t>
        </is>
      </c>
      <c r="B1284" s="71" t="n">
        <v>45608</v>
      </c>
      <c r="C1284" s="70" t="inlineStr">
        <is>
          <t>CUST-0206</t>
        </is>
      </c>
      <c r="D1284" s="70" t="inlineStr">
        <is>
          <t>PROD-049</t>
        </is>
      </c>
      <c r="E1284" s="70" t="inlineStr">
        <is>
          <t>R007</t>
        </is>
      </c>
      <c r="F1284" s="72" t="n">
        <v>10</v>
      </c>
      <c r="G1284" s="72" t="n">
        <v>960</v>
      </c>
      <c r="H1284" s="72" t="n">
        <v>9.699999999999999</v>
      </c>
      <c r="I1284" s="72" t="n">
        <v>8668.799999999999</v>
      </c>
      <c r="J1284" s="70" t="inlineStr">
        <is>
          <t>Completed</t>
        </is>
      </c>
      <c r="K1284" s="70" t="inlineStr">
        <is>
          <t>Mumbai</t>
        </is>
      </c>
    </row>
    <row r="1285" ht="14.25" customHeight="1" s="56">
      <c r="A1285" s="70" t="inlineStr">
        <is>
          <t>ORD-01284</t>
        </is>
      </c>
      <c r="B1285" s="71" t="n">
        <v>45421</v>
      </c>
      <c r="C1285" s="70" t="inlineStr">
        <is>
          <t>CUST-0174</t>
        </is>
      </c>
      <c r="D1285" s="70" t="inlineStr">
        <is>
          <t>PROD-020</t>
        </is>
      </c>
      <c r="E1285" s="70" t="inlineStr">
        <is>
          <t>R013</t>
        </is>
      </c>
      <c r="F1285" s="72" t="n">
        <v>5</v>
      </c>
      <c r="G1285" s="72" t="n">
        <v>820</v>
      </c>
      <c r="H1285" s="72" t="n">
        <v>0.5</v>
      </c>
      <c r="I1285" s="72" t="n">
        <v>4079.5</v>
      </c>
      <c r="J1285" s="70" t="inlineStr">
        <is>
          <t>Completed</t>
        </is>
      </c>
      <c r="K1285" s="70" t="inlineStr">
        <is>
          <t>Pune</t>
        </is>
      </c>
    </row>
    <row r="1286" ht="14.25" customHeight="1" s="56">
      <c r="A1286" s="70" t="inlineStr">
        <is>
          <t>ORD-01285</t>
        </is>
      </c>
      <c r="B1286" s="71" t="n">
        <v>45383</v>
      </c>
      <c r="C1286" s="70" t="inlineStr">
        <is>
          <t>CUST-0040</t>
        </is>
      </c>
      <c r="D1286" s="70" t="inlineStr">
        <is>
          <t>PROD-032</t>
        </is>
      </c>
      <c r="E1286" s="70" t="inlineStr">
        <is>
          <t>R004</t>
        </is>
      </c>
      <c r="F1286" s="72" t="n">
        <v>2</v>
      </c>
      <c r="G1286" s="72" t="n">
        <v>370</v>
      </c>
      <c r="H1286" s="72" t="n">
        <v>10.5</v>
      </c>
      <c r="I1286" s="72" t="n">
        <v>662.3</v>
      </c>
      <c r="J1286" s="70" t="inlineStr">
        <is>
          <t>Pending</t>
        </is>
      </c>
      <c r="K1286" s="70" t="inlineStr">
        <is>
          <t>Chennai</t>
        </is>
      </c>
    </row>
    <row r="1287" ht="14.25" customHeight="1" s="56">
      <c r="A1287" s="70" t="inlineStr">
        <is>
          <t>ORD-01286</t>
        </is>
      </c>
      <c r="B1287" s="71" t="n">
        <v>45453</v>
      </c>
      <c r="C1287" s="70" t="inlineStr">
        <is>
          <t>CUST-0153</t>
        </is>
      </c>
      <c r="D1287" s="70" t="inlineStr">
        <is>
          <t>PROD-038</t>
        </is>
      </c>
      <c r="E1287" s="70" t="inlineStr">
        <is>
          <t>R023</t>
        </is>
      </c>
      <c r="F1287" s="72" t="n">
        <v>9</v>
      </c>
      <c r="G1287" s="72" t="n">
        <v>5490</v>
      </c>
      <c r="H1287" s="72" t="n">
        <v>14.2</v>
      </c>
      <c r="I1287" s="72" t="n">
        <v>42393.78</v>
      </c>
      <c r="J1287" s="70" t="inlineStr">
        <is>
          <t>Cancelled</t>
        </is>
      </c>
      <c r="K1287" s="70" t="inlineStr">
        <is>
          <t>Mumbai</t>
        </is>
      </c>
    </row>
    <row r="1288" ht="14.25" customHeight="1" s="56">
      <c r="A1288" s="70" t="inlineStr">
        <is>
          <t>ORD-01287</t>
        </is>
      </c>
      <c r="B1288" s="71" t="n">
        <v>45398</v>
      </c>
      <c r="C1288" s="70" t="inlineStr">
        <is>
          <t>CUST-0236</t>
        </is>
      </c>
      <c r="D1288" s="70" t="inlineStr">
        <is>
          <t>PROD-032</t>
        </is>
      </c>
      <c r="E1288" s="70" t="inlineStr">
        <is>
          <t>R018</t>
        </is>
      </c>
      <c r="F1288" s="72" t="n">
        <v>3</v>
      </c>
      <c r="G1288" s="72" t="n">
        <v>370</v>
      </c>
      <c r="H1288" s="72" t="n">
        <v>18.4</v>
      </c>
      <c r="I1288" s="72" t="n">
        <v>905.76</v>
      </c>
      <c r="J1288" s="70" t="inlineStr">
        <is>
          <t>Completed</t>
        </is>
      </c>
      <c r="K1288" s="70" t="inlineStr">
        <is>
          <t>Hyderabad</t>
        </is>
      </c>
    </row>
    <row r="1289" ht="14.25" customHeight="1" s="56">
      <c r="A1289" s="70" t="inlineStr">
        <is>
          <t>ORD-01288</t>
        </is>
      </c>
      <c r="B1289" s="71" t="n">
        <v>45584</v>
      </c>
      <c r="C1289" s="70" t="inlineStr">
        <is>
          <t>CUST-0295</t>
        </is>
      </c>
      <c r="D1289" s="70" t="inlineStr">
        <is>
          <t>PROD-060</t>
        </is>
      </c>
      <c r="E1289" s="70" t="inlineStr">
        <is>
          <t>R018</t>
        </is>
      </c>
      <c r="F1289" s="72" t="n">
        <v>6</v>
      </c>
      <c r="G1289" s="72" t="n">
        <v>190</v>
      </c>
      <c r="H1289" s="72" t="n">
        <v>12.9</v>
      </c>
      <c r="I1289" s="72" t="n">
        <v>992.9400000000001</v>
      </c>
      <c r="J1289" s="70" t="inlineStr">
        <is>
          <t>Completed</t>
        </is>
      </c>
      <c r="K1289" s="70" t="inlineStr">
        <is>
          <t>Delhi</t>
        </is>
      </c>
    </row>
    <row r="1290" ht="14.25" customHeight="1" s="56">
      <c r="A1290" s="70" t="inlineStr">
        <is>
          <t>ORD-01289</t>
        </is>
      </c>
      <c r="B1290" s="71" t="n">
        <v>45397</v>
      </c>
      <c r="C1290" s="70" t="inlineStr">
        <is>
          <t>CUST-0145</t>
        </is>
      </c>
      <c r="D1290" s="70" t="inlineStr">
        <is>
          <t>PROD-029</t>
        </is>
      </c>
      <c r="E1290" s="70" t="inlineStr">
        <is>
          <t>R023</t>
        </is>
      </c>
      <c r="F1290" s="72" t="n">
        <v>8</v>
      </c>
      <c r="G1290" s="72" t="n">
        <v>2210</v>
      </c>
      <c r="H1290" s="72" t="n">
        <v>9.800000000000001</v>
      </c>
      <c r="I1290" s="72" t="n">
        <v>15947.36</v>
      </c>
      <c r="J1290" s="70" t="inlineStr">
        <is>
          <t>Completed</t>
        </is>
      </c>
      <c r="K1290" s="70" t="inlineStr">
        <is>
          <t>Bengaluru</t>
        </is>
      </c>
    </row>
    <row r="1291" ht="14.25" customHeight="1" s="56">
      <c r="A1291" s="70" t="inlineStr">
        <is>
          <t>ORD-01290</t>
        </is>
      </c>
      <c r="B1291" s="71" t="n">
        <v>45453</v>
      </c>
      <c r="C1291" s="70" t="inlineStr">
        <is>
          <t>CUST-0192</t>
        </is>
      </c>
      <c r="D1291" s="70" t="inlineStr">
        <is>
          <t>PROD-044</t>
        </is>
      </c>
      <c r="E1291" s="70" t="inlineStr">
        <is>
          <t>R009</t>
        </is>
      </c>
      <c r="F1291" s="72" t="n">
        <v>7</v>
      </c>
      <c r="G1291" s="72" t="n">
        <v>1650</v>
      </c>
      <c r="H1291" s="72" t="n">
        <v>8.4</v>
      </c>
      <c r="I1291" s="72" t="n">
        <v>10579.8</v>
      </c>
      <c r="J1291" s="70" t="inlineStr">
        <is>
          <t>Completed</t>
        </is>
      </c>
      <c r="K1291" s="70" t="inlineStr">
        <is>
          <t>Bengaluru</t>
        </is>
      </c>
    </row>
    <row r="1292" ht="14.25" customHeight="1" s="56">
      <c r="A1292" s="70" t="inlineStr">
        <is>
          <t>ORD-01291</t>
        </is>
      </c>
      <c r="B1292" s="71" t="n">
        <v>45359</v>
      </c>
      <c r="C1292" s="70" t="inlineStr">
        <is>
          <t>CUST-0148</t>
        </is>
      </c>
      <c r="D1292" s="70" t="inlineStr">
        <is>
          <t>PROD-037</t>
        </is>
      </c>
      <c r="E1292" s="70" t="inlineStr">
        <is>
          <t>R013</t>
        </is>
      </c>
      <c r="F1292" s="72" t="n">
        <v>8</v>
      </c>
      <c r="G1292" s="72" t="n">
        <v>660</v>
      </c>
      <c r="H1292" s="72" t="n">
        <v>7.5</v>
      </c>
      <c r="I1292" s="72" t="n">
        <v>4884</v>
      </c>
      <c r="J1292" s="70" t="inlineStr">
        <is>
          <t>Completed</t>
        </is>
      </c>
      <c r="K1292" s="70" t="inlineStr">
        <is>
          <t>Chennai</t>
        </is>
      </c>
    </row>
    <row r="1293" ht="14.25" customHeight="1" s="56">
      <c r="A1293" s="70" t="inlineStr">
        <is>
          <t>ORD-01292</t>
        </is>
      </c>
      <c r="B1293" s="71" t="n">
        <v>45644</v>
      </c>
      <c r="C1293" s="70" t="inlineStr">
        <is>
          <t>CUST-0227</t>
        </is>
      </c>
      <c r="D1293" s="70" t="inlineStr">
        <is>
          <t>PROD-039</t>
        </is>
      </c>
      <c r="E1293" s="70" t="inlineStr">
        <is>
          <t>R004</t>
        </is>
      </c>
      <c r="F1293" s="72" t="n">
        <v>3</v>
      </c>
      <c r="G1293" s="72" t="n">
        <v>4610</v>
      </c>
      <c r="H1293" s="72" t="n">
        <v>29.6</v>
      </c>
      <c r="I1293" s="72" t="n">
        <v>9736.32</v>
      </c>
      <c r="J1293" s="70" t="inlineStr">
        <is>
          <t>Completed</t>
        </is>
      </c>
      <c r="K1293" s="70" t="inlineStr">
        <is>
          <t>Bengaluru</t>
        </is>
      </c>
    </row>
    <row r="1294" ht="14.25" customHeight="1" s="56">
      <c r="A1294" s="70" t="inlineStr">
        <is>
          <t>ORD-01293</t>
        </is>
      </c>
      <c r="B1294" s="71" t="n">
        <v>45325</v>
      </c>
      <c r="C1294" s="70" t="inlineStr">
        <is>
          <t>CUST-0170</t>
        </is>
      </c>
      <c r="D1294" s="70" t="inlineStr">
        <is>
          <t>PROD-029</t>
        </is>
      </c>
      <c r="E1294" s="70" t="inlineStr">
        <is>
          <t>R025</t>
        </is>
      </c>
      <c r="F1294" s="72" t="n">
        <v>6</v>
      </c>
      <c r="G1294" s="72" t="n">
        <v>2210</v>
      </c>
      <c r="H1294" s="72" t="n">
        <v>9.5</v>
      </c>
      <c r="I1294" s="72" t="n">
        <v>12000.3</v>
      </c>
      <c r="J1294" s="70" t="inlineStr">
        <is>
          <t>Completed</t>
        </is>
      </c>
      <c r="K1294" s="70" t="inlineStr">
        <is>
          <t>Mumbai</t>
        </is>
      </c>
    </row>
    <row r="1295" ht="14.25" customHeight="1" s="56">
      <c r="A1295" s="70" t="inlineStr">
        <is>
          <t>ORD-01294</t>
        </is>
      </c>
      <c r="B1295" s="71" t="n">
        <v>45533</v>
      </c>
      <c r="C1295" s="70" t="inlineStr">
        <is>
          <t>CUST-0102</t>
        </is>
      </c>
      <c r="D1295" s="70" t="inlineStr">
        <is>
          <t>PROD-042</t>
        </is>
      </c>
      <c r="E1295" s="70" t="inlineStr">
        <is>
          <t>R017</t>
        </is>
      </c>
      <c r="F1295" s="72" t="n">
        <v>4</v>
      </c>
      <c r="G1295" s="72" t="n">
        <v>2290</v>
      </c>
      <c r="H1295" s="72" t="n">
        <v>3.3</v>
      </c>
      <c r="I1295" s="72" t="n">
        <v>8857.719999999999</v>
      </c>
      <c r="J1295" s="70" t="inlineStr">
        <is>
          <t>Completed</t>
        </is>
      </c>
      <c r="K1295" s="70" t="inlineStr">
        <is>
          <t>Chennai</t>
        </is>
      </c>
    </row>
    <row r="1296" ht="14.25" customHeight="1" s="56">
      <c r="A1296" s="70" t="inlineStr">
        <is>
          <t>ORD-01295</t>
        </is>
      </c>
      <c r="B1296" s="71" t="n">
        <v>45369</v>
      </c>
      <c r="C1296" s="70" t="inlineStr">
        <is>
          <t>CUST-0071</t>
        </is>
      </c>
      <c r="D1296" s="70" t="inlineStr">
        <is>
          <t>PROD-040</t>
        </is>
      </c>
      <c r="E1296" s="70" t="inlineStr">
        <is>
          <t>R026</t>
        </is>
      </c>
      <c r="F1296" s="72" t="n">
        <v>5</v>
      </c>
      <c r="G1296" s="72" t="n">
        <v>1080</v>
      </c>
      <c r="H1296" s="72" t="n">
        <v>26.1</v>
      </c>
      <c r="I1296" s="72" t="n">
        <v>3990.6</v>
      </c>
      <c r="J1296" s="70" t="inlineStr">
        <is>
          <t>Completed</t>
        </is>
      </c>
      <c r="K1296" s="70" t="inlineStr">
        <is>
          <t>Delhi</t>
        </is>
      </c>
    </row>
    <row r="1297" ht="14.25" customHeight="1" s="56">
      <c r="A1297" s="70" t="inlineStr">
        <is>
          <t>ORD-01296</t>
        </is>
      </c>
      <c r="B1297" s="71" t="n">
        <v>45312</v>
      </c>
      <c r="C1297" s="70" t="inlineStr">
        <is>
          <t>CUST-0080</t>
        </is>
      </c>
      <c r="D1297" s="70" t="inlineStr">
        <is>
          <t>PROD-057</t>
        </is>
      </c>
      <c r="E1297" s="70" t="inlineStr">
        <is>
          <t>R010</t>
        </is>
      </c>
      <c r="F1297" s="72" t="n">
        <v>7</v>
      </c>
      <c r="G1297" s="72" t="n">
        <v>960</v>
      </c>
      <c r="H1297" s="72" t="n">
        <v>17.7</v>
      </c>
      <c r="I1297" s="72" t="n">
        <v>5530.56</v>
      </c>
      <c r="J1297" s="70" t="inlineStr">
        <is>
          <t>Completed</t>
        </is>
      </c>
      <c r="K1297" s="70" t="inlineStr">
        <is>
          <t>Pune</t>
        </is>
      </c>
    </row>
    <row r="1298" ht="14.25" customHeight="1" s="56">
      <c r="A1298" s="70" t="inlineStr">
        <is>
          <t>ORD-01297</t>
        </is>
      </c>
      <c r="B1298" s="71" t="n">
        <v>45445</v>
      </c>
      <c r="C1298" s="70" t="inlineStr">
        <is>
          <t>CUST-0272</t>
        </is>
      </c>
      <c r="D1298" s="70" t="inlineStr">
        <is>
          <t>PROD-058</t>
        </is>
      </c>
      <c r="E1298" s="70" t="inlineStr">
        <is>
          <t>R008</t>
        </is>
      </c>
      <c r="F1298" s="72" t="n">
        <v>1</v>
      </c>
      <c r="G1298" s="72" t="n">
        <v>2400</v>
      </c>
      <c r="H1298" s="72" t="n">
        <v>29.9</v>
      </c>
      <c r="I1298" s="72" t="n">
        <v>1682.4</v>
      </c>
      <c r="J1298" s="70" t="inlineStr">
        <is>
          <t>Completed</t>
        </is>
      </c>
      <c r="K1298" s="70" t="inlineStr">
        <is>
          <t>Mumbai</t>
        </is>
      </c>
    </row>
    <row r="1299" ht="14.25" customHeight="1" s="56">
      <c r="A1299" s="70" t="inlineStr">
        <is>
          <t>ORD-01298</t>
        </is>
      </c>
      <c r="B1299" s="71" t="n">
        <v>45636</v>
      </c>
      <c r="C1299" s="70" t="inlineStr">
        <is>
          <t>CUST-0076</t>
        </is>
      </c>
      <c r="D1299" s="70" t="inlineStr">
        <is>
          <t>PROD-042</t>
        </is>
      </c>
      <c r="E1299" s="70" t="inlineStr">
        <is>
          <t>R010</t>
        </is>
      </c>
      <c r="F1299" s="72" t="n">
        <v>9</v>
      </c>
      <c r="G1299" s="72" t="n">
        <v>2290</v>
      </c>
      <c r="H1299" s="72" t="n">
        <v>28.8</v>
      </c>
      <c r="I1299" s="72" t="n">
        <v>14674.32</v>
      </c>
      <c r="J1299" s="70" t="inlineStr">
        <is>
          <t>Completed</t>
        </is>
      </c>
      <c r="K1299" s="70" t="inlineStr">
        <is>
          <t>Mumbai</t>
        </is>
      </c>
    </row>
    <row r="1300" ht="14.25" customHeight="1" s="56">
      <c r="A1300" s="70" t="inlineStr">
        <is>
          <t>ORD-01299</t>
        </is>
      </c>
      <c r="B1300" s="71" t="n">
        <v>45294</v>
      </c>
      <c r="C1300" s="70" t="inlineStr">
        <is>
          <t>CUST-0222</t>
        </is>
      </c>
      <c r="D1300" s="70" t="inlineStr">
        <is>
          <t>PROD-040</t>
        </is>
      </c>
      <c r="E1300" s="70" t="inlineStr">
        <is>
          <t>R018</t>
        </is>
      </c>
      <c r="F1300" s="72" t="n">
        <v>9</v>
      </c>
      <c r="G1300" s="72" t="n">
        <v>1080</v>
      </c>
      <c r="H1300" s="72" t="n">
        <v>10.3</v>
      </c>
      <c r="I1300" s="72" t="n">
        <v>8718.84</v>
      </c>
      <c r="J1300" s="70" t="inlineStr">
        <is>
          <t>Completed</t>
        </is>
      </c>
      <c r="K1300" s="70" t="inlineStr">
        <is>
          <t>Chennai</t>
        </is>
      </c>
    </row>
    <row r="1301" ht="14.25" customHeight="1" s="56">
      <c r="A1301" s="70" t="inlineStr">
        <is>
          <t>ORD-01300</t>
        </is>
      </c>
      <c r="B1301" s="71" t="n">
        <v>45449</v>
      </c>
      <c r="C1301" s="70" t="inlineStr">
        <is>
          <t>CUST-0091</t>
        </is>
      </c>
      <c r="D1301" s="70" t="inlineStr">
        <is>
          <t>PROD-035</t>
        </is>
      </c>
      <c r="E1301" s="70" t="inlineStr">
        <is>
          <t>R004</t>
        </is>
      </c>
      <c r="F1301" s="72" t="n">
        <v>1</v>
      </c>
      <c r="G1301" s="72" t="n">
        <v>1090</v>
      </c>
      <c r="H1301" s="72" t="n">
        <v>5.8</v>
      </c>
      <c r="I1301" s="72" t="n">
        <v>1026.78</v>
      </c>
      <c r="J1301" s="70" t="inlineStr">
        <is>
          <t>Cancelled</t>
        </is>
      </c>
      <c r="K1301" s="70" t="inlineStr">
        <is>
          <t>Delhi</t>
        </is>
      </c>
    </row>
    <row r="1302" ht="14.25" customHeight="1" s="56">
      <c r="A1302" s="70" t="inlineStr">
        <is>
          <t>ORD-01301</t>
        </is>
      </c>
      <c r="B1302" s="71" t="n">
        <v>45560</v>
      </c>
      <c r="C1302" s="70" t="inlineStr">
        <is>
          <t>CUST-0126</t>
        </is>
      </c>
      <c r="D1302" s="70" t="inlineStr">
        <is>
          <t>PROD-029</t>
        </is>
      </c>
      <c r="E1302" s="70" t="inlineStr">
        <is>
          <t>R018</t>
        </is>
      </c>
      <c r="F1302" s="72" t="n">
        <v>3</v>
      </c>
      <c r="G1302" s="72" t="n">
        <v>2210</v>
      </c>
      <c r="H1302" s="72" t="n">
        <v>18.2</v>
      </c>
      <c r="I1302" s="72" t="n">
        <v>5423.34</v>
      </c>
      <c r="J1302" s="70" t="inlineStr">
        <is>
          <t>Pending</t>
        </is>
      </c>
      <c r="K1302" s="70" t="inlineStr">
        <is>
          <t>Mumbai</t>
        </is>
      </c>
    </row>
    <row r="1303" ht="14.25" customHeight="1" s="56">
      <c r="A1303" s="70" t="inlineStr">
        <is>
          <t>ORD-01302</t>
        </is>
      </c>
      <c r="B1303" s="71" t="n">
        <v>45588</v>
      </c>
      <c r="C1303" s="70" t="inlineStr">
        <is>
          <t>CUST-0241</t>
        </is>
      </c>
      <c r="D1303" s="70" t="inlineStr">
        <is>
          <t>PROD-014</t>
        </is>
      </c>
      <c r="E1303" s="70" t="inlineStr">
        <is>
          <t>R015</t>
        </is>
      </c>
      <c r="F1303" s="72" t="n">
        <v>8</v>
      </c>
      <c r="G1303" s="72" t="n">
        <v>3620</v>
      </c>
      <c r="H1303" s="72" t="n">
        <v>1.4</v>
      </c>
      <c r="I1303" s="72" t="n">
        <v>28554.56</v>
      </c>
      <c r="J1303" s="70" t="inlineStr">
        <is>
          <t>Completed</t>
        </is>
      </c>
      <c r="K1303" s="70" t="inlineStr">
        <is>
          <t>Pune</t>
        </is>
      </c>
    </row>
    <row r="1304" ht="14.25" customHeight="1" s="56">
      <c r="A1304" s="70" t="inlineStr">
        <is>
          <t>ORD-01303</t>
        </is>
      </c>
      <c r="B1304" s="71" t="n">
        <v>45360</v>
      </c>
      <c r="C1304" s="70" t="inlineStr">
        <is>
          <t>CUST-0118</t>
        </is>
      </c>
      <c r="D1304" s="70" t="inlineStr">
        <is>
          <t>PROD-033</t>
        </is>
      </c>
      <c r="E1304" s="70" t="inlineStr">
        <is>
          <t>R011</t>
        </is>
      </c>
      <c r="F1304" s="72" t="n">
        <v>7</v>
      </c>
      <c r="G1304" s="72" t="n">
        <v>2030</v>
      </c>
      <c r="H1304" s="72" t="n">
        <v>27.7</v>
      </c>
      <c r="I1304" s="72" t="n">
        <v>10273.83</v>
      </c>
      <c r="J1304" s="70" t="inlineStr">
        <is>
          <t>Completed</t>
        </is>
      </c>
      <c r="K1304" s="70" t="inlineStr">
        <is>
          <t>Hyderabad</t>
        </is>
      </c>
    </row>
    <row r="1305" ht="14.25" customHeight="1" s="56">
      <c r="A1305" s="70" t="inlineStr">
        <is>
          <t>ORD-01304</t>
        </is>
      </c>
      <c r="B1305" s="71" t="n">
        <v>45316</v>
      </c>
      <c r="C1305" s="70" t="inlineStr">
        <is>
          <t>CUST-0090</t>
        </is>
      </c>
      <c r="D1305" s="70" t="inlineStr">
        <is>
          <t>PROD-004</t>
        </is>
      </c>
      <c r="E1305" s="70" t="inlineStr">
        <is>
          <t>R023</t>
        </is>
      </c>
      <c r="F1305" s="72" t="n">
        <v>1</v>
      </c>
      <c r="G1305" s="72" t="n">
        <v>3870</v>
      </c>
      <c r="H1305" s="72" t="n">
        <v>29.6</v>
      </c>
      <c r="I1305" s="72" t="n">
        <v>2724.48</v>
      </c>
      <c r="J1305" s="70" t="inlineStr">
        <is>
          <t>Completed</t>
        </is>
      </c>
      <c r="K1305" s="70" t="inlineStr">
        <is>
          <t>Bengaluru</t>
        </is>
      </c>
    </row>
    <row r="1306" ht="14.25" customHeight="1" s="56">
      <c r="A1306" s="70" t="inlineStr">
        <is>
          <t>ORD-01305</t>
        </is>
      </c>
      <c r="B1306" s="71" t="n">
        <v>45324</v>
      </c>
      <c r="C1306" s="70" t="inlineStr">
        <is>
          <t>CUST-0037</t>
        </is>
      </c>
      <c r="D1306" s="70" t="inlineStr">
        <is>
          <t>PROD-003</t>
        </is>
      </c>
      <c r="E1306" s="70" t="inlineStr">
        <is>
          <t>R014</t>
        </is>
      </c>
      <c r="F1306" s="72" t="n">
        <v>5</v>
      </c>
      <c r="G1306" s="72" t="n">
        <v>3570</v>
      </c>
      <c r="H1306" s="72" t="n">
        <v>11.8</v>
      </c>
      <c r="I1306" s="72" t="n">
        <v>15743.7</v>
      </c>
      <c r="J1306" s="70" t="inlineStr">
        <is>
          <t>Refunded</t>
        </is>
      </c>
      <c r="K1306" s="70" t="inlineStr">
        <is>
          <t>Bengaluru</t>
        </is>
      </c>
    </row>
    <row r="1307" ht="14.25" customHeight="1" s="56">
      <c r="A1307" s="70" t="inlineStr">
        <is>
          <t>ORD-01306</t>
        </is>
      </c>
      <c r="B1307" s="71" t="n">
        <v>45650</v>
      </c>
      <c r="C1307" s="70" t="inlineStr">
        <is>
          <t>CUST-0083</t>
        </is>
      </c>
      <c r="D1307" s="70" t="inlineStr">
        <is>
          <t>PROD-001</t>
        </is>
      </c>
      <c r="E1307" s="70" t="inlineStr">
        <is>
          <t>R019</t>
        </is>
      </c>
      <c r="F1307" s="72" t="n">
        <v>7</v>
      </c>
      <c r="G1307" s="72" t="n">
        <v>5330</v>
      </c>
      <c r="H1307" s="72" t="n">
        <v>8.199999999999999</v>
      </c>
      <c r="I1307" s="72" t="n">
        <v>34250.58</v>
      </c>
      <c r="J1307" s="70" t="inlineStr">
        <is>
          <t>Completed</t>
        </is>
      </c>
      <c r="K1307" s="70" t="inlineStr">
        <is>
          <t>Bengaluru</t>
        </is>
      </c>
    </row>
    <row r="1308" ht="14.25" customHeight="1" s="56">
      <c r="A1308" s="70" t="inlineStr">
        <is>
          <t>ORD-01307</t>
        </is>
      </c>
      <c r="B1308" s="71" t="n">
        <v>45564</v>
      </c>
      <c r="C1308" s="70" t="inlineStr">
        <is>
          <t>CUST-0154</t>
        </is>
      </c>
      <c r="D1308" s="70" t="inlineStr">
        <is>
          <t>PROD-009</t>
        </is>
      </c>
      <c r="E1308" s="70" t="inlineStr">
        <is>
          <t>R009</t>
        </is>
      </c>
      <c r="F1308" s="72" t="n">
        <v>5</v>
      </c>
      <c r="G1308" s="72" t="n">
        <v>1220</v>
      </c>
      <c r="H1308" s="72" t="n">
        <v>17.8</v>
      </c>
      <c r="I1308" s="72" t="n">
        <v>5014.2</v>
      </c>
      <c r="J1308" s="70" t="inlineStr">
        <is>
          <t>Refunded</t>
        </is>
      </c>
      <c r="K1308" s="70" t="inlineStr">
        <is>
          <t>Pune</t>
        </is>
      </c>
    </row>
    <row r="1309" ht="14.25" customHeight="1" s="56">
      <c r="A1309" s="70" t="inlineStr">
        <is>
          <t>ORD-01308</t>
        </is>
      </c>
      <c r="B1309" s="71" t="n">
        <v>45587</v>
      </c>
      <c r="C1309" s="70" t="inlineStr">
        <is>
          <t>CUST-0265</t>
        </is>
      </c>
      <c r="D1309" s="70" t="inlineStr">
        <is>
          <t>PROD-011</t>
        </is>
      </c>
      <c r="E1309" s="70" t="inlineStr">
        <is>
          <t>R019</t>
        </is>
      </c>
      <c r="F1309" s="72" t="n">
        <v>7</v>
      </c>
      <c r="G1309" s="72" t="n">
        <v>3450</v>
      </c>
      <c r="H1309" s="72" t="n">
        <v>29.3</v>
      </c>
      <c r="I1309" s="72" t="n">
        <v>17074.05</v>
      </c>
      <c r="J1309" s="70" t="inlineStr">
        <is>
          <t>Completed</t>
        </is>
      </c>
      <c r="K1309" s="70" t="inlineStr">
        <is>
          <t>Chennai</t>
        </is>
      </c>
    </row>
    <row r="1310" ht="14.25" customHeight="1" s="56">
      <c r="A1310" s="70" t="inlineStr">
        <is>
          <t>ORD-01309</t>
        </is>
      </c>
      <c r="B1310" s="71" t="n">
        <v>45538</v>
      </c>
      <c r="C1310" s="70" t="inlineStr">
        <is>
          <t>CUST-0115</t>
        </is>
      </c>
      <c r="D1310" s="70" t="inlineStr">
        <is>
          <t>PROD-018</t>
        </is>
      </c>
      <c r="E1310" s="70" t="inlineStr">
        <is>
          <t>R013</t>
        </is>
      </c>
      <c r="F1310" s="72" t="n">
        <v>6</v>
      </c>
      <c r="G1310" s="72" t="n">
        <v>3560</v>
      </c>
      <c r="H1310" s="72" t="n">
        <v>9.4</v>
      </c>
      <c r="I1310" s="72" t="n">
        <v>19352.16</v>
      </c>
      <c r="J1310" s="70" t="inlineStr">
        <is>
          <t>Pending</t>
        </is>
      </c>
      <c r="K1310" s="70" t="inlineStr">
        <is>
          <t>Mumbai</t>
        </is>
      </c>
    </row>
    <row r="1311" ht="14.25" customHeight="1" s="56">
      <c r="A1311" s="70" t="inlineStr">
        <is>
          <t>ORD-01310</t>
        </is>
      </c>
      <c r="B1311" s="71" t="n">
        <v>45385</v>
      </c>
      <c r="C1311" s="70" t="inlineStr">
        <is>
          <t>CUST-0274</t>
        </is>
      </c>
      <c r="D1311" s="70" t="inlineStr">
        <is>
          <t>PROD-032</t>
        </is>
      </c>
      <c r="E1311" s="70" t="inlineStr">
        <is>
          <t>R005</t>
        </is>
      </c>
      <c r="F1311" s="72" t="n">
        <v>4</v>
      </c>
      <c r="G1311" s="72" t="n">
        <v>370</v>
      </c>
      <c r="H1311" s="72" t="n">
        <v>4.9</v>
      </c>
      <c r="I1311" s="72" t="n">
        <v>1407.48</v>
      </c>
      <c r="J1311" s="70" t="inlineStr">
        <is>
          <t>Completed</t>
        </is>
      </c>
      <c r="K1311" s="70" t="inlineStr">
        <is>
          <t>Bengaluru</t>
        </is>
      </c>
    </row>
    <row r="1312" ht="14.25" customHeight="1" s="56">
      <c r="A1312" s="70" t="inlineStr">
        <is>
          <t>ORD-01311</t>
        </is>
      </c>
      <c r="B1312" s="71" t="n">
        <v>45647</v>
      </c>
      <c r="C1312" s="70" t="inlineStr">
        <is>
          <t>CUST-0269</t>
        </is>
      </c>
      <c r="D1312" s="70" t="inlineStr">
        <is>
          <t>PROD-009</t>
        </is>
      </c>
      <c r="E1312" s="70" t="inlineStr">
        <is>
          <t>R003</t>
        </is>
      </c>
      <c r="F1312" s="72" t="n">
        <v>1</v>
      </c>
      <c r="G1312" s="72" t="n">
        <v>1220</v>
      </c>
      <c r="H1312" s="72" t="n">
        <v>15.2</v>
      </c>
      <c r="I1312" s="72" t="n">
        <v>1034.56</v>
      </c>
      <c r="J1312" s="70" t="inlineStr">
        <is>
          <t>Completed</t>
        </is>
      </c>
      <c r="K1312" s="70" t="inlineStr">
        <is>
          <t>Pune</t>
        </is>
      </c>
    </row>
    <row r="1313" ht="14.25" customHeight="1" s="56">
      <c r="A1313" s="70" t="inlineStr">
        <is>
          <t>ORD-01312</t>
        </is>
      </c>
      <c r="B1313" s="71" t="n">
        <v>45466</v>
      </c>
      <c r="C1313" s="70" t="inlineStr">
        <is>
          <t>CUST-0045</t>
        </is>
      </c>
      <c r="D1313" s="70" t="inlineStr">
        <is>
          <t>PROD-013</t>
        </is>
      </c>
      <c r="E1313" s="70" t="inlineStr">
        <is>
          <t>R006</t>
        </is>
      </c>
      <c r="F1313" s="72" t="n">
        <v>3</v>
      </c>
      <c r="G1313" s="72" t="n">
        <v>3640</v>
      </c>
      <c r="H1313" s="72" t="n">
        <v>12.3</v>
      </c>
      <c r="I1313" s="72" t="n">
        <v>9576.84</v>
      </c>
      <c r="J1313" s="70" t="inlineStr">
        <is>
          <t>Pending</t>
        </is>
      </c>
      <c r="K1313" s="70" t="inlineStr">
        <is>
          <t>Chennai</t>
        </is>
      </c>
    </row>
    <row r="1314" ht="14.25" customHeight="1" s="56">
      <c r="A1314" s="70" t="inlineStr">
        <is>
          <t>ORD-01313</t>
        </is>
      </c>
      <c r="B1314" s="71" t="n">
        <v>45559</v>
      </c>
      <c r="C1314" s="70" t="inlineStr">
        <is>
          <t>CUST-0054</t>
        </is>
      </c>
      <c r="D1314" s="70" t="inlineStr">
        <is>
          <t>PROD-045</t>
        </is>
      </c>
      <c r="E1314" s="70" t="inlineStr">
        <is>
          <t>R010</t>
        </is>
      </c>
      <c r="F1314" s="72" t="n">
        <v>8</v>
      </c>
      <c r="G1314" s="72" t="n">
        <v>3020</v>
      </c>
      <c r="H1314" s="72" t="n">
        <v>28.2</v>
      </c>
      <c r="I1314" s="72" t="n">
        <v>17346.88</v>
      </c>
      <c r="J1314" s="70" t="inlineStr">
        <is>
          <t>Pending</t>
        </is>
      </c>
      <c r="K1314" s="70" t="inlineStr">
        <is>
          <t>Mumbai</t>
        </is>
      </c>
    </row>
    <row r="1315" ht="14.25" customHeight="1" s="56">
      <c r="A1315" s="70" t="inlineStr">
        <is>
          <t>ORD-01314</t>
        </is>
      </c>
      <c r="B1315" s="71" t="n">
        <v>45469</v>
      </c>
      <c r="C1315" s="70" t="inlineStr">
        <is>
          <t>CUST-0160</t>
        </is>
      </c>
      <c r="D1315" s="70" t="inlineStr">
        <is>
          <t>PROD-048</t>
        </is>
      </c>
      <c r="E1315" s="70" t="inlineStr">
        <is>
          <t>R008</t>
        </is>
      </c>
      <c r="F1315" s="72" t="n">
        <v>3</v>
      </c>
      <c r="G1315" s="72" t="n">
        <v>5100</v>
      </c>
      <c r="H1315" s="72" t="n">
        <v>7.8</v>
      </c>
      <c r="I1315" s="72" t="n">
        <v>14106.6</v>
      </c>
      <c r="J1315" s="70" t="inlineStr">
        <is>
          <t>Completed</t>
        </is>
      </c>
      <c r="K1315" s="70" t="inlineStr">
        <is>
          <t>Hyderabad</t>
        </is>
      </c>
    </row>
    <row r="1316" ht="14.25" customHeight="1" s="56">
      <c r="A1316" s="70" t="inlineStr">
        <is>
          <t>ORD-01315</t>
        </is>
      </c>
      <c r="B1316" s="71" t="n">
        <v>45407</v>
      </c>
      <c r="C1316" s="70" t="inlineStr">
        <is>
          <t>CUST-0163</t>
        </is>
      </c>
      <c r="D1316" s="70" t="inlineStr">
        <is>
          <t>PROD-005</t>
        </is>
      </c>
      <c r="E1316" s="70" t="inlineStr">
        <is>
          <t>R001</t>
        </is>
      </c>
      <c r="F1316" s="72" t="n">
        <v>9</v>
      </c>
      <c r="G1316" s="72" t="n">
        <v>300</v>
      </c>
      <c r="H1316" s="72" t="n">
        <v>19</v>
      </c>
      <c r="I1316" s="72" t="n">
        <v>2187</v>
      </c>
      <c r="J1316" s="70" t="inlineStr">
        <is>
          <t>Completed</t>
        </is>
      </c>
      <c r="K1316" s="70" t="inlineStr">
        <is>
          <t>Pune</t>
        </is>
      </c>
    </row>
    <row r="1317" ht="14.25" customHeight="1" s="56">
      <c r="A1317" s="70" t="inlineStr">
        <is>
          <t>ORD-01316</t>
        </is>
      </c>
      <c r="B1317" s="71" t="n">
        <v>45634</v>
      </c>
      <c r="C1317" s="70" t="inlineStr">
        <is>
          <t>CUST-0006</t>
        </is>
      </c>
      <c r="D1317" s="70" t="inlineStr">
        <is>
          <t>PROD-042</t>
        </is>
      </c>
      <c r="E1317" s="70" t="inlineStr">
        <is>
          <t>R007</t>
        </is>
      </c>
      <c r="F1317" s="72" t="n">
        <v>10</v>
      </c>
      <c r="G1317" s="72" t="n">
        <v>2290</v>
      </c>
      <c r="H1317" s="72" t="n">
        <v>27.7</v>
      </c>
      <c r="I1317" s="72" t="n">
        <v>16556.7</v>
      </c>
      <c r="J1317" s="70" t="inlineStr">
        <is>
          <t>Completed</t>
        </is>
      </c>
      <c r="K1317" s="70" t="inlineStr">
        <is>
          <t>Pune</t>
        </is>
      </c>
    </row>
    <row r="1318" ht="14.25" customHeight="1" s="56">
      <c r="A1318" s="70" t="inlineStr">
        <is>
          <t>ORD-01317</t>
        </is>
      </c>
      <c r="B1318" s="71" t="n">
        <v>45454</v>
      </c>
      <c r="C1318" s="70" t="inlineStr">
        <is>
          <t>CUST-0142</t>
        </is>
      </c>
      <c r="D1318" s="70" t="inlineStr">
        <is>
          <t>PROD-013</t>
        </is>
      </c>
      <c r="E1318" s="70" t="inlineStr">
        <is>
          <t>R024</t>
        </is>
      </c>
      <c r="F1318" s="72" t="n">
        <v>9</v>
      </c>
      <c r="G1318" s="72" t="n">
        <v>3640</v>
      </c>
      <c r="H1318" s="72" t="n">
        <v>20.1</v>
      </c>
      <c r="I1318" s="72" t="n">
        <v>26175.24</v>
      </c>
      <c r="J1318" s="70" t="inlineStr">
        <is>
          <t>Completed</t>
        </is>
      </c>
      <c r="K1318" s="70" t="inlineStr">
        <is>
          <t>Chennai</t>
        </is>
      </c>
    </row>
    <row r="1319" ht="14.25" customHeight="1" s="56">
      <c r="A1319" s="70" t="inlineStr">
        <is>
          <t>ORD-01318</t>
        </is>
      </c>
      <c r="B1319" s="71" t="n">
        <v>45565</v>
      </c>
      <c r="C1319" s="70" t="inlineStr">
        <is>
          <t>CUST-0262</t>
        </is>
      </c>
      <c r="D1319" s="70" t="inlineStr">
        <is>
          <t>PROD-020</t>
        </is>
      </c>
      <c r="E1319" s="70" t="inlineStr">
        <is>
          <t>R022</t>
        </is>
      </c>
      <c r="F1319" s="72" t="n">
        <v>4</v>
      </c>
      <c r="G1319" s="72" t="n">
        <v>820</v>
      </c>
      <c r="H1319" s="72" t="n">
        <v>7.6</v>
      </c>
      <c r="I1319" s="72" t="n">
        <v>3030.72</v>
      </c>
      <c r="J1319" s="70" t="inlineStr">
        <is>
          <t>Completed</t>
        </is>
      </c>
      <c r="K1319" s="70" t="inlineStr">
        <is>
          <t>Mumbai</t>
        </is>
      </c>
    </row>
    <row r="1320" ht="14.25" customHeight="1" s="56">
      <c r="A1320" s="70" t="inlineStr">
        <is>
          <t>ORD-01319</t>
        </is>
      </c>
      <c r="B1320" s="71" t="n">
        <v>45443</v>
      </c>
      <c r="C1320" s="70" t="inlineStr">
        <is>
          <t>CUST-0049</t>
        </is>
      </c>
      <c r="D1320" s="70" t="inlineStr">
        <is>
          <t>PROD-030</t>
        </is>
      </c>
      <c r="E1320" s="70" t="inlineStr">
        <is>
          <t>R014</t>
        </is>
      </c>
      <c r="F1320" s="72" t="n">
        <v>1</v>
      </c>
      <c r="G1320" s="72" t="n">
        <v>970</v>
      </c>
      <c r="H1320" s="72" t="n">
        <v>1.7</v>
      </c>
      <c r="I1320" s="72" t="n">
        <v>953.51</v>
      </c>
      <c r="J1320" s="70" t="inlineStr">
        <is>
          <t>Completed</t>
        </is>
      </c>
      <c r="K1320" s="70" t="inlineStr">
        <is>
          <t>Mumbai</t>
        </is>
      </c>
    </row>
    <row r="1321" ht="14.25" customHeight="1" s="56">
      <c r="A1321" s="70" t="inlineStr">
        <is>
          <t>ORD-01320</t>
        </is>
      </c>
      <c r="B1321" s="71" t="n">
        <v>45318</v>
      </c>
      <c r="C1321" s="70" t="inlineStr">
        <is>
          <t>CUST-0204</t>
        </is>
      </c>
      <c r="D1321" s="70" t="inlineStr">
        <is>
          <t>PROD-018</t>
        </is>
      </c>
      <c r="E1321" s="70" t="inlineStr">
        <is>
          <t>R019</t>
        </is>
      </c>
      <c r="F1321" s="72" t="n">
        <v>5</v>
      </c>
      <c r="G1321" s="72" t="n">
        <v>3560</v>
      </c>
      <c r="H1321" s="72" t="n">
        <v>10.5</v>
      </c>
      <c r="I1321" s="72" t="n">
        <v>15931</v>
      </c>
      <c r="J1321" s="70" t="inlineStr">
        <is>
          <t>Completed</t>
        </is>
      </c>
      <c r="K1321" s="70" t="inlineStr">
        <is>
          <t>Hyderabad</t>
        </is>
      </c>
    </row>
    <row r="1322" ht="14.25" customHeight="1" s="56">
      <c r="A1322" s="70" t="inlineStr">
        <is>
          <t>ORD-01321</t>
        </is>
      </c>
      <c r="B1322" s="71" t="n">
        <v>45308</v>
      </c>
      <c r="C1322" s="70" t="inlineStr">
        <is>
          <t>CUST-0164</t>
        </is>
      </c>
      <c r="D1322" s="70" t="inlineStr">
        <is>
          <t>PROD-035</t>
        </is>
      </c>
      <c r="E1322" s="70" t="inlineStr">
        <is>
          <t>R009</t>
        </is>
      </c>
      <c r="F1322" s="72" t="n">
        <v>6</v>
      </c>
      <c r="G1322" s="72" t="n">
        <v>1090</v>
      </c>
      <c r="H1322" s="72" t="n">
        <v>2.4</v>
      </c>
      <c r="I1322" s="72" t="n">
        <v>6383.04</v>
      </c>
      <c r="J1322" s="70" t="inlineStr">
        <is>
          <t>Pending</t>
        </is>
      </c>
      <c r="K1322" s="70" t="inlineStr">
        <is>
          <t>Chennai</t>
        </is>
      </c>
    </row>
    <row r="1323" ht="14.25" customHeight="1" s="56">
      <c r="A1323" s="70" t="inlineStr">
        <is>
          <t>ORD-01322</t>
        </is>
      </c>
      <c r="B1323" s="71" t="n">
        <v>45306</v>
      </c>
      <c r="C1323" s="70" t="inlineStr">
        <is>
          <t>CUST-0003</t>
        </is>
      </c>
      <c r="D1323" s="70" t="inlineStr">
        <is>
          <t>PROD-008</t>
        </is>
      </c>
      <c r="E1323" s="70" t="inlineStr">
        <is>
          <t>R017</t>
        </is>
      </c>
      <c r="F1323" s="72" t="n">
        <v>6</v>
      </c>
      <c r="G1323" s="72" t="n">
        <v>2660</v>
      </c>
      <c r="H1323" s="72" t="n">
        <v>6.4</v>
      </c>
      <c r="I1323" s="72" t="n">
        <v>14938.56</v>
      </c>
      <c r="J1323" s="70" t="inlineStr">
        <is>
          <t>Completed</t>
        </is>
      </c>
      <c r="K1323" s="70" t="inlineStr">
        <is>
          <t>Mumbai</t>
        </is>
      </c>
    </row>
    <row r="1324" ht="14.25" customHeight="1" s="56">
      <c r="A1324" s="70" t="inlineStr">
        <is>
          <t>ORD-01323</t>
        </is>
      </c>
      <c r="B1324" s="71" t="n">
        <v>45432</v>
      </c>
      <c r="C1324" s="70" t="inlineStr">
        <is>
          <t>CUST-0032</t>
        </is>
      </c>
      <c r="D1324" s="70" t="inlineStr">
        <is>
          <t>PROD-006</t>
        </is>
      </c>
      <c r="E1324" s="70" t="inlineStr">
        <is>
          <t>R001</t>
        </is>
      </c>
      <c r="F1324" s="72" t="n">
        <v>5</v>
      </c>
      <c r="G1324" s="72" t="n">
        <v>3970</v>
      </c>
      <c r="H1324" s="72" t="n">
        <v>18.8</v>
      </c>
      <c r="I1324" s="72" t="n">
        <v>16118.2</v>
      </c>
      <c r="J1324" s="70" t="inlineStr">
        <is>
          <t>Pending</t>
        </is>
      </c>
      <c r="K1324" s="70" t="inlineStr">
        <is>
          <t>Hyderabad</t>
        </is>
      </c>
    </row>
    <row r="1325" ht="14.25" customHeight="1" s="56">
      <c r="A1325" s="70" t="inlineStr">
        <is>
          <t>ORD-01324</t>
        </is>
      </c>
      <c r="B1325" s="71" t="n">
        <v>45369</v>
      </c>
      <c r="C1325" s="70" t="inlineStr">
        <is>
          <t>CUST-0208</t>
        </is>
      </c>
      <c r="D1325" s="70" t="inlineStr">
        <is>
          <t>PROD-056</t>
        </is>
      </c>
      <c r="E1325" s="70" t="inlineStr">
        <is>
          <t>R021</t>
        </is>
      </c>
      <c r="F1325" s="72" t="n">
        <v>7</v>
      </c>
      <c r="G1325" s="72" t="n">
        <v>6940</v>
      </c>
      <c r="H1325" s="72" t="n">
        <v>23.8</v>
      </c>
      <c r="I1325" s="72" t="n">
        <v>37017.96</v>
      </c>
      <c r="J1325" s="70" t="inlineStr">
        <is>
          <t>Refunded</t>
        </is>
      </c>
      <c r="K1325" s="70" t="inlineStr">
        <is>
          <t>Mumbai</t>
        </is>
      </c>
    </row>
    <row r="1326" ht="14.25" customHeight="1" s="56">
      <c r="A1326" s="70" t="inlineStr">
        <is>
          <t>ORD-01325</t>
        </is>
      </c>
      <c r="B1326" s="71" t="n">
        <v>45544</v>
      </c>
      <c r="C1326" s="70" t="inlineStr">
        <is>
          <t>CUST-0183</t>
        </is>
      </c>
      <c r="D1326" s="70" t="inlineStr">
        <is>
          <t>PROD-058</t>
        </is>
      </c>
      <c r="E1326" s="70" t="inlineStr">
        <is>
          <t>R004</t>
        </is>
      </c>
      <c r="F1326" s="72" t="n">
        <v>3</v>
      </c>
      <c r="G1326" s="72" t="n">
        <v>2400</v>
      </c>
      <c r="H1326" s="72" t="n">
        <v>9.800000000000001</v>
      </c>
      <c r="I1326" s="72" t="n">
        <v>6494.4</v>
      </c>
      <c r="J1326" s="70" t="inlineStr">
        <is>
          <t>Completed</t>
        </is>
      </c>
      <c r="K1326" s="70" t="inlineStr">
        <is>
          <t>Mumbai</t>
        </is>
      </c>
    </row>
    <row r="1327" ht="14.25" customHeight="1" s="56">
      <c r="A1327" s="70" t="inlineStr">
        <is>
          <t>ORD-01326</t>
        </is>
      </c>
      <c r="B1327" s="71" t="n">
        <v>45395</v>
      </c>
      <c r="C1327" s="70" t="inlineStr">
        <is>
          <t>CUST-0021</t>
        </is>
      </c>
      <c r="D1327" s="70" t="inlineStr">
        <is>
          <t>PROD-051</t>
        </is>
      </c>
      <c r="E1327" s="70" t="inlineStr">
        <is>
          <t>R023</t>
        </is>
      </c>
      <c r="F1327" s="72" t="n">
        <v>8</v>
      </c>
      <c r="G1327" s="72" t="n">
        <v>3450</v>
      </c>
      <c r="H1327" s="72" t="n">
        <v>26.6</v>
      </c>
      <c r="I1327" s="72" t="n">
        <v>20258.4</v>
      </c>
      <c r="J1327" s="70" t="inlineStr">
        <is>
          <t>Cancelled</t>
        </is>
      </c>
      <c r="K1327" s="70" t="inlineStr">
        <is>
          <t>Pune</t>
        </is>
      </c>
    </row>
    <row r="1328" ht="14.25" customHeight="1" s="56">
      <c r="A1328" s="70" t="inlineStr">
        <is>
          <t>ORD-01327</t>
        </is>
      </c>
      <c r="B1328" s="71" t="n">
        <v>45389</v>
      </c>
      <c r="C1328" s="70" t="inlineStr">
        <is>
          <t>CUST-0080</t>
        </is>
      </c>
      <c r="D1328" s="70" t="inlineStr">
        <is>
          <t>PROD-009</t>
        </is>
      </c>
      <c r="E1328" s="70" t="inlineStr">
        <is>
          <t>R004</t>
        </is>
      </c>
      <c r="F1328" s="72" t="n">
        <v>4</v>
      </c>
      <c r="G1328" s="72" t="n">
        <v>1220</v>
      </c>
      <c r="H1328" s="72" t="n">
        <v>5.5</v>
      </c>
      <c r="I1328" s="72" t="n">
        <v>4611.6</v>
      </c>
      <c r="J1328" s="70" t="inlineStr">
        <is>
          <t>Completed</t>
        </is>
      </c>
      <c r="K1328" s="70" t="inlineStr">
        <is>
          <t>Pune</t>
        </is>
      </c>
    </row>
    <row r="1329" ht="14.25" customHeight="1" s="56">
      <c r="A1329" s="70" t="inlineStr">
        <is>
          <t>ORD-01328</t>
        </is>
      </c>
      <c r="B1329" s="71" t="n">
        <v>45536</v>
      </c>
      <c r="C1329" s="70" t="inlineStr">
        <is>
          <t>CUST-0286</t>
        </is>
      </c>
      <c r="D1329" s="70" t="inlineStr">
        <is>
          <t>PROD-016</t>
        </is>
      </c>
      <c r="E1329" s="70" t="inlineStr">
        <is>
          <t>R007</t>
        </is>
      </c>
      <c r="F1329" s="72" t="n">
        <v>1</v>
      </c>
      <c r="G1329" s="72" t="n">
        <v>620</v>
      </c>
      <c r="H1329" s="72" t="n">
        <v>22.3</v>
      </c>
      <c r="I1329" s="72" t="n">
        <v>481.74</v>
      </c>
      <c r="J1329" s="70" t="inlineStr">
        <is>
          <t>Pending</t>
        </is>
      </c>
      <c r="K1329" s="70" t="inlineStr">
        <is>
          <t>Delhi</t>
        </is>
      </c>
    </row>
    <row r="1330" ht="14.25" customHeight="1" s="56">
      <c r="A1330" s="70" t="inlineStr">
        <is>
          <t>ORD-01329</t>
        </is>
      </c>
      <c r="B1330" s="71" t="n">
        <v>45348</v>
      </c>
      <c r="C1330" s="70" t="inlineStr">
        <is>
          <t>CUST-0152</t>
        </is>
      </c>
      <c r="D1330" s="70" t="inlineStr">
        <is>
          <t>PROD-005</t>
        </is>
      </c>
      <c r="E1330" s="70" t="inlineStr">
        <is>
          <t>R023</t>
        </is>
      </c>
      <c r="F1330" s="72" t="n">
        <v>1</v>
      </c>
      <c r="G1330" s="72" t="n">
        <v>300</v>
      </c>
      <c r="H1330" s="72" t="n">
        <v>12.5</v>
      </c>
      <c r="I1330" s="72" t="n">
        <v>262.5</v>
      </c>
      <c r="J1330" s="70" t="inlineStr">
        <is>
          <t>Completed</t>
        </is>
      </c>
      <c r="K1330" s="70" t="inlineStr">
        <is>
          <t>Bengaluru</t>
        </is>
      </c>
    </row>
    <row r="1331" ht="14.25" customHeight="1" s="56">
      <c r="A1331" s="70" t="inlineStr">
        <is>
          <t>ORD-01330</t>
        </is>
      </c>
      <c r="B1331" s="71" t="n">
        <v>45502</v>
      </c>
      <c r="C1331" s="70" t="inlineStr">
        <is>
          <t>CUST-0254</t>
        </is>
      </c>
      <c r="D1331" s="70" t="inlineStr">
        <is>
          <t>PROD-054</t>
        </is>
      </c>
      <c r="E1331" s="70" t="inlineStr">
        <is>
          <t>R020</t>
        </is>
      </c>
      <c r="F1331" s="72" t="n">
        <v>3</v>
      </c>
      <c r="G1331" s="72" t="n">
        <v>1010</v>
      </c>
      <c r="H1331" s="72" t="n">
        <v>14.1</v>
      </c>
      <c r="I1331" s="72" t="n">
        <v>2602.77</v>
      </c>
      <c r="J1331" s="70" t="inlineStr">
        <is>
          <t>Completed</t>
        </is>
      </c>
      <c r="K1331" s="70" t="inlineStr">
        <is>
          <t>Bengaluru</t>
        </is>
      </c>
    </row>
    <row r="1332" ht="14.25" customHeight="1" s="56">
      <c r="A1332" s="70" t="inlineStr">
        <is>
          <t>ORD-01331</t>
        </is>
      </c>
      <c r="B1332" s="71" t="n">
        <v>45600</v>
      </c>
      <c r="C1332" s="70" t="inlineStr">
        <is>
          <t>CUST-0290</t>
        </is>
      </c>
      <c r="D1332" s="70" t="inlineStr">
        <is>
          <t>PROD-034</t>
        </is>
      </c>
      <c r="E1332" s="70" t="inlineStr">
        <is>
          <t>R027</t>
        </is>
      </c>
      <c r="F1332" s="72" t="n">
        <v>2</v>
      </c>
      <c r="G1332" s="72" t="n">
        <v>5080</v>
      </c>
      <c r="H1332" s="72" t="n">
        <v>16.8</v>
      </c>
      <c r="I1332" s="72" t="n">
        <v>8453.120000000001</v>
      </c>
      <c r="J1332" s="70" t="inlineStr">
        <is>
          <t>Completed</t>
        </is>
      </c>
      <c r="K1332" s="70" t="inlineStr">
        <is>
          <t>Delhi</t>
        </is>
      </c>
    </row>
    <row r="1333" ht="14.25" customHeight="1" s="56">
      <c r="A1333" s="70" t="inlineStr">
        <is>
          <t>ORD-01332</t>
        </is>
      </c>
      <c r="B1333" s="71" t="n">
        <v>45416</v>
      </c>
      <c r="C1333" s="70" t="inlineStr">
        <is>
          <t>CUST-0101</t>
        </is>
      </c>
      <c r="D1333" s="70" t="inlineStr">
        <is>
          <t>PROD-012</t>
        </is>
      </c>
      <c r="E1333" s="70" t="inlineStr">
        <is>
          <t>R027</t>
        </is>
      </c>
      <c r="F1333" s="72" t="n">
        <v>2</v>
      </c>
      <c r="G1333" s="72" t="n">
        <v>3160</v>
      </c>
      <c r="H1333" s="72" t="n">
        <v>21.4</v>
      </c>
      <c r="I1333" s="72" t="n">
        <v>4967.52</v>
      </c>
      <c r="J1333" s="70" t="inlineStr">
        <is>
          <t>Completed</t>
        </is>
      </c>
      <c r="K1333" s="70" t="inlineStr">
        <is>
          <t>HYDERABAD</t>
        </is>
      </c>
    </row>
    <row r="1334" ht="14.25" customHeight="1" s="56">
      <c r="A1334" s="70" t="inlineStr">
        <is>
          <t>ORD-01333</t>
        </is>
      </c>
      <c r="B1334" s="71" t="n">
        <v>45535</v>
      </c>
      <c r="C1334" s="70" t="inlineStr">
        <is>
          <t>CUST-0058</t>
        </is>
      </c>
      <c r="D1334" s="70" t="inlineStr">
        <is>
          <t>PROD-047</t>
        </is>
      </c>
      <c r="E1334" s="70" t="inlineStr">
        <is>
          <t>R016</t>
        </is>
      </c>
      <c r="F1334" s="72" t="n">
        <v>7</v>
      </c>
      <c r="G1334" s="72" t="n">
        <v>3450</v>
      </c>
      <c r="H1334" s="72" t="n">
        <v>21.3</v>
      </c>
      <c r="I1334" s="72" t="n">
        <v>19006.05</v>
      </c>
      <c r="J1334" s="70" t="inlineStr">
        <is>
          <t>Completed</t>
        </is>
      </c>
      <c r="K1334" s="70" t="inlineStr">
        <is>
          <t>Bengaluru</t>
        </is>
      </c>
    </row>
    <row r="1335" ht="14.25" customHeight="1" s="56">
      <c r="A1335" s="70" t="inlineStr">
        <is>
          <t>ORD-01334</t>
        </is>
      </c>
      <c r="B1335" s="71" t="n">
        <v>45322</v>
      </c>
      <c r="C1335" s="70" t="inlineStr">
        <is>
          <t>CUST-0296</t>
        </is>
      </c>
      <c r="D1335" s="70" t="inlineStr">
        <is>
          <t>PROD-001</t>
        </is>
      </c>
      <c r="E1335" s="70" t="inlineStr">
        <is>
          <t>R006</t>
        </is>
      </c>
      <c r="F1335" s="72" t="n">
        <v>2</v>
      </c>
      <c r="G1335" s="72" t="n">
        <v>5330</v>
      </c>
      <c r="H1335" s="72" t="n">
        <v>4.3</v>
      </c>
      <c r="I1335" s="72" t="n">
        <v>10201.62</v>
      </c>
      <c r="J1335" s="70" t="inlineStr">
        <is>
          <t>Completed</t>
        </is>
      </c>
      <c r="K1335" s="70" t="inlineStr">
        <is>
          <t>Delhi</t>
        </is>
      </c>
    </row>
    <row r="1336" ht="14.25" customHeight="1" s="56">
      <c r="A1336" s="70" t="inlineStr">
        <is>
          <t>ORD-01335</t>
        </is>
      </c>
      <c r="B1336" s="71" t="n">
        <v>45626</v>
      </c>
      <c r="C1336" s="70" t="inlineStr">
        <is>
          <t>CUST-0249</t>
        </is>
      </c>
      <c r="D1336" s="70" t="inlineStr">
        <is>
          <t>PROD-056</t>
        </is>
      </c>
      <c r="E1336" s="70" t="inlineStr">
        <is>
          <t>R014</t>
        </is>
      </c>
      <c r="F1336" s="72" t="n">
        <v>5</v>
      </c>
      <c r="G1336" s="72" t="n">
        <v>6940</v>
      </c>
      <c r="H1336" s="72" t="n">
        <v>2.9</v>
      </c>
      <c r="I1336" s="72" t="n">
        <v>33693.7</v>
      </c>
      <c r="J1336" s="70" t="inlineStr">
        <is>
          <t>Completed</t>
        </is>
      </c>
      <c r="K1336" s="70" t="inlineStr">
        <is>
          <t>Mumbai</t>
        </is>
      </c>
    </row>
    <row r="1337" ht="14.25" customHeight="1" s="56">
      <c r="A1337" s="70" t="inlineStr">
        <is>
          <t>ORD-01336</t>
        </is>
      </c>
      <c r="B1337" s="71" t="n">
        <v>45534</v>
      </c>
      <c r="C1337" s="70" t="inlineStr">
        <is>
          <t>CUST-0055</t>
        </is>
      </c>
      <c r="D1337" s="70" t="inlineStr">
        <is>
          <t>PROD-037</t>
        </is>
      </c>
      <c r="E1337" s="70" t="inlineStr">
        <is>
          <t>R028</t>
        </is>
      </c>
      <c r="F1337" s="72" t="n">
        <v>5</v>
      </c>
      <c r="G1337" s="72" t="n">
        <v>660</v>
      </c>
      <c r="H1337" s="72" t="n">
        <v>15.8</v>
      </c>
      <c r="I1337" s="72" t="n">
        <v>2778.6</v>
      </c>
      <c r="J1337" s="70" t="inlineStr">
        <is>
          <t>Completed</t>
        </is>
      </c>
      <c r="K1337" s="70" t="inlineStr">
        <is>
          <t>Bengaluru</t>
        </is>
      </c>
    </row>
    <row r="1338" ht="14.25" customHeight="1" s="56">
      <c r="A1338" s="70" t="inlineStr">
        <is>
          <t>ORD-01337</t>
        </is>
      </c>
      <c r="B1338" s="71" t="n">
        <v>45519</v>
      </c>
      <c r="C1338" s="70" t="inlineStr">
        <is>
          <t>CUST-0005</t>
        </is>
      </c>
      <c r="D1338" s="70" t="inlineStr">
        <is>
          <t>PROD-048</t>
        </is>
      </c>
      <c r="E1338" s="70" t="inlineStr">
        <is>
          <t>R013</t>
        </is>
      </c>
      <c r="F1338" s="72" t="n">
        <v>9</v>
      </c>
      <c r="G1338" s="72" t="n">
        <v>5100</v>
      </c>
      <c r="H1338" s="72" t="n">
        <v>0.4</v>
      </c>
      <c r="I1338" s="72" t="n">
        <v>45716.4</v>
      </c>
      <c r="J1338" s="70" t="inlineStr">
        <is>
          <t>Completed</t>
        </is>
      </c>
      <c r="K1338" s="70" t="inlineStr">
        <is>
          <t>Chennai</t>
        </is>
      </c>
    </row>
    <row r="1339" ht="14.25" customHeight="1" s="56">
      <c r="A1339" s="70" t="inlineStr">
        <is>
          <t>ORD-01338</t>
        </is>
      </c>
      <c r="B1339" s="71" t="n">
        <v>45315</v>
      </c>
      <c r="C1339" s="70" t="inlineStr">
        <is>
          <t>CUST-9595</t>
        </is>
      </c>
      <c r="D1339" s="70" t="inlineStr">
        <is>
          <t>PROD-044</t>
        </is>
      </c>
      <c r="E1339" s="70" t="inlineStr">
        <is>
          <t>R014</t>
        </is>
      </c>
      <c r="F1339" s="72" t="n">
        <v>5</v>
      </c>
      <c r="G1339" s="72" t="n">
        <v>1650</v>
      </c>
      <c r="H1339" s="72" t="n">
        <v>0.8</v>
      </c>
      <c r="I1339" s="72" t="n">
        <v>8184</v>
      </c>
      <c r="J1339" s="70" t="inlineStr">
        <is>
          <t>Pending</t>
        </is>
      </c>
      <c r="K1339" s="70" t="inlineStr">
        <is>
          <t>Chennai</t>
        </is>
      </c>
    </row>
    <row r="1340" ht="14.25" customHeight="1" s="56">
      <c r="A1340" s="70" t="inlineStr">
        <is>
          <t>ORD-01339</t>
        </is>
      </c>
      <c r="B1340" s="71" t="n">
        <v>45566</v>
      </c>
      <c r="C1340" s="70" t="inlineStr">
        <is>
          <t>CUST-0138</t>
        </is>
      </c>
      <c r="D1340" s="70" t="inlineStr">
        <is>
          <t>PROD-013</t>
        </is>
      </c>
      <c r="E1340" s="70" t="inlineStr">
        <is>
          <t>R018</t>
        </is>
      </c>
      <c r="F1340" s="72" t="n">
        <v>7</v>
      </c>
      <c r="G1340" s="72" t="n">
        <v>3640</v>
      </c>
      <c r="H1340" s="72" t="n">
        <v>25.5</v>
      </c>
      <c r="I1340" s="72" t="n">
        <v>18982.6</v>
      </c>
      <c r="J1340" s="70" t="inlineStr">
        <is>
          <t>Completed</t>
        </is>
      </c>
      <c r="K1340" s="70" t="inlineStr">
        <is>
          <t>Chennai</t>
        </is>
      </c>
    </row>
    <row r="1341" ht="14.25" customHeight="1" s="56">
      <c r="A1341" s="70" t="inlineStr">
        <is>
          <t>ORD-01340</t>
        </is>
      </c>
      <c r="B1341" s="71" t="n">
        <v>45643</v>
      </c>
      <c r="C1341" s="70" t="inlineStr">
        <is>
          <t>CUST-0112</t>
        </is>
      </c>
      <c r="D1341" s="70" t="inlineStr">
        <is>
          <t>PROD-046</t>
        </is>
      </c>
      <c r="E1341" s="70" t="inlineStr">
        <is>
          <t>R029</t>
        </is>
      </c>
      <c r="F1341" s="72" t="n">
        <v>6</v>
      </c>
      <c r="G1341" s="72" t="n">
        <v>4880</v>
      </c>
      <c r="H1341" s="72" t="n">
        <v>12.6</v>
      </c>
      <c r="I1341" s="72" t="n">
        <v>25590.72</v>
      </c>
      <c r="J1341" s="70" t="inlineStr">
        <is>
          <t>Cancelled</t>
        </is>
      </c>
      <c r="K1341" s="70" t="inlineStr">
        <is>
          <t>Hyderabad</t>
        </is>
      </c>
    </row>
    <row r="1342" ht="14.25" customHeight="1" s="56">
      <c r="A1342" s="70" t="inlineStr">
        <is>
          <t>ORD-01341</t>
        </is>
      </c>
      <c r="B1342" s="71" t="n">
        <v>45422</v>
      </c>
      <c r="C1342" s="70" t="inlineStr">
        <is>
          <t>CUST-0254</t>
        </is>
      </c>
      <c r="D1342" s="70" t="inlineStr">
        <is>
          <t>PROD-001</t>
        </is>
      </c>
      <c r="E1342" s="70" t="inlineStr">
        <is>
          <t>R028</t>
        </is>
      </c>
      <c r="F1342" s="72" t="n">
        <v>4</v>
      </c>
      <c r="G1342" s="72" t="n">
        <v>5330</v>
      </c>
      <c r="H1342" s="72" t="n">
        <v>16.2</v>
      </c>
      <c r="I1342" s="72" t="n">
        <v>17866.16</v>
      </c>
      <c r="J1342" s="70" t="inlineStr">
        <is>
          <t>Completed</t>
        </is>
      </c>
      <c r="K1342" s="70" t="inlineStr">
        <is>
          <t>Bengaluru</t>
        </is>
      </c>
    </row>
    <row r="1343" ht="14.25" customHeight="1" s="56">
      <c r="A1343" s="70" t="inlineStr">
        <is>
          <t>ORD-01342</t>
        </is>
      </c>
      <c r="B1343" s="71" t="n">
        <v>45400</v>
      </c>
      <c r="C1343" s="70" t="inlineStr">
        <is>
          <t>CUST-0087</t>
        </is>
      </c>
      <c r="D1343" s="70" t="inlineStr">
        <is>
          <t>PROD-038</t>
        </is>
      </c>
      <c r="E1343" s="70" t="inlineStr">
        <is>
          <t>R023</t>
        </is>
      </c>
      <c r="F1343" s="72" t="n">
        <v>3</v>
      </c>
      <c r="G1343" s="72" t="n">
        <v>5490</v>
      </c>
      <c r="H1343" s="72" t="n">
        <v>26.7</v>
      </c>
      <c r="I1343" s="72" t="n">
        <v>12072.51</v>
      </c>
      <c r="J1343" s="70" t="inlineStr">
        <is>
          <t>Completed</t>
        </is>
      </c>
      <c r="K1343" s="70" t="inlineStr">
        <is>
          <t>Pune</t>
        </is>
      </c>
    </row>
    <row r="1344" ht="14.25" customHeight="1" s="56">
      <c r="A1344" s="70" t="inlineStr">
        <is>
          <t>ORD-01343</t>
        </is>
      </c>
      <c r="B1344" s="71" t="n">
        <v>45564</v>
      </c>
      <c r="C1344" s="70" t="inlineStr">
        <is>
          <t>CUST-0142</t>
        </is>
      </c>
      <c r="D1344" s="70" t="inlineStr">
        <is>
          <t>PROD-060</t>
        </is>
      </c>
      <c r="E1344" s="70" t="inlineStr">
        <is>
          <t>R002</t>
        </is>
      </c>
      <c r="F1344" s="72" t="n">
        <v>7</v>
      </c>
      <c r="G1344" s="72" t="n">
        <v>190</v>
      </c>
      <c r="H1344" s="72" t="n">
        <v>11.6</v>
      </c>
      <c r="I1344" s="72" t="n">
        <v>1175.72</v>
      </c>
      <c r="J1344" s="70" t="inlineStr">
        <is>
          <t>Completed</t>
        </is>
      </c>
      <c r="K1344" s="70" t="inlineStr">
        <is>
          <t>Chennai</t>
        </is>
      </c>
    </row>
    <row r="1345" ht="14.25" customHeight="1" s="56">
      <c r="A1345" s="70" t="inlineStr">
        <is>
          <t>ORD-01344</t>
        </is>
      </c>
      <c r="B1345" s="71" t="n">
        <v>45437</v>
      </c>
      <c r="C1345" s="70" t="inlineStr">
        <is>
          <t>CUST-0293</t>
        </is>
      </c>
      <c r="D1345" s="70" t="inlineStr">
        <is>
          <t>PROD-012</t>
        </is>
      </c>
      <c r="E1345" s="70" t="inlineStr">
        <is>
          <t>R016</t>
        </is>
      </c>
      <c r="F1345" s="72" t="n">
        <v>5</v>
      </c>
      <c r="G1345" s="72" t="n">
        <v>3160</v>
      </c>
      <c r="H1345" s="72" t="n">
        <v>24.1</v>
      </c>
      <c r="I1345" s="72" t="n">
        <v>11992.2</v>
      </c>
      <c r="J1345" s="70" t="inlineStr">
        <is>
          <t>Completed</t>
        </is>
      </c>
      <c r="K1345" s="70" t="inlineStr">
        <is>
          <t>Bengaluru</t>
        </is>
      </c>
    </row>
    <row r="1346" ht="14.25" customHeight="1" s="56">
      <c r="A1346" s="70" t="inlineStr">
        <is>
          <t>ORD-01345</t>
        </is>
      </c>
      <c r="B1346" s="71" t="n">
        <v>45395</v>
      </c>
      <c r="C1346" s="70" t="inlineStr">
        <is>
          <t>CUST-0025</t>
        </is>
      </c>
      <c r="D1346" s="70" t="inlineStr">
        <is>
          <t>PROD-035</t>
        </is>
      </c>
      <c r="E1346" s="70" t="inlineStr">
        <is>
          <t>R023</t>
        </is>
      </c>
      <c r="F1346" s="72" t="n">
        <v>1</v>
      </c>
      <c r="G1346" s="72" t="n">
        <v>1090</v>
      </c>
      <c r="H1346" s="72" t="n">
        <v>9.6</v>
      </c>
      <c r="I1346" s="72" t="n">
        <v>985.36</v>
      </c>
      <c r="J1346" s="70" t="inlineStr">
        <is>
          <t>Refunded</t>
        </is>
      </c>
      <c r="K1346" s="70" t="inlineStr">
        <is>
          <t>Bengaluru</t>
        </is>
      </c>
    </row>
    <row r="1347" ht="14.25" customHeight="1" s="56">
      <c r="A1347" s="70" t="inlineStr">
        <is>
          <t>ORD-01346</t>
        </is>
      </c>
      <c r="B1347" s="71" t="n">
        <v>45447</v>
      </c>
      <c r="C1347" s="70" t="inlineStr">
        <is>
          <t>CUST-0096</t>
        </is>
      </c>
      <c r="D1347" s="70" t="inlineStr">
        <is>
          <t>PROD-032</t>
        </is>
      </c>
      <c r="E1347" s="70" t="inlineStr">
        <is>
          <t>R004</t>
        </is>
      </c>
      <c r="F1347" s="72" t="n">
        <v>9</v>
      </c>
      <c r="G1347" s="72" t="n">
        <v>370</v>
      </c>
      <c r="H1347" s="72" t="n">
        <v>4</v>
      </c>
      <c r="I1347" s="72" t="n">
        <v>3196.8</v>
      </c>
      <c r="J1347" s="70" t="inlineStr">
        <is>
          <t>Completed</t>
        </is>
      </c>
      <c r="K1347" s="70" t="inlineStr">
        <is>
          <t>Delhi</t>
        </is>
      </c>
    </row>
    <row r="1348" ht="14.25" customHeight="1" s="56">
      <c r="A1348" s="70" t="inlineStr">
        <is>
          <t>ORD-01347</t>
        </is>
      </c>
      <c r="B1348" s="71" t="n">
        <v>45300</v>
      </c>
      <c r="C1348" s="70" t="inlineStr">
        <is>
          <t>CUST-0069</t>
        </is>
      </c>
      <c r="D1348" s="70" t="inlineStr">
        <is>
          <t>PROD-008</t>
        </is>
      </c>
      <c r="E1348" s="70" t="inlineStr">
        <is>
          <t>R002</t>
        </is>
      </c>
      <c r="F1348" s="72" t="n">
        <v>5</v>
      </c>
      <c r="G1348" s="72" t="n">
        <v>2660</v>
      </c>
      <c r="H1348" s="72" t="n">
        <v>24.6</v>
      </c>
      <c r="I1348" s="72" t="n">
        <v>10028.2</v>
      </c>
      <c r="J1348" s="70" t="inlineStr">
        <is>
          <t>Cancelled</t>
        </is>
      </c>
      <c r="K1348" s="70" t="inlineStr">
        <is>
          <t>Chennai</t>
        </is>
      </c>
    </row>
    <row r="1349" ht="14.25" customHeight="1" s="56">
      <c r="A1349" s="70" t="inlineStr">
        <is>
          <t>ORD-01348</t>
        </is>
      </c>
      <c r="B1349" s="71" t="n">
        <v>45327</v>
      </c>
      <c r="C1349" s="70" t="inlineStr">
        <is>
          <t>CUST-0220</t>
        </is>
      </c>
      <c r="D1349" s="70" t="inlineStr">
        <is>
          <t>PROD-018</t>
        </is>
      </c>
      <c r="E1349" s="70" t="inlineStr">
        <is>
          <t>R018</t>
        </is>
      </c>
      <c r="F1349" s="72" t="n">
        <v>4</v>
      </c>
      <c r="G1349" s="72" t="n">
        <v>3560</v>
      </c>
      <c r="H1349" s="72" t="n">
        <v>25.7</v>
      </c>
      <c r="I1349" s="72" t="n">
        <v>10580.32</v>
      </c>
      <c r="J1349" s="70" t="inlineStr">
        <is>
          <t>Completed</t>
        </is>
      </c>
      <c r="K1349" s="70" t="inlineStr">
        <is>
          <t>Chennai</t>
        </is>
      </c>
    </row>
    <row r="1350" ht="14.25" customHeight="1" s="56">
      <c r="A1350" s="70" t="inlineStr">
        <is>
          <t>ORD-01349</t>
        </is>
      </c>
      <c r="B1350" s="71" t="n">
        <v>45410</v>
      </c>
      <c r="C1350" s="70" t="inlineStr">
        <is>
          <t>CUST-0005</t>
        </is>
      </c>
      <c r="D1350" s="70" t="inlineStr">
        <is>
          <t>PROD-049</t>
        </is>
      </c>
      <c r="E1350" s="70" t="inlineStr">
        <is>
          <t>R005</t>
        </is>
      </c>
      <c r="F1350" s="72" t="n">
        <v>8</v>
      </c>
      <c r="G1350" s="72" t="n">
        <v>960</v>
      </c>
      <c r="H1350" s="72" t="n">
        <v>0.1</v>
      </c>
      <c r="I1350" s="72" t="n">
        <v>7672.32</v>
      </c>
      <c r="J1350" s="70" t="inlineStr">
        <is>
          <t>Completed</t>
        </is>
      </c>
      <c r="K1350" s="70" t="inlineStr">
        <is>
          <t>Chennai</t>
        </is>
      </c>
    </row>
    <row r="1351" ht="14.25" customHeight="1" s="56">
      <c r="A1351" s="70" t="inlineStr">
        <is>
          <t>ORD-01350</t>
        </is>
      </c>
      <c r="B1351" s="71" t="n">
        <v>45644</v>
      </c>
      <c r="C1351" s="70" t="inlineStr">
        <is>
          <t>CUST-0222</t>
        </is>
      </c>
      <c r="D1351" s="70" t="inlineStr">
        <is>
          <t>PROD-032</t>
        </is>
      </c>
      <c r="E1351" s="70" t="inlineStr">
        <is>
          <t>R024</t>
        </is>
      </c>
      <c r="F1351" s="72" t="n">
        <v>10</v>
      </c>
      <c r="G1351" s="72" t="n">
        <v>370</v>
      </c>
      <c r="H1351" s="72" t="n">
        <v>16.4</v>
      </c>
      <c r="I1351" s="72" t="n">
        <v>3093.2</v>
      </c>
      <c r="J1351" s="70" t="inlineStr">
        <is>
          <t>Cancelled</t>
        </is>
      </c>
      <c r="K1351" s="70" t="inlineStr">
        <is>
          <t>Chennai</t>
        </is>
      </c>
    </row>
    <row r="1352" ht="14.25" customHeight="1" s="56">
      <c r="A1352" s="70" t="inlineStr">
        <is>
          <t>ORD-01351</t>
        </is>
      </c>
      <c r="B1352" s="71" t="n">
        <v>45399</v>
      </c>
      <c r="C1352" s="70" t="inlineStr">
        <is>
          <t>CUST-0039</t>
        </is>
      </c>
      <c r="D1352" s="70" t="inlineStr">
        <is>
          <t>PROD-015</t>
        </is>
      </c>
      <c r="E1352" s="70" t="inlineStr">
        <is>
          <t>R029</t>
        </is>
      </c>
      <c r="F1352" s="72" t="n">
        <v>4</v>
      </c>
      <c r="G1352" s="72" t="n">
        <v>2720</v>
      </c>
      <c r="H1352" s="72" t="n">
        <v>3.1</v>
      </c>
      <c r="I1352" s="72" t="n">
        <v>10542.72</v>
      </c>
      <c r="J1352" s="70" t="inlineStr">
        <is>
          <t>Completed</t>
        </is>
      </c>
      <c r="K1352" s="70" t="inlineStr">
        <is>
          <t>Bengaluru</t>
        </is>
      </c>
    </row>
    <row r="1353" ht="14.25" customHeight="1" s="56">
      <c r="A1353" s="70" t="inlineStr">
        <is>
          <t>ORD-01352</t>
        </is>
      </c>
      <c r="B1353" s="71" t="n">
        <v>45441</v>
      </c>
      <c r="C1353" s="70" t="inlineStr">
        <is>
          <t>CUST-0224</t>
        </is>
      </c>
      <c r="D1353" s="70" t="inlineStr">
        <is>
          <t>PROD-034</t>
        </is>
      </c>
      <c r="E1353" s="70" t="inlineStr">
        <is>
          <t>R005</t>
        </is>
      </c>
      <c r="F1353" s="72" t="n">
        <v>10</v>
      </c>
      <c r="G1353" s="72" t="n">
        <v>5080</v>
      </c>
      <c r="H1353" s="72" t="n">
        <v>6.8</v>
      </c>
      <c r="I1353" s="72" t="n">
        <v>47345.6</v>
      </c>
      <c r="J1353" s="70" t="inlineStr">
        <is>
          <t>Completed</t>
        </is>
      </c>
      <c r="K1353" s="70" t="inlineStr">
        <is>
          <t>Chennai</t>
        </is>
      </c>
    </row>
    <row r="1354" ht="14.25" customHeight="1" s="56">
      <c r="A1354" s="70" t="inlineStr">
        <is>
          <t>ORD-01353</t>
        </is>
      </c>
      <c r="B1354" s="71" t="n">
        <v>45379</v>
      </c>
      <c r="C1354" s="70" t="inlineStr">
        <is>
          <t>CUST-0288</t>
        </is>
      </c>
      <c r="D1354" s="70" t="inlineStr">
        <is>
          <t>PROD-042</t>
        </is>
      </c>
      <c r="E1354" s="70" t="inlineStr">
        <is>
          <t>R008</t>
        </is>
      </c>
      <c r="F1354" s="72" t="n">
        <v>6</v>
      </c>
      <c r="G1354" s="72" t="n">
        <v>2290</v>
      </c>
      <c r="H1354" s="72" t="n">
        <v>22.6</v>
      </c>
      <c r="I1354" s="72" t="n">
        <v>10634.76</v>
      </c>
      <c r="J1354" s="70" t="inlineStr">
        <is>
          <t>Completed</t>
        </is>
      </c>
      <c r="K1354" s="70" t="inlineStr">
        <is>
          <t>Hyderabad</t>
        </is>
      </c>
    </row>
    <row r="1355" ht="14.25" customHeight="1" s="56">
      <c r="A1355" s="70" t="inlineStr">
        <is>
          <t>ORD-01354</t>
        </is>
      </c>
      <c r="B1355" s="71" t="n">
        <v>45502</v>
      </c>
      <c r="C1355" s="70" t="inlineStr">
        <is>
          <t>CUST-0002</t>
        </is>
      </c>
      <c r="D1355" s="70" t="inlineStr">
        <is>
          <t>PROD-021</t>
        </is>
      </c>
      <c r="E1355" s="70" t="inlineStr">
        <is>
          <t>R006</t>
        </is>
      </c>
      <c r="F1355" s="72" t="n">
        <v>4</v>
      </c>
      <c r="G1355" s="72" t="n">
        <v>2760</v>
      </c>
      <c r="H1355" s="72" t="n">
        <v>27.2</v>
      </c>
      <c r="I1355" s="72" t="n">
        <v>8037.12</v>
      </c>
      <c r="J1355" s="70" t="inlineStr">
        <is>
          <t>Refunded</t>
        </is>
      </c>
      <c r="K1355" s="70" t="inlineStr">
        <is>
          <t>Pune</t>
        </is>
      </c>
    </row>
    <row r="1356" ht="14.25" customHeight="1" s="56">
      <c r="A1356" s="70" t="inlineStr">
        <is>
          <t>ORD-01355</t>
        </is>
      </c>
      <c r="B1356" s="71" t="n">
        <v>45466</v>
      </c>
      <c r="C1356" s="70" t="inlineStr">
        <is>
          <t>CUST-0172</t>
        </is>
      </c>
      <c r="D1356" s="70" t="inlineStr">
        <is>
          <t>PROD-024</t>
        </is>
      </c>
      <c r="E1356" s="70" t="inlineStr">
        <is>
          <t>R027</t>
        </is>
      </c>
      <c r="F1356" s="72" t="n">
        <v>9</v>
      </c>
      <c r="G1356" s="72" t="n">
        <v>2270</v>
      </c>
      <c r="H1356" s="72" t="n">
        <v>5.2</v>
      </c>
      <c r="I1356" s="72" t="n">
        <v>19367.64</v>
      </c>
      <c r="J1356" s="70" t="inlineStr">
        <is>
          <t>Completed</t>
        </is>
      </c>
      <c r="K1356" s="70" t="inlineStr">
        <is>
          <t>Pune</t>
        </is>
      </c>
    </row>
    <row r="1357" ht="14.25" customHeight="1" s="56">
      <c r="A1357" s="70" t="inlineStr">
        <is>
          <t>ORD-01356</t>
        </is>
      </c>
      <c r="B1357" s="71" t="n">
        <v>45500</v>
      </c>
      <c r="C1357" s="70" t="inlineStr">
        <is>
          <t>CUST-0287</t>
        </is>
      </c>
      <c r="D1357" s="70" t="inlineStr">
        <is>
          <t>PROD-017</t>
        </is>
      </c>
      <c r="E1357" s="70" t="inlineStr">
        <is>
          <t>R008</t>
        </is>
      </c>
      <c r="F1357" s="72" t="n">
        <v>3</v>
      </c>
      <c r="G1357" s="72" t="n">
        <v>2510</v>
      </c>
      <c r="H1357" s="72" t="n">
        <v>16.4</v>
      </c>
      <c r="I1357" s="72" t="n">
        <v>6295.08</v>
      </c>
      <c r="J1357" s="70" t="inlineStr">
        <is>
          <t>Completed</t>
        </is>
      </c>
      <c r="K1357" s="70" t="inlineStr">
        <is>
          <t>Chennai</t>
        </is>
      </c>
    </row>
    <row r="1358" ht="14.25" customHeight="1" s="56">
      <c r="A1358" s="70" t="inlineStr">
        <is>
          <t>ORD-01357</t>
        </is>
      </c>
      <c r="B1358" s="71" t="n">
        <v>45337</v>
      </c>
      <c r="C1358" s="70" t="inlineStr">
        <is>
          <t>CUST-0020</t>
        </is>
      </c>
      <c r="D1358" s="70" t="inlineStr">
        <is>
          <t>PROD-023</t>
        </is>
      </c>
      <c r="E1358" s="70" t="inlineStr">
        <is>
          <t>R012</t>
        </is>
      </c>
      <c r="F1358" s="72" t="n">
        <v>1</v>
      </c>
      <c r="G1358" s="72" t="n">
        <v>2380</v>
      </c>
      <c r="H1358" s="72" t="n">
        <v>23.5</v>
      </c>
      <c r="I1358" s="72" t="n">
        <v>1820.7</v>
      </c>
      <c r="J1358" s="70" t="inlineStr">
        <is>
          <t>Completed</t>
        </is>
      </c>
      <c r="K1358" s="70" t="inlineStr">
        <is>
          <t>Hyderabad</t>
        </is>
      </c>
    </row>
    <row r="1359" ht="14.25" customHeight="1" s="56">
      <c r="A1359" s="70" t="inlineStr">
        <is>
          <t>ORD-01358</t>
        </is>
      </c>
      <c r="B1359" s="71" t="n">
        <v>45447</v>
      </c>
      <c r="C1359" s="70" t="inlineStr">
        <is>
          <t>CUST-0039</t>
        </is>
      </c>
      <c r="D1359" s="70" t="inlineStr">
        <is>
          <t>PROD-059</t>
        </is>
      </c>
      <c r="E1359" s="70" t="inlineStr">
        <is>
          <t>R019</t>
        </is>
      </c>
      <c r="F1359" s="72" t="n">
        <v>2</v>
      </c>
      <c r="G1359" s="72" t="n">
        <v>3780</v>
      </c>
      <c r="H1359" s="72" t="n">
        <v>29.1</v>
      </c>
      <c r="I1359" s="72" t="n">
        <v>5360.04</v>
      </c>
      <c r="J1359" s="70" t="inlineStr">
        <is>
          <t>Completed</t>
        </is>
      </c>
      <c r="K1359" s="70" t="inlineStr">
        <is>
          <t>Bengaluru</t>
        </is>
      </c>
    </row>
    <row r="1360" ht="14.25" customHeight="1" s="56">
      <c r="A1360" s="70" t="inlineStr">
        <is>
          <t>ORD-01359</t>
        </is>
      </c>
      <c r="B1360" s="71" t="n">
        <v>45546</v>
      </c>
      <c r="C1360" s="70" t="inlineStr">
        <is>
          <t>CUST-0128</t>
        </is>
      </c>
      <c r="D1360" s="70" t="inlineStr">
        <is>
          <t>PROD-011</t>
        </is>
      </c>
      <c r="E1360" s="70" t="inlineStr">
        <is>
          <t>R026</t>
        </is>
      </c>
      <c r="F1360" s="72" t="n">
        <v>1</v>
      </c>
      <c r="G1360" s="72" t="n">
        <v>3450</v>
      </c>
      <c r="H1360" s="72" t="n">
        <v>17.8</v>
      </c>
      <c r="I1360" s="72" t="n">
        <v>2835.9</v>
      </c>
      <c r="J1360" s="70" t="inlineStr">
        <is>
          <t>Completed</t>
        </is>
      </c>
      <c r="K1360" s="70" t="inlineStr">
        <is>
          <t>Hyderabad</t>
        </is>
      </c>
    </row>
    <row r="1361" ht="14.25" customHeight="1" s="56">
      <c r="A1361" s="70" t="inlineStr">
        <is>
          <t>ORD-01360</t>
        </is>
      </c>
      <c r="B1361" s="71" t="n">
        <v>45451</v>
      </c>
      <c r="C1361" s="70" t="inlineStr">
        <is>
          <t>CUST-0149</t>
        </is>
      </c>
      <c r="D1361" s="70" t="inlineStr">
        <is>
          <t>PROD-046</t>
        </is>
      </c>
      <c r="E1361" s="70" t="inlineStr">
        <is>
          <t>R006</t>
        </is>
      </c>
      <c r="F1361" s="72" t="n">
        <v>6</v>
      </c>
      <c r="G1361" s="72" t="n">
        <v>4880</v>
      </c>
      <c r="H1361" s="72" t="n">
        <v>15.6</v>
      </c>
      <c r="I1361" s="72" t="n">
        <v>24712.32</v>
      </c>
      <c r="J1361" s="70" t="inlineStr">
        <is>
          <t>Pending</t>
        </is>
      </c>
      <c r="K1361" s="70" t="inlineStr">
        <is>
          <t>Hyderabad</t>
        </is>
      </c>
    </row>
    <row r="1362" ht="14.25" customHeight="1" s="56">
      <c r="A1362" s="70" t="inlineStr">
        <is>
          <t>ORD-01361</t>
        </is>
      </c>
      <c r="B1362" s="71" t="n">
        <v>45427</v>
      </c>
      <c r="C1362" s="70" t="inlineStr">
        <is>
          <t>CUST-0101</t>
        </is>
      </c>
      <c r="D1362" s="70" t="inlineStr">
        <is>
          <t>PROD-049</t>
        </is>
      </c>
      <c r="E1362" s="70" t="inlineStr">
        <is>
          <t>R016</t>
        </is>
      </c>
      <c r="F1362" s="72" t="n">
        <v>6</v>
      </c>
      <c r="G1362" s="72" t="n">
        <v>960</v>
      </c>
      <c r="H1362" s="72" t="n">
        <v>7.5</v>
      </c>
      <c r="I1362" s="72" t="n">
        <v>5328</v>
      </c>
      <c r="J1362" s="70" t="inlineStr">
        <is>
          <t>Pending</t>
        </is>
      </c>
      <c r="K1362" s="70" t="inlineStr">
        <is>
          <t>Hyderabad</t>
        </is>
      </c>
    </row>
    <row r="1363" ht="14.25" customHeight="1" s="56">
      <c r="A1363" s="70" t="inlineStr">
        <is>
          <t>ORD-01362</t>
        </is>
      </c>
      <c r="B1363" s="71" t="n">
        <v>45532</v>
      </c>
      <c r="C1363" s="70" t="inlineStr">
        <is>
          <t>CUST-0106</t>
        </is>
      </c>
      <c r="D1363" s="70" t="inlineStr">
        <is>
          <t>PROD-018</t>
        </is>
      </c>
      <c r="E1363" s="70" t="inlineStr">
        <is>
          <t>R023</t>
        </is>
      </c>
      <c r="F1363" s="72" t="n">
        <v>1</v>
      </c>
      <c r="G1363" s="72" t="n">
        <v>3560</v>
      </c>
      <c r="H1363" s="72" t="n">
        <v>12.9</v>
      </c>
      <c r="I1363" s="72" t="n">
        <v>3100.76</v>
      </c>
      <c r="J1363" s="70" t="inlineStr">
        <is>
          <t>Completed</t>
        </is>
      </c>
      <c r="K1363" s="70" t="inlineStr">
        <is>
          <t>Pune</t>
        </is>
      </c>
    </row>
    <row r="1364" ht="14.25" customHeight="1" s="56">
      <c r="A1364" s="70" t="inlineStr">
        <is>
          <t>ORD-01363</t>
        </is>
      </c>
      <c r="B1364" s="71" t="n">
        <v>45466</v>
      </c>
      <c r="C1364" s="70" t="inlineStr">
        <is>
          <t>CUST-0085</t>
        </is>
      </c>
      <c r="D1364" s="70" t="inlineStr">
        <is>
          <t>PROD-025</t>
        </is>
      </c>
      <c r="E1364" s="70" t="inlineStr">
        <is>
          <t>R005</t>
        </is>
      </c>
      <c r="F1364" s="72" t="n">
        <v>5</v>
      </c>
      <c r="G1364" s="72" t="n">
        <v>4060</v>
      </c>
      <c r="H1364" s="72" t="n">
        <v>18.1</v>
      </c>
      <c r="I1364" s="72" t="n">
        <v>16625.7</v>
      </c>
      <c r="J1364" s="70" t="inlineStr">
        <is>
          <t>Pending</t>
        </is>
      </c>
      <c r="K1364" s="70" t="inlineStr">
        <is>
          <t>Chennai</t>
        </is>
      </c>
    </row>
    <row r="1365" ht="14.25" customHeight="1" s="56">
      <c r="A1365" s="70" t="inlineStr">
        <is>
          <t>ORD-01364</t>
        </is>
      </c>
      <c r="B1365" s="71" t="n">
        <v>45545</v>
      </c>
      <c r="C1365" s="70" t="inlineStr">
        <is>
          <t>CUST-0071</t>
        </is>
      </c>
      <c r="D1365" s="70" t="inlineStr">
        <is>
          <t>PROD-015</t>
        </is>
      </c>
      <c r="E1365" s="70" t="inlineStr">
        <is>
          <t>R020</t>
        </is>
      </c>
      <c r="F1365" s="72" t="n">
        <v>10</v>
      </c>
      <c r="G1365" s="72" t="n">
        <v>2720</v>
      </c>
      <c r="H1365" s="72" t="n">
        <v>23.2</v>
      </c>
      <c r="I1365" s="72" t="n">
        <v>20889.6</v>
      </c>
      <c r="J1365" s="70" t="inlineStr">
        <is>
          <t>Completed</t>
        </is>
      </c>
      <c r="K1365" s="70" t="inlineStr">
        <is>
          <t>Delhi</t>
        </is>
      </c>
    </row>
    <row r="1366" ht="14.25" customHeight="1" s="56">
      <c r="A1366" s="70" t="inlineStr">
        <is>
          <t>ORD-01365</t>
        </is>
      </c>
      <c r="B1366" s="71" t="n">
        <v>45547</v>
      </c>
      <c r="C1366" s="70" t="inlineStr">
        <is>
          <t>CUST-0185</t>
        </is>
      </c>
      <c r="D1366" s="70" t="inlineStr">
        <is>
          <t>PROD-029</t>
        </is>
      </c>
      <c r="E1366" s="70" t="inlineStr">
        <is>
          <t>R022</t>
        </is>
      </c>
      <c r="F1366" s="72" t="n">
        <v>1</v>
      </c>
      <c r="G1366" s="72" t="n">
        <v>2210</v>
      </c>
      <c r="H1366" s="72" t="n">
        <v>5.8</v>
      </c>
      <c r="I1366" s="72" t="n">
        <v>2081.82</v>
      </c>
      <c r="J1366" s="70" t="inlineStr">
        <is>
          <t>Pending</t>
        </is>
      </c>
      <c r="K1366" s="70" t="inlineStr">
        <is>
          <t>Hyderabad</t>
        </is>
      </c>
    </row>
    <row r="1367" ht="14.25" customHeight="1" s="56">
      <c r="A1367" s="70" t="inlineStr">
        <is>
          <t>ORD-01366</t>
        </is>
      </c>
      <c r="B1367" s="71" t="n">
        <v>45547</v>
      </c>
      <c r="C1367" s="70" t="inlineStr">
        <is>
          <t>CUST-0182</t>
        </is>
      </c>
      <c r="D1367" s="70" t="inlineStr">
        <is>
          <t>PROD-047</t>
        </is>
      </c>
      <c r="E1367" s="70" t="inlineStr">
        <is>
          <t>R013</t>
        </is>
      </c>
      <c r="F1367" s="72" t="n">
        <v>5</v>
      </c>
      <c r="G1367" s="72" t="n">
        <v>3450</v>
      </c>
      <c r="H1367" s="72" t="n">
        <v>27.9</v>
      </c>
      <c r="I1367" s="72" t="n">
        <v>12437.25</v>
      </c>
      <c r="J1367" s="70" t="inlineStr">
        <is>
          <t>Pending</t>
        </is>
      </c>
      <c r="K1367" s="70" t="inlineStr">
        <is>
          <t>Mumbai</t>
        </is>
      </c>
    </row>
    <row r="1368" ht="14.25" customHeight="1" s="56">
      <c r="A1368" s="70" t="inlineStr">
        <is>
          <t>ORD-01367</t>
        </is>
      </c>
      <c r="B1368" s="71" t="n">
        <v>45550</v>
      </c>
      <c r="C1368" s="70" t="inlineStr">
        <is>
          <t>CUST-0177</t>
        </is>
      </c>
      <c r="D1368" s="70" t="inlineStr">
        <is>
          <t>PROD-023</t>
        </is>
      </c>
      <c r="E1368" s="70" t="inlineStr">
        <is>
          <t>R023</t>
        </is>
      </c>
      <c r="F1368" s="72" t="n">
        <v>9</v>
      </c>
      <c r="G1368" s="72" t="n">
        <v>2380</v>
      </c>
      <c r="H1368" s="72" t="n">
        <v>15.2</v>
      </c>
      <c r="I1368" s="72" t="n">
        <v>18164.16</v>
      </c>
      <c r="J1368" s="70" t="inlineStr">
        <is>
          <t>Refunded</t>
        </is>
      </c>
      <c r="K1368" s="70" t="inlineStr">
        <is>
          <t>Mumbai</t>
        </is>
      </c>
    </row>
    <row r="1369" ht="14.25" customHeight="1" s="56">
      <c r="A1369" s="70" t="inlineStr">
        <is>
          <t>ORD-01368</t>
        </is>
      </c>
      <c r="B1369" s="71" t="n">
        <v>45551</v>
      </c>
      <c r="C1369" s="70" t="inlineStr">
        <is>
          <t>CUST-0253</t>
        </is>
      </c>
      <c r="D1369" s="70" t="inlineStr">
        <is>
          <t>PROD-023</t>
        </is>
      </c>
      <c r="E1369" s="70" t="inlineStr">
        <is>
          <t>R002</t>
        </is>
      </c>
      <c r="F1369" s="72" t="n">
        <v>2</v>
      </c>
      <c r="G1369" s="72" t="n">
        <v>2380</v>
      </c>
      <c r="H1369" s="72" t="n">
        <v>24.3</v>
      </c>
      <c r="I1369" s="72" t="n">
        <v>3603.32</v>
      </c>
      <c r="J1369" s="70" t="inlineStr">
        <is>
          <t>Completed</t>
        </is>
      </c>
      <c r="K1369" s="70" t="inlineStr">
        <is>
          <t>Delhi</t>
        </is>
      </c>
    </row>
    <row r="1370" ht="14.25" customHeight="1" s="56">
      <c r="A1370" s="70" t="inlineStr">
        <is>
          <t>ORD-01369</t>
        </is>
      </c>
      <c r="B1370" s="71" t="n">
        <v>45560</v>
      </c>
      <c r="C1370" s="70" t="inlineStr">
        <is>
          <t>CUST-0071</t>
        </is>
      </c>
      <c r="D1370" s="70" t="inlineStr">
        <is>
          <t>PROD-018</t>
        </is>
      </c>
      <c r="E1370" s="70" t="inlineStr">
        <is>
          <t>R012</t>
        </is>
      </c>
      <c r="F1370" s="72" t="n">
        <v>9</v>
      </c>
      <c r="G1370" s="72" t="n">
        <v>3560</v>
      </c>
      <c r="H1370" s="72" t="n">
        <v>6.6</v>
      </c>
      <c r="I1370" s="72" t="n">
        <v>29925.36</v>
      </c>
      <c r="J1370" s="70" t="inlineStr">
        <is>
          <t>Refunded</t>
        </is>
      </c>
      <c r="K1370" s="70" t="inlineStr">
        <is>
          <t>Delhi</t>
        </is>
      </c>
    </row>
    <row r="1371" ht="14.25" customHeight="1" s="56">
      <c r="A1371" s="70" t="inlineStr">
        <is>
          <t>ORD-01370</t>
        </is>
      </c>
      <c r="B1371" s="71" t="n">
        <v>45330</v>
      </c>
      <c r="C1371" s="70" t="inlineStr">
        <is>
          <t>CUST-0240</t>
        </is>
      </c>
      <c r="D1371" s="70" t="inlineStr">
        <is>
          <t>PROD-009</t>
        </is>
      </c>
      <c r="E1371" s="70" t="inlineStr">
        <is>
          <t>R018</t>
        </is>
      </c>
      <c r="F1371" s="72" t="n">
        <v>7</v>
      </c>
      <c r="G1371" s="72" t="n">
        <v>1220</v>
      </c>
      <c r="H1371" s="72" t="n">
        <v>29.4</v>
      </c>
      <c r="I1371" s="72" t="n">
        <v>6029.24</v>
      </c>
      <c r="J1371" s="70" t="inlineStr">
        <is>
          <t>Completed</t>
        </is>
      </c>
      <c r="K1371" s="70" t="inlineStr">
        <is>
          <t>Chennai</t>
        </is>
      </c>
    </row>
    <row r="1372" ht="14.25" customHeight="1" s="56">
      <c r="A1372" s="70" t="inlineStr">
        <is>
          <t>ORD-01371</t>
        </is>
      </c>
      <c r="B1372" s="71" t="n">
        <v>45560</v>
      </c>
      <c r="C1372" s="70" t="inlineStr">
        <is>
          <t>CUST-0050</t>
        </is>
      </c>
      <c r="D1372" s="70" t="inlineStr">
        <is>
          <t>PROD-056</t>
        </is>
      </c>
      <c r="E1372" s="70" t="inlineStr">
        <is>
          <t>R017</t>
        </is>
      </c>
      <c r="F1372" s="72" t="n">
        <v>7</v>
      </c>
      <c r="G1372" s="72" t="n">
        <v>6940</v>
      </c>
      <c r="H1372" s="72" t="n">
        <v>9.6</v>
      </c>
      <c r="I1372" s="72" t="n">
        <v>43916.32</v>
      </c>
      <c r="J1372" s="70" t="inlineStr">
        <is>
          <t>Completed</t>
        </is>
      </c>
      <c r="K1372" s="70" t="inlineStr">
        <is>
          <t>Mumbai</t>
        </is>
      </c>
    </row>
    <row r="1373" ht="14.25" customHeight="1" s="56">
      <c r="A1373" s="70" t="inlineStr">
        <is>
          <t>ORD-01372</t>
        </is>
      </c>
      <c r="B1373" s="71" t="n">
        <v>45395</v>
      </c>
      <c r="C1373" s="70" t="inlineStr">
        <is>
          <t>CUST-0089</t>
        </is>
      </c>
      <c r="D1373" s="70" t="inlineStr">
        <is>
          <t>PROD-035</t>
        </is>
      </c>
      <c r="E1373" s="70" t="inlineStr">
        <is>
          <t>R022</t>
        </is>
      </c>
      <c r="F1373" s="72" t="n">
        <v>2</v>
      </c>
      <c r="G1373" s="72" t="n">
        <v>1090</v>
      </c>
      <c r="H1373" s="72" t="n">
        <v>17</v>
      </c>
      <c r="I1373" s="72" t="n">
        <v>1809.4</v>
      </c>
      <c r="J1373" s="70" t="inlineStr">
        <is>
          <t>Completed</t>
        </is>
      </c>
      <c r="K1373" s="70" t="inlineStr">
        <is>
          <t>Mumbai</t>
        </is>
      </c>
    </row>
    <row r="1374" ht="14.25" customHeight="1" s="56">
      <c r="A1374" s="70" t="inlineStr">
        <is>
          <t>ORD-01373</t>
        </is>
      </c>
      <c r="B1374" s="71" t="n">
        <v>45486</v>
      </c>
      <c r="C1374" s="70" t="inlineStr">
        <is>
          <t>CUST-0209</t>
        </is>
      </c>
      <c r="D1374" s="70" t="inlineStr">
        <is>
          <t>PROD-023</t>
        </is>
      </c>
      <c r="E1374" s="70" t="inlineStr">
        <is>
          <t>R028</t>
        </is>
      </c>
      <c r="F1374" s="72" t="n">
        <v>4</v>
      </c>
      <c r="G1374" s="72" t="n">
        <v>2380</v>
      </c>
      <c r="H1374" s="72" t="n">
        <v>18.9</v>
      </c>
      <c r="I1374" s="72" t="n">
        <v>7720.72</v>
      </c>
      <c r="J1374" s="70" t="inlineStr">
        <is>
          <t>Pending</t>
        </is>
      </c>
      <c r="K1374" s="70" t="inlineStr">
        <is>
          <t>Pune</t>
        </is>
      </c>
    </row>
    <row r="1375" ht="14.25" customHeight="1" s="56">
      <c r="A1375" s="70" t="inlineStr">
        <is>
          <t>ORD-01374</t>
        </is>
      </c>
      <c r="B1375" s="71" t="n">
        <v>45578</v>
      </c>
      <c r="C1375" s="70" t="inlineStr">
        <is>
          <t>CUST-0089</t>
        </is>
      </c>
      <c r="D1375" s="70" t="inlineStr">
        <is>
          <t>PROD-024</t>
        </is>
      </c>
      <c r="E1375" s="70" t="inlineStr">
        <is>
          <t>R004</t>
        </is>
      </c>
      <c r="F1375" s="72" t="n">
        <v>6</v>
      </c>
      <c r="G1375" s="72" t="n">
        <v>2270</v>
      </c>
      <c r="H1375" s="72" t="n">
        <v>20.9</v>
      </c>
      <c r="I1375" s="72" t="n">
        <v>10773.42</v>
      </c>
      <c r="J1375" s="70" t="inlineStr">
        <is>
          <t>Pending</t>
        </is>
      </c>
      <c r="K1375" s="70" t="inlineStr">
        <is>
          <t>Mumbai</t>
        </is>
      </c>
    </row>
    <row r="1376" ht="14.25" customHeight="1" s="56">
      <c r="A1376" s="70" t="inlineStr">
        <is>
          <t>ORD-01375</t>
        </is>
      </c>
      <c r="B1376" s="71" t="n">
        <v>45581</v>
      </c>
      <c r="C1376" s="70" t="inlineStr">
        <is>
          <t>CUST-0093</t>
        </is>
      </c>
      <c r="D1376" s="70" t="inlineStr">
        <is>
          <t>PROD-033</t>
        </is>
      </c>
      <c r="E1376" s="70" t="inlineStr">
        <is>
          <t>R019</t>
        </is>
      </c>
      <c r="F1376" s="72" t="n">
        <v>10</v>
      </c>
      <c r="G1376" s="72" t="n">
        <v>2030</v>
      </c>
      <c r="H1376" s="72" t="n">
        <v>25</v>
      </c>
      <c r="I1376" s="72" t="n">
        <v>15225</v>
      </c>
      <c r="J1376" s="70" t="inlineStr">
        <is>
          <t>Completed</t>
        </is>
      </c>
      <c r="K1376" s="70" t="inlineStr">
        <is>
          <t>Pune</t>
        </is>
      </c>
    </row>
    <row r="1377" ht="14.25" customHeight="1" s="56">
      <c r="A1377" s="70" t="inlineStr">
        <is>
          <t>ORD-01376</t>
        </is>
      </c>
      <c r="B1377" s="71" t="n">
        <v>45508</v>
      </c>
      <c r="C1377" s="70" t="inlineStr">
        <is>
          <t>CUST-0018</t>
        </is>
      </c>
      <c r="D1377" s="70" t="inlineStr">
        <is>
          <t>PROD-035</t>
        </is>
      </c>
      <c r="E1377" s="70" t="inlineStr">
        <is>
          <t>R027</t>
        </is>
      </c>
      <c r="F1377" s="72" t="n">
        <v>3</v>
      </c>
      <c r="G1377" s="72" t="n">
        <v>1090</v>
      </c>
      <c r="H1377" s="72" t="n">
        <v>12.1</v>
      </c>
      <c r="I1377" s="72" t="n">
        <v>2874.33</v>
      </c>
      <c r="J1377" s="70" t="inlineStr">
        <is>
          <t>Completed</t>
        </is>
      </c>
      <c r="K1377" s="70" t="inlineStr">
        <is>
          <t>Pune</t>
        </is>
      </c>
    </row>
    <row r="1378" ht="14.25" customHeight="1" s="56">
      <c r="A1378" s="70" t="inlineStr">
        <is>
          <t>ORD-01377</t>
        </is>
      </c>
      <c r="B1378" s="71" t="n">
        <v>45303</v>
      </c>
      <c r="C1378" s="70" t="inlineStr">
        <is>
          <t>CUST-0089</t>
        </is>
      </c>
      <c r="D1378" s="70" t="inlineStr">
        <is>
          <t>PROD-017</t>
        </is>
      </c>
      <c r="E1378" s="70" t="inlineStr">
        <is>
          <t>R017</t>
        </is>
      </c>
      <c r="F1378" s="72" t="n">
        <v>3</v>
      </c>
      <c r="G1378" s="72" t="n">
        <v>2510</v>
      </c>
      <c r="H1378" s="72" t="n">
        <v>28.7</v>
      </c>
      <c r="I1378" s="72" t="n">
        <v>5368.89</v>
      </c>
      <c r="J1378" s="70" t="inlineStr">
        <is>
          <t>Completed</t>
        </is>
      </c>
      <c r="K1378" s="70" t="inlineStr">
        <is>
          <t>Mumbai</t>
        </is>
      </c>
    </row>
    <row r="1379" ht="14.25" customHeight="1" s="56">
      <c r="A1379" s="70" t="inlineStr">
        <is>
          <t>ORD-01378</t>
        </is>
      </c>
      <c r="B1379" s="71" t="n">
        <v>45412</v>
      </c>
      <c r="C1379" s="70" t="inlineStr">
        <is>
          <t>CUST-0116</t>
        </is>
      </c>
      <c r="D1379" s="70" t="inlineStr">
        <is>
          <t>PROD-024</t>
        </is>
      </c>
      <c r="E1379" s="70" t="inlineStr">
        <is>
          <t>R026</t>
        </is>
      </c>
      <c r="F1379" s="72" t="n">
        <v>9</v>
      </c>
      <c r="G1379" s="72" t="n">
        <v>2270</v>
      </c>
      <c r="H1379" s="72" t="n">
        <v>25.4</v>
      </c>
      <c r="I1379" s="72" t="n">
        <v>15240.78</v>
      </c>
      <c r="J1379" s="70" t="inlineStr">
        <is>
          <t>Pending</t>
        </is>
      </c>
      <c r="K1379" s="70" t="inlineStr">
        <is>
          <t>Bengaluru</t>
        </is>
      </c>
    </row>
    <row r="1380" ht="14.25" customHeight="1" s="56">
      <c r="A1380" s="70" t="inlineStr">
        <is>
          <t>ORD-01379</t>
        </is>
      </c>
      <c r="B1380" s="71" t="n">
        <v>45400</v>
      </c>
      <c r="C1380" s="70" t="inlineStr">
        <is>
          <t>CUST-0071</t>
        </is>
      </c>
      <c r="D1380" s="70" t="inlineStr">
        <is>
          <t>PROD-006</t>
        </is>
      </c>
      <c r="E1380" s="70" t="inlineStr">
        <is>
          <t>R029</t>
        </is>
      </c>
      <c r="F1380" s="72" t="n">
        <v>9</v>
      </c>
      <c r="G1380" s="72" t="n">
        <v>3970</v>
      </c>
      <c r="H1380" s="72" t="n">
        <v>10.1</v>
      </c>
      <c r="I1380" s="72" t="n">
        <v>32121.27</v>
      </c>
      <c r="J1380" s="70" t="inlineStr">
        <is>
          <t>Cancelled</t>
        </is>
      </c>
      <c r="K1380" s="70" t="inlineStr">
        <is>
          <t>Delhi</t>
        </is>
      </c>
    </row>
    <row r="1381" ht="14.25" customHeight="1" s="56">
      <c r="A1381" s="70" t="inlineStr">
        <is>
          <t>ORD-01380</t>
        </is>
      </c>
      <c r="B1381" s="71" t="n">
        <v>45570</v>
      </c>
      <c r="C1381" s="70" t="inlineStr">
        <is>
          <t>CUST-0115</t>
        </is>
      </c>
      <c r="D1381" s="70" t="inlineStr">
        <is>
          <t>PROD-029</t>
        </is>
      </c>
      <c r="E1381" s="70" t="inlineStr">
        <is>
          <t>R014</t>
        </is>
      </c>
      <c r="F1381" s="72" t="n">
        <v>6</v>
      </c>
      <c r="G1381" s="72" t="n">
        <v>2210</v>
      </c>
      <c r="H1381" s="72" t="n">
        <v>7.4</v>
      </c>
      <c r="I1381" s="72" t="n">
        <v>12278.76</v>
      </c>
      <c r="J1381" s="70" t="inlineStr">
        <is>
          <t>Completed</t>
        </is>
      </c>
      <c r="K1381" s="70" t="inlineStr">
        <is>
          <t>Mumbai</t>
        </is>
      </c>
    </row>
    <row r="1382" ht="14.25" customHeight="1" s="56">
      <c r="A1382" s="70" t="inlineStr">
        <is>
          <t>ORD-01381</t>
        </is>
      </c>
      <c r="B1382" s="71" t="n">
        <v>45360</v>
      </c>
      <c r="C1382" s="70" t="inlineStr">
        <is>
          <t>CUST-0258</t>
        </is>
      </c>
      <c r="D1382" s="70" t="inlineStr">
        <is>
          <t>PROD-041</t>
        </is>
      </c>
      <c r="E1382" s="70" t="inlineStr">
        <is>
          <t>R017</t>
        </is>
      </c>
      <c r="F1382" s="72" t="n">
        <v>7</v>
      </c>
      <c r="G1382" s="72" t="n">
        <v>1540</v>
      </c>
      <c r="H1382" s="72" t="n">
        <v>20.6</v>
      </c>
      <c r="I1382" s="72" t="n">
        <v>8559.32</v>
      </c>
      <c r="J1382" s="70" t="inlineStr">
        <is>
          <t>Completed</t>
        </is>
      </c>
      <c r="K1382" s="70" t="inlineStr">
        <is>
          <t>Pune</t>
        </is>
      </c>
    </row>
    <row r="1383" ht="14.25" customHeight="1" s="56">
      <c r="A1383" s="70" t="inlineStr">
        <is>
          <t>ORD-01382</t>
        </is>
      </c>
      <c r="B1383" s="71" t="n">
        <v>45334</v>
      </c>
      <c r="C1383" s="70" t="inlineStr">
        <is>
          <t>CUST-0290</t>
        </is>
      </c>
      <c r="D1383" s="70" t="inlineStr">
        <is>
          <t>PROD-039</t>
        </is>
      </c>
      <c r="E1383" s="70" t="inlineStr">
        <is>
          <t>R027</t>
        </is>
      </c>
      <c r="F1383" s="72" t="n">
        <v>9</v>
      </c>
      <c r="G1383" s="72" t="n">
        <v>4610</v>
      </c>
      <c r="H1383" s="72" t="n">
        <v>2.1</v>
      </c>
      <c r="I1383" s="72" t="n">
        <v>40618.71</v>
      </c>
      <c r="J1383" s="70" t="inlineStr">
        <is>
          <t>Completed</t>
        </is>
      </c>
      <c r="K1383" s="70" t="inlineStr">
        <is>
          <t>Delhi</t>
        </is>
      </c>
    </row>
    <row r="1384" ht="14.25" customHeight="1" s="56">
      <c r="A1384" s="70" t="inlineStr">
        <is>
          <t>ORD-01383</t>
        </is>
      </c>
      <c r="B1384" s="71" t="n">
        <v>45527</v>
      </c>
      <c r="C1384" s="70" t="inlineStr">
        <is>
          <t>CUST-0279</t>
        </is>
      </c>
      <c r="D1384" s="70" t="inlineStr">
        <is>
          <t>PROD-006</t>
        </is>
      </c>
      <c r="E1384" s="70" t="inlineStr">
        <is>
          <t>R002</t>
        </is>
      </c>
      <c r="F1384" s="72" t="n">
        <v>10</v>
      </c>
      <c r="G1384" s="72" t="n">
        <v>3970</v>
      </c>
      <c r="H1384" s="72" t="n">
        <v>13.3</v>
      </c>
      <c r="I1384" s="72" t="n">
        <v>34419.9</v>
      </c>
      <c r="J1384" s="70" t="inlineStr">
        <is>
          <t>Pending</t>
        </is>
      </c>
      <c r="K1384" s="70" t="inlineStr">
        <is>
          <t>Mumbai</t>
        </is>
      </c>
    </row>
    <row r="1385" ht="14.25" customHeight="1" s="56">
      <c r="A1385" s="70" t="inlineStr">
        <is>
          <t>ORD-01384</t>
        </is>
      </c>
      <c r="B1385" s="71" t="n">
        <v>45534</v>
      </c>
      <c r="C1385" s="70" t="inlineStr">
        <is>
          <t>CUST-0132</t>
        </is>
      </c>
      <c r="D1385" s="70" t="inlineStr">
        <is>
          <t>PROD-008</t>
        </is>
      </c>
      <c r="E1385" s="70" t="inlineStr">
        <is>
          <t>R008</t>
        </is>
      </c>
      <c r="F1385" s="72" t="n">
        <v>8</v>
      </c>
      <c r="G1385" s="72" t="n">
        <v>2660</v>
      </c>
      <c r="H1385" s="72" t="n">
        <v>16.8</v>
      </c>
      <c r="I1385" s="72" t="n">
        <v>17704.96</v>
      </c>
      <c r="J1385" s="70" t="inlineStr">
        <is>
          <t>Completed</t>
        </is>
      </c>
      <c r="K1385" s="70" t="inlineStr">
        <is>
          <t>Delhi</t>
        </is>
      </c>
    </row>
    <row r="1386" ht="14.25" customHeight="1" s="56">
      <c r="A1386" s="70" t="inlineStr">
        <is>
          <t>ORD-01385</t>
        </is>
      </c>
      <c r="B1386" s="71" t="n">
        <v>45329</v>
      </c>
      <c r="C1386" s="70" t="inlineStr">
        <is>
          <t>CUST-0029</t>
        </is>
      </c>
      <c r="D1386" s="70" t="inlineStr">
        <is>
          <t>PROD-047</t>
        </is>
      </c>
      <c r="E1386" s="70" t="inlineStr">
        <is>
          <t>R021</t>
        </is>
      </c>
      <c r="F1386" s="72" t="n">
        <v>6</v>
      </c>
      <c r="G1386" s="72" t="n">
        <v>3450</v>
      </c>
      <c r="H1386" s="72" t="n">
        <v>23.4</v>
      </c>
      <c r="I1386" s="72" t="n">
        <v>15856.2</v>
      </c>
      <c r="J1386" s="70" t="inlineStr">
        <is>
          <t>Completed</t>
        </is>
      </c>
      <c r="K1386" s="70" t="inlineStr">
        <is>
          <t>Chennai</t>
        </is>
      </c>
    </row>
    <row r="1387" ht="14.25" customHeight="1" s="56">
      <c r="A1387" s="70" t="inlineStr">
        <is>
          <t>ORD-01386</t>
        </is>
      </c>
      <c r="B1387" s="71" t="n">
        <v>45621</v>
      </c>
      <c r="C1387" s="70" t="inlineStr">
        <is>
          <t>CUST-0295</t>
        </is>
      </c>
      <c r="D1387" s="70" t="inlineStr">
        <is>
          <t>PROD-053</t>
        </is>
      </c>
      <c r="E1387" s="70" t="inlineStr">
        <is>
          <t>R007</t>
        </is>
      </c>
      <c r="F1387" s="72" t="n">
        <v>10</v>
      </c>
      <c r="G1387" s="72" t="n">
        <v>470</v>
      </c>
      <c r="H1387" s="72" t="n">
        <v>21.2</v>
      </c>
      <c r="I1387" s="72" t="n">
        <v>3703.6</v>
      </c>
      <c r="J1387" s="70" t="inlineStr">
        <is>
          <t>Completed</t>
        </is>
      </c>
      <c r="K1387" s="70" t="inlineStr">
        <is>
          <t>Delhi</t>
        </is>
      </c>
    </row>
    <row r="1388" ht="14.25" customHeight="1" s="56">
      <c r="A1388" s="70" t="inlineStr">
        <is>
          <t>ORD-00168</t>
        </is>
      </c>
      <c r="B1388" s="71" t="n">
        <v>45334</v>
      </c>
      <c r="C1388" s="70" t="inlineStr">
        <is>
          <t>CUST-0106</t>
        </is>
      </c>
      <c r="D1388" s="70" t="inlineStr">
        <is>
          <t>PROD-059</t>
        </is>
      </c>
      <c r="E1388" s="70" t="inlineStr">
        <is>
          <t>R022</t>
        </is>
      </c>
      <c r="F1388" s="72" t="n">
        <v>7</v>
      </c>
      <c r="G1388" s="72" t="n">
        <v>3780</v>
      </c>
      <c r="H1388" s="72" t="n">
        <v>10.1</v>
      </c>
      <c r="I1388" s="72" t="n">
        <v>23787.54</v>
      </c>
      <c r="J1388" s="70" t="inlineStr">
        <is>
          <t>Completed</t>
        </is>
      </c>
      <c r="K1388" s="70" t="inlineStr">
        <is>
          <t>Pune</t>
        </is>
      </c>
    </row>
    <row r="1389" ht="14.25" customHeight="1" s="56">
      <c r="A1389" s="70" t="inlineStr">
        <is>
          <t>ORD-01388</t>
        </is>
      </c>
      <c r="B1389" s="71" t="n">
        <v>45324</v>
      </c>
      <c r="C1389" s="70" t="inlineStr">
        <is>
          <t>CUST-0127</t>
        </is>
      </c>
      <c r="D1389" s="70" t="inlineStr">
        <is>
          <t>PROD-014</t>
        </is>
      </c>
      <c r="E1389" s="70" t="inlineStr">
        <is>
          <t>R027</t>
        </is>
      </c>
      <c r="F1389" s="72" t="n">
        <v>3</v>
      </c>
      <c r="G1389" s="72" t="n">
        <v>3620</v>
      </c>
      <c r="H1389" s="72" t="n">
        <v>4.2</v>
      </c>
      <c r="I1389" s="72" t="n">
        <v>10403.88</v>
      </c>
      <c r="J1389" s="70" t="inlineStr">
        <is>
          <t>Completed</t>
        </is>
      </c>
      <c r="K1389" s="70" t="inlineStr">
        <is>
          <t>Bengaluru</t>
        </is>
      </c>
    </row>
    <row r="1390" ht="14.25" customHeight="1" s="56">
      <c r="A1390" s="70" t="inlineStr">
        <is>
          <t>ORD-01389</t>
        </is>
      </c>
      <c r="B1390" s="71" t="n">
        <v>45541</v>
      </c>
      <c r="C1390" s="70" t="inlineStr">
        <is>
          <t>CUST-0031</t>
        </is>
      </c>
      <c r="D1390" s="70" t="inlineStr">
        <is>
          <t>PROD-049</t>
        </is>
      </c>
      <c r="E1390" s="70" t="inlineStr">
        <is>
          <t>R028</t>
        </is>
      </c>
      <c r="F1390" s="72" t="n">
        <v>7</v>
      </c>
      <c r="G1390" s="72" t="n">
        <v>960</v>
      </c>
      <c r="H1390" s="72" t="n">
        <v>9</v>
      </c>
      <c r="I1390" s="72" t="n">
        <v>6115.2</v>
      </c>
      <c r="J1390" s="70" t="inlineStr">
        <is>
          <t>Completed</t>
        </is>
      </c>
      <c r="K1390" s="70" t="inlineStr">
        <is>
          <t>Hyderabad</t>
        </is>
      </c>
    </row>
    <row r="1391" ht="14.25" customHeight="1" s="56">
      <c r="A1391" s="70" t="inlineStr">
        <is>
          <t>ORD-01390</t>
        </is>
      </c>
      <c r="B1391" s="71" t="n">
        <v>45344</v>
      </c>
      <c r="C1391" s="70" t="inlineStr">
        <is>
          <t>CUST-0256</t>
        </is>
      </c>
      <c r="D1391" s="70" t="inlineStr">
        <is>
          <t>PROD-043</t>
        </is>
      </c>
      <c r="E1391" s="70" t="inlineStr">
        <is>
          <t>R007</t>
        </is>
      </c>
      <c r="F1391" s="72" t="n">
        <v>10</v>
      </c>
      <c r="G1391" s="72" t="n">
        <v>3350</v>
      </c>
      <c r="H1391" s="72" t="n">
        <v>1.2</v>
      </c>
      <c r="I1391" s="72" t="n">
        <v>33098</v>
      </c>
      <c r="J1391" s="70" t="inlineStr">
        <is>
          <t>Cancelled</t>
        </is>
      </c>
      <c r="K1391" s="70" t="inlineStr">
        <is>
          <t>Hyderabad</t>
        </is>
      </c>
    </row>
    <row r="1392" ht="14.25" customHeight="1" s="56">
      <c r="A1392" s="70" t="inlineStr">
        <is>
          <t>ORD-01391</t>
        </is>
      </c>
      <c r="B1392" s="71" t="n">
        <v>45388</v>
      </c>
      <c r="C1392" s="70" t="inlineStr">
        <is>
          <t>CUST-0131</t>
        </is>
      </c>
      <c r="D1392" s="70" t="inlineStr">
        <is>
          <t>PROD-058</t>
        </is>
      </c>
      <c r="E1392" s="70" t="inlineStr">
        <is>
          <t>R030</t>
        </is>
      </c>
      <c r="F1392" s="72" t="n">
        <v>3</v>
      </c>
      <c r="G1392" s="72" t="n">
        <v>2400</v>
      </c>
      <c r="H1392" s="72" t="n">
        <v>15.4</v>
      </c>
      <c r="I1392" s="72" t="n">
        <v>6091.2</v>
      </c>
      <c r="J1392" s="70" t="inlineStr">
        <is>
          <t>Completed</t>
        </is>
      </c>
      <c r="K1392" s="70" t="inlineStr">
        <is>
          <t>Delhi</t>
        </is>
      </c>
    </row>
    <row r="1393" ht="14.25" customHeight="1" s="56">
      <c r="A1393" s="70" t="inlineStr">
        <is>
          <t>ORD-01392</t>
        </is>
      </c>
      <c r="B1393" s="71" t="n">
        <v>45407</v>
      </c>
      <c r="C1393" s="70" t="inlineStr">
        <is>
          <t>CUST-0270</t>
        </is>
      </c>
      <c r="D1393" s="70" t="inlineStr">
        <is>
          <t>PROD-055</t>
        </is>
      </c>
      <c r="E1393" s="70" t="inlineStr">
        <is>
          <t>R002</t>
        </is>
      </c>
      <c r="F1393" s="72" t="n">
        <v>2</v>
      </c>
      <c r="G1393" s="72" t="n">
        <v>2860</v>
      </c>
      <c r="H1393" s="72" t="n">
        <v>10.5</v>
      </c>
      <c r="I1393" s="72" t="n">
        <v>5119.4</v>
      </c>
      <c r="J1393" s="70" t="inlineStr">
        <is>
          <t>Completed</t>
        </is>
      </c>
      <c r="K1393" s="70" t="inlineStr">
        <is>
          <t>Bengaluru</t>
        </is>
      </c>
    </row>
    <row r="1394" ht="14.25" customHeight="1" s="56">
      <c r="A1394" s="70" t="inlineStr">
        <is>
          <t>ORD-01393</t>
        </is>
      </c>
      <c r="B1394" s="71" t="n">
        <v>45620</v>
      </c>
      <c r="C1394" s="70" t="inlineStr">
        <is>
          <t>CUST-0212</t>
        </is>
      </c>
      <c r="D1394" s="70" t="inlineStr">
        <is>
          <t>PROD-042</t>
        </is>
      </c>
      <c r="E1394" s="70" t="inlineStr">
        <is>
          <t>R008</t>
        </is>
      </c>
      <c r="F1394" s="72" t="n">
        <v>4</v>
      </c>
      <c r="G1394" s="72" t="n">
        <v>2290</v>
      </c>
      <c r="H1394" s="72" t="n">
        <v>5.9</v>
      </c>
      <c r="I1394" s="72" t="n">
        <v>8619.559999999999</v>
      </c>
      <c r="J1394" s="70" t="inlineStr">
        <is>
          <t>Completed</t>
        </is>
      </c>
      <c r="K1394" s="70" t="inlineStr">
        <is>
          <t>Chennai</t>
        </is>
      </c>
    </row>
    <row r="1395" ht="14.25" customHeight="1" s="56">
      <c r="A1395" s="70" t="inlineStr">
        <is>
          <t>ORD-01394</t>
        </is>
      </c>
      <c r="B1395" s="71" t="n">
        <v>45499</v>
      </c>
      <c r="C1395" s="70" t="inlineStr">
        <is>
          <t>CUST-0216</t>
        </is>
      </c>
      <c r="D1395" s="70" t="inlineStr">
        <is>
          <t>PROD-001</t>
        </is>
      </c>
      <c r="E1395" s="70" t="inlineStr">
        <is>
          <t>R023</t>
        </is>
      </c>
      <c r="F1395" s="72" t="n">
        <v>7</v>
      </c>
      <c r="G1395" s="72" t="n">
        <v>5330</v>
      </c>
      <c r="H1395" s="72" t="n">
        <v>3.5</v>
      </c>
      <c r="I1395" s="72" t="n">
        <v>36004.15</v>
      </c>
      <c r="J1395" s="70" t="inlineStr">
        <is>
          <t>Cancelled</t>
        </is>
      </c>
      <c r="K1395" s="70" t="inlineStr">
        <is>
          <t>Mumbai</t>
        </is>
      </c>
    </row>
    <row r="1396" ht="14.25" customHeight="1" s="56">
      <c r="A1396" s="70" t="inlineStr">
        <is>
          <t>ORD-01395</t>
        </is>
      </c>
      <c r="B1396" s="71" t="n">
        <v>45585</v>
      </c>
      <c r="C1396" s="70" t="inlineStr">
        <is>
          <t>CUST-0189</t>
        </is>
      </c>
      <c r="D1396" s="70" t="inlineStr">
        <is>
          <t>PROD-013</t>
        </is>
      </c>
      <c r="E1396" s="70" t="inlineStr">
        <is>
          <t>R018</t>
        </is>
      </c>
      <c r="F1396" s="72" t="n">
        <v>10</v>
      </c>
      <c r="G1396" s="72" t="n">
        <v>3640</v>
      </c>
      <c r="H1396" s="72" t="n">
        <v>20.1</v>
      </c>
      <c r="I1396" s="72" t="n">
        <v>29083.6</v>
      </c>
      <c r="J1396" s="70" t="inlineStr">
        <is>
          <t>Completed</t>
        </is>
      </c>
      <c r="K1396" s="70" t="inlineStr">
        <is>
          <t>Chennai</t>
        </is>
      </c>
    </row>
    <row r="1397" ht="14.25" customHeight="1" s="56">
      <c r="A1397" s="70" t="inlineStr">
        <is>
          <t>ORD-01396</t>
        </is>
      </c>
      <c r="B1397" s="71" t="n">
        <v>45633</v>
      </c>
      <c r="C1397" s="70" t="inlineStr">
        <is>
          <t>CUST-0064</t>
        </is>
      </c>
      <c r="D1397" s="70" t="inlineStr">
        <is>
          <t>PROD-034</t>
        </is>
      </c>
      <c r="E1397" s="70" t="inlineStr">
        <is>
          <t>R024</t>
        </is>
      </c>
      <c r="F1397" s="72" t="n">
        <v>10</v>
      </c>
      <c r="G1397" s="72" t="n">
        <v>5080</v>
      </c>
      <c r="H1397" s="72" t="n">
        <v>2.1</v>
      </c>
      <c r="I1397" s="72" t="n">
        <v>49733.2</v>
      </c>
      <c r="J1397" s="70" t="inlineStr">
        <is>
          <t>Completed</t>
        </is>
      </c>
      <c r="K1397" s="70" t="inlineStr">
        <is>
          <t>Hyderabad</t>
        </is>
      </c>
    </row>
    <row r="1398" ht="14.25" customHeight="1" s="56">
      <c r="A1398" s="70" t="inlineStr">
        <is>
          <t>ORD-01397</t>
        </is>
      </c>
      <c r="B1398" s="71" t="n">
        <v>45517</v>
      </c>
      <c r="C1398" s="70" t="inlineStr">
        <is>
          <t>CUST-0016</t>
        </is>
      </c>
      <c r="D1398" s="70" t="inlineStr">
        <is>
          <t>PROD-035</t>
        </is>
      </c>
      <c r="E1398" s="70" t="inlineStr">
        <is>
          <t>R018</t>
        </is>
      </c>
      <c r="F1398" s="72" t="n">
        <v>4</v>
      </c>
      <c r="G1398" s="72" t="n">
        <v>1090</v>
      </c>
      <c r="H1398" s="72" t="n">
        <v>18.5</v>
      </c>
      <c r="I1398" s="72" t="n">
        <v>3553.4</v>
      </c>
      <c r="J1398" s="70" t="inlineStr">
        <is>
          <t>Refunded</t>
        </is>
      </c>
      <c r="K1398" s="70" t="inlineStr">
        <is>
          <t>Delhi</t>
        </is>
      </c>
    </row>
    <row r="1399" ht="14.25" customHeight="1" s="56">
      <c r="A1399" s="70" t="inlineStr">
        <is>
          <t>ORD-01398</t>
        </is>
      </c>
      <c r="B1399" s="71" t="n">
        <v>45645</v>
      </c>
      <c r="C1399" s="70" t="inlineStr">
        <is>
          <t>CUST-0296</t>
        </is>
      </c>
      <c r="D1399" s="70" t="inlineStr">
        <is>
          <t>PROD-047</t>
        </is>
      </c>
      <c r="E1399" s="70" t="inlineStr">
        <is>
          <t>R030</t>
        </is>
      </c>
      <c r="F1399" s="72" t="n">
        <v>10</v>
      </c>
      <c r="G1399" s="72" t="n">
        <v>3450</v>
      </c>
      <c r="H1399" s="72" t="n">
        <v>26.5</v>
      </c>
      <c r="I1399" s="72" t="n">
        <v>25357.5</v>
      </c>
      <c r="J1399" s="70" t="inlineStr">
        <is>
          <t>Refunded</t>
        </is>
      </c>
      <c r="K1399" s="70" t="inlineStr">
        <is>
          <t>Delhi</t>
        </is>
      </c>
    </row>
    <row r="1400" ht="14.25" customHeight="1" s="56">
      <c r="A1400" s="70" t="inlineStr">
        <is>
          <t>ORD-01399</t>
        </is>
      </c>
      <c r="B1400" s="71" t="n">
        <v>45483</v>
      </c>
      <c r="C1400" s="70" t="inlineStr">
        <is>
          <t>CUST-0031</t>
        </is>
      </c>
      <c r="D1400" s="70" t="inlineStr">
        <is>
          <t>PROD-052</t>
        </is>
      </c>
      <c r="E1400" s="70" t="inlineStr">
        <is>
          <t>R009</t>
        </is>
      </c>
      <c r="F1400" s="72" t="n">
        <v>9</v>
      </c>
      <c r="G1400" s="72" t="n">
        <v>5410</v>
      </c>
      <c r="H1400" s="72" t="n">
        <v>11.5</v>
      </c>
      <c r="I1400" s="72" t="n">
        <v>43090.65</v>
      </c>
      <c r="J1400" s="70" t="inlineStr">
        <is>
          <t>Completed</t>
        </is>
      </c>
      <c r="K1400" s="70" t="inlineStr">
        <is>
          <t>Hyderabad</t>
        </is>
      </c>
    </row>
    <row r="1401" ht="14.25" customHeight="1" s="56">
      <c r="A1401" s="70" t="inlineStr">
        <is>
          <t>ORD-01400</t>
        </is>
      </c>
      <c r="B1401" s="71" t="n">
        <v>45445</v>
      </c>
      <c r="C1401" s="70" t="inlineStr">
        <is>
          <t>CUST-0207</t>
        </is>
      </c>
      <c r="D1401" s="70" t="inlineStr">
        <is>
          <t>PROD-011</t>
        </is>
      </c>
      <c r="E1401" s="70" t="inlineStr">
        <is>
          <t>R030</t>
        </is>
      </c>
      <c r="F1401" s="72" t="n">
        <v>9</v>
      </c>
      <c r="G1401" s="72" t="n">
        <v>3450</v>
      </c>
      <c r="H1401" s="72" t="n">
        <v>0.3</v>
      </c>
      <c r="I1401" s="72" t="n">
        <v>30956.85</v>
      </c>
      <c r="J1401" s="70" t="inlineStr">
        <is>
          <t>Refunded</t>
        </is>
      </c>
      <c r="K1401" s="70" t="inlineStr">
        <is>
          <t>Hyderabad</t>
        </is>
      </c>
    </row>
    <row r="1402" ht="14.25" customHeight="1" s="56">
      <c r="A1402" s="70" t="inlineStr">
        <is>
          <t>ORD-01401</t>
        </is>
      </c>
      <c r="B1402" s="71" t="n">
        <v>45614</v>
      </c>
      <c r="C1402" s="70" t="inlineStr">
        <is>
          <t>CUST-0165</t>
        </is>
      </c>
      <c r="D1402" s="70" t="inlineStr">
        <is>
          <t>PROD-012</t>
        </is>
      </c>
      <c r="E1402" s="70" t="inlineStr">
        <is>
          <t>R025</t>
        </is>
      </c>
      <c r="F1402" s="72" t="n">
        <v>10</v>
      </c>
      <c r="G1402" s="72" t="n">
        <v>3160</v>
      </c>
      <c r="H1402" s="72" t="n">
        <v>13.6</v>
      </c>
      <c r="I1402" s="72" t="n">
        <v>27302.4</v>
      </c>
      <c r="J1402" s="70" t="inlineStr">
        <is>
          <t>Completed</t>
        </is>
      </c>
      <c r="K1402" s="70" t="inlineStr">
        <is>
          <t>Pune</t>
        </is>
      </c>
    </row>
    <row r="1403" ht="14.25" customHeight="1" s="56">
      <c r="A1403" s="70" t="inlineStr">
        <is>
          <t>ORD-01402</t>
        </is>
      </c>
      <c r="B1403" s="71" t="n">
        <v>45433</v>
      </c>
      <c r="C1403" s="70" t="inlineStr">
        <is>
          <t>CUST-0281</t>
        </is>
      </c>
      <c r="D1403" s="70" t="inlineStr">
        <is>
          <t>PROD-041</t>
        </is>
      </c>
      <c r="E1403" s="70" t="inlineStr">
        <is>
          <t>R026</t>
        </is>
      </c>
      <c r="F1403" s="72" t="n">
        <v>3</v>
      </c>
      <c r="G1403" s="72" t="n">
        <v>1540</v>
      </c>
      <c r="H1403" s="72" t="n">
        <v>21.2</v>
      </c>
      <c r="I1403" s="72" t="n">
        <v>3640.56</v>
      </c>
      <c r="J1403" s="70" t="inlineStr">
        <is>
          <t>Completed</t>
        </is>
      </c>
      <c r="K1403" s="70" t="inlineStr">
        <is>
          <t>Bengaluru</t>
        </is>
      </c>
    </row>
    <row r="1404" ht="14.25" customHeight="1" s="56">
      <c r="A1404" s="70" t="inlineStr">
        <is>
          <t>ORD-01403</t>
        </is>
      </c>
      <c r="B1404" s="71" t="n">
        <v>45402</v>
      </c>
      <c r="C1404" s="70" t="inlineStr">
        <is>
          <t>CUST-0018</t>
        </is>
      </c>
      <c r="D1404" s="70" t="inlineStr">
        <is>
          <t>PROD-013</t>
        </is>
      </c>
      <c r="E1404" s="70" t="inlineStr">
        <is>
          <t>R022</t>
        </is>
      </c>
      <c r="F1404" s="72" t="n">
        <v>5</v>
      </c>
      <c r="G1404" s="72" t="n">
        <v>3640</v>
      </c>
      <c r="H1404" s="72" t="n">
        <v>17.5</v>
      </c>
      <c r="I1404" s="72" t="n">
        <v>15015</v>
      </c>
      <c r="J1404" s="70" t="inlineStr">
        <is>
          <t>Completed</t>
        </is>
      </c>
      <c r="K1404" s="70" t="inlineStr">
        <is>
          <t>Pune</t>
        </is>
      </c>
    </row>
    <row r="1405" ht="14.25" customHeight="1" s="56">
      <c r="A1405" s="70" t="inlineStr">
        <is>
          <t>ORD-01404</t>
        </is>
      </c>
      <c r="B1405" s="71" t="n">
        <v>45302</v>
      </c>
      <c r="C1405" s="70" t="inlineStr">
        <is>
          <t>CUST-0204</t>
        </is>
      </c>
      <c r="D1405" s="70" t="inlineStr">
        <is>
          <t>PROD-059</t>
        </is>
      </c>
      <c r="E1405" s="70" t="inlineStr">
        <is>
          <t>R002</t>
        </is>
      </c>
      <c r="F1405" s="72" t="n">
        <v>4</v>
      </c>
      <c r="G1405" s="72" t="n">
        <v>3780</v>
      </c>
      <c r="H1405" s="72" t="n">
        <v>9</v>
      </c>
      <c r="I1405" s="72" t="n">
        <v>13759.2</v>
      </c>
      <c r="J1405" s="70" t="inlineStr">
        <is>
          <t>Pending</t>
        </is>
      </c>
      <c r="K1405" s="70" t="inlineStr">
        <is>
          <t>Hyderabad</t>
        </is>
      </c>
    </row>
    <row r="1406" ht="14.25" customHeight="1" s="56">
      <c r="A1406" s="70" t="inlineStr">
        <is>
          <t>ORD-01405</t>
        </is>
      </c>
      <c r="B1406" s="71" t="n">
        <v>45526</v>
      </c>
      <c r="C1406" s="70" t="inlineStr">
        <is>
          <t>CUST-0028</t>
        </is>
      </c>
      <c r="D1406" s="70" t="inlineStr">
        <is>
          <t>PROD-015</t>
        </is>
      </c>
      <c r="E1406" s="70" t="inlineStr">
        <is>
          <t>R025</t>
        </is>
      </c>
      <c r="F1406" s="72" t="n">
        <v>9</v>
      </c>
      <c r="G1406" s="72" t="n">
        <v>2720</v>
      </c>
      <c r="H1406" s="72" t="n">
        <v>8.9</v>
      </c>
      <c r="I1406" s="72" t="n">
        <v>22301.28</v>
      </c>
      <c r="J1406" s="70" t="inlineStr">
        <is>
          <t>Completed</t>
        </is>
      </c>
      <c r="K1406" s="70" t="inlineStr">
        <is>
          <t>Bengaluru</t>
        </is>
      </c>
    </row>
    <row r="1407" ht="14.25" customHeight="1" s="56">
      <c r="A1407" s="70" t="inlineStr">
        <is>
          <t>ORD-01406</t>
        </is>
      </c>
      <c r="B1407" s="71" t="n">
        <v>45648</v>
      </c>
      <c r="C1407" s="70" t="inlineStr">
        <is>
          <t>CUST-0144</t>
        </is>
      </c>
      <c r="D1407" s="70" t="inlineStr">
        <is>
          <t>PROD-014</t>
        </is>
      </c>
      <c r="E1407" s="70" t="inlineStr">
        <is>
          <t>R004</t>
        </is>
      </c>
      <c r="F1407" s="72" t="n">
        <v>4</v>
      </c>
      <c r="G1407" s="72" t="n">
        <v>3620</v>
      </c>
      <c r="H1407" s="72" t="n">
        <v>8</v>
      </c>
      <c r="I1407" s="72" t="n">
        <v>13321.6</v>
      </c>
      <c r="J1407" s="70" t="inlineStr">
        <is>
          <t>Pending</t>
        </is>
      </c>
      <c r="K1407" s="70" t="inlineStr">
        <is>
          <t>Chennai</t>
        </is>
      </c>
    </row>
    <row r="1408" ht="14.25" customHeight="1" s="56">
      <c r="A1408" s="70" t="inlineStr">
        <is>
          <t>ORD-01407</t>
        </is>
      </c>
      <c r="B1408" s="71" t="n">
        <v>45325</v>
      </c>
      <c r="C1408" s="70" t="inlineStr">
        <is>
          <t>CUST-0043</t>
        </is>
      </c>
      <c r="D1408" s="70" t="inlineStr">
        <is>
          <t>PROD-011</t>
        </is>
      </c>
      <c r="E1408" s="70" t="inlineStr">
        <is>
          <t>R004</t>
        </is>
      </c>
      <c r="F1408" s="72" t="n">
        <v>1</v>
      </c>
      <c r="G1408" s="72" t="n">
        <v>3450</v>
      </c>
      <c r="H1408" s="72" t="n">
        <v>0.2</v>
      </c>
      <c r="I1408" s="72" t="n">
        <v>3443.1</v>
      </c>
      <c r="J1408" s="70" t="inlineStr">
        <is>
          <t>Completed</t>
        </is>
      </c>
      <c r="K1408" s="70" t="inlineStr">
        <is>
          <t>Hyderabad</t>
        </is>
      </c>
    </row>
    <row r="1409" ht="14.25" customHeight="1" s="56">
      <c r="A1409" s="70" t="inlineStr">
        <is>
          <t>ORD-01408</t>
        </is>
      </c>
      <c r="B1409" s="71" t="n">
        <v>45640</v>
      </c>
      <c r="C1409" s="70" t="inlineStr">
        <is>
          <t>CUST-0246</t>
        </is>
      </c>
      <c r="D1409" s="70" t="inlineStr">
        <is>
          <t>PROD-013</t>
        </is>
      </c>
      <c r="E1409" s="70" t="inlineStr">
        <is>
          <t>R014</t>
        </is>
      </c>
      <c r="F1409" s="72" t="n">
        <v>7</v>
      </c>
      <c r="G1409" s="72" t="n">
        <v>3640</v>
      </c>
      <c r="H1409" s="72" t="n">
        <v>4.6</v>
      </c>
      <c r="I1409" s="72" t="n">
        <v>24307.92</v>
      </c>
      <c r="J1409" s="70" t="inlineStr">
        <is>
          <t>Completed</t>
        </is>
      </c>
      <c r="K1409" s="70" t="inlineStr">
        <is>
          <t>Delhi</t>
        </is>
      </c>
    </row>
    <row r="1410" ht="14.25" customHeight="1" s="56">
      <c r="A1410" s="70" t="inlineStr">
        <is>
          <t>ORD-01409</t>
        </is>
      </c>
      <c r="B1410" s="71" t="n">
        <v>45423</v>
      </c>
      <c r="C1410" s="70" t="inlineStr">
        <is>
          <t>CUST-0156</t>
        </is>
      </c>
      <c r="D1410" s="70" t="inlineStr">
        <is>
          <t>PROD-016</t>
        </is>
      </c>
      <c r="E1410" s="70" t="inlineStr">
        <is>
          <t>R023</t>
        </is>
      </c>
      <c r="F1410" s="72" t="n">
        <v>9</v>
      </c>
      <c r="G1410" s="72" t="n">
        <v>620</v>
      </c>
      <c r="H1410" s="72" t="n">
        <v>8.5</v>
      </c>
      <c r="I1410" s="72" t="n">
        <v>5105.7</v>
      </c>
      <c r="J1410" s="70" t="inlineStr">
        <is>
          <t>Completed</t>
        </is>
      </c>
      <c r="K1410" s="70" t="inlineStr">
        <is>
          <t>Mumbai</t>
        </is>
      </c>
    </row>
    <row r="1411" ht="14.25" customHeight="1" s="56">
      <c r="A1411" s="70" t="inlineStr">
        <is>
          <t>ORD-01410</t>
        </is>
      </c>
      <c r="B1411" s="71" t="n">
        <v>45423</v>
      </c>
      <c r="C1411" s="70" t="inlineStr">
        <is>
          <t>CUST-0066</t>
        </is>
      </c>
      <c r="D1411" s="70" t="inlineStr">
        <is>
          <t>PROD-059</t>
        </is>
      </c>
      <c r="E1411" s="70" t="inlineStr">
        <is>
          <t>R016</t>
        </is>
      </c>
      <c r="F1411" s="72" t="n">
        <v>10</v>
      </c>
      <c r="G1411" s="72" t="n">
        <v>3780</v>
      </c>
      <c r="H1411" s="72" t="n">
        <v>5.8</v>
      </c>
      <c r="I1411" s="72" t="n">
        <v>35607.6</v>
      </c>
      <c r="J1411" s="70" t="inlineStr">
        <is>
          <t>Completed</t>
        </is>
      </c>
      <c r="K1411" s="70" t="inlineStr">
        <is>
          <t>Delhi</t>
        </is>
      </c>
    </row>
    <row r="1412" ht="14.25" customHeight="1" s="56">
      <c r="A1412" s="70" t="inlineStr">
        <is>
          <t>ORD-01411</t>
        </is>
      </c>
      <c r="B1412" s="71" t="n">
        <v>45518</v>
      </c>
      <c r="C1412" s="70" t="inlineStr">
        <is>
          <t>CUST-0121</t>
        </is>
      </c>
      <c r="D1412" s="70" t="inlineStr">
        <is>
          <t>PROD-003</t>
        </is>
      </c>
      <c r="E1412" s="70" t="inlineStr">
        <is>
          <t>R009</t>
        </is>
      </c>
      <c r="F1412" s="72" t="n">
        <v>7</v>
      </c>
      <c r="G1412" s="72" t="n">
        <v>3570</v>
      </c>
      <c r="H1412" s="72" t="n">
        <v>26.1</v>
      </c>
      <c r="I1412" s="72" t="n">
        <v>18467.61</v>
      </c>
      <c r="J1412" s="70" t="inlineStr">
        <is>
          <t>Completed</t>
        </is>
      </c>
      <c r="K1412" s="70" t="inlineStr">
        <is>
          <t>Delhi</t>
        </is>
      </c>
    </row>
    <row r="1413" ht="14.25" customHeight="1" s="56">
      <c r="A1413" s="70" t="inlineStr">
        <is>
          <t>ORD-01412</t>
        </is>
      </c>
      <c r="B1413" s="71" t="n">
        <v>45306</v>
      </c>
      <c r="C1413" s="70" t="inlineStr">
        <is>
          <t>CUST-0066</t>
        </is>
      </c>
      <c r="D1413" s="70" t="inlineStr">
        <is>
          <t>PROD-044</t>
        </is>
      </c>
      <c r="E1413" s="70" t="inlineStr">
        <is>
          <t>R002</t>
        </is>
      </c>
      <c r="F1413" s="72" t="n">
        <v>2</v>
      </c>
      <c r="G1413" s="72" t="n">
        <v>1650</v>
      </c>
      <c r="H1413" s="72" t="n">
        <v>3.8</v>
      </c>
      <c r="I1413" s="72" t="n">
        <v>3174.6</v>
      </c>
      <c r="J1413" s="70" t="inlineStr">
        <is>
          <t>Completed</t>
        </is>
      </c>
      <c r="K1413" s="70" t="inlineStr">
        <is>
          <t>Delhi</t>
        </is>
      </c>
    </row>
    <row r="1414" ht="14.25" customHeight="1" s="56">
      <c r="A1414" s="70" t="inlineStr">
        <is>
          <t>ORD-01413</t>
        </is>
      </c>
      <c r="B1414" s="71" t="n">
        <v>45346</v>
      </c>
      <c r="C1414" s="70" t="inlineStr">
        <is>
          <t>CUST-0099</t>
        </is>
      </c>
      <c r="D1414" s="70" t="inlineStr">
        <is>
          <t>PROD-049</t>
        </is>
      </c>
      <c r="E1414" s="70" t="inlineStr">
        <is>
          <t>R012</t>
        </is>
      </c>
      <c r="F1414" s="72" t="n">
        <v>2</v>
      </c>
      <c r="G1414" s="72" t="n">
        <v>960</v>
      </c>
      <c r="H1414" s="72" t="n">
        <v>6.8</v>
      </c>
      <c r="I1414" s="72" t="n">
        <v>1789.44</v>
      </c>
      <c r="J1414" s="70" t="inlineStr">
        <is>
          <t>Completed</t>
        </is>
      </c>
      <c r="K1414" s="70" t="inlineStr">
        <is>
          <t>Bengaluru</t>
        </is>
      </c>
    </row>
    <row r="1415" ht="14.25" customHeight="1" s="56">
      <c r="A1415" s="70" t="inlineStr">
        <is>
          <t>ORD-01414</t>
        </is>
      </c>
      <c r="B1415" s="71" t="n">
        <v>45376</v>
      </c>
      <c r="C1415" s="70" t="inlineStr">
        <is>
          <t>CUST-0054</t>
        </is>
      </c>
      <c r="D1415" s="70" t="inlineStr">
        <is>
          <t>PROD-005</t>
        </is>
      </c>
      <c r="E1415" s="70" t="inlineStr">
        <is>
          <t>R006</t>
        </is>
      </c>
      <c r="F1415" s="72" t="n">
        <v>2</v>
      </c>
      <c r="G1415" s="72" t="n">
        <v>300</v>
      </c>
      <c r="H1415" s="72" t="n">
        <v>2.8</v>
      </c>
      <c r="I1415" s="72" t="n">
        <v>583.2</v>
      </c>
      <c r="J1415" s="70" t="inlineStr">
        <is>
          <t>Completed</t>
        </is>
      </c>
      <c r="K1415" s="70" t="inlineStr">
        <is>
          <t>Mumbai</t>
        </is>
      </c>
    </row>
    <row r="1416" ht="14.25" customHeight="1" s="56">
      <c r="A1416" s="70" t="inlineStr">
        <is>
          <t>ORD-01415</t>
        </is>
      </c>
      <c r="B1416" s="71" t="n">
        <v>45561</v>
      </c>
      <c r="C1416" s="70" t="inlineStr">
        <is>
          <t>CUST-0124</t>
        </is>
      </c>
      <c r="D1416" s="70" t="inlineStr">
        <is>
          <t>PROD-025</t>
        </is>
      </c>
      <c r="E1416" s="70" t="inlineStr">
        <is>
          <t>R027</t>
        </is>
      </c>
      <c r="F1416" s="72" t="n">
        <v>10</v>
      </c>
      <c r="G1416" s="72" t="n">
        <v>4060</v>
      </c>
      <c r="H1416" s="72" t="n">
        <v>15.1</v>
      </c>
      <c r="I1416" s="72" t="n">
        <v>34469.4</v>
      </c>
      <c r="J1416" s="70" t="inlineStr">
        <is>
          <t>Completed</t>
        </is>
      </c>
      <c r="K1416" s="70" t="inlineStr">
        <is>
          <t>Pune</t>
        </is>
      </c>
    </row>
    <row r="1417" ht="14.25" customHeight="1" s="56">
      <c r="A1417" s="70" t="inlineStr">
        <is>
          <t>ORD-01416</t>
        </is>
      </c>
      <c r="B1417" s="71" t="n">
        <v>45320</v>
      </c>
      <c r="C1417" s="70" t="inlineStr">
        <is>
          <t>CUST-0211</t>
        </is>
      </c>
      <c r="D1417" s="70" t="inlineStr">
        <is>
          <t>PROD-001</t>
        </is>
      </c>
      <c r="E1417" s="70" t="inlineStr">
        <is>
          <t>R022</t>
        </is>
      </c>
      <c r="F1417" s="72" t="n">
        <v>6</v>
      </c>
      <c r="G1417" s="72" t="n">
        <v>5330</v>
      </c>
      <c r="H1417" s="72" t="n">
        <v>2</v>
      </c>
      <c r="I1417" s="72" t="n">
        <v>31340.4</v>
      </c>
      <c r="J1417" s="70" t="inlineStr">
        <is>
          <t>Completed</t>
        </is>
      </c>
      <c r="K1417" s="70" t="inlineStr">
        <is>
          <t>Bengaluru</t>
        </is>
      </c>
    </row>
    <row r="1418" ht="14.25" customHeight="1" s="56">
      <c r="A1418" s="70" t="inlineStr">
        <is>
          <t>ORD-01417</t>
        </is>
      </c>
      <c r="B1418" s="71" t="n">
        <v>45572</v>
      </c>
      <c r="C1418" s="70" t="inlineStr">
        <is>
          <t>CUST-0298</t>
        </is>
      </c>
      <c r="D1418" s="70" t="inlineStr">
        <is>
          <t>PROD-031</t>
        </is>
      </c>
      <c r="E1418" s="70" t="inlineStr">
        <is>
          <t>R021</t>
        </is>
      </c>
      <c r="F1418" s="72" t="n">
        <v>9</v>
      </c>
      <c r="G1418" s="72" t="n">
        <v>3730</v>
      </c>
      <c r="H1418" s="72" t="n">
        <v>24.5</v>
      </c>
      <c r="I1418" s="72" t="n">
        <v>25345.35</v>
      </c>
      <c r="J1418" s="70" t="inlineStr">
        <is>
          <t>Refunded</t>
        </is>
      </c>
      <c r="K1418" s="70" t="inlineStr">
        <is>
          <t>Delhi</t>
        </is>
      </c>
    </row>
    <row r="1419" ht="14.25" customHeight="1" s="56">
      <c r="A1419" s="70" t="inlineStr">
        <is>
          <t>ORD-01418</t>
        </is>
      </c>
      <c r="B1419" s="71" t="n">
        <v>45611</v>
      </c>
      <c r="C1419" s="70" t="inlineStr">
        <is>
          <t>CUST-0164</t>
        </is>
      </c>
      <c r="D1419" s="70" t="inlineStr">
        <is>
          <t>PROD-050</t>
        </is>
      </c>
      <c r="E1419" s="70" t="inlineStr">
        <is>
          <t>R030</t>
        </is>
      </c>
      <c r="F1419" s="72" t="n">
        <v>1</v>
      </c>
      <c r="G1419" s="72" t="n">
        <v>6080</v>
      </c>
      <c r="H1419" s="72" t="n">
        <v>4.4</v>
      </c>
      <c r="I1419" s="72" t="n">
        <v>5812.48</v>
      </c>
      <c r="J1419" s="70" t="inlineStr">
        <is>
          <t>Cancelled</t>
        </is>
      </c>
      <c r="K1419" s="70" t="inlineStr">
        <is>
          <t>Chennai</t>
        </is>
      </c>
    </row>
    <row r="1420" ht="14.25" customHeight="1" s="56">
      <c r="A1420" s="70" t="inlineStr">
        <is>
          <t>ORD-01419</t>
        </is>
      </c>
      <c r="B1420" s="71" t="n">
        <v>45524</v>
      </c>
      <c r="C1420" s="70" t="inlineStr">
        <is>
          <t>CUST-0003</t>
        </is>
      </c>
      <c r="D1420" s="70" t="inlineStr">
        <is>
          <t>PROD-015</t>
        </is>
      </c>
      <c r="E1420" s="70" t="inlineStr">
        <is>
          <t>R025</t>
        </is>
      </c>
      <c r="F1420" s="72" t="n">
        <v>5</v>
      </c>
      <c r="G1420" s="72" t="n">
        <v>2720</v>
      </c>
      <c r="H1420" s="72" t="n">
        <v>9.199999999999999</v>
      </c>
      <c r="I1420" s="72" t="n">
        <v>12348.8</v>
      </c>
      <c r="J1420" s="70" t="inlineStr">
        <is>
          <t>Completed</t>
        </is>
      </c>
      <c r="K1420" s="70" t="inlineStr">
        <is>
          <t>Mumbai</t>
        </is>
      </c>
    </row>
    <row r="1421" ht="14.25" customHeight="1" s="56">
      <c r="A1421" s="70" t="inlineStr">
        <is>
          <t>ORD-01420</t>
        </is>
      </c>
      <c r="B1421" s="71" t="n">
        <v>45438</v>
      </c>
      <c r="C1421" s="70" t="inlineStr">
        <is>
          <t>CUST-0239</t>
        </is>
      </c>
      <c r="D1421" s="70" t="inlineStr">
        <is>
          <t>PROD-011</t>
        </is>
      </c>
      <c r="E1421" s="70" t="inlineStr">
        <is>
          <t>R023</t>
        </is>
      </c>
      <c r="F1421" s="72" t="n">
        <v>1</v>
      </c>
      <c r="G1421" s="72" t="n">
        <v>3450</v>
      </c>
      <c r="H1421" s="72" t="n">
        <v>15.6</v>
      </c>
      <c r="I1421" s="72" t="n">
        <v>2911.8</v>
      </c>
      <c r="J1421" s="70" t="inlineStr">
        <is>
          <t>Completed</t>
        </is>
      </c>
      <c r="K1421" s="70" t="inlineStr">
        <is>
          <t>Mumbai</t>
        </is>
      </c>
    </row>
    <row r="1422" ht="14.25" customHeight="1" s="56">
      <c r="A1422" s="70" t="inlineStr">
        <is>
          <t>ORD-01421</t>
        </is>
      </c>
      <c r="B1422" s="71" t="n">
        <v>45484</v>
      </c>
      <c r="C1422" s="70" t="inlineStr">
        <is>
          <t>CUST-0116</t>
        </is>
      </c>
      <c r="D1422" s="70" t="inlineStr">
        <is>
          <t>PROD-035</t>
        </is>
      </c>
      <c r="E1422" s="70" t="inlineStr">
        <is>
          <t>R022</t>
        </is>
      </c>
      <c r="F1422" s="72" t="n">
        <v>2</v>
      </c>
      <c r="G1422" s="72" t="n">
        <v>1090</v>
      </c>
      <c r="H1422" s="72" t="n">
        <v>0.4</v>
      </c>
      <c r="I1422" s="72" t="n">
        <v>2171.28</v>
      </c>
      <c r="J1422" s="70" t="inlineStr">
        <is>
          <t>Refunded</t>
        </is>
      </c>
      <c r="K1422" s="70" t="inlineStr">
        <is>
          <t>Bengaluru</t>
        </is>
      </c>
    </row>
    <row r="1423" ht="14.25" customHeight="1" s="56">
      <c r="A1423" s="70" t="inlineStr">
        <is>
          <t>ORD-01422</t>
        </is>
      </c>
      <c r="B1423" s="71" t="n">
        <v>45643</v>
      </c>
      <c r="C1423" s="70" t="inlineStr">
        <is>
          <t>CUST-0232</t>
        </is>
      </c>
      <c r="D1423" s="70" t="inlineStr">
        <is>
          <t>PROD-003</t>
        </is>
      </c>
      <c r="E1423" s="70" t="inlineStr">
        <is>
          <t>R017</t>
        </is>
      </c>
      <c r="F1423" s="72" t="n">
        <v>2</v>
      </c>
      <c r="G1423" s="72" t="n">
        <v>3570</v>
      </c>
      <c r="H1423" s="72" t="n">
        <v>9</v>
      </c>
      <c r="I1423" s="72" t="n">
        <v>6497.4</v>
      </c>
      <c r="J1423" s="70" t="inlineStr">
        <is>
          <t>Completed</t>
        </is>
      </c>
      <c r="K1423" s="70" t="inlineStr">
        <is>
          <t>Hyderabad</t>
        </is>
      </c>
    </row>
    <row r="1424" ht="14.25" customHeight="1" s="56">
      <c r="A1424" s="70" t="inlineStr">
        <is>
          <t>ORD-01423</t>
        </is>
      </c>
      <c r="B1424" s="71" t="n">
        <v>45437</v>
      </c>
      <c r="C1424" s="70" t="inlineStr">
        <is>
          <t>CUST-0121</t>
        </is>
      </c>
      <c r="D1424" s="70" t="inlineStr">
        <is>
          <t>PROD-019</t>
        </is>
      </c>
      <c r="E1424" s="70" t="inlineStr">
        <is>
          <t>R014</t>
        </is>
      </c>
      <c r="F1424" s="72" t="n">
        <v>9</v>
      </c>
      <c r="G1424" s="72" t="n">
        <v>2480</v>
      </c>
      <c r="H1424" s="72" t="n">
        <v>3.6</v>
      </c>
      <c r="I1424" s="72" t="n">
        <v>21516.48</v>
      </c>
      <c r="J1424" s="70" t="inlineStr">
        <is>
          <t>Pending</t>
        </is>
      </c>
      <c r="K1424" s="70" t="inlineStr">
        <is>
          <t>Delhi</t>
        </is>
      </c>
    </row>
    <row r="1425" ht="14.25" customHeight="1" s="56">
      <c r="A1425" s="70" t="inlineStr">
        <is>
          <t>ORD-01424</t>
        </is>
      </c>
      <c r="B1425" s="71" t="n">
        <v>45303</v>
      </c>
      <c r="C1425" s="70" t="inlineStr">
        <is>
          <t>CUST-0178</t>
        </is>
      </c>
      <c r="D1425" s="70" t="inlineStr">
        <is>
          <t>PROD-027</t>
        </is>
      </c>
      <c r="E1425" s="70" t="inlineStr">
        <is>
          <t>R022</t>
        </is>
      </c>
      <c r="F1425" s="72" t="n">
        <v>9</v>
      </c>
      <c r="G1425" s="72" t="n">
        <v>3780</v>
      </c>
      <c r="H1425" s="72" t="n">
        <v>4.5</v>
      </c>
      <c r="I1425" s="72" t="n">
        <v>32489.1</v>
      </c>
      <c r="J1425" s="70" t="inlineStr">
        <is>
          <t>Completed</t>
        </is>
      </c>
      <c r="K1425" s="70" t="inlineStr">
        <is>
          <t>Hyderabad</t>
        </is>
      </c>
    </row>
    <row r="1426" ht="14.25" customHeight="1" s="56">
      <c r="A1426" s="70" t="inlineStr">
        <is>
          <t>ORD-01425</t>
        </is>
      </c>
      <c r="B1426" s="71" t="n">
        <v>45631</v>
      </c>
      <c r="C1426" s="70" t="inlineStr">
        <is>
          <t>CUST-0131</t>
        </is>
      </c>
      <c r="D1426" s="70" t="inlineStr">
        <is>
          <t>PROD-025</t>
        </is>
      </c>
      <c r="E1426" s="70" t="inlineStr">
        <is>
          <t>R010</t>
        </is>
      </c>
      <c r="F1426" s="72" t="n">
        <v>5</v>
      </c>
      <c r="G1426" s="72" t="n">
        <v>4060</v>
      </c>
      <c r="H1426" s="72" t="n">
        <v>2.7</v>
      </c>
      <c r="I1426" s="72" t="n">
        <v>19751.9</v>
      </c>
      <c r="J1426" s="70" t="inlineStr">
        <is>
          <t>Completed</t>
        </is>
      </c>
      <c r="K1426" s="70" t="inlineStr">
        <is>
          <t>Delhi</t>
        </is>
      </c>
    </row>
    <row r="1427" ht="14.25" customHeight="1" s="56">
      <c r="A1427" s="70" t="inlineStr">
        <is>
          <t>ORD-01426</t>
        </is>
      </c>
      <c r="B1427" s="71" t="n">
        <v>45564</v>
      </c>
      <c r="C1427" s="70" t="inlineStr">
        <is>
          <t>CUST-0155</t>
        </is>
      </c>
      <c r="D1427" s="70" t="inlineStr">
        <is>
          <t>PROD-005</t>
        </is>
      </c>
      <c r="E1427" s="70" t="inlineStr">
        <is>
          <t>R002</t>
        </is>
      </c>
      <c r="F1427" s="72" t="n">
        <v>8</v>
      </c>
      <c r="G1427" s="72" t="n">
        <v>300</v>
      </c>
      <c r="H1427" s="72" t="n">
        <v>19.8</v>
      </c>
      <c r="I1427" s="72" t="n">
        <v>1924.8</v>
      </c>
      <c r="J1427" s="70" t="inlineStr">
        <is>
          <t>Cancelled</t>
        </is>
      </c>
      <c r="K1427" s="70" t="inlineStr">
        <is>
          <t>Pune</t>
        </is>
      </c>
    </row>
    <row r="1428" ht="14.25" customHeight="1" s="56">
      <c r="A1428" s="70" t="inlineStr">
        <is>
          <t>ORD-01427</t>
        </is>
      </c>
      <c r="B1428" s="71" t="n">
        <v>45454</v>
      </c>
      <c r="C1428" s="70" t="inlineStr">
        <is>
          <t>CUST-0170</t>
        </is>
      </c>
      <c r="D1428" s="70" t="inlineStr">
        <is>
          <t>PROD-036</t>
        </is>
      </c>
      <c r="E1428" s="70" t="inlineStr">
        <is>
          <t>R002</t>
        </is>
      </c>
      <c r="F1428" s="72" t="n">
        <v>10</v>
      </c>
      <c r="G1428" s="72" t="n">
        <v>3250</v>
      </c>
      <c r="H1428" s="72" t="n">
        <v>21.3</v>
      </c>
      <c r="I1428" s="72" t="n">
        <v>25577.5</v>
      </c>
      <c r="J1428" s="70" t="inlineStr">
        <is>
          <t>Cancelled</t>
        </is>
      </c>
      <c r="K1428" s="70" t="inlineStr">
        <is>
          <t>Mumbai</t>
        </is>
      </c>
    </row>
    <row r="1429" ht="14.25" customHeight="1" s="56">
      <c r="A1429" s="70" t="inlineStr">
        <is>
          <t>ORD-01428</t>
        </is>
      </c>
      <c r="B1429" s="71" t="n">
        <v>45616</v>
      </c>
      <c r="C1429" s="70" t="inlineStr">
        <is>
          <t>CUST-0180</t>
        </is>
      </c>
      <c r="D1429" s="70" t="inlineStr">
        <is>
          <t>PROD-055</t>
        </is>
      </c>
      <c r="E1429" s="70" t="inlineStr">
        <is>
          <t>R009</t>
        </is>
      </c>
      <c r="F1429" s="72" t="n">
        <v>2</v>
      </c>
      <c r="G1429" s="72" t="n">
        <v>2860</v>
      </c>
      <c r="H1429" s="72" t="n">
        <v>13.7</v>
      </c>
      <c r="I1429" s="72" t="n">
        <v>4936.36</v>
      </c>
      <c r="J1429" s="70" t="inlineStr">
        <is>
          <t>Completed</t>
        </is>
      </c>
      <c r="K1429" s="70" t="inlineStr">
        <is>
          <t>Chennai</t>
        </is>
      </c>
    </row>
    <row r="1430" ht="14.25" customHeight="1" s="56">
      <c r="A1430" s="70" t="inlineStr">
        <is>
          <t>ORD-01429</t>
        </is>
      </c>
      <c r="B1430" s="71" t="n">
        <v>45523</v>
      </c>
      <c r="C1430" s="70" t="inlineStr">
        <is>
          <t>CUST-0066</t>
        </is>
      </c>
      <c r="D1430" s="70" t="inlineStr">
        <is>
          <t>PROD-009</t>
        </is>
      </c>
      <c r="E1430" s="70" t="inlineStr">
        <is>
          <t>R017</t>
        </is>
      </c>
      <c r="F1430" s="72" t="n">
        <v>10</v>
      </c>
      <c r="G1430" s="72" t="n">
        <v>1220</v>
      </c>
      <c r="H1430" s="72" t="n">
        <v>15.4</v>
      </c>
      <c r="I1430" s="72" t="n">
        <v>10321.2</v>
      </c>
      <c r="J1430" s="70" t="inlineStr">
        <is>
          <t>Completed</t>
        </is>
      </c>
      <c r="K1430" s="70" t="inlineStr">
        <is>
          <t>Delhi</t>
        </is>
      </c>
    </row>
    <row r="1431" ht="14.25" customHeight="1" s="56">
      <c r="A1431" s="70" t="inlineStr">
        <is>
          <t>ORD-01430</t>
        </is>
      </c>
      <c r="B1431" s="71" t="n">
        <v>45439</v>
      </c>
      <c r="C1431" s="70" t="inlineStr">
        <is>
          <t>CUST-0267</t>
        </is>
      </c>
      <c r="D1431" s="70" t="inlineStr">
        <is>
          <t>PROD-027</t>
        </is>
      </c>
      <c r="E1431" s="70" t="inlineStr">
        <is>
          <t>R010</t>
        </is>
      </c>
      <c r="F1431" s="72" t="n">
        <v>3</v>
      </c>
      <c r="G1431" s="72" t="n">
        <v>3780</v>
      </c>
      <c r="H1431" s="72" t="n">
        <v>1.9</v>
      </c>
      <c r="I1431" s="72" t="n">
        <v>11124.54</v>
      </c>
      <c r="J1431" s="70" t="inlineStr">
        <is>
          <t>Completed</t>
        </is>
      </c>
      <c r="K1431" s="70" t="inlineStr">
        <is>
          <t>Hyderabad</t>
        </is>
      </c>
    </row>
    <row r="1432" ht="14.25" customHeight="1" s="56">
      <c r="A1432" s="70" t="inlineStr">
        <is>
          <t>ORD-01431</t>
        </is>
      </c>
      <c r="B1432" s="71" t="n">
        <v>45579</v>
      </c>
      <c r="C1432" s="70" t="inlineStr">
        <is>
          <t>CUST-0034</t>
        </is>
      </c>
      <c r="D1432" s="70" t="inlineStr">
        <is>
          <t>PROD-038</t>
        </is>
      </c>
      <c r="E1432" s="70" t="inlineStr">
        <is>
          <t>R018</t>
        </is>
      </c>
      <c r="F1432" s="72" t="n">
        <v>6</v>
      </c>
      <c r="G1432" s="72" t="n">
        <v>5490</v>
      </c>
      <c r="H1432" s="72" t="n">
        <v>0.5</v>
      </c>
      <c r="I1432" s="72" t="n">
        <v>32775.3</v>
      </c>
      <c r="J1432" s="70" t="inlineStr">
        <is>
          <t>Pending</t>
        </is>
      </c>
      <c r="K1432" s="70" t="inlineStr">
        <is>
          <t>Delhi</t>
        </is>
      </c>
    </row>
    <row r="1433" ht="14.25" customHeight="1" s="56">
      <c r="A1433" s="70" t="inlineStr">
        <is>
          <t>ORD-01432</t>
        </is>
      </c>
      <c r="B1433" s="71" t="n">
        <v>45495</v>
      </c>
      <c r="C1433" s="70" t="inlineStr">
        <is>
          <t>CUST-0029</t>
        </is>
      </c>
      <c r="D1433" s="70" t="inlineStr">
        <is>
          <t>PROD-022</t>
        </is>
      </c>
      <c r="E1433" s="70" t="inlineStr">
        <is>
          <t>R029</t>
        </is>
      </c>
      <c r="F1433" s="72" t="n">
        <v>6</v>
      </c>
      <c r="G1433" s="72" t="n">
        <v>2270</v>
      </c>
      <c r="H1433" s="72" t="n">
        <v>21.5</v>
      </c>
      <c r="I1433" s="72" t="n">
        <v>10691.7</v>
      </c>
      <c r="J1433" s="70" t="inlineStr">
        <is>
          <t>Completed</t>
        </is>
      </c>
      <c r="K1433" s="70" t="inlineStr">
        <is>
          <t>Chennai</t>
        </is>
      </c>
    </row>
    <row r="1434" ht="14.25" customHeight="1" s="56">
      <c r="A1434" s="70" t="inlineStr">
        <is>
          <t>ORD-01433</t>
        </is>
      </c>
      <c r="B1434" s="71" t="n">
        <v>45600</v>
      </c>
      <c r="C1434" s="70" t="inlineStr">
        <is>
          <t>CUST-0224</t>
        </is>
      </c>
      <c r="D1434" s="70" t="inlineStr">
        <is>
          <t>PROD-029</t>
        </is>
      </c>
      <c r="E1434" s="70" t="inlineStr">
        <is>
          <t>R023</t>
        </is>
      </c>
      <c r="F1434" s="72" t="n">
        <v>7</v>
      </c>
      <c r="G1434" s="72" t="n">
        <v>2210</v>
      </c>
      <c r="H1434" s="72" t="n">
        <v>10.3</v>
      </c>
      <c r="I1434" s="72" t="n">
        <v>13876.59</v>
      </c>
      <c r="J1434" s="70" t="inlineStr">
        <is>
          <t>Completed</t>
        </is>
      </c>
      <c r="K1434" s="70" t="inlineStr">
        <is>
          <t>Chennai</t>
        </is>
      </c>
    </row>
    <row r="1435" ht="14.25" customHeight="1" s="56">
      <c r="A1435" s="70" t="inlineStr">
        <is>
          <t>ORD-01434</t>
        </is>
      </c>
      <c r="B1435" s="71" t="n">
        <v>45605</v>
      </c>
      <c r="C1435" s="70" t="inlineStr">
        <is>
          <t>CUST-9889</t>
        </is>
      </c>
      <c r="D1435" s="70" t="inlineStr">
        <is>
          <t>PROD-035</t>
        </is>
      </c>
      <c r="E1435" s="70" t="inlineStr">
        <is>
          <t>R009</t>
        </is>
      </c>
      <c r="F1435" s="72" t="n">
        <v>8</v>
      </c>
      <c r="G1435" s="72" t="n">
        <v>1090</v>
      </c>
      <c r="H1435" s="72" t="n">
        <v>21.7</v>
      </c>
      <c r="I1435" s="72" t="n">
        <v>6827.76</v>
      </c>
      <c r="J1435" s="70" t="inlineStr">
        <is>
          <t>Completed</t>
        </is>
      </c>
      <c r="K1435" s="70" t="inlineStr">
        <is>
          <t>Pune</t>
        </is>
      </c>
    </row>
    <row r="1436" ht="14.25" customHeight="1" s="56">
      <c r="A1436" s="70" t="inlineStr">
        <is>
          <t>ORD-01435</t>
        </is>
      </c>
      <c r="B1436" s="71" t="n">
        <v>45598</v>
      </c>
      <c r="C1436" s="70" t="inlineStr">
        <is>
          <t>CUST-0130</t>
        </is>
      </c>
      <c r="D1436" s="70" t="inlineStr">
        <is>
          <t>PROD-018</t>
        </is>
      </c>
      <c r="E1436" s="70" t="inlineStr">
        <is>
          <t>R002</t>
        </is>
      </c>
      <c r="F1436" s="72" t="n">
        <v>5</v>
      </c>
      <c r="G1436" s="72" t="n">
        <v>3560</v>
      </c>
      <c r="H1436" s="72" t="n">
        <v>19.4</v>
      </c>
      <c r="I1436" s="72" t="n">
        <v>14346.8</v>
      </c>
      <c r="J1436" s="70" t="inlineStr">
        <is>
          <t>Pending</t>
        </is>
      </c>
      <c r="K1436" s="70" t="inlineStr">
        <is>
          <t>Bengaluru</t>
        </is>
      </c>
    </row>
    <row r="1437" ht="14.25" customHeight="1" s="56">
      <c r="A1437" s="70" t="inlineStr">
        <is>
          <t>ORD-01436</t>
        </is>
      </c>
      <c r="B1437" s="71" t="n">
        <v>45452</v>
      </c>
      <c r="C1437" s="70" t="inlineStr">
        <is>
          <t>CUST-0060</t>
        </is>
      </c>
      <c r="D1437" s="70" t="inlineStr">
        <is>
          <t>PROD-054</t>
        </is>
      </c>
      <c r="E1437" s="70" t="inlineStr">
        <is>
          <t>R028</t>
        </is>
      </c>
      <c r="F1437" s="72" t="n">
        <v>7</v>
      </c>
      <c r="G1437" s="72" t="n">
        <v>1010</v>
      </c>
      <c r="H1437" s="72" t="n">
        <v>28.2</v>
      </c>
      <c r="I1437" s="72" t="n">
        <v>5076.26</v>
      </c>
      <c r="J1437" s="70" t="inlineStr">
        <is>
          <t>Completed</t>
        </is>
      </c>
      <c r="K1437" s="70" t="inlineStr">
        <is>
          <t>Pune</t>
        </is>
      </c>
    </row>
    <row r="1438" ht="14.25" customHeight="1" s="56">
      <c r="A1438" s="70" t="inlineStr">
        <is>
          <t>ORD-01437</t>
        </is>
      </c>
      <c r="B1438" s="71" t="n">
        <v>45470</v>
      </c>
      <c r="C1438" s="70" t="inlineStr">
        <is>
          <t>CUST-0299</t>
        </is>
      </c>
      <c r="D1438" s="70" t="inlineStr">
        <is>
          <t>PROD-033</t>
        </is>
      </c>
      <c r="E1438" s="70" t="inlineStr">
        <is>
          <t>R015</t>
        </is>
      </c>
      <c r="F1438" s="72" t="n">
        <v>2</v>
      </c>
      <c r="G1438" s="72" t="n">
        <v>2030</v>
      </c>
      <c r="H1438" s="72" t="n">
        <v>27.3</v>
      </c>
      <c r="I1438" s="72" t="n">
        <v>2951.62</v>
      </c>
      <c r="J1438" s="70" t="inlineStr">
        <is>
          <t>Refunded</t>
        </is>
      </c>
      <c r="K1438" s="70" t="inlineStr">
        <is>
          <t>Mumbai</t>
        </is>
      </c>
    </row>
    <row r="1439" ht="14.25" customHeight="1" s="56">
      <c r="A1439" s="70" t="inlineStr">
        <is>
          <t>ORD-01438</t>
        </is>
      </c>
      <c r="B1439" s="71" t="n">
        <v>45350</v>
      </c>
      <c r="C1439" s="70" t="inlineStr">
        <is>
          <t>CUST-0013</t>
        </is>
      </c>
      <c r="D1439" s="70" t="inlineStr">
        <is>
          <t>PROD-001</t>
        </is>
      </c>
      <c r="E1439" s="70" t="inlineStr">
        <is>
          <t>R012</t>
        </is>
      </c>
      <c r="F1439" s="72" t="n">
        <v>6</v>
      </c>
      <c r="G1439" s="72" t="n">
        <v>5330</v>
      </c>
      <c r="H1439" s="72" t="n">
        <v>0.6</v>
      </c>
      <c r="I1439" s="72" t="n">
        <v>31788.12</v>
      </c>
      <c r="J1439" s="70" t="inlineStr">
        <is>
          <t>Completed</t>
        </is>
      </c>
      <c r="K1439" s="70" t="inlineStr">
        <is>
          <t>Delhi</t>
        </is>
      </c>
    </row>
    <row r="1440" ht="14.25" customHeight="1" s="56">
      <c r="A1440" s="70" t="inlineStr">
        <is>
          <t>ORD-01439</t>
        </is>
      </c>
      <c r="B1440" s="71" t="n">
        <v>45514</v>
      </c>
      <c r="C1440" s="70" t="inlineStr">
        <is>
          <t>CUST-0193</t>
        </is>
      </c>
      <c r="D1440" s="70" t="inlineStr">
        <is>
          <t>PROD-010</t>
        </is>
      </c>
      <c r="E1440" s="70" t="inlineStr">
        <is>
          <t>R007</t>
        </is>
      </c>
      <c r="F1440" s="72" t="n">
        <v>2</v>
      </c>
      <c r="G1440" s="72" t="n">
        <v>2640</v>
      </c>
      <c r="H1440" s="72" t="n">
        <v>26</v>
      </c>
      <c r="I1440" s="72" t="n">
        <v>3907.2</v>
      </c>
      <c r="J1440" s="70" t="inlineStr">
        <is>
          <t>Pending</t>
        </is>
      </c>
      <c r="K1440" s="70" t="inlineStr">
        <is>
          <t>Bengaluru</t>
        </is>
      </c>
    </row>
    <row r="1441" ht="14.25" customHeight="1" s="56">
      <c r="A1441" s="70" t="inlineStr">
        <is>
          <t>ORD-01440</t>
        </is>
      </c>
      <c r="B1441" s="71" t="n">
        <v>45447</v>
      </c>
      <c r="C1441" s="70" t="inlineStr">
        <is>
          <t>CUST-0170</t>
        </is>
      </c>
      <c r="D1441" s="70" t="inlineStr">
        <is>
          <t>PROD-008</t>
        </is>
      </c>
      <c r="E1441" s="70" t="inlineStr">
        <is>
          <t>R012</t>
        </is>
      </c>
      <c r="F1441" s="72" t="n">
        <v>8</v>
      </c>
      <c r="G1441" s="72" t="n">
        <v>2660</v>
      </c>
      <c r="H1441" s="72" t="n">
        <v>2.9</v>
      </c>
      <c r="I1441" s="72" t="n">
        <v>20662.88</v>
      </c>
      <c r="J1441" s="70" t="inlineStr">
        <is>
          <t>Completed</t>
        </is>
      </c>
      <c r="K1441" s="70" t="inlineStr">
        <is>
          <t>Mumbai</t>
        </is>
      </c>
    </row>
    <row r="1442" ht="14.25" customHeight="1" s="56">
      <c r="A1442" s="70" t="inlineStr">
        <is>
          <t>ORD-01441</t>
        </is>
      </c>
      <c r="B1442" s="71" t="n">
        <v>45390</v>
      </c>
      <c r="C1442" s="70" t="inlineStr">
        <is>
          <t>CUST-0063</t>
        </is>
      </c>
      <c r="D1442" s="70" t="inlineStr">
        <is>
          <t>PROD-036</t>
        </is>
      </c>
      <c r="E1442" s="70" t="inlineStr">
        <is>
          <t>R023</t>
        </is>
      </c>
      <c r="F1442" s="72" t="n">
        <v>6</v>
      </c>
      <c r="G1442" s="72" t="n">
        <v>3250</v>
      </c>
      <c r="H1442" s="72" t="n">
        <v>11.1</v>
      </c>
      <c r="I1442" s="72" t="n">
        <v>17335.5</v>
      </c>
      <c r="J1442" s="70" t="inlineStr">
        <is>
          <t>Completed</t>
        </is>
      </c>
      <c r="K1442" s="70" t="inlineStr">
        <is>
          <t>Mumbai</t>
        </is>
      </c>
    </row>
    <row r="1443" ht="14.25" customHeight="1" s="56">
      <c r="A1443" s="70" t="inlineStr">
        <is>
          <t>ORD-01442</t>
        </is>
      </c>
      <c r="B1443" s="71" t="n">
        <v>45307</v>
      </c>
      <c r="C1443" s="70" t="inlineStr">
        <is>
          <t>CUST-0168</t>
        </is>
      </c>
      <c r="D1443" s="70" t="inlineStr">
        <is>
          <t>PROD-029</t>
        </is>
      </c>
      <c r="E1443" s="70" t="inlineStr">
        <is>
          <t>R004</t>
        </is>
      </c>
      <c r="F1443" s="72" t="n">
        <v>1</v>
      </c>
      <c r="G1443" s="72" t="n">
        <v>2210</v>
      </c>
      <c r="H1443" s="72" t="n">
        <v>3.5</v>
      </c>
      <c r="I1443" s="72" t="n">
        <v>2132.65</v>
      </c>
      <c r="J1443" s="70" t="inlineStr">
        <is>
          <t>Completed</t>
        </is>
      </c>
      <c r="K1443" s="70" t="inlineStr">
        <is>
          <t>Pune</t>
        </is>
      </c>
    </row>
    <row r="1444" ht="14.25" customHeight="1" s="56">
      <c r="A1444" s="70" t="inlineStr">
        <is>
          <t>ORD-01443</t>
        </is>
      </c>
      <c r="B1444" s="71" t="n">
        <v>45432</v>
      </c>
      <c r="C1444" s="70" t="inlineStr">
        <is>
          <t>CUST-0124</t>
        </is>
      </c>
      <c r="D1444" s="70" t="inlineStr">
        <is>
          <t>PROD-032</t>
        </is>
      </c>
      <c r="E1444" s="70" t="inlineStr">
        <is>
          <t>R019</t>
        </is>
      </c>
      <c r="F1444" s="72" t="n">
        <v>9</v>
      </c>
      <c r="G1444" s="72" t="n">
        <v>370</v>
      </c>
      <c r="H1444" s="72" t="n">
        <v>12.4</v>
      </c>
      <c r="I1444" s="72" t="n">
        <v>2917.08</v>
      </c>
      <c r="J1444" s="70" t="inlineStr">
        <is>
          <t>Completed</t>
        </is>
      </c>
      <c r="K1444" s="70" t="inlineStr">
        <is>
          <t>Pune</t>
        </is>
      </c>
    </row>
    <row r="1445" ht="14.25" customHeight="1" s="56">
      <c r="A1445" s="70" t="inlineStr">
        <is>
          <t>ORD-01444</t>
        </is>
      </c>
      <c r="B1445" s="71" t="n">
        <v>45453</v>
      </c>
      <c r="C1445" s="70" t="inlineStr">
        <is>
          <t>CUST-0138</t>
        </is>
      </c>
      <c r="D1445" s="70" t="inlineStr">
        <is>
          <t>PROD-059</t>
        </is>
      </c>
      <c r="E1445" s="70" t="inlineStr">
        <is>
          <t>R022</t>
        </is>
      </c>
      <c r="F1445" s="72" t="n">
        <v>3</v>
      </c>
      <c r="G1445" s="72" t="n">
        <v>3780</v>
      </c>
      <c r="H1445" s="72" t="n">
        <v>8.5</v>
      </c>
      <c r="I1445" s="72" t="n">
        <v>10376.1</v>
      </c>
      <c r="J1445" s="70" t="inlineStr">
        <is>
          <t>Pending</t>
        </is>
      </c>
      <c r="K1445" s="70" t="inlineStr">
        <is>
          <t>Chennai</t>
        </is>
      </c>
    </row>
    <row r="1446" ht="14.25" customHeight="1" s="56">
      <c r="A1446" s="70" t="inlineStr">
        <is>
          <t>ORD-01445</t>
        </is>
      </c>
      <c r="B1446" s="71" t="n">
        <v>45397</v>
      </c>
      <c r="C1446" s="70" t="inlineStr">
        <is>
          <t>CUST-0146</t>
        </is>
      </c>
      <c r="D1446" s="70" t="inlineStr">
        <is>
          <t>PROD-054</t>
        </is>
      </c>
      <c r="E1446" s="70" t="inlineStr">
        <is>
          <t>R002</t>
        </is>
      </c>
      <c r="F1446" s="72" t="n">
        <v>2</v>
      </c>
      <c r="G1446" s="72" t="n">
        <v>1010</v>
      </c>
      <c r="H1446" s="72" t="n">
        <v>2.7</v>
      </c>
      <c r="I1446" s="72" t="n">
        <v>1965.46</v>
      </c>
      <c r="J1446" s="70" t="inlineStr">
        <is>
          <t>Completed</t>
        </is>
      </c>
      <c r="K1446" s="70" t="inlineStr">
        <is>
          <t>Hyderabad</t>
        </is>
      </c>
    </row>
    <row r="1447" ht="14.25" customHeight="1" s="56">
      <c r="A1447" s="70" t="inlineStr">
        <is>
          <t>ORD-01446</t>
        </is>
      </c>
      <c r="B1447" s="71" t="n">
        <v>45639</v>
      </c>
      <c r="C1447" s="70" t="inlineStr">
        <is>
          <t>CUST-0244</t>
        </is>
      </c>
      <c r="D1447" s="70" t="inlineStr">
        <is>
          <t>PROD-020</t>
        </is>
      </c>
      <c r="E1447" s="70" t="inlineStr">
        <is>
          <t>R012</t>
        </is>
      </c>
      <c r="F1447" s="72" t="n">
        <v>2</v>
      </c>
      <c r="G1447" s="72" t="n">
        <v>820</v>
      </c>
      <c r="H1447" s="72" t="n">
        <v>13.2</v>
      </c>
      <c r="I1447" s="72" t="n">
        <v>1423.52</v>
      </c>
      <c r="J1447" s="70" t="inlineStr">
        <is>
          <t>Pending</t>
        </is>
      </c>
      <c r="K1447" s="70" t="inlineStr">
        <is>
          <t>Bengaluru</t>
        </is>
      </c>
    </row>
    <row r="1448" ht="14.25" customHeight="1" s="56">
      <c r="A1448" s="70" t="inlineStr">
        <is>
          <t>ORD-01447</t>
        </is>
      </c>
      <c r="B1448" s="71" t="n">
        <v>45482</v>
      </c>
      <c r="C1448" s="70" t="inlineStr">
        <is>
          <t>CUST-0291</t>
        </is>
      </c>
      <c r="D1448" s="70" t="inlineStr">
        <is>
          <t>PROD-028</t>
        </is>
      </c>
      <c r="E1448" s="70" t="inlineStr">
        <is>
          <t>R012</t>
        </is>
      </c>
      <c r="F1448" s="72" t="n">
        <v>1</v>
      </c>
      <c r="G1448" s="72" t="n">
        <v>3660</v>
      </c>
      <c r="H1448" s="72" t="n">
        <v>14</v>
      </c>
      <c r="I1448" s="72" t="n">
        <v>3147.6</v>
      </c>
      <c r="J1448" s="70" t="inlineStr">
        <is>
          <t>Refunded</t>
        </is>
      </c>
      <c r="K1448" s="70" t="inlineStr">
        <is>
          <t>Pune</t>
        </is>
      </c>
    </row>
    <row r="1449" ht="14.25" customHeight="1" s="56">
      <c r="A1449" s="70" t="inlineStr">
        <is>
          <t>ORD-01448</t>
        </is>
      </c>
      <c r="B1449" s="71" t="n">
        <v>45447</v>
      </c>
      <c r="C1449" s="70" t="inlineStr">
        <is>
          <t>CUST-0222</t>
        </is>
      </c>
      <c r="D1449" s="70" t="inlineStr">
        <is>
          <t>PROD-022</t>
        </is>
      </c>
      <c r="E1449" s="70" t="inlineStr">
        <is>
          <t>R017</t>
        </is>
      </c>
      <c r="F1449" s="72" t="n">
        <v>6</v>
      </c>
      <c r="G1449" s="72" t="n">
        <v>2270</v>
      </c>
      <c r="H1449" s="72" t="n">
        <v>16</v>
      </c>
      <c r="I1449" s="72" t="n">
        <v>11440.8</v>
      </c>
      <c r="J1449" s="70" t="inlineStr">
        <is>
          <t>Completed</t>
        </is>
      </c>
      <c r="K1449" s="70" t="inlineStr">
        <is>
          <t>Chennai</t>
        </is>
      </c>
    </row>
    <row r="1450" ht="14.25" customHeight="1" s="56">
      <c r="A1450" s="70" t="inlineStr">
        <is>
          <t>ORD-01449</t>
        </is>
      </c>
      <c r="B1450" s="71" t="n">
        <v>45598</v>
      </c>
      <c r="C1450" s="70" t="inlineStr">
        <is>
          <t>CUST-0137</t>
        </is>
      </c>
      <c r="D1450" s="70" t="inlineStr">
        <is>
          <t>PROD-049</t>
        </is>
      </c>
      <c r="E1450" s="70" t="inlineStr">
        <is>
          <t>R019</t>
        </is>
      </c>
      <c r="F1450" s="72" t="n">
        <v>7</v>
      </c>
      <c r="G1450" s="72" t="n">
        <v>960</v>
      </c>
      <c r="H1450" s="72" t="n">
        <v>28.8</v>
      </c>
      <c r="I1450" s="72" t="n">
        <v>4784.64</v>
      </c>
      <c r="J1450" s="70" t="inlineStr">
        <is>
          <t>Refunded</t>
        </is>
      </c>
      <c r="K1450" s="70" t="inlineStr">
        <is>
          <t>Mumbai</t>
        </is>
      </c>
    </row>
    <row r="1451" ht="14.25" customHeight="1" s="56">
      <c r="A1451" s="70" t="inlineStr">
        <is>
          <t>ORD-01450</t>
        </is>
      </c>
      <c r="B1451" s="71" t="n">
        <v>45645</v>
      </c>
      <c r="C1451" s="70" t="inlineStr">
        <is>
          <t>CUST-0150</t>
        </is>
      </c>
      <c r="D1451" s="70" t="inlineStr">
        <is>
          <t>PROD-033</t>
        </is>
      </c>
      <c r="E1451" s="70" t="inlineStr">
        <is>
          <t>R025</t>
        </is>
      </c>
      <c r="F1451" s="72" t="n">
        <v>9</v>
      </c>
      <c r="G1451" s="72" t="n">
        <v>2030</v>
      </c>
      <c r="H1451" s="72" t="n">
        <v>3.4</v>
      </c>
      <c r="I1451" s="72" t="n">
        <v>17648.82</v>
      </c>
      <c r="J1451" s="70" t="inlineStr">
        <is>
          <t>Completed</t>
        </is>
      </c>
      <c r="K1451" s="70" t="inlineStr">
        <is>
          <t>Pune</t>
        </is>
      </c>
    </row>
    <row r="1452" ht="14.25" customHeight="1" s="56">
      <c r="A1452" s="70" t="inlineStr">
        <is>
          <t>ORD-01451</t>
        </is>
      </c>
      <c r="B1452" s="71" t="n">
        <v>45299</v>
      </c>
      <c r="C1452" s="70" t="inlineStr">
        <is>
          <t>CUST-0058</t>
        </is>
      </c>
      <c r="D1452" s="70" t="inlineStr">
        <is>
          <t>PROD-023</t>
        </is>
      </c>
      <c r="E1452" s="70" t="inlineStr">
        <is>
          <t>R005</t>
        </is>
      </c>
      <c r="F1452" s="72" t="n">
        <v>6</v>
      </c>
      <c r="G1452" s="72" t="n">
        <v>2380</v>
      </c>
      <c r="H1452" s="72" t="n">
        <v>13.2</v>
      </c>
      <c r="I1452" s="72" t="n">
        <v>12395.04</v>
      </c>
      <c r="J1452" s="70" t="inlineStr">
        <is>
          <t>Completed</t>
        </is>
      </c>
      <c r="K1452" s="70" t="inlineStr">
        <is>
          <t>Bengaluru</t>
        </is>
      </c>
    </row>
    <row r="1453" ht="14.25" customHeight="1" s="56">
      <c r="A1453" s="70" t="inlineStr">
        <is>
          <t>ORD-01452</t>
        </is>
      </c>
      <c r="B1453" s="71" t="n">
        <v>45308</v>
      </c>
      <c r="C1453" s="70" t="inlineStr">
        <is>
          <t>CUST-0187</t>
        </is>
      </c>
      <c r="D1453" s="70" t="inlineStr">
        <is>
          <t>PROD-047</t>
        </is>
      </c>
      <c r="E1453" s="70" t="inlineStr">
        <is>
          <t>R009</t>
        </is>
      </c>
      <c r="F1453" s="72" t="n">
        <v>10</v>
      </c>
      <c r="G1453" s="72" t="n">
        <v>3450</v>
      </c>
      <c r="H1453" s="72" t="n">
        <v>8.699999999999999</v>
      </c>
      <c r="I1453" s="72" t="n">
        <v>31498.5</v>
      </c>
      <c r="J1453" s="70" t="inlineStr">
        <is>
          <t>Completed</t>
        </is>
      </c>
      <c r="K1453" s="70" t="inlineStr">
        <is>
          <t>Chennai</t>
        </is>
      </c>
    </row>
    <row r="1454" ht="14.25" customHeight="1" s="56">
      <c r="A1454" s="70" t="inlineStr">
        <is>
          <t>ORD-01453</t>
        </is>
      </c>
      <c r="B1454" s="71" t="n">
        <v>45487</v>
      </c>
      <c r="C1454" s="70" t="inlineStr">
        <is>
          <t>CUST-0116</t>
        </is>
      </c>
      <c r="D1454" s="70" t="inlineStr">
        <is>
          <t>PROD-049</t>
        </is>
      </c>
      <c r="E1454" s="70" t="inlineStr">
        <is>
          <t>R021</t>
        </is>
      </c>
      <c r="F1454" s="72" t="n">
        <v>6</v>
      </c>
      <c r="G1454" s="72" t="n">
        <v>960</v>
      </c>
      <c r="H1454" s="72" t="n">
        <v>20.6</v>
      </c>
      <c r="I1454" s="72" t="n">
        <v>4573.44</v>
      </c>
      <c r="J1454" s="70" t="inlineStr">
        <is>
          <t>Pending</t>
        </is>
      </c>
      <c r="K1454" s="70" t="inlineStr">
        <is>
          <t>Bengaluru</t>
        </is>
      </c>
    </row>
    <row r="1455" ht="14.25" customHeight="1" s="56">
      <c r="A1455" s="70" t="inlineStr">
        <is>
          <t>ORD-01454</t>
        </is>
      </c>
      <c r="B1455" s="71" t="n">
        <v>45341</v>
      </c>
      <c r="C1455" s="70" t="inlineStr">
        <is>
          <t>CUST-0290</t>
        </is>
      </c>
      <c r="D1455" s="70" t="inlineStr">
        <is>
          <t>PROD-018</t>
        </is>
      </c>
      <c r="E1455" s="70" t="inlineStr">
        <is>
          <t>R013</t>
        </is>
      </c>
      <c r="F1455" s="72" t="n">
        <v>10</v>
      </c>
      <c r="G1455" s="72" t="n">
        <v>3560</v>
      </c>
      <c r="H1455" s="72" t="n">
        <v>1.4</v>
      </c>
      <c r="I1455" s="72" t="n">
        <v>35101.6</v>
      </c>
      <c r="J1455" s="70" t="inlineStr">
        <is>
          <t>Pending</t>
        </is>
      </c>
      <c r="K1455" s="70" t="inlineStr">
        <is>
          <t>Delhi</t>
        </is>
      </c>
    </row>
    <row r="1456" ht="14.25" customHeight="1" s="56">
      <c r="A1456" s="70" t="inlineStr">
        <is>
          <t>ORD-01455</t>
        </is>
      </c>
      <c r="B1456" s="71" t="n">
        <v>45354</v>
      </c>
      <c r="C1456" s="70" t="inlineStr">
        <is>
          <t>CUST-0053</t>
        </is>
      </c>
      <c r="D1456" s="70" t="inlineStr">
        <is>
          <t>PROD-015</t>
        </is>
      </c>
      <c r="E1456" s="70" t="inlineStr">
        <is>
          <t>R014</t>
        </is>
      </c>
      <c r="F1456" s="72" t="n">
        <v>4</v>
      </c>
      <c r="G1456" s="72" t="n">
        <v>2720</v>
      </c>
      <c r="H1456" s="72" t="n">
        <v>19.4</v>
      </c>
      <c r="I1456" s="72" t="n">
        <v>8769.280000000001</v>
      </c>
      <c r="J1456" s="70" t="inlineStr">
        <is>
          <t>Refunded</t>
        </is>
      </c>
      <c r="K1456" s="70" t="inlineStr">
        <is>
          <t>Delhi</t>
        </is>
      </c>
    </row>
    <row r="1457" ht="14.25" customHeight="1" s="56">
      <c r="A1457" s="70" t="inlineStr">
        <is>
          <t>ORD-01456</t>
        </is>
      </c>
      <c r="B1457" s="71" t="n">
        <v>45458</v>
      </c>
      <c r="C1457" s="70" t="inlineStr">
        <is>
          <t>CUST-0044</t>
        </is>
      </c>
      <c r="D1457" s="70" t="inlineStr">
        <is>
          <t>PROD-009</t>
        </is>
      </c>
      <c r="E1457" s="70" t="inlineStr">
        <is>
          <t>R029</t>
        </is>
      </c>
      <c r="F1457" s="72" t="n">
        <v>5</v>
      </c>
      <c r="G1457" s="72" t="n">
        <v>1220</v>
      </c>
      <c r="H1457" s="72" t="n">
        <v>15.6</v>
      </c>
      <c r="I1457" s="72" t="n">
        <v>5148.4</v>
      </c>
      <c r="J1457" s="70" t="inlineStr">
        <is>
          <t>Completed</t>
        </is>
      </c>
      <c r="K1457" s="70" t="inlineStr">
        <is>
          <t>Hyderabad</t>
        </is>
      </c>
    </row>
    <row r="1458" ht="14.25" customHeight="1" s="56">
      <c r="A1458" s="70" t="inlineStr">
        <is>
          <t>ORD-01457</t>
        </is>
      </c>
      <c r="B1458" s="71" t="n">
        <v>45364</v>
      </c>
      <c r="C1458" s="70" t="inlineStr">
        <is>
          <t>CUST-0267</t>
        </is>
      </c>
      <c r="D1458" s="70" t="inlineStr">
        <is>
          <t>PROD-035</t>
        </is>
      </c>
      <c r="E1458" s="70" t="inlineStr">
        <is>
          <t>R026</t>
        </is>
      </c>
      <c r="F1458" s="72" t="n">
        <v>5</v>
      </c>
      <c r="G1458" s="72" t="n">
        <v>1090</v>
      </c>
      <c r="H1458" s="72" t="n">
        <v>15</v>
      </c>
      <c r="I1458" s="72" t="n">
        <v>4632.5</v>
      </c>
      <c r="J1458" s="70" t="inlineStr">
        <is>
          <t>Completed</t>
        </is>
      </c>
      <c r="K1458" s="70" t="inlineStr">
        <is>
          <t>Hyderabad</t>
        </is>
      </c>
    </row>
    <row r="1459" ht="14.25" customHeight="1" s="56">
      <c r="A1459" s="70" t="inlineStr">
        <is>
          <t>ORD-01458</t>
        </is>
      </c>
      <c r="B1459" s="71" t="n">
        <v>45618</v>
      </c>
      <c r="C1459" s="70" t="inlineStr">
        <is>
          <t>CUST-0179</t>
        </is>
      </c>
      <c r="D1459" s="70" t="inlineStr">
        <is>
          <t>PROD-032</t>
        </is>
      </c>
      <c r="E1459" s="70" t="inlineStr">
        <is>
          <t>R029</t>
        </is>
      </c>
      <c r="F1459" s="72" t="n">
        <v>9</v>
      </c>
      <c r="G1459" s="72" t="n">
        <v>370</v>
      </c>
      <c r="H1459" s="72" t="n">
        <v>25.4</v>
      </c>
      <c r="I1459" s="72" t="n">
        <v>2484.18</v>
      </c>
      <c r="J1459" s="70" t="inlineStr">
        <is>
          <t>Completed</t>
        </is>
      </c>
      <c r="K1459" s="70" t="inlineStr">
        <is>
          <t>Mumbai</t>
        </is>
      </c>
    </row>
    <row r="1460" ht="14.25" customHeight="1" s="56">
      <c r="A1460" s="70" t="inlineStr">
        <is>
          <t>ORD-01459</t>
        </is>
      </c>
      <c r="B1460" s="71" t="n">
        <v>45456</v>
      </c>
      <c r="C1460" s="70" t="inlineStr">
        <is>
          <t>CUST-0089</t>
        </is>
      </c>
      <c r="D1460" s="70" t="inlineStr">
        <is>
          <t>PROD-055</t>
        </is>
      </c>
      <c r="E1460" s="70" t="inlineStr">
        <is>
          <t>R007</t>
        </is>
      </c>
      <c r="F1460" s="72" t="n">
        <v>7</v>
      </c>
      <c r="G1460" s="72" t="n">
        <v>2860</v>
      </c>
      <c r="H1460" s="72" t="n">
        <v>14</v>
      </c>
      <c r="I1460" s="72" t="n">
        <v>17217.2</v>
      </c>
      <c r="J1460" s="70" t="inlineStr">
        <is>
          <t>Completed</t>
        </is>
      </c>
      <c r="K1460" s="70" t="inlineStr">
        <is>
          <t>Mumbai</t>
        </is>
      </c>
    </row>
    <row r="1461" ht="14.25" customHeight="1" s="56">
      <c r="A1461" s="70" t="inlineStr">
        <is>
          <t>ORD-01460</t>
        </is>
      </c>
      <c r="B1461" s="71" t="n">
        <v>45490</v>
      </c>
      <c r="C1461" s="70" t="inlineStr">
        <is>
          <t>CUST-0090</t>
        </is>
      </c>
      <c r="D1461" s="70" t="inlineStr">
        <is>
          <t>PROD-029</t>
        </is>
      </c>
      <c r="E1461" s="70" t="inlineStr">
        <is>
          <t>R026</t>
        </is>
      </c>
      <c r="F1461" s="72" t="n">
        <v>1</v>
      </c>
      <c r="G1461" s="72" t="n">
        <v>2210</v>
      </c>
      <c r="H1461" s="72" t="n">
        <v>1.7</v>
      </c>
      <c r="I1461" s="72" t="n">
        <v>2172.43</v>
      </c>
      <c r="J1461" s="70" t="inlineStr">
        <is>
          <t>Completed</t>
        </is>
      </c>
      <c r="K1461" s="70" t="inlineStr">
        <is>
          <t>Bengaluru</t>
        </is>
      </c>
    </row>
    <row r="1462" ht="14.25" customHeight="1" s="56">
      <c r="A1462" s="70" t="inlineStr">
        <is>
          <t>ORD-01461</t>
        </is>
      </c>
      <c r="B1462" s="71" t="n">
        <v>45584</v>
      </c>
      <c r="C1462" s="70" t="inlineStr">
        <is>
          <t>CUST-0135</t>
        </is>
      </c>
      <c r="D1462" s="70" t="inlineStr">
        <is>
          <t>PROD-030</t>
        </is>
      </c>
      <c r="E1462" s="70" t="inlineStr">
        <is>
          <t>R025</t>
        </is>
      </c>
      <c r="F1462" s="72" t="n">
        <v>3</v>
      </c>
      <c r="G1462" s="72" t="n">
        <v>970</v>
      </c>
      <c r="H1462" s="72" t="n">
        <v>20.3</v>
      </c>
      <c r="I1462" s="72" t="n">
        <v>2319.27</v>
      </c>
      <c r="J1462" s="70" t="inlineStr">
        <is>
          <t>Pending</t>
        </is>
      </c>
      <c r="K1462" s="70" t="inlineStr">
        <is>
          <t>Pune</t>
        </is>
      </c>
    </row>
    <row r="1463" ht="14.25" customHeight="1" s="56">
      <c r="A1463" s="70" t="inlineStr">
        <is>
          <t>ORD-01462</t>
        </is>
      </c>
      <c r="B1463" s="71" t="n">
        <v>45476</v>
      </c>
      <c r="C1463" s="70" t="inlineStr">
        <is>
          <t>CUST-0252</t>
        </is>
      </c>
      <c r="D1463" s="70" t="inlineStr">
        <is>
          <t>PROD-018</t>
        </is>
      </c>
      <c r="E1463" s="70" t="inlineStr">
        <is>
          <t>R021</t>
        </is>
      </c>
      <c r="F1463" s="72" t="n">
        <v>5</v>
      </c>
      <c r="G1463" s="72" t="n">
        <v>3560</v>
      </c>
      <c r="H1463" s="72" t="n">
        <v>17.1</v>
      </c>
      <c r="I1463" s="72" t="n">
        <v>14756.2</v>
      </c>
      <c r="J1463" s="70" t="inlineStr">
        <is>
          <t>Completed</t>
        </is>
      </c>
      <c r="K1463" s="70" t="inlineStr">
        <is>
          <t>Bengaluru</t>
        </is>
      </c>
    </row>
    <row r="1464" ht="14.25" customHeight="1" s="56">
      <c r="A1464" s="70" t="inlineStr">
        <is>
          <t>ORD-01463</t>
        </is>
      </c>
      <c r="B1464" s="71" t="n">
        <v>45387</v>
      </c>
      <c r="C1464" s="70" t="inlineStr">
        <is>
          <t>CUST-0086</t>
        </is>
      </c>
      <c r="D1464" s="70" t="inlineStr">
        <is>
          <t>PROD-040</t>
        </is>
      </c>
      <c r="E1464" s="70" t="inlineStr">
        <is>
          <t>R023</t>
        </is>
      </c>
      <c r="F1464" s="72" t="n">
        <v>10</v>
      </c>
      <c r="G1464" s="72" t="n">
        <v>1080</v>
      </c>
      <c r="H1464" s="72" t="n">
        <v>12.8</v>
      </c>
      <c r="I1464" s="72" t="n">
        <v>9417.6</v>
      </c>
      <c r="J1464" s="70" t="inlineStr">
        <is>
          <t>Completed</t>
        </is>
      </c>
      <c r="K1464" s="70" t="inlineStr">
        <is>
          <t>Hyderabad</t>
        </is>
      </c>
    </row>
    <row r="1465" ht="14.25" customHeight="1" s="56">
      <c r="A1465" s="70" t="inlineStr">
        <is>
          <t>ORD-01464</t>
        </is>
      </c>
      <c r="B1465" s="71" t="n">
        <v>45324</v>
      </c>
      <c r="C1465" s="70" t="inlineStr">
        <is>
          <t>CUST-0264</t>
        </is>
      </c>
      <c r="D1465" s="70" t="inlineStr">
        <is>
          <t>PROD-009</t>
        </is>
      </c>
      <c r="E1465" s="70" t="inlineStr">
        <is>
          <t>R011</t>
        </is>
      </c>
      <c r="F1465" s="72" t="n">
        <v>3</v>
      </c>
      <c r="G1465" s="72" t="n">
        <v>1220</v>
      </c>
      <c r="H1465" s="72" t="n">
        <v>1.9</v>
      </c>
      <c r="I1465" s="72" t="n">
        <v>3590.46</v>
      </c>
      <c r="J1465" s="70" t="inlineStr">
        <is>
          <t>Completed</t>
        </is>
      </c>
      <c r="K1465" s="70" t="inlineStr">
        <is>
          <t>Pune</t>
        </is>
      </c>
    </row>
    <row r="1466" ht="14.25" customHeight="1" s="56">
      <c r="A1466" s="70" t="inlineStr">
        <is>
          <t>ORD-01465</t>
        </is>
      </c>
      <c r="B1466" s="71" t="n">
        <v>45479</v>
      </c>
      <c r="C1466" s="70" t="inlineStr">
        <is>
          <t>CUST-9851</t>
        </is>
      </c>
      <c r="D1466" s="70" t="inlineStr">
        <is>
          <t>PROD-031</t>
        </is>
      </c>
      <c r="E1466" s="70" t="inlineStr">
        <is>
          <t>R009</t>
        </is>
      </c>
      <c r="F1466" s="72" t="n">
        <v>1</v>
      </c>
      <c r="G1466" s="72" t="n">
        <v>3730</v>
      </c>
      <c r="H1466" s="72" t="n">
        <v>14.7</v>
      </c>
      <c r="I1466" s="72" t="n">
        <v>3181.69</v>
      </c>
      <c r="J1466" s="70" t="inlineStr">
        <is>
          <t>Pending</t>
        </is>
      </c>
      <c r="K1466" s="70" t="inlineStr">
        <is>
          <t>Pune</t>
        </is>
      </c>
    </row>
    <row r="1467" ht="14.25" customHeight="1" s="56">
      <c r="A1467" s="70" t="inlineStr">
        <is>
          <t>ORD-01466</t>
        </is>
      </c>
      <c r="B1467" s="71" t="n">
        <v>45628</v>
      </c>
      <c r="C1467" s="70" t="inlineStr">
        <is>
          <t>CUST-0143</t>
        </is>
      </c>
      <c r="D1467" s="70" t="inlineStr">
        <is>
          <t>PROD-007</t>
        </is>
      </c>
      <c r="E1467" s="70" t="inlineStr">
        <is>
          <t>R001</t>
        </is>
      </c>
      <c r="F1467" s="72" t="n">
        <v>3</v>
      </c>
      <c r="G1467" s="72" t="n">
        <v>1430</v>
      </c>
      <c r="H1467" s="72" t="n">
        <v>13.2</v>
      </c>
      <c r="I1467" s="72" t="n">
        <v>3723.72</v>
      </c>
      <c r="J1467" s="70" t="inlineStr">
        <is>
          <t>Completed</t>
        </is>
      </c>
      <c r="K1467" s="70" t="inlineStr">
        <is>
          <t>Chennai</t>
        </is>
      </c>
    </row>
    <row r="1468" ht="14.25" customHeight="1" s="56">
      <c r="A1468" s="70" t="inlineStr">
        <is>
          <t>ORD-01467</t>
        </is>
      </c>
      <c r="B1468" s="71" t="n">
        <v>45413</v>
      </c>
      <c r="C1468" s="70" t="inlineStr">
        <is>
          <t>CUST-0086</t>
        </is>
      </c>
      <c r="D1468" s="70" t="inlineStr">
        <is>
          <t>PROD-050</t>
        </is>
      </c>
      <c r="E1468" s="70" t="inlineStr">
        <is>
          <t>R018</t>
        </is>
      </c>
      <c r="F1468" s="72" t="n">
        <v>2</v>
      </c>
      <c r="G1468" s="72" t="n">
        <v>6080</v>
      </c>
      <c r="H1468" s="72" t="n">
        <v>21.8</v>
      </c>
      <c r="I1468" s="72" t="n">
        <v>9509.120000000001</v>
      </c>
      <c r="J1468" s="70" t="inlineStr">
        <is>
          <t>Cancelled</t>
        </is>
      </c>
      <c r="K1468" s="70" t="inlineStr">
        <is>
          <t>Hyderabad</t>
        </is>
      </c>
    </row>
    <row r="1469" ht="14.25" customHeight="1" s="56">
      <c r="A1469" s="70" t="inlineStr">
        <is>
          <t>ORD-01468</t>
        </is>
      </c>
      <c r="B1469" s="71" t="n">
        <v>45343</v>
      </c>
      <c r="C1469" s="70" t="inlineStr">
        <is>
          <t>CUST-0196</t>
        </is>
      </c>
      <c r="D1469" s="70" t="inlineStr">
        <is>
          <t>PROD-048</t>
        </is>
      </c>
      <c r="E1469" s="70" t="inlineStr">
        <is>
          <t>R015</t>
        </is>
      </c>
      <c r="F1469" s="72" t="n">
        <v>9</v>
      </c>
      <c r="G1469" s="72" t="n">
        <v>5100</v>
      </c>
      <c r="H1469" s="72" t="n">
        <v>29.3</v>
      </c>
      <c r="I1469" s="72" t="n">
        <v>32451.3</v>
      </c>
      <c r="J1469" s="70" t="inlineStr">
        <is>
          <t>Completed</t>
        </is>
      </c>
      <c r="K1469" s="70" t="inlineStr">
        <is>
          <t>Chennai</t>
        </is>
      </c>
    </row>
    <row r="1470" ht="14.25" customHeight="1" s="56">
      <c r="A1470" s="70" t="inlineStr">
        <is>
          <t>ORD-01469</t>
        </is>
      </c>
      <c r="B1470" s="71" t="n">
        <v>45424</v>
      </c>
      <c r="C1470" s="70" t="inlineStr">
        <is>
          <t>CUST-0089</t>
        </is>
      </c>
      <c r="D1470" s="70" t="inlineStr">
        <is>
          <t>PROD-011</t>
        </is>
      </c>
      <c r="E1470" s="70" t="inlineStr">
        <is>
          <t>R014</t>
        </is>
      </c>
      <c r="F1470" s="72" t="n">
        <v>5</v>
      </c>
      <c r="G1470" s="72" t="n">
        <v>3450</v>
      </c>
      <c r="H1470" s="72" t="n">
        <v>5.3</v>
      </c>
      <c r="I1470" s="72" t="n">
        <v>16335.75</v>
      </c>
      <c r="J1470" s="70" t="inlineStr">
        <is>
          <t>Completed</t>
        </is>
      </c>
      <c r="K1470" s="70" t="inlineStr">
        <is>
          <t>Mumbai</t>
        </is>
      </c>
    </row>
    <row r="1471" ht="14.25" customHeight="1" s="56">
      <c r="A1471" s="70" t="inlineStr">
        <is>
          <t>ORD-01470</t>
        </is>
      </c>
      <c r="B1471" s="71" t="n">
        <v>45632</v>
      </c>
      <c r="C1471" s="70" t="inlineStr">
        <is>
          <t>CUST-0149</t>
        </is>
      </c>
      <c r="D1471" s="70" t="inlineStr">
        <is>
          <t>PROD-003</t>
        </is>
      </c>
      <c r="E1471" s="70" t="inlineStr">
        <is>
          <t>R002</t>
        </is>
      </c>
      <c r="F1471" s="72" t="n">
        <v>6</v>
      </c>
      <c r="G1471" s="72" t="n">
        <v>3570</v>
      </c>
      <c r="H1471" s="72" t="n">
        <v>17.3</v>
      </c>
      <c r="I1471" s="72" t="n">
        <v>17714.34</v>
      </c>
      <c r="J1471" s="70" t="inlineStr">
        <is>
          <t>Completed</t>
        </is>
      </c>
      <c r="K1471" s="70" t="inlineStr">
        <is>
          <t>Hyderabad</t>
        </is>
      </c>
    </row>
    <row r="1472" ht="14.25" customHeight="1" s="56">
      <c r="A1472" s="70" t="inlineStr">
        <is>
          <t>ORD-01471</t>
        </is>
      </c>
      <c r="B1472" s="71" t="n">
        <v>45444</v>
      </c>
      <c r="C1472" s="70" t="inlineStr">
        <is>
          <t>CUST-0161</t>
        </is>
      </c>
      <c r="D1472" s="70" t="inlineStr">
        <is>
          <t>PROD-031</t>
        </is>
      </c>
      <c r="E1472" s="70" t="inlineStr">
        <is>
          <t>R018</t>
        </is>
      </c>
      <c r="F1472" s="72" t="n">
        <v>6</v>
      </c>
      <c r="G1472" s="72" t="n">
        <v>3730</v>
      </c>
      <c r="H1472" s="72" t="n">
        <v>1</v>
      </c>
      <c r="I1472" s="72" t="n">
        <v>22156.2</v>
      </c>
      <c r="J1472" s="70" t="inlineStr">
        <is>
          <t>Completed</t>
        </is>
      </c>
      <c r="K1472" s="70" t="inlineStr">
        <is>
          <t>Chennai</t>
        </is>
      </c>
    </row>
    <row r="1473" ht="14.25" customHeight="1" s="56">
      <c r="A1473" s="70" t="inlineStr">
        <is>
          <t>ORD-01472</t>
        </is>
      </c>
      <c r="B1473" s="71" t="n">
        <v>45545</v>
      </c>
      <c r="C1473" s="70" t="inlineStr">
        <is>
          <t>CUST-0022</t>
        </is>
      </c>
      <c r="D1473" s="70" t="inlineStr">
        <is>
          <t>PROD-059</t>
        </is>
      </c>
      <c r="E1473" s="70" t="inlineStr">
        <is>
          <t>R019</t>
        </is>
      </c>
      <c r="F1473" s="72" t="n">
        <v>4</v>
      </c>
      <c r="G1473" s="72" t="n">
        <v>3780</v>
      </c>
      <c r="H1473" s="72" t="n">
        <v>13.1</v>
      </c>
      <c r="I1473" s="72" t="n">
        <v>13139.28</v>
      </c>
      <c r="J1473" s="70" t="inlineStr">
        <is>
          <t>Completed</t>
        </is>
      </c>
      <c r="K1473" s="70" t="inlineStr">
        <is>
          <t>Bengaluru</t>
        </is>
      </c>
    </row>
    <row r="1474" ht="14.25" customHeight="1" s="56">
      <c r="A1474" s="70" t="inlineStr">
        <is>
          <t>ORD-01473</t>
        </is>
      </c>
      <c r="B1474" s="71" t="n">
        <v>45511</v>
      </c>
      <c r="C1474" s="70" t="inlineStr">
        <is>
          <t>CUST-0169</t>
        </is>
      </c>
      <c r="D1474" s="70" t="inlineStr">
        <is>
          <t>PROD-017</t>
        </is>
      </c>
      <c r="E1474" s="70" t="inlineStr">
        <is>
          <t>R011</t>
        </is>
      </c>
      <c r="F1474" s="72" t="n">
        <v>1</v>
      </c>
      <c r="G1474" s="72" t="n">
        <v>2510</v>
      </c>
      <c r="H1474" s="72" t="n">
        <v>27.8</v>
      </c>
      <c r="I1474" s="72" t="n">
        <v>1812.22</v>
      </c>
      <c r="J1474" s="70" t="inlineStr">
        <is>
          <t>Cancelled</t>
        </is>
      </c>
      <c r="K1474" s="70" t="inlineStr">
        <is>
          <t>Bengaluru</t>
        </is>
      </c>
    </row>
    <row r="1475" ht="14.25" customHeight="1" s="56">
      <c r="A1475" s="70" t="inlineStr">
        <is>
          <t>ORD-01474</t>
        </is>
      </c>
      <c r="B1475" s="71" t="n">
        <v>45577</v>
      </c>
      <c r="C1475" s="70" t="inlineStr">
        <is>
          <t>CUST-0290</t>
        </is>
      </c>
      <c r="D1475" s="70" t="inlineStr">
        <is>
          <t>PROD-037</t>
        </is>
      </c>
      <c r="E1475" s="70" t="inlineStr">
        <is>
          <t>R007</t>
        </is>
      </c>
      <c r="F1475" s="72" t="n">
        <v>9</v>
      </c>
      <c r="G1475" s="72" t="n">
        <v>660</v>
      </c>
      <c r="H1475" s="72" t="n">
        <v>29.3</v>
      </c>
      <c r="I1475" s="72" t="n">
        <v>4199.58</v>
      </c>
      <c r="J1475" s="70" t="inlineStr">
        <is>
          <t>Completed</t>
        </is>
      </c>
      <c r="K1475" s="70" t="inlineStr">
        <is>
          <t>Delhi</t>
        </is>
      </c>
    </row>
    <row r="1476" ht="14.25" customHeight="1" s="56">
      <c r="A1476" s="70" t="inlineStr">
        <is>
          <t>ORD-01475</t>
        </is>
      </c>
      <c r="B1476" s="71" t="n">
        <v>45507</v>
      </c>
      <c r="C1476" s="70" t="inlineStr">
        <is>
          <t>CUST-0156</t>
        </is>
      </c>
      <c r="D1476" s="70" t="inlineStr">
        <is>
          <t>PROD-013</t>
        </is>
      </c>
      <c r="E1476" s="70" t="inlineStr">
        <is>
          <t>R030</t>
        </is>
      </c>
      <c r="F1476" s="72" t="n">
        <v>7</v>
      </c>
      <c r="G1476" s="72" t="n">
        <v>3640</v>
      </c>
      <c r="H1476" s="72" t="n">
        <v>11.6</v>
      </c>
      <c r="I1476" s="72" t="n">
        <v>22524.32</v>
      </c>
      <c r="J1476" s="70" t="inlineStr">
        <is>
          <t>Completed</t>
        </is>
      </c>
      <c r="K1476" s="70" t="inlineStr">
        <is>
          <t>Mumbai</t>
        </is>
      </c>
    </row>
    <row r="1477" ht="14.25" customHeight="1" s="56">
      <c r="A1477" s="70" t="inlineStr">
        <is>
          <t>ORD-01476</t>
        </is>
      </c>
      <c r="B1477" s="71" t="n">
        <v>45415</v>
      </c>
      <c r="C1477" s="70" t="inlineStr">
        <is>
          <t>CUST-0005</t>
        </is>
      </c>
      <c r="D1477" s="70" t="inlineStr">
        <is>
          <t>PROD-052</t>
        </is>
      </c>
      <c r="E1477" s="70" t="inlineStr">
        <is>
          <t>R019</t>
        </is>
      </c>
      <c r="F1477" s="72" t="n">
        <v>8</v>
      </c>
      <c r="G1477" s="72" t="n">
        <v>5410</v>
      </c>
      <c r="H1477" s="72" t="n">
        <v>25.6</v>
      </c>
      <c r="I1477" s="72" t="n">
        <v>32200.32</v>
      </c>
      <c r="J1477" s="70" t="inlineStr">
        <is>
          <t>Completed</t>
        </is>
      </c>
      <c r="K1477" s="70" t="inlineStr">
        <is>
          <t>Chennai</t>
        </is>
      </c>
    </row>
    <row r="1478" ht="14.25" customHeight="1" s="56">
      <c r="A1478" s="70" t="inlineStr">
        <is>
          <t>ORD-01477</t>
        </is>
      </c>
      <c r="B1478" s="71" t="n">
        <v>45342</v>
      </c>
      <c r="C1478" s="70" t="inlineStr">
        <is>
          <t>CUST-0206</t>
        </is>
      </c>
      <c r="D1478" s="70" t="inlineStr">
        <is>
          <t>PROD-058</t>
        </is>
      </c>
      <c r="E1478" s="70" t="inlineStr">
        <is>
          <t>R008</t>
        </is>
      </c>
      <c r="F1478" s="72" t="n">
        <v>4</v>
      </c>
      <c r="G1478" s="72" t="n">
        <v>2400</v>
      </c>
      <c r="H1478" s="72" t="n">
        <v>10.4</v>
      </c>
      <c r="I1478" s="72" t="n">
        <v>8601.6</v>
      </c>
      <c r="J1478" s="70" t="inlineStr">
        <is>
          <t>Completed</t>
        </is>
      </c>
      <c r="K1478" s="70" t="inlineStr">
        <is>
          <t>Mumbai</t>
        </is>
      </c>
    </row>
    <row r="1479" ht="14.25" customHeight="1" s="56">
      <c r="A1479" s="70" t="inlineStr">
        <is>
          <t>ORD-01478</t>
        </is>
      </c>
      <c r="B1479" s="71" t="n">
        <v>45333</v>
      </c>
      <c r="C1479" s="70" t="inlineStr">
        <is>
          <t>CUST-0240</t>
        </is>
      </c>
      <c r="D1479" s="70" t="inlineStr">
        <is>
          <t>PROD-038</t>
        </is>
      </c>
      <c r="E1479" s="70" t="inlineStr">
        <is>
          <t>R028</t>
        </is>
      </c>
      <c r="F1479" s="72" t="n">
        <v>2</v>
      </c>
      <c r="G1479" s="72" t="n">
        <v>5490</v>
      </c>
      <c r="H1479" s="72" t="n">
        <v>5.4</v>
      </c>
      <c r="I1479" s="72" t="n">
        <v>10387.08</v>
      </c>
      <c r="J1479" s="70" t="inlineStr">
        <is>
          <t>Completed</t>
        </is>
      </c>
      <c r="K1479" s="70" t="inlineStr">
        <is>
          <t>Chennai</t>
        </is>
      </c>
    </row>
    <row r="1480" ht="14.25" customHeight="1" s="56">
      <c r="A1480" s="70" t="inlineStr">
        <is>
          <t>ORD-01479</t>
        </is>
      </c>
      <c r="B1480" s="71" t="n">
        <v>45516</v>
      </c>
      <c r="C1480" s="70" t="inlineStr">
        <is>
          <t>CUST-0109</t>
        </is>
      </c>
      <c r="D1480" s="70" t="inlineStr">
        <is>
          <t>PROD-041</t>
        </is>
      </c>
      <c r="E1480" s="70" t="inlineStr">
        <is>
          <t>R016</t>
        </is>
      </c>
      <c r="F1480" s="72" t="n">
        <v>6</v>
      </c>
      <c r="G1480" s="72" t="n">
        <v>1540</v>
      </c>
      <c r="H1480" s="72" t="n">
        <v>0.6</v>
      </c>
      <c r="I1480" s="72" t="n">
        <v>9184.559999999999</v>
      </c>
      <c r="J1480" s="70" t="inlineStr">
        <is>
          <t>Completed</t>
        </is>
      </c>
      <c r="K1480" s="70" t="inlineStr">
        <is>
          <t>Pune</t>
        </is>
      </c>
    </row>
    <row r="1481" ht="14.25" customHeight="1" s="56">
      <c r="A1481" s="70" t="inlineStr">
        <is>
          <t>ORD-01480</t>
        </is>
      </c>
      <c r="B1481" s="71" t="n">
        <v>45343</v>
      </c>
      <c r="C1481" s="70" t="inlineStr">
        <is>
          <t>CUST-0201</t>
        </is>
      </c>
      <c r="D1481" s="70" t="inlineStr">
        <is>
          <t>PROD-001</t>
        </is>
      </c>
      <c r="E1481" s="70" t="inlineStr">
        <is>
          <t>R001</t>
        </is>
      </c>
      <c r="F1481" s="72" t="n">
        <v>3</v>
      </c>
      <c r="G1481" s="72" t="n">
        <v>5330</v>
      </c>
      <c r="H1481" s="72" t="n">
        <v>1</v>
      </c>
      <c r="I1481" s="72" t="n">
        <v>15830.1</v>
      </c>
      <c r="J1481" s="70" t="inlineStr">
        <is>
          <t>Pending</t>
        </is>
      </c>
      <c r="K1481" s="70" t="inlineStr">
        <is>
          <t>Hyderabad</t>
        </is>
      </c>
    </row>
    <row r="1482" ht="14.25" customHeight="1" s="56">
      <c r="A1482" s="70" t="inlineStr">
        <is>
          <t>ORD-01481</t>
        </is>
      </c>
      <c r="B1482" s="71" t="n">
        <v>45522</v>
      </c>
      <c r="C1482" s="70" t="inlineStr">
        <is>
          <t>CUST-0100</t>
        </is>
      </c>
      <c r="D1482" s="70" t="inlineStr">
        <is>
          <t>PROD-055</t>
        </is>
      </c>
      <c r="E1482" s="70" t="inlineStr">
        <is>
          <t>R012</t>
        </is>
      </c>
      <c r="F1482" s="72" t="n">
        <v>6</v>
      </c>
      <c r="G1482" s="72" t="n">
        <v>2860</v>
      </c>
      <c r="H1482" s="72" t="n">
        <v>13.3</v>
      </c>
      <c r="I1482" s="72" t="n">
        <v>14877.72</v>
      </c>
      <c r="J1482" s="70" t="inlineStr">
        <is>
          <t>Completed</t>
        </is>
      </c>
      <c r="K1482" s="70" t="inlineStr">
        <is>
          <t>Hyderabad</t>
        </is>
      </c>
    </row>
    <row r="1483" ht="14.25" customHeight="1" s="56">
      <c r="A1483" s="70" t="inlineStr">
        <is>
          <t>ORD-01482</t>
        </is>
      </c>
      <c r="B1483" s="71" t="n">
        <v>45305</v>
      </c>
      <c r="C1483" s="70" t="inlineStr">
        <is>
          <t>CUST-0262</t>
        </is>
      </c>
      <c r="D1483" s="70" t="inlineStr">
        <is>
          <t>PROD-046</t>
        </is>
      </c>
      <c r="E1483" s="70" t="inlineStr">
        <is>
          <t>R006</t>
        </is>
      </c>
      <c r="F1483" s="72" t="n">
        <v>3</v>
      </c>
      <c r="G1483" s="72" t="n">
        <v>4880</v>
      </c>
      <c r="H1483" s="72" t="n">
        <v>12.1</v>
      </c>
      <c r="I1483" s="72" t="n">
        <v>12868.56</v>
      </c>
      <c r="J1483" s="70" t="inlineStr">
        <is>
          <t>Completed</t>
        </is>
      </c>
      <c r="K1483" s="70" t="inlineStr">
        <is>
          <t>Mumbai</t>
        </is>
      </c>
    </row>
    <row r="1484" ht="14.25" customHeight="1" s="56">
      <c r="A1484" s="70" t="inlineStr">
        <is>
          <t>ORD-01483</t>
        </is>
      </c>
      <c r="B1484" s="71" t="n">
        <v>45353</v>
      </c>
      <c r="C1484" s="70" t="inlineStr">
        <is>
          <t>CUST-0067</t>
        </is>
      </c>
      <c r="D1484" s="70" t="inlineStr">
        <is>
          <t>PROD-017</t>
        </is>
      </c>
      <c r="E1484" s="70" t="inlineStr">
        <is>
          <t>R005</t>
        </is>
      </c>
      <c r="F1484" s="72" t="n">
        <v>5</v>
      </c>
      <c r="G1484" s="72" t="n">
        <v>2510</v>
      </c>
      <c r="H1484" s="72" t="n">
        <v>2.9</v>
      </c>
      <c r="I1484" s="72" t="n">
        <v>12186.05</v>
      </c>
      <c r="J1484" s="70" t="inlineStr">
        <is>
          <t>Pending</t>
        </is>
      </c>
      <c r="K1484" s="70" t="inlineStr">
        <is>
          <t>Delhi</t>
        </is>
      </c>
    </row>
    <row r="1485" ht="14.25" customHeight="1" s="56">
      <c r="A1485" s="70" t="inlineStr">
        <is>
          <t>ORD-01484</t>
        </is>
      </c>
      <c r="B1485" s="71" t="n">
        <v>45525</v>
      </c>
      <c r="C1485" s="70" t="inlineStr">
        <is>
          <t>CUST-9844</t>
        </is>
      </c>
      <c r="D1485" s="70" t="inlineStr">
        <is>
          <t>PROD-006</t>
        </is>
      </c>
      <c r="E1485" s="70" t="inlineStr">
        <is>
          <t>R020</t>
        </is>
      </c>
      <c r="F1485" s="72" t="n">
        <v>9</v>
      </c>
      <c r="G1485" s="72" t="n">
        <v>3970</v>
      </c>
      <c r="H1485" s="72" t="n">
        <v>28</v>
      </c>
      <c r="I1485" s="72" t="n">
        <v>25725.6</v>
      </c>
      <c r="J1485" s="70" t="inlineStr">
        <is>
          <t>Completed</t>
        </is>
      </c>
      <c r="K1485" s="70" t="inlineStr">
        <is>
          <t>Pune</t>
        </is>
      </c>
    </row>
    <row r="1486" ht="14.25" customHeight="1" s="56">
      <c r="A1486" s="70" t="inlineStr">
        <is>
          <t>ORD-01485</t>
        </is>
      </c>
      <c r="B1486" s="71" t="n">
        <v>45593</v>
      </c>
      <c r="C1486" s="70" t="inlineStr">
        <is>
          <t>CUST-0122</t>
        </is>
      </c>
      <c r="D1486" s="70" t="inlineStr">
        <is>
          <t>PROD-053</t>
        </is>
      </c>
      <c r="E1486" s="70" t="inlineStr">
        <is>
          <t>R027</t>
        </is>
      </c>
      <c r="F1486" s="72" t="n">
        <v>4</v>
      </c>
      <c r="G1486" s="72" t="n">
        <v>470</v>
      </c>
      <c r="H1486" s="72" t="n">
        <v>19.1</v>
      </c>
      <c r="I1486" s="72" t="n">
        <v>1520.92</v>
      </c>
      <c r="J1486" s="70" t="inlineStr">
        <is>
          <t>Pending</t>
        </is>
      </c>
      <c r="K1486" s="70" t="inlineStr">
        <is>
          <t>Mumbai</t>
        </is>
      </c>
    </row>
    <row r="1487" ht="14.25" customHeight="1" s="56">
      <c r="A1487" s="70" t="inlineStr">
        <is>
          <t>ORD-01486</t>
        </is>
      </c>
      <c r="B1487" s="71" t="n">
        <v>45550</v>
      </c>
      <c r="C1487" s="70" t="inlineStr">
        <is>
          <t>CUST-0129</t>
        </is>
      </c>
      <c r="D1487" s="70" t="inlineStr">
        <is>
          <t>PROD-001</t>
        </is>
      </c>
      <c r="E1487" s="70" t="inlineStr">
        <is>
          <t>R025</t>
        </is>
      </c>
      <c r="F1487" s="72" t="n">
        <v>7</v>
      </c>
      <c r="G1487" s="72" t="n">
        <v>5330</v>
      </c>
      <c r="H1487" s="72" t="n">
        <v>17.2</v>
      </c>
      <c r="I1487" s="72" t="n">
        <v>30892.68</v>
      </c>
      <c r="J1487" s="70" t="inlineStr">
        <is>
          <t>Cancelled</t>
        </is>
      </c>
      <c r="K1487" s="70" t="inlineStr">
        <is>
          <t>Hyderabad</t>
        </is>
      </c>
    </row>
    <row r="1488" ht="14.25" customHeight="1" s="56">
      <c r="A1488" s="70" t="inlineStr">
        <is>
          <t>ORD-01487</t>
        </is>
      </c>
      <c r="B1488" s="71" t="n">
        <v>45511</v>
      </c>
      <c r="C1488" s="70" t="inlineStr">
        <is>
          <t>CUST-0056</t>
        </is>
      </c>
      <c r="D1488" s="70" t="inlineStr">
        <is>
          <t>PROD-035</t>
        </is>
      </c>
      <c r="E1488" s="70" t="inlineStr">
        <is>
          <t>R012</t>
        </is>
      </c>
      <c r="F1488" s="72" t="n">
        <v>4</v>
      </c>
      <c r="G1488" s="72" t="n">
        <v>1090</v>
      </c>
      <c r="H1488" s="72" t="n">
        <v>4.9</v>
      </c>
      <c r="I1488" s="72" t="n">
        <v>4146.36</v>
      </c>
      <c r="J1488" s="70" t="inlineStr">
        <is>
          <t>Cancelled</t>
        </is>
      </c>
      <c r="K1488" s="70" t="inlineStr">
        <is>
          <t>Bengaluru</t>
        </is>
      </c>
    </row>
    <row r="1489" ht="14.25" customHeight="1" s="56">
      <c r="A1489" s="70" t="inlineStr">
        <is>
          <t>ORD-01488</t>
        </is>
      </c>
      <c r="B1489" s="71" t="n">
        <v>45456</v>
      </c>
      <c r="C1489" s="70" t="inlineStr">
        <is>
          <t>CUST-0080</t>
        </is>
      </c>
      <c r="D1489" s="70" t="inlineStr">
        <is>
          <t>PROD-054</t>
        </is>
      </c>
      <c r="E1489" s="70" t="inlineStr">
        <is>
          <t>R009</t>
        </is>
      </c>
      <c r="F1489" s="72" t="n">
        <v>2</v>
      </c>
      <c r="G1489" s="72" t="n">
        <v>1010</v>
      </c>
      <c r="H1489" s="72" t="n">
        <v>14</v>
      </c>
      <c r="I1489" s="72" t="n">
        <v>1737.2</v>
      </c>
      <c r="J1489" s="70" t="inlineStr">
        <is>
          <t>Completed</t>
        </is>
      </c>
      <c r="K1489" s="70" t="inlineStr">
        <is>
          <t>Pune</t>
        </is>
      </c>
    </row>
    <row r="1490" ht="14.25" customHeight="1" s="56">
      <c r="A1490" s="70" t="inlineStr">
        <is>
          <t>ORD-01489</t>
        </is>
      </c>
      <c r="B1490" s="71" t="n">
        <v>45343</v>
      </c>
      <c r="C1490" s="70" t="inlineStr">
        <is>
          <t>CUST-0155</t>
        </is>
      </c>
      <c r="D1490" s="70" t="inlineStr">
        <is>
          <t>PROD-004</t>
        </is>
      </c>
      <c r="E1490" s="70" t="inlineStr">
        <is>
          <t>R016</t>
        </is>
      </c>
      <c r="F1490" s="72" t="n">
        <v>9</v>
      </c>
      <c r="G1490" s="72" t="n">
        <v>3870</v>
      </c>
      <c r="H1490" s="72" t="n">
        <v>8.199999999999999</v>
      </c>
      <c r="I1490" s="72" t="n">
        <v>31973.94</v>
      </c>
      <c r="J1490" s="70" t="inlineStr">
        <is>
          <t>Completed</t>
        </is>
      </c>
      <c r="K1490" s="70" t="inlineStr">
        <is>
          <t>pune</t>
        </is>
      </c>
    </row>
    <row r="1491" ht="14.25" customHeight="1" s="56">
      <c r="A1491" s="70" t="inlineStr">
        <is>
          <t>ORD-01490</t>
        </is>
      </c>
      <c r="B1491" s="71" t="n">
        <v>45491</v>
      </c>
      <c r="C1491" s="70" t="inlineStr">
        <is>
          <t>CUST-0278</t>
        </is>
      </c>
      <c r="D1491" s="70" t="inlineStr">
        <is>
          <t>PROD-008</t>
        </is>
      </c>
      <c r="E1491" s="70" t="inlineStr">
        <is>
          <t>R013</t>
        </is>
      </c>
      <c r="F1491" s="72" t="n">
        <v>7</v>
      </c>
      <c r="G1491" s="72" t="n">
        <v>2660</v>
      </c>
      <c r="H1491" s="72" t="n">
        <v>15.9</v>
      </c>
      <c r="I1491" s="72" t="n">
        <v>15659.42</v>
      </c>
      <c r="J1491" s="70" t="inlineStr">
        <is>
          <t>Completed</t>
        </is>
      </c>
      <c r="K1491" s="70" t="inlineStr">
        <is>
          <t>Hyderabad</t>
        </is>
      </c>
    </row>
    <row r="1492" ht="14.25" customHeight="1" s="56">
      <c r="A1492" s="70" t="inlineStr">
        <is>
          <t>ORD-01491</t>
        </is>
      </c>
      <c r="B1492" s="71" t="n">
        <v>45619</v>
      </c>
      <c r="C1492" s="70" t="inlineStr">
        <is>
          <t>CUST-0075</t>
        </is>
      </c>
      <c r="D1492" s="70" t="inlineStr">
        <is>
          <t>PROD-007</t>
        </is>
      </c>
      <c r="E1492" s="70" t="inlineStr">
        <is>
          <t>R019</t>
        </is>
      </c>
      <c r="F1492" s="72" t="n">
        <v>4</v>
      </c>
      <c r="G1492" s="72" t="n">
        <v>1430</v>
      </c>
      <c r="H1492" s="72" t="n">
        <v>25.6</v>
      </c>
      <c r="I1492" s="72" t="n">
        <v>4255.68</v>
      </c>
      <c r="J1492" s="70" t="inlineStr">
        <is>
          <t>Completed</t>
        </is>
      </c>
      <c r="K1492" s="70" t="inlineStr">
        <is>
          <t>Mumbai</t>
        </is>
      </c>
    </row>
    <row r="1493" ht="14.25" customHeight="1" s="56">
      <c r="A1493" s="70" t="inlineStr">
        <is>
          <t>ORD-01492</t>
        </is>
      </c>
      <c r="B1493" s="71" t="n">
        <v>45374</v>
      </c>
      <c r="C1493" s="70" t="inlineStr">
        <is>
          <t>CUST-0274</t>
        </is>
      </c>
      <c r="D1493" s="70" t="inlineStr">
        <is>
          <t>PROD-046</t>
        </is>
      </c>
      <c r="E1493" s="70" t="inlineStr">
        <is>
          <t>R023</t>
        </is>
      </c>
      <c r="F1493" s="72" t="n">
        <v>4</v>
      </c>
      <c r="G1493" s="72" t="n">
        <v>4880</v>
      </c>
      <c r="H1493" s="72" t="n">
        <v>19.4</v>
      </c>
      <c r="I1493" s="72" t="n">
        <v>15733.12</v>
      </c>
      <c r="J1493" s="70" t="inlineStr">
        <is>
          <t>Cancelled</t>
        </is>
      </c>
      <c r="K1493" s="70" t="inlineStr">
        <is>
          <t>Bengaluru</t>
        </is>
      </c>
    </row>
    <row r="1494" ht="14.25" customHeight="1" s="56">
      <c r="A1494" s="70" t="inlineStr">
        <is>
          <t>ORD-01493</t>
        </is>
      </c>
      <c r="B1494" s="71" t="n">
        <v>45566</v>
      </c>
      <c r="C1494" s="70" t="inlineStr">
        <is>
          <t>CUST-0197</t>
        </is>
      </c>
      <c r="D1494" s="70" t="inlineStr">
        <is>
          <t>PROD-060</t>
        </is>
      </c>
      <c r="E1494" s="70" t="inlineStr">
        <is>
          <t>R001</t>
        </is>
      </c>
      <c r="F1494" s="72" t="n">
        <v>2</v>
      </c>
      <c r="G1494" s="72" t="n">
        <v>190</v>
      </c>
      <c r="H1494" s="72" t="n">
        <v>9</v>
      </c>
      <c r="I1494" s="72" t="n">
        <v>345.8</v>
      </c>
      <c r="J1494" s="70" t="inlineStr">
        <is>
          <t>Completed</t>
        </is>
      </c>
      <c r="K1494" s="70" t="inlineStr">
        <is>
          <t>Bengaluru</t>
        </is>
      </c>
    </row>
    <row r="1495" ht="14.25" customHeight="1" s="56">
      <c r="A1495" s="70" t="inlineStr">
        <is>
          <t>ORD-01494</t>
        </is>
      </c>
      <c r="B1495" s="71" t="n">
        <v>45415</v>
      </c>
      <c r="C1495" s="70" t="inlineStr">
        <is>
          <t>CUST-0294</t>
        </is>
      </c>
      <c r="D1495" s="70" t="inlineStr">
        <is>
          <t>PROD-045</t>
        </is>
      </c>
      <c r="E1495" s="70" t="inlineStr">
        <is>
          <t>R019</t>
        </is>
      </c>
      <c r="F1495" s="72" t="n">
        <v>1</v>
      </c>
      <c r="G1495" s="72" t="n">
        <v>3020</v>
      </c>
      <c r="H1495" s="72" t="n">
        <v>3.6</v>
      </c>
      <c r="I1495" s="72" t="n">
        <v>2911.28</v>
      </c>
      <c r="J1495" s="70" t="inlineStr">
        <is>
          <t>Refunded</t>
        </is>
      </c>
      <c r="K1495" s="70" t="inlineStr">
        <is>
          <t>Delhi</t>
        </is>
      </c>
    </row>
    <row r="1496" ht="14.25" customHeight="1" s="56">
      <c r="A1496" s="70" t="inlineStr">
        <is>
          <t>ORD-01495</t>
        </is>
      </c>
      <c r="B1496" s="71" t="n">
        <v>45601</v>
      </c>
      <c r="C1496" s="70" t="inlineStr">
        <is>
          <t>CUST-0281</t>
        </is>
      </c>
      <c r="D1496" s="70" t="inlineStr">
        <is>
          <t>PROD-046</t>
        </is>
      </c>
      <c r="E1496" s="70" t="inlineStr">
        <is>
          <t>R019</t>
        </is>
      </c>
      <c r="F1496" s="72" t="n">
        <v>2</v>
      </c>
      <c r="G1496" s="72" t="n">
        <v>4880</v>
      </c>
      <c r="H1496" s="72" t="n">
        <v>2</v>
      </c>
      <c r="I1496" s="72" t="n">
        <v>9564.799999999999</v>
      </c>
      <c r="J1496" s="70" t="inlineStr">
        <is>
          <t>Cancelled</t>
        </is>
      </c>
      <c r="K1496" s="70" t="inlineStr">
        <is>
          <t>Bengaluru</t>
        </is>
      </c>
    </row>
    <row r="1497" ht="14.25" customHeight="1" s="56">
      <c r="A1497" s="70" t="inlineStr">
        <is>
          <t>ORD-01496</t>
        </is>
      </c>
      <c r="B1497" s="71" t="n">
        <v>45319</v>
      </c>
      <c r="C1497" s="70" t="inlineStr">
        <is>
          <t>CUST-0130</t>
        </is>
      </c>
      <c r="D1497" s="70" t="inlineStr">
        <is>
          <t>PROD-058</t>
        </is>
      </c>
      <c r="E1497" s="70" t="inlineStr">
        <is>
          <t>R027</t>
        </is>
      </c>
      <c r="F1497" s="72" t="n">
        <v>4</v>
      </c>
      <c r="G1497" s="72" t="n">
        <v>2400</v>
      </c>
      <c r="H1497" s="72" t="n">
        <v>11.5</v>
      </c>
      <c r="I1497" s="72" t="n">
        <v>8496</v>
      </c>
      <c r="J1497" s="70" t="inlineStr">
        <is>
          <t>Completed</t>
        </is>
      </c>
      <c r="K1497" s="70" t="inlineStr">
        <is>
          <t>Bengaluru</t>
        </is>
      </c>
    </row>
    <row r="1498" ht="14.25" customHeight="1" s="56">
      <c r="A1498" s="70" t="inlineStr">
        <is>
          <t>ORD-01497</t>
        </is>
      </c>
      <c r="B1498" s="71" t="n">
        <v>45357</v>
      </c>
      <c r="C1498" s="70" t="inlineStr">
        <is>
          <t>CUST-0097</t>
        </is>
      </c>
      <c r="D1498" s="70" t="inlineStr">
        <is>
          <t>PROD-050</t>
        </is>
      </c>
      <c r="E1498" s="70" t="inlineStr">
        <is>
          <t>R002</t>
        </is>
      </c>
      <c r="F1498" s="72" t="n">
        <v>2</v>
      </c>
      <c r="G1498" s="72" t="n">
        <v>6080</v>
      </c>
      <c r="H1498" s="72" t="n">
        <v>0.5</v>
      </c>
      <c r="I1498" s="72" t="n">
        <v>12099.2</v>
      </c>
      <c r="J1498" s="70" t="inlineStr">
        <is>
          <t>Cancelled</t>
        </is>
      </c>
      <c r="K1498" s="70" t="inlineStr">
        <is>
          <t>Mumbai</t>
        </is>
      </c>
    </row>
    <row r="1499" ht="14.25" customHeight="1" s="56">
      <c r="A1499" s="70" t="inlineStr">
        <is>
          <t>ORD-01498</t>
        </is>
      </c>
      <c r="B1499" s="71" t="n">
        <v>45384</v>
      </c>
      <c r="C1499" s="70" t="inlineStr">
        <is>
          <t>CUST-0148</t>
        </is>
      </c>
      <c r="D1499" s="70" t="inlineStr">
        <is>
          <t>PROD-023</t>
        </is>
      </c>
      <c r="E1499" s="70" t="inlineStr">
        <is>
          <t>R023</t>
        </is>
      </c>
      <c r="F1499" s="72" t="n">
        <v>7</v>
      </c>
      <c r="G1499" s="72" t="n">
        <v>2380</v>
      </c>
      <c r="H1499" s="72" t="n">
        <v>12.3</v>
      </c>
      <c r="I1499" s="72" t="n">
        <v>14610.82</v>
      </c>
      <c r="J1499" s="70" t="inlineStr">
        <is>
          <t>Completed</t>
        </is>
      </c>
      <c r="K1499" s="70" t="inlineStr">
        <is>
          <t>Chennai</t>
        </is>
      </c>
    </row>
    <row r="1500" ht="14.25" customHeight="1" s="56">
      <c r="A1500" s="70" t="inlineStr">
        <is>
          <t>ORD-01499</t>
        </is>
      </c>
      <c r="B1500" s="71" t="n">
        <v>45509</v>
      </c>
      <c r="C1500" s="70" t="inlineStr">
        <is>
          <t>CUST-0102</t>
        </is>
      </c>
      <c r="D1500" s="70" t="inlineStr">
        <is>
          <t>PROD-041</t>
        </is>
      </c>
      <c r="E1500" s="70" t="inlineStr">
        <is>
          <t>R001</t>
        </is>
      </c>
      <c r="F1500" s="72" t="n">
        <v>10</v>
      </c>
      <c r="G1500" s="72" t="n">
        <v>1540</v>
      </c>
      <c r="H1500" s="72" t="n">
        <v>20.6</v>
      </c>
      <c r="I1500" s="72" t="n">
        <v>12227.6</v>
      </c>
      <c r="J1500" s="70" t="inlineStr">
        <is>
          <t>Completed</t>
        </is>
      </c>
      <c r="K1500" s="70" t="inlineStr">
        <is>
          <t>Chennai</t>
        </is>
      </c>
    </row>
    <row r="1501" ht="14.25" customHeight="1" s="56">
      <c r="A1501" s="70" t="inlineStr">
        <is>
          <t>ORD-01500</t>
        </is>
      </c>
      <c r="B1501" s="71" t="n">
        <v>45520</v>
      </c>
      <c r="C1501" s="70" t="inlineStr">
        <is>
          <t>CUST-0265</t>
        </is>
      </c>
      <c r="D1501" s="70" t="inlineStr">
        <is>
          <t>PROD-004</t>
        </is>
      </c>
      <c r="E1501" s="70" t="inlineStr">
        <is>
          <t>R028</t>
        </is>
      </c>
      <c r="F1501" s="72" t="n">
        <v>7</v>
      </c>
      <c r="G1501" s="72" t="n">
        <v>3870</v>
      </c>
      <c r="H1501" s="72" t="n">
        <v>6.1</v>
      </c>
      <c r="I1501" s="72" t="n">
        <v>25437.51</v>
      </c>
      <c r="J1501" s="70" t="inlineStr">
        <is>
          <t>Completed</t>
        </is>
      </c>
      <c r="K1501" s="70" t="inlineStr">
        <is>
          <t>Chennai</t>
        </is>
      </c>
    </row>
    <row r="1502" ht="14.25" customHeight="1" s="56">
      <c r="A1502" s="70" t="inlineStr">
        <is>
          <t>ORD-01501</t>
        </is>
      </c>
      <c r="B1502" s="71" t="n">
        <v>45383</v>
      </c>
      <c r="C1502" s="70" t="inlineStr">
        <is>
          <t>CUST-0073</t>
        </is>
      </c>
      <c r="D1502" s="70" t="inlineStr">
        <is>
          <t>PROD-032</t>
        </is>
      </c>
      <c r="E1502" s="70" t="inlineStr">
        <is>
          <t>R021</t>
        </is>
      </c>
      <c r="F1502" s="72" t="n">
        <v>3</v>
      </c>
      <c r="G1502" s="72" t="n">
        <v>370</v>
      </c>
      <c r="H1502" s="72" t="n">
        <v>13.7</v>
      </c>
      <c r="I1502" s="72" t="n">
        <v>957.9299999999999</v>
      </c>
      <c r="J1502" s="70" t="inlineStr">
        <is>
          <t>Completed</t>
        </is>
      </c>
      <c r="K1502" s="70" t="inlineStr">
        <is>
          <t>Pune</t>
        </is>
      </c>
    </row>
    <row r="1503" ht="14.25" customHeight="1" s="56">
      <c r="A1503" s="70" t="inlineStr">
        <is>
          <t>ORD-01502</t>
        </is>
      </c>
      <c r="B1503" s="71" t="n">
        <v>45328</v>
      </c>
      <c r="C1503" s="70" t="inlineStr">
        <is>
          <t>CUST-0070</t>
        </is>
      </c>
      <c r="D1503" s="70" t="inlineStr">
        <is>
          <t>PROD-060</t>
        </is>
      </c>
      <c r="E1503" s="70" t="inlineStr">
        <is>
          <t>R027</t>
        </is>
      </c>
      <c r="F1503" s="72" t="n">
        <v>8</v>
      </c>
      <c r="G1503" s="72" t="n">
        <v>190</v>
      </c>
      <c r="H1503" s="72" t="n">
        <v>0.2</v>
      </c>
      <c r="I1503" s="72" t="n">
        <v>1516.96</v>
      </c>
      <c r="J1503" s="70" t="inlineStr">
        <is>
          <t>Completed</t>
        </is>
      </c>
      <c r="K1503" s="70" t="inlineStr">
        <is>
          <t>Mumbai</t>
        </is>
      </c>
    </row>
    <row r="1504" ht="14.25" customHeight="1" s="56">
      <c r="A1504" s="70" t="inlineStr">
        <is>
          <t>ORD-01503</t>
        </is>
      </c>
      <c r="B1504" s="71" t="n">
        <v>45501</v>
      </c>
      <c r="C1504" s="70" t="inlineStr">
        <is>
          <t>CUST-0202</t>
        </is>
      </c>
      <c r="D1504" s="70" t="inlineStr">
        <is>
          <t>PROD-007</t>
        </is>
      </c>
      <c r="E1504" s="70" t="inlineStr">
        <is>
          <t>R011</t>
        </is>
      </c>
      <c r="F1504" s="72" t="n">
        <v>6</v>
      </c>
      <c r="G1504" s="72" t="n">
        <v>1430</v>
      </c>
      <c r="H1504" s="72" t="n">
        <v>0.1</v>
      </c>
      <c r="I1504" s="72" t="n">
        <v>8571.42</v>
      </c>
      <c r="J1504" s="70" t="inlineStr">
        <is>
          <t>Completed</t>
        </is>
      </c>
      <c r="K1504" s="70" t="inlineStr">
        <is>
          <t>Chennai</t>
        </is>
      </c>
    </row>
    <row r="1505" ht="14.25" customHeight="1" s="56">
      <c r="A1505" s="70" t="inlineStr">
        <is>
          <t>ORD-01504</t>
        </is>
      </c>
      <c r="B1505" s="71" t="n">
        <v>45346</v>
      </c>
      <c r="C1505" s="70" t="inlineStr">
        <is>
          <t>CUST-0240</t>
        </is>
      </c>
      <c r="D1505" s="70" t="inlineStr">
        <is>
          <t>PROD-053</t>
        </is>
      </c>
      <c r="E1505" s="70" t="inlineStr">
        <is>
          <t>R020</t>
        </is>
      </c>
      <c r="F1505" s="72" t="n">
        <v>4</v>
      </c>
      <c r="G1505" s="72" t="n">
        <v>470</v>
      </c>
      <c r="H1505" s="72" t="n">
        <v>3</v>
      </c>
      <c r="I1505" s="72" t="n">
        <v>1823.6</v>
      </c>
      <c r="J1505" s="70" t="inlineStr">
        <is>
          <t>Completed</t>
        </is>
      </c>
      <c r="K1505" s="70" t="inlineStr">
        <is>
          <t>Chennai</t>
        </is>
      </c>
    </row>
    <row r="1506" ht="14.25" customHeight="1" s="56">
      <c r="A1506" s="70" t="inlineStr">
        <is>
          <t>ORD-01505</t>
        </is>
      </c>
      <c r="B1506" s="71" t="n">
        <v>45446</v>
      </c>
      <c r="C1506" s="70" t="inlineStr">
        <is>
          <t>CUST-0163</t>
        </is>
      </c>
      <c r="D1506" s="70" t="inlineStr">
        <is>
          <t>PROD-018</t>
        </is>
      </c>
      <c r="E1506" s="70" t="inlineStr">
        <is>
          <t>R004</t>
        </is>
      </c>
      <c r="F1506" s="72" t="n">
        <v>4</v>
      </c>
      <c r="G1506" s="72" t="n">
        <v>3560</v>
      </c>
      <c r="H1506" s="72" t="n">
        <v>1.1</v>
      </c>
      <c r="I1506" s="72" t="n">
        <v>14083.36</v>
      </c>
      <c r="J1506" s="70" t="inlineStr">
        <is>
          <t>Completed</t>
        </is>
      </c>
      <c r="K1506" s="70" t="inlineStr">
        <is>
          <t>Pune</t>
        </is>
      </c>
    </row>
    <row r="1507" ht="14.25" customHeight="1" s="56">
      <c r="A1507" s="70" t="inlineStr">
        <is>
          <t>ORD-01506</t>
        </is>
      </c>
      <c r="B1507" s="71" t="n">
        <v>45521</v>
      </c>
      <c r="C1507" s="70" t="inlineStr">
        <is>
          <t>CUST-0238</t>
        </is>
      </c>
      <c r="D1507" s="70" t="inlineStr">
        <is>
          <t>PROD-046</t>
        </is>
      </c>
      <c r="E1507" s="70" t="inlineStr">
        <is>
          <t>R012</t>
        </is>
      </c>
      <c r="F1507" s="72" t="n">
        <v>5</v>
      </c>
      <c r="G1507" s="72" t="n">
        <v>4880</v>
      </c>
      <c r="H1507" s="72" t="n">
        <v>17</v>
      </c>
      <c r="I1507" s="72" t="n">
        <v>20252</v>
      </c>
      <c r="J1507" s="70" t="inlineStr">
        <is>
          <t>Completed</t>
        </is>
      </c>
      <c r="K1507" s="70" t="inlineStr">
        <is>
          <t>Delhi</t>
        </is>
      </c>
    </row>
    <row r="1508" ht="14.25" customHeight="1" s="56">
      <c r="A1508" s="70" t="inlineStr">
        <is>
          <t>ORD-01507</t>
        </is>
      </c>
      <c r="B1508" s="71" t="n">
        <v>45483</v>
      </c>
      <c r="C1508" s="70" t="inlineStr">
        <is>
          <t>CUST-0196</t>
        </is>
      </c>
      <c r="D1508" s="70" t="inlineStr">
        <is>
          <t>PROD-003</t>
        </is>
      </c>
      <c r="E1508" s="70" t="inlineStr">
        <is>
          <t>R009</t>
        </is>
      </c>
      <c r="F1508" s="72" t="n">
        <v>9</v>
      </c>
      <c r="G1508" s="72" t="n">
        <v>3570</v>
      </c>
      <c r="H1508" s="72" t="n">
        <v>12</v>
      </c>
      <c r="I1508" s="72" t="n">
        <v>28274.4</v>
      </c>
      <c r="J1508" s="70" t="inlineStr">
        <is>
          <t>Completed</t>
        </is>
      </c>
      <c r="K1508" s="70" t="inlineStr">
        <is>
          <t>Chennai</t>
        </is>
      </c>
    </row>
    <row r="1509" ht="14.25" customHeight="1" s="56">
      <c r="A1509" s="70" t="inlineStr">
        <is>
          <t>ORD-01508</t>
        </is>
      </c>
      <c r="B1509" s="71" t="n">
        <v>45370</v>
      </c>
      <c r="C1509" s="70" t="inlineStr">
        <is>
          <t>CUST-0220</t>
        </is>
      </c>
      <c r="D1509" s="70" t="inlineStr">
        <is>
          <t>PROD-051</t>
        </is>
      </c>
      <c r="E1509" s="70" t="inlineStr">
        <is>
          <t>R025</t>
        </is>
      </c>
      <c r="F1509" s="72" t="n">
        <v>6</v>
      </c>
      <c r="G1509" s="72" t="n">
        <v>3450</v>
      </c>
      <c r="H1509" s="72" t="n">
        <v>22.7</v>
      </c>
      <c r="I1509" s="72" t="n">
        <v>16001.1</v>
      </c>
      <c r="J1509" s="70" t="inlineStr">
        <is>
          <t>Cancelled</t>
        </is>
      </c>
      <c r="K1509" s="70" t="inlineStr">
        <is>
          <t>Chennai</t>
        </is>
      </c>
    </row>
    <row r="1510" ht="14.25" customHeight="1" s="56">
      <c r="A1510" s="70" t="inlineStr">
        <is>
          <t>ORD-01509</t>
        </is>
      </c>
      <c r="B1510" s="71" t="n">
        <v>45456</v>
      </c>
      <c r="C1510" s="70" t="inlineStr">
        <is>
          <t>CUST-0142</t>
        </is>
      </c>
      <c r="D1510" s="70" t="inlineStr">
        <is>
          <t>PROD-040</t>
        </is>
      </c>
      <c r="E1510" s="70" t="inlineStr">
        <is>
          <t>R002</t>
        </is>
      </c>
      <c r="F1510" s="72" t="n">
        <v>10</v>
      </c>
      <c r="G1510" s="72" t="n">
        <v>1080</v>
      </c>
      <c r="H1510" s="72" t="n">
        <v>27.4</v>
      </c>
      <c r="I1510" s="72" t="n">
        <v>7840.8</v>
      </c>
      <c r="J1510" s="70" t="inlineStr">
        <is>
          <t>Completed</t>
        </is>
      </c>
      <c r="K1510" s="70" t="inlineStr">
        <is>
          <t>Chennai</t>
        </is>
      </c>
    </row>
    <row r="1511" ht="14.25" customHeight="1" s="56">
      <c r="A1511" s="70" t="inlineStr">
        <is>
          <t>ORD-01510</t>
        </is>
      </c>
      <c r="B1511" s="71" t="n">
        <v>45605</v>
      </c>
      <c r="C1511" s="70" t="inlineStr">
        <is>
          <t>CUST-0217</t>
        </is>
      </c>
      <c r="D1511" s="70" t="inlineStr">
        <is>
          <t>PROD-041</t>
        </is>
      </c>
      <c r="E1511" s="70" t="inlineStr">
        <is>
          <t>R025</t>
        </is>
      </c>
      <c r="F1511" s="72" t="n">
        <v>6</v>
      </c>
      <c r="G1511" s="72" t="n">
        <v>1540</v>
      </c>
      <c r="H1511" s="72" t="n">
        <v>17.1</v>
      </c>
      <c r="I1511" s="72" t="n">
        <v>7659.96</v>
      </c>
      <c r="J1511" s="70" t="inlineStr">
        <is>
          <t>Completed</t>
        </is>
      </c>
      <c r="K1511" s="70" t="inlineStr">
        <is>
          <t>Pune</t>
        </is>
      </c>
    </row>
    <row r="1512" ht="14.25" customHeight="1" s="56">
      <c r="A1512" s="70" t="inlineStr">
        <is>
          <t>ORD-01511</t>
        </is>
      </c>
      <c r="B1512" s="71" t="n">
        <v>45556</v>
      </c>
      <c r="C1512" s="70" t="inlineStr">
        <is>
          <t>CUST-9582</t>
        </is>
      </c>
      <c r="D1512" s="70" t="inlineStr">
        <is>
          <t>PROD-015</t>
        </is>
      </c>
      <c r="E1512" s="70" t="inlineStr">
        <is>
          <t>R013</t>
        </is>
      </c>
      <c r="F1512" s="72" t="n">
        <v>6</v>
      </c>
      <c r="G1512" s="72" t="n">
        <v>2720</v>
      </c>
      <c r="H1512" s="72" t="n">
        <v>28.1</v>
      </c>
      <c r="I1512" s="72" t="n">
        <v>11734.08</v>
      </c>
      <c r="J1512" s="70" t="inlineStr">
        <is>
          <t>Completed</t>
        </is>
      </c>
      <c r="K1512" s="70" t="inlineStr">
        <is>
          <t>Mumbai</t>
        </is>
      </c>
    </row>
    <row r="1513" ht="14.25" customHeight="1" s="56">
      <c r="A1513" s="70" t="inlineStr">
        <is>
          <t>ORD-01512</t>
        </is>
      </c>
      <c r="B1513" s="71" t="n">
        <v>45569</v>
      </c>
      <c r="C1513" s="70" t="inlineStr">
        <is>
          <t>CUST-0267</t>
        </is>
      </c>
      <c r="D1513" s="70" t="inlineStr">
        <is>
          <t>PROD-034</t>
        </is>
      </c>
      <c r="E1513" s="70" t="inlineStr">
        <is>
          <t>R005</t>
        </is>
      </c>
      <c r="F1513" s="72" t="n">
        <v>2</v>
      </c>
      <c r="G1513" s="72" t="n">
        <v>5080</v>
      </c>
      <c r="H1513" s="72" t="n">
        <v>11.1</v>
      </c>
      <c r="I1513" s="72" t="n">
        <v>9032.24</v>
      </c>
      <c r="J1513" s="70" t="inlineStr">
        <is>
          <t>Completed</t>
        </is>
      </c>
      <c r="K1513" s="70" t="inlineStr">
        <is>
          <t>Hyderabad</t>
        </is>
      </c>
    </row>
    <row r="1514" ht="14.25" customHeight="1" s="56">
      <c r="A1514" s="70" t="inlineStr">
        <is>
          <t>ORD-01513</t>
        </is>
      </c>
      <c r="B1514" s="71" t="n">
        <v>45329</v>
      </c>
      <c r="C1514" s="70" t="inlineStr">
        <is>
          <t>CUST-9565</t>
        </is>
      </c>
      <c r="D1514" s="70" t="inlineStr">
        <is>
          <t>PROD-016</t>
        </is>
      </c>
      <c r="E1514" s="70" t="inlineStr">
        <is>
          <t>R008</t>
        </is>
      </c>
      <c r="F1514" s="72" t="n">
        <v>5</v>
      </c>
      <c r="G1514" s="72" t="n">
        <v>620</v>
      </c>
      <c r="H1514" s="72" t="n">
        <v>10.9</v>
      </c>
      <c r="I1514" s="72" t="n">
        <v>2762.1</v>
      </c>
      <c r="J1514" s="70" t="inlineStr">
        <is>
          <t>Pending</t>
        </is>
      </c>
      <c r="K1514" s="70" t="inlineStr">
        <is>
          <t>Chennai</t>
        </is>
      </c>
    </row>
    <row r="1515" ht="14.25" customHeight="1" s="56">
      <c r="A1515" s="70" t="inlineStr">
        <is>
          <t>ORD-01514</t>
        </is>
      </c>
      <c r="B1515" s="71" t="n">
        <v>45377</v>
      </c>
      <c r="C1515" s="70" t="inlineStr">
        <is>
          <t>CUST-0051</t>
        </is>
      </c>
      <c r="D1515" s="70" t="inlineStr">
        <is>
          <t>PROD-019</t>
        </is>
      </c>
      <c r="E1515" s="70" t="inlineStr">
        <is>
          <t>R003</t>
        </is>
      </c>
      <c r="F1515" s="72" t="n">
        <v>3</v>
      </c>
      <c r="G1515" s="72" t="n">
        <v>2480</v>
      </c>
      <c r="H1515" s="72" t="n">
        <v>5</v>
      </c>
      <c r="I1515" s="72" t="n">
        <v>7068</v>
      </c>
      <c r="J1515" s="70" t="inlineStr">
        <is>
          <t>Completed</t>
        </is>
      </c>
      <c r="K1515" s="70" t="inlineStr">
        <is>
          <t>Pune</t>
        </is>
      </c>
    </row>
    <row r="1516" ht="14.25" customHeight="1" s="56">
      <c r="A1516" s="70" t="inlineStr">
        <is>
          <t>ORD-01515</t>
        </is>
      </c>
      <c r="B1516" s="71" t="n">
        <v>45537</v>
      </c>
      <c r="C1516" s="70" t="inlineStr">
        <is>
          <t>CUST-0075</t>
        </is>
      </c>
      <c r="D1516" s="70" t="inlineStr">
        <is>
          <t>PROD-054</t>
        </is>
      </c>
      <c r="E1516" s="70" t="inlineStr">
        <is>
          <t>R005</t>
        </is>
      </c>
      <c r="F1516" s="72" t="n">
        <v>9</v>
      </c>
      <c r="G1516" s="72" t="n">
        <v>1010</v>
      </c>
      <c r="H1516" s="72" t="n">
        <v>21.9</v>
      </c>
      <c r="I1516" s="72" t="n">
        <v>7099.29</v>
      </c>
      <c r="J1516" s="70" t="inlineStr">
        <is>
          <t>Completed</t>
        </is>
      </c>
      <c r="K1516" s="70" t="inlineStr">
        <is>
          <t>Mumbai</t>
        </is>
      </c>
    </row>
    <row r="1517" ht="14.25" customHeight="1" s="56">
      <c r="A1517" s="70" t="inlineStr">
        <is>
          <t>ORD-01516</t>
        </is>
      </c>
      <c r="B1517" s="71" t="n">
        <v>45550</v>
      </c>
      <c r="C1517" s="70" t="inlineStr">
        <is>
          <t>CUST-0106</t>
        </is>
      </c>
      <c r="D1517" s="70" t="inlineStr">
        <is>
          <t>PROD-040</t>
        </is>
      </c>
      <c r="E1517" s="70" t="inlineStr">
        <is>
          <t>R004</t>
        </is>
      </c>
      <c r="F1517" s="72" t="n">
        <v>2</v>
      </c>
      <c r="G1517" s="72" t="n">
        <v>1080</v>
      </c>
      <c r="H1517" s="72" t="n">
        <v>8.5</v>
      </c>
      <c r="I1517" s="72" t="n">
        <v>1976.4</v>
      </c>
      <c r="J1517" s="70" t="inlineStr">
        <is>
          <t>Completed</t>
        </is>
      </c>
      <c r="K1517" s="70" t="inlineStr">
        <is>
          <t>Pune</t>
        </is>
      </c>
    </row>
    <row r="1518" ht="14.25" customHeight="1" s="56">
      <c r="A1518" s="70" t="inlineStr">
        <is>
          <t>ORD-01517</t>
        </is>
      </c>
      <c r="B1518" s="71" t="n">
        <v>45325</v>
      </c>
      <c r="C1518" s="70" t="inlineStr">
        <is>
          <t>CUST-0053</t>
        </is>
      </c>
      <c r="D1518" s="70" t="inlineStr">
        <is>
          <t>PROD-053</t>
        </is>
      </c>
      <c r="E1518" s="70" t="inlineStr">
        <is>
          <t>R025</t>
        </is>
      </c>
      <c r="F1518" s="72" t="n">
        <v>5</v>
      </c>
      <c r="G1518" s="72" t="n">
        <v>470</v>
      </c>
      <c r="H1518" s="72" t="n">
        <v>8</v>
      </c>
      <c r="I1518" s="72" t="n">
        <v>2162</v>
      </c>
      <c r="J1518" s="70" t="inlineStr">
        <is>
          <t>Completed</t>
        </is>
      </c>
      <c r="K1518" s="70" t="inlineStr">
        <is>
          <t>Delhi</t>
        </is>
      </c>
    </row>
    <row r="1519" ht="14.25" customHeight="1" s="56">
      <c r="A1519" s="70" t="inlineStr">
        <is>
          <t>ORD-01518</t>
        </is>
      </c>
      <c r="B1519" s="71" t="n">
        <v>45375</v>
      </c>
      <c r="C1519" s="70" t="inlineStr">
        <is>
          <t>CUST-0042</t>
        </is>
      </c>
      <c r="D1519" s="70" t="inlineStr">
        <is>
          <t>PROD-006</t>
        </is>
      </c>
      <c r="E1519" s="70" t="inlineStr">
        <is>
          <t>R020</t>
        </is>
      </c>
      <c r="F1519" s="72" t="n">
        <v>9</v>
      </c>
      <c r="G1519" s="72" t="n">
        <v>3970</v>
      </c>
      <c r="H1519" s="72" t="n">
        <v>18.5</v>
      </c>
      <c r="I1519" s="72" t="n">
        <v>29119.95</v>
      </c>
      <c r="J1519" s="70" t="inlineStr">
        <is>
          <t>Completed</t>
        </is>
      </c>
      <c r="K1519" s="70" t="inlineStr">
        <is>
          <t>Pune</t>
        </is>
      </c>
    </row>
    <row r="1520" ht="14.25" customHeight="1" s="56">
      <c r="A1520" s="70" t="inlineStr">
        <is>
          <t>ORD-01519</t>
        </is>
      </c>
      <c r="B1520" s="71" t="n">
        <v>45614</v>
      </c>
      <c r="C1520" s="70" t="inlineStr">
        <is>
          <t>CUST-0120</t>
        </is>
      </c>
      <c r="D1520" s="70" t="inlineStr">
        <is>
          <t>PROD-044</t>
        </is>
      </c>
      <c r="E1520" s="70" t="inlineStr">
        <is>
          <t>R010</t>
        </is>
      </c>
      <c r="F1520" s="72" t="n">
        <v>9</v>
      </c>
      <c r="G1520" s="72" t="n">
        <v>1650</v>
      </c>
      <c r="H1520" s="72" t="n">
        <v>19.5</v>
      </c>
      <c r="I1520" s="72" t="n">
        <v>11954.25</v>
      </c>
      <c r="J1520" s="70" t="inlineStr">
        <is>
          <t>Completed</t>
        </is>
      </c>
      <c r="K1520" s="70" t="inlineStr">
        <is>
          <t>Mumbai</t>
        </is>
      </c>
    </row>
    <row r="1521" ht="14.25" customHeight="1" s="56">
      <c r="A1521" s="70" t="inlineStr">
        <is>
          <t>ORD-01520</t>
        </is>
      </c>
      <c r="B1521" s="71" t="n">
        <v>45364</v>
      </c>
      <c r="C1521" s="70" t="inlineStr">
        <is>
          <t>CUST-0166</t>
        </is>
      </c>
      <c r="D1521" s="70" t="inlineStr">
        <is>
          <t>PROD-043</t>
        </is>
      </c>
      <c r="E1521" s="70" t="inlineStr">
        <is>
          <t>R006</t>
        </is>
      </c>
      <c r="F1521" s="72" t="n">
        <v>9</v>
      </c>
      <c r="G1521" s="72" t="n">
        <v>3350</v>
      </c>
      <c r="H1521" s="72" t="n">
        <v>4.1</v>
      </c>
      <c r="I1521" s="72" t="n">
        <v>28913.85</v>
      </c>
      <c r="J1521" s="70" t="inlineStr">
        <is>
          <t>Completed</t>
        </is>
      </c>
      <c r="K1521" s="70" t="inlineStr">
        <is>
          <t>Hyderabad</t>
        </is>
      </c>
    </row>
    <row r="1522" ht="14.25" customHeight="1" s="56">
      <c r="A1522" s="70" t="inlineStr">
        <is>
          <t>ORD-01521</t>
        </is>
      </c>
      <c r="B1522" s="71" t="n">
        <v>45342</v>
      </c>
      <c r="C1522" s="70" t="inlineStr">
        <is>
          <t>CUST-0175</t>
        </is>
      </c>
      <c r="D1522" s="70" t="inlineStr">
        <is>
          <t>PROD-006</t>
        </is>
      </c>
      <c r="E1522" s="70" t="inlineStr">
        <is>
          <t>R023</t>
        </is>
      </c>
      <c r="F1522" s="72" t="n">
        <v>7</v>
      </c>
      <c r="G1522" s="72" t="n">
        <v>3970</v>
      </c>
      <c r="H1522" s="72" t="n">
        <v>15.6</v>
      </c>
      <c r="I1522" s="72" t="n">
        <v>23454.76</v>
      </c>
      <c r="J1522" s="70" t="inlineStr">
        <is>
          <t>Completed</t>
        </is>
      </c>
      <c r="K1522" s="70" t="inlineStr">
        <is>
          <t>Delhi</t>
        </is>
      </c>
    </row>
    <row r="1523" ht="14.25" customHeight="1" s="56">
      <c r="A1523" s="70" t="inlineStr">
        <is>
          <t>ORD-01522</t>
        </is>
      </c>
      <c r="B1523" s="71" t="n">
        <v>45454</v>
      </c>
      <c r="C1523" s="70" t="inlineStr">
        <is>
          <t>CUST-0001</t>
        </is>
      </c>
      <c r="D1523" s="70" t="inlineStr">
        <is>
          <t>PROD-027</t>
        </is>
      </c>
      <c r="E1523" s="70" t="inlineStr">
        <is>
          <t>R018</t>
        </is>
      </c>
      <c r="F1523" s="72" t="n">
        <v>7</v>
      </c>
      <c r="G1523" s="72" t="n">
        <v>3780</v>
      </c>
      <c r="H1523" s="72" t="n">
        <v>18.7</v>
      </c>
      <c r="I1523" s="72" t="n">
        <v>21511.98</v>
      </c>
      <c r="J1523" s="70" t="inlineStr">
        <is>
          <t>Completed</t>
        </is>
      </c>
      <c r="K1523" s="70" t="inlineStr">
        <is>
          <t>Pune</t>
        </is>
      </c>
    </row>
    <row r="1524" ht="14.25" customHeight="1" s="56">
      <c r="A1524" s="70" t="inlineStr">
        <is>
          <t>ORD-01523</t>
        </is>
      </c>
      <c r="B1524" s="71" t="n">
        <v>45625</v>
      </c>
      <c r="C1524" s="70" t="inlineStr">
        <is>
          <t>CUST-0238</t>
        </is>
      </c>
      <c r="D1524" s="70" t="inlineStr">
        <is>
          <t>PROD-020</t>
        </is>
      </c>
      <c r="E1524" s="70" t="inlineStr">
        <is>
          <t>R013</t>
        </is>
      </c>
      <c r="F1524" s="72" t="n">
        <v>4</v>
      </c>
      <c r="G1524" s="72" t="n">
        <v>820</v>
      </c>
      <c r="H1524" s="72" t="n">
        <v>18.8</v>
      </c>
      <c r="I1524" s="72" t="n">
        <v>2663.36</v>
      </c>
      <c r="J1524" s="70" t="inlineStr">
        <is>
          <t>Cancelled</t>
        </is>
      </c>
      <c r="K1524" s="70" t="inlineStr">
        <is>
          <t>Delhi</t>
        </is>
      </c>
    </row>
    <row r="1525" ht="14.25" customHeight="1" s="56">
      <c r="A1525" s="70" t="inlineStr">
        <is>
          <t>ORD-01524</t>
        </is>
      </c>
      <c r="B1525" s="71" t="n">
        <v>45600</v>
      </c>
      <c r="C1525" s="70" t="inlineStr">
        <is>
          <t>CUST-0279</t>
        </is>
      </c>
      <c r="D1525" s="70" t="inlineStr">
        <is>
          <t>PROD-044</t>
        </is>
      </c>
      <c r="E1525" s="70" t="inlineStr">
        <is>
          <t>R022</t>
        </is>
      </c>
      <c r="F1525" s="72" t="n">
        <v>1</v>
      </c>
      <c r="G1525" s="72" t="n">
        <v>1650</v>
      </c>
      <c r="H1525" s="72" t="n">
        <v>18.8</v>
      </c>
      <c r="I1525" s="72" t="n">
        <v>1339.8</v>
      </c>
      <c r="J1525" s="70" t="inlineStr">
        <is>
          <t>Cancelled</t>
        </is>
      </c>
      <c r="K1525" s="70" t="inlineStr">
        <is>
          <t>Mumbai</t>
        </is>
      </c>
    </row>
    <row r="1526" ht="14.25" customHeight="1" s="56">
      <c r="A1526" s="70" t="inlineStr">
        <is>
          <t>ORD-01525</t>
        </is>
      </c>
      <c r="B1526" s="71" t="n">
        <v>45397</v>
      </c>
      <c r="C1526" s="70" t="inlineStr">
        <is>
          <t>CUST-0042</t>
        </is>
      </c>
      <c r="D1526" s="70" t="inlineStr">
        <is>
          <t>PROD-027</t>
        </is>
      </c>
      <c r="E1526" s="70" t="inlineStr">
        <is>
          <t>R021</t>
        </is>
      </c>
      <c r="F1526" s="72" t="n">
        <v>2</v>
      </c>
      <c r="G1526" s="72" t="n">
        <v>3780</v>
      </c>
      <c r="H1526" s="72" t="n">
        <v>1</v>
      </c>
      <c r="I1526" s="72" t="n">
        <v>7484.4</v>
      </c>
      <c r="J1526" s="70" t="inlineStr">
        <is>
          <t>Refunded</t>
        </is>
      </c>
      <c r="K1526" s="70" t="inlineStr">
        <is>
          <t>Pune</t>
        </is>
      </c>
    </row>
    <row r="1527" ht="14.25" customHeight="1" s="56">
      <c r="A1527" s="70" t="inlineStr">
        <is>
          <t>ORD-01526</t>
        </is>
      </c>
      <c r="B1527" s="71" t="n">
        <v>45417</v>
      </c>
      <c r="C1527" s="70" t="inlineStr">
        <is>
          <t>CUST-0137</t>
        </is>
      </c>
      <c r="D1527" s="70" t="inlineStr">
        <is>
          <t>PROD-029</t>
        </is>
      </c>
      <c r="E1527" s="70" t="inlineStr">
        <is>
          <t>R027</t>
        </is>
      </c>
      <c r="F1527" s="72" t="n">
        <v>5</v>
      </c>
      <c r="G1527" s="72" t="n">
        <v>2210</v>
      </c>
      <c r="H1527" s="72" t="n">
        <v>16.6</v>
      </c>
      <c r="I1527" s="72" t="n">
        <v>9215.700000000001</v>
      </c>
      <c r="J1527" s="70" t="inlineStr">
        <is>
          <t>Completed</t>
        </is>
      </c>
      <c r="K1527" s="70" t="inlineStr">
        <is>
          <t>Mumbai</t>
        </is>
      </c>
    </row>
    <row r="1528" ht="14.25" customHeight="1" s="56">
      <c r="A1528" s="70" t="inlineStr">
        <is>
          <t>ORD-01527</t>
        </is>
      </c>
      <c r="B1528" s="71" t="n">
        <v>45487</v>
      </c>
      <c r="C1528" s="70" t="inlineStr">
        <is>
          <t>CUST-0160</t>
        </is>
      </c>
      <c r="D1528" s="70" t="inlineStr">
        <is>
          <t>PROD-056</t>
        </is>
      </c>
      <c r="E1528" s="70" t="inlineStr">
        <is>
          <t>R010</t>
        </is>
      </c>
      <c r="F1528" s="72" t="n">
        <v>10</v>
      </c>
      <c r="G1528" s="72" t="n">
        <v>6940</v>
      </c>
      <c r="H1528" s="72" t="n">
        <v>10.6</v>
      </c>
      <c r="I1528" s="72" t="n">
        <v>62043.6</v>
      </c>
      <c r="J1528" s="70" t="inlineStr">
        <is>
          <t>Completed</t>
        </is>
      </c>
      <c r="K1528" s="70" t="inlineStr">
        <is>
          <t>Hyderabad</t>
        </is>
      </c>
    </row>
    <row r="1529" ht="14.25" customHeight="1" s="56">
      <c r="A1529" s="70" t="inlineStr">
        <is>
          <t>ORD-01528</t>
        </is>
      </c>
      <c r="B1529" s="71" t="n">
        <v>45454</v>
      </c>
      <c r="C1529" s="70" t="inlineStr">
        <is>
          <t>CUST-0102</t>
        </is>
      </c>
      <c r="D1529" s="70" t="inlineStr">
        <is>
          <t>PROD-042</t>
        </is>
      </c>
      <c r="E1529" s="70" t="inlineStr">
        <is>
          <t>R005</t>
        </is>
      </c>
      <c r="F1529" s="72" t="n">
        <v>8</v>
      </c>
      <c r="G1529" s="72" t="n">
        <v>2290</v>
      </c>
      <c r="H1529" s="72" t="n">
        <v>12.2</v>
      </c>
      <c r="I1529" s="72" t="n">
        <v>16084.96</v>
      </c>
      <c r="J1529" s="70" t="inlineStr">
        <is>
          <t>Completed</t>
        </is>
      </c>
      <c r="K1529" s="70" t="inlineStr">
        <is>
          <t>Chennai</t>
        </is>
      </c>
    </row>
    <row r="1530" ht="14.25" customHeight="1" s="56">
      <c r="A1530" s="70" t="inlineStr">
        <is>
          <t>ORD-01529</t>
        </is>
      </c>
      <c r="B1530" s="71" t="n">
        <v>45529</v>
      </c>
      <c r="C1530" s="70" t="inlineStr">
        <is>
          <t>CUST-0133</t>
        </is>
      </c>
      <c r="D1530" s="70" t="inlineStr">
        <is>
          <t>PROD-033</t>
        </is>
      </c>
      <c r="E1530" s="70" t="inlineStr">
        <is>
          <t>R025</t>
        </is>
      </c>
      <c r="F1530" s="72" t="n">
        <v>5</v>
      </c>
      <c r="G1530" s="72" t="n">
        <v>2030</v>
      </c>
      <c r="H1530" s="72" t="n">
        <v>23.8</v>
      </c>
      <c r="I1530" s="72" t="n">
        <v>7734.3</v>
      </c>
      <c r="J1530" s="70" t="inlineStr">
        <is>
          <t>Cancelled</t>
        </is>
      </c>
      <c r="K1530" s="70" t="inlineStr">
        <is>
          <t>Chennai</t>
        </is>
      </c>
    </row>
    <row r="1531" ht="14.25" customHeight="1" s="56">
      <c r="A1531" s="70" t="inlineStr">
        <is>
          <t>ORD-01530</t>
        </is>
      </c>
      <c r="B1531" s="71" t="n">
        <v>45546</v>
      </c>
      <c r="C1531" s="70" t="inlineStr">
        <is>
          <t>CUST-0080</t>
        </is>
      </c>
      <c r="D1531" s="70" t="inlineStr">
        <is>
          <t>PROD-006</t>
        </is>
      </c>
      <c r="E1531" s="70" t="inlineStr">
        <is>
          <t>R029</t>
        </is>
      </c>
      <c r="F1531" s="72" t="n">
        <v>3</v>
      </c>
      <c r="G1531" s="72" t="n">
        <v>3970</v>
      </c>
      <c r="H1531" s="72" t="n">
        <v>7.7</v>
      </c>
      <c r="I1531" s="72" t="n">
        <v>10992.93</v>
      </c>
      <c r="J1531" s="70" t="inlineStr">
        <is>
          <t>Completed</t>
        </is>
      </c>
      <c r="K1531" s="70" t="inlineStr">
        <is>
          <t>Pune</t>
        </is>
      </c>
    </row>
    <row r="1532" ht="14.25" customHeight="1" s="56">
      <c r="A1532" s="70" t="inlineStr">
        <is>
          <t>ORD-01821</t>
        </is>
      </c>
      <c r="B1532" s="71" t="n">
        <v>45481</v>
      </c>
      <c r="C1532" s="70" t="inlineStr">
        <is>
          <t>CUST-0299</t>
        </is>
      </c>
      <c r="D1532" s="70" t="inlineStr">
        <is>
          <t>PROD-020</t>
        </is>
      </c>
      <c r="E1532" s="70" t="inlineStr">
        <is>
          <t>R016</t>
        </is>
      </c>
      <c r="F1532" s="72" t="n">
        <v>1</v>
      </c>
      <c r="G1532" s="72" t="n">
        <v>820</v>
      </c>
      <c r="H1532" s="72" t="n">
        <v>5.4</v>
      </c>
      <c r="I1532" s="72" t="n">
        <v>775.72</v>
      </c>
      <c r="J1532" s="70" t="inlineStr">
        <is>
          <t>Completed</t>
        </is>
      </c>
      <c r="K1532" s="70" t="inlineStr">
        <is>
          <t>Mumbai</t>
        </is>
      </c>
    </row>
    <row r="1533" ht="14.25" customHeight="1" s="56">
      <c r="A1533" s="70" t="inlineStr">
        <is>
          <t>ORD-01532</t>
        </is>
      </c>
      <c r="B1533" s="71" t="n">
        <v>45472</v>
      </c>
      <c r="C1533" s="70" t="inlineStr">
        <is>
          <t>CUST-0078</t>
        </is>
      </c>
      <c r="D1533" s="70" t="inlineStr">
        <is>
          <t>PROD-004</t>
        </is>
      </c>
      <c r="E1533" s="70" t="inlineStr">
        <is>
          <t>R025</t>
        </is>
      </c>
      <c r="F1533" s="72" t="n">
        <v>3</v>
      </c>
      <c r="G1533" s="72" t="n">
        <v>3870</v>
      </c>
      <c r="H1533" s="72" t="n">
        <v>1.9</v>
      </c>
      <c r="I1533" s="72" t="n">
        <v>11389.41</v>
      </c>
      <c r="J1533" s="70" t="inlineStr">
        <is>
          <t>Completed</t>
        </is>
      </c>
      <c r="K1533" s="70" t="inlineStr">
        <is>
          <t>Delhi</t>
        </is>
      </c>
    </row>
    <row r="1534" ht="14.25" customHeight="1" s="56">
      <c r="A1534" s="70" t="inlineStr">
        <is>
          <t>ORD-01533</t>
        </is>
      </c>
      <c r="B1534" s="71" t="n">
        <v>45296</v>
      </c>
      <c r="C1534" s="70" t="inlineStr">
        <is>
          <t>CUST-0251</t>
        </is>
      </c>
      <c r="D1534" s="70" t="inlineStr">
        <is>
          <t>PROD-030</t>
        </is>
      </c>
      <c r="E1534" s="70" t="inlineStr">
        <is>
          <t>R022</t>
        </is>
      </c>
      <c r="F1534" s="72" t="n">
        <v>6</v>
      </c>
      <c r="G1534" s="72" t="n">
        <v>970</v>
      </c>
      <c r="H1534" s="72" t="n">
        <v>27.1</v>
      </c>
      <c r="I1534" s="72" t="n">
        <v>4242.78</v>
      </c>
      <c r="J1534" s="70" t="inlineStr">
        <is>
          <t>Completed</t>
        </is>
      </c>
      <c r="K1534" s="70" t="inlineStr">
        <is>
          <t>Mumbai</t>
        </is>
      </c>
    </row>
    <row r="1535" ht="14.25" customHeight="1" s="56">
      <c r="A1535" s="70" t="inlineStr">
        <is>
          <t>ORD-01534</t>
        </is>
      </c>
      <c r="B1535" s="71" t="n">
        <v>45567</v>
      </c>
      <c r="C1535" s="70" t="inlineStr">
        <is>
          <t>CUST-0191</t>
        </is>
      </c>
      <c r="D1535" s="70" t="inlineStr">
        <is>
          <t>PROD-046</t>
        </is>
      </c>
      <c r="E1535" s="70" t="inlineStr">
        <is>
          <t>R025</t>
        </is>
      </c>
      <c r="F1535" s="72" t="n">
        <v>1</v>
      </c>
      <c r="G1535" s="72" t="n">
        <v>4880</v>
      </c>
      <c r="H1535" s="72" t="n">
        <v>26.8</v>
      </c>
      <c r="I1535" s="72" t="n">
        <v>3572.16</v>
      </c>
      <c r="J1535" s="70" t="inlineStr">
        <is>
          <t>Completed</t>
        </is>
      </c>
      <c r="K1535" s="70" t="inlineStr">
        <is>
          <t>Hyderabad</t>
        </is>
      </c>
    </row>
    <row r="1536" ht="14.25" customHeight="1" s="56">
      <c r="A1536" s="70" t="inlineStr">
        <is>
          <t>ORD-01535</t>
        </is>
      </c>
      <c r="B1536" s="71" t="n">
        <v>45337</v>
      </c>
      <c r="C1536" s="70" t="inlineStr">
        <is>
          <t>CUST-0130</t>
        </is>
      </c>
      <c r="D1536" s="70" t="inlineStr">
        <is>
          <t>PROD-022</t>
        </is>
      </c>
      <c r="E1536" s="70" t="inlineStr">
        <is>
          <t>R023</t>
        </is>
      </c>
      <c r="F1536" s="72" t="n">
        <v>1</v>
      </c>
      <c r="G1536" s="72" t="n">
        <v>2270</v>
      </c>
      <c r="H1536" s="72" t="n">
        <v>22.2</v>
      </c>
      <c r="I1536" s="72" t="n">
        <v>1766.06</v>
      </c>
      <c r="J1536" s="70" t="inlineStr">
        <is>
          <t>Completed</t>
        </is>
      </c>
      <c r="K1536" s="70" t="inlineStr">
        <is>
          <t>Bengaluru</t>
        </is>
      </c>
    </row>
    <row r="1537" ht="14.25" customHeight="1" s="56">
      <c r="A1537" s="70" t="inlineStr">
        <is>
          <t>ORD-01536</t>
        </is>
      </c>
      <c r="B1537" s="71" t="n">
        <v>45376</v>
      </c>
      <c r="C1537" s="70" t="inlineStr">
        <is>
          <t>CUST-0056</t>
        </is>
      </c>
      <c r="D1537" s="70" t="inlineStr">
        <is>
          <t>PROD-047</t>
        </is>
      </c>
      <c r="E1537" s="70" t="inlineStr">
        <is>
          <t>R026</t>
        </is>
      </c>
      <c r="F1537" s="72" t="n">
        <v>10</v>
      </c>
      <c r="G1537" s="72" t="n">
        <v>3450</v>
      </c>
      <c r="H1537" s="72" t="n">
        <v>21.9</v>
      </c>
      <c r="I1537" s="72" t="n">
        <v>26944.5</v>
      </c>
      <c r="J1537" s="70" t="inlineStr">
        <is>
          <t>Completed</t>
        </is>
      </c>
      <c r="K1537" s="70" t="inlineStr">
        <is>
          <t>Bengaluru</t>
        </is>
      </c>
    </row>
    <row r="1538" ht="14.25" customHeight="1" s="56">
      <c r="A1538" s="70" t="inlineStr">
        <is>
          <t>ORD-01537</t>
        </is>
      </c>
      <c r="B1538" s="71" t="n">
        <v>45616</v>
      </c>
      <c r="C1538" s="70" t="inlineStr">
        <is>
          <t>CUST-0185</t>
        </is>
      </c>
      <c r="D1538" s="70" t="inlineStr">
        <is>
          <t>PROD-022</t>
        </is>
      </c>
      <c r="E1538" s="70" t="inlineStr">
        <is>
          <t>R011</t>
        </is>
      </c>
      <c r="F1538" s="72" t="n">
        <v>3</v>
      </c>
      <c r="G1538" s="72" t="n">
        <v>2270</v>
      </c>
      <c r="H1538" s="72" t="n">
        <v>19.1</v>
      </c>
      <c r="I1538" s="72" t="n">
        <v>5509.29</v>
      </c>
      <c r="J1538" s="70" t="inlineStr">
        <is>
          <t>Cancelled</t>
        </is>
      </c>
      <c r="K1538" s="70" t="inlineStr">
        <is>
          <t>Hyderabad</t>
        </is>
      </c>
    </row>
    <row r="1539" ht="14.25" customHeight="1" s="56">
      <c r="A1539" s="70" t="inlineStr">
        <is>
          <t>ORD-01538</t>
        </is>
      </c>
      <c r="B1539" s="71" t="n">
        <v>45360</v>
      </c>
      <c r="C1539" s="70" t="inlineStr">
        <is>
          <t>CUST-0195</t>
        </is>
      </c>
      <c r="D1539" s="70" t="inlineStr">
        <is>
          <t>PROD-029</t>
        </is>
      </c>
      <c r="E1539" s="70" t="inlineStr">
        <is>
          <t>R030</t>
        </is>
      </c>
      <c r="F1539" s="72" t="n">
        <v>10</v>
      </c>
      <c r="G1539" s="72" t="n">
        <v>2210</v>
      </c>
      <c r="H1539" s="72" t="n">
        <v>22.3</v>
      </c>
      <c r="I1539" s="72" t="n">
        <v>17171.7</v>
      </c>
      <c r="J1539" s="70" t="inlineStr">
        <is>
          <t>Completed</t>
        </is>
      </c>
      <c r="K1539" s="70" t="inlineStr">
        <is>
          <t>Bengaluru</t>
        </is>
      </c>
    </row>
    <row r="1540" ht="14.25" customHeight="1" s="56">
      <c r="A1540" s="70" t="inlineStr">
        <is>
          <t>ORD-01539</t>
        </is>
      </c>
      <c r="B1540" s="71" t="n">
        <v>45465</v>
      </c>
      <c r="C1540" s="70" t="inlineStr">
        <is>
          <t>CUST-0067</t>
        </is>
      </c>
      <c r="D1540" s="70" t="inlineStr">
        <is>
          <t>PROD-033</t>
        </is>
      </c>
      <c r="E1540" s="70" t="inlineStr">
        <is>
          <t>R011</t>
        </is>
      </c>
      <c r="F1540" s="72" t="n">
        <v>9</v>
      </c>
      <c r="G1540" s="72" t="n">
        <v>2030</v>
      </c>
      <c r="H1540" s="72" t="n">
        <v>24.8</v>
      </c>
      <c r="I1540" s="72" t="n">
        <v>13739.04</v>
      </c>
      <c r="J1540" s="70" t="inlineStr">
        <is>
          <t>Completed</t>
        </is>
      </c>
      <c r="K1540" s="70" t="inlineStr">
        <is>
          <t>Delhi</t>
        </is>
      </c>
    </row>
    <row r="1541" ht="14.25" customHeight="1" s="56">
      <c r="A1541" s="70" t="inlineStr">
        <is>
          <t>ORD-01540</t>
        </is>
      </c>
      <c r="B1541" s="71" t="n">
        <v>45380</v>
      </c>
      <c r="C1541" s="70" t="inlineStr">
        <is>
          <t>CUST-0149</t>
        </is>
      </c>
      <c r="D1541" s="70" t="inlineStr">
        <is>
          <t>PROD-043</t>
        </is>
      </c>
      <c r="E1541" s="70" t="inlineStr">
        <is>
          <t>R023</t>
        </is>
      </c>
      <c r="F1541" s="72" t="n">
        <v>5</v>
      </c>
      <c r="G1541" s="72" t="n">
        <v>3350</v>
      </c>
      <c r="H1541" s="72" t="n">
        <v>18.2</v>
      </c>
      <c r="I1541" s="72" t="n">
        <v>13701.5</v>
      </c>
      <c r="J1541" s="70" t="inlineStr">
        <is>
          <t>Completed</t>
        </is>
      </c>
      <c r="K1541" s="70" t="inlineStr">
        <is>
          <t>Hyderabad</t>
        </is>
      </c>
    </row>
    <row r="1542" ht="14.25" customHeight="1" s="56">
      <c r="A1542" s="70" t="inlineStr">
        <is>
          <t>ORD-01541</t>
        </is>
      </c>
      <c r="B1542" s="71" t="n">
        <v>45358</v>
      </c>
      <c r="C1542" s="70" t="inlineStr">
        <is>
          <t>CUST-0268</t>
        </is>
      </c>
      <c r="D1542" s="70" t="inlineStr">
        <is>
          <t>PROD-013</t>
        </is>
      </c>
      <c r="E1542" s="70" t="inlineStr">
        <is>
          <t>R008</t>
        </is>
      </c>
      <c r="F1542" s="72" t="n">
        <v>7</v>
      </c>
      <c r="G1542" s="72" t="n">
        <v>3640</v>
      </c>
      <c r="H1542" s="72" t="n">
        <v>14.4</v>
      </c>
      <c r="I1542" s="72" t="n">
        <v>21810.88</v>
      </c>
      <c r="J1542" s="70" t="inlineStr">
        <is>
          <t>Completed</t>
        </is>
      </c>
      <c r="K1542" s="70" t="inlineStr">
        <is>
          <t>Chennai</t>
        </is>
      </c>
    </row>
    <row r="1543" ht="14.25" customHeight="1" s="56">
      <c r="A1543" s="70" t="inlineStr">
        <is>
          <t>ORD-01542</t>
        </is>
      </c>
      <c r="B1543" s="71" t="n">
        <v>45385</v>
      </c>
      <c r="C1543" s="70" t="inlineStr">
        <is>
          <t>CUST-0126</t>
        </is>
      </c>
      <c r="D1543" s="70" t="inlineStr">
        <is>
          <t>PROD-051</t>
        </is>
      </c>
      <c r="E1543" s="70" t="inlineStr">
        <is>
          <t>R018</t>
        </is>
      </c>
      <c r="F1543" s="72" t="n">
        <v>9</v>
      </c>
      <c r="G1543" s="72" t="n">
        <v>3450</v>
      </c>
      <c r="H1543" s="72" t="n">
        <v>20.1</v>
      </c>
      <c r="I1543" s="72" t="n">
        <v>24808.95</v>
      </c>
      <c r="J1543" s="70" t="inlineStr">
        <is>
          <t>Completed</t>
        </is>
      </c>
      <c r="K1543" s="70" t="inlineStr">
        <is>
          <t>Mumbai</t>
        </is>
      </c>
    </row>
    <row r="1544" ht="14.25" customHeight="1" s="56">
      <c r="A1544" s="70" t="inlineStr">
        <is>
          <t>ORD-01543</t>
        </is>
      </c>
      <c r="B1544" s="71" t="n">
        <v>45443</v>
      </c>
      <c r="C1544" s="70" t="inlineStr">
        <is>
          <t>CUST-0017</t>
        </is>
      </c>
      <c r="D1544" s="70" t="inlineStr">
        <is>
          <t>PROD-047</t>
        </is>
      </c>
      <c r="E1544" s="70" t="inlineStr">
        <is>
          <t>R003</t>
        </is>
      </c>
      <c r="F1544" s="72" t="n">
        <v>6</v>
      </c>
      <c r="G1544" s="72" t="n">
        <v>3450</v>
      </c>
      <c r="H1544" s="72" t="n">
        <v>19.9</v>
      </c>
      <c r="I1544" s="72" t="n">
        <v>16580.7</v>
      </c>
      <c r="J1544" s="70" t="inlineStr">
        <is>
          <t>Pending</t>
        </is>
      </c>
      <c r="K1544" s="70" t="inlineStr">
        <is>
          <t>Delhi</t>
        </is>
      </c>
    </row>
    <row r="1545" ht="14.25" customHeight="1" s="56">
      <c r="A1545" s="70" t="inlineStr">
        <is>
          <t>ORD-01544</t>
        </is>
      </c>
      <c r="B1545" s="71" t="n">
        <v>45599</v>
      </c>
      <c r="C1545" s="70" t="inlineStr">
        <is>
          <t>CUST-0250</t>
        </is>
      </c>
      <c r="D1545" s="70" t="inlineStr">
        <is>
          <t>PROD-042</t>
        </is>
      </c>
      <c r="E1545" s="70" t="inlineStr">
        <is>
          <t>R022</t>
        </is>
      </c>
      <c r="F1545" s="72" t="n">
        <v>4</v>
      </c>
      <c r="G1545" s="72" t="n">
        <v>2290</v>
      </c>
      <c r="H1545" s="72" t="n">
        <v>4.8</v>
      </c>
      <c r="I1545" s="72" t="n">
        <v>8720.32</v>
      </c>
      <c r="J1545" s="70" t="inlineStr">
        <is>
          <t>Pending</t>
        </is>
      </c>
      <c r="K1545" s="70" t="inlineStr">
        <is>
          <t>Delhi</t>
        </is>
      </c>
    </row>
    <row r="1546" ht="14.25" customHeight="1" s="56">
      <c r="A1546" s="70" t="inlineStr">
        <is>
          <t>ORD-01545</t>
        </is>
      </c>
      <c r="B1546" s="71" t="n">
        <v>45479</v>
      </c>
      <c r="C1546" s="70" t="inlineStr">
        <is>
          <t>CUST-0245</t>
        </is>
      </c>
      <c r="D1546" s="70" t="inlineStr">
        <is>
          <t>PROD-057</t>
        </is>
      </c>
      <c r="E1546" s="70" t="inlineStr">
        <is>
          <t>R010</t>
        </is>
      </c>
      <c r="F1546" s="72" t="n">
        <v>9</v>
      </c>
      <c r="G1546" s="72" t="n">
        <v>960</v>
      </c>
      <c r="H1546" s="72" t="n">
        <v>2.4</v>
      </c>
      <c r="I1546" s="72" t="n">
        <v>8432.639999999999</v>
      </c>
      <c r="J1546" s="70" t="inlineStr">
        <is>
          <t>Completed</t>
        </is>
      </c>
      <c r="K1546" s="70" t="inlineStr">
        <is>
          <t>Hyderabad</t>
        </is>
      </c>
    </row>
    <row r="1547" ht="14.25" customHeight="1" s="56">
      <c r="A1547" s="70" t="inlineStr">
        <is>
          <t>ORD-01546</t>
        </is>
      </c>
      <c r="B1547" s="71" t="n">
        <v>45489</v>
      </c>
      <c r="C1547" s="70" t="inlineStr">
        <is>
          <t>CUST-0016</t>
        </is>
      </c>
      <c r="D1547" s="70" t="inlineStr">
        <is>
          <t>PROD-039</t>
        </is>
      </c>
      <c r="E1547" s="70" t="inlineStr">
        <is>
          <t>R025</t>
        </is>
      </c>
      <c r="F1547" s="72" t="n">
        <v>9</v>
      </c>
      <c r="G1547" s="72" t="n">
        <v>4610</v>
      </c>
      <c r="H1547" s="72" t="n">
        <v>21.3</v>
      </c>
      <c r="I1547" s="72" t="n">
        <v>32652.63</v>
      </c>
      <c r="J1547" s="70" t="inlineStr">
        <is>
          <t>Completed</t>
        </is>
      </c>
      <c r="K1547" s="70" t="inlineStr">
        <is>
          <t>Delhi</t>
        </is>
      </c>
    </row>
    <row r="1548" ht="14.25" customHeight="1" s="56">
      <c r="A1548" s="70" t="inlineStr">
        <is>
          <t>ORD-01547</t>
        </is>
      </c>
      <c r="B1548" s="71" t="n">
        <v>45514</v>
      </c>
      <c r="C1548" s="70" t="inlineStr">
        <is>
          <t>CUST-0063</t>
        </is>
      </c>
      <c r="D1548" s="70" t="inlineStr">
        <is>
          <t>PROD-028</t>
        </is>
      </c>
      <c r="E1548" s="70" t="inlineStr">
        <is>
          <t>R003</t>
        </is>
      </c>
      <c r="F1548" s="72" t="n">
        <v>1</v>
      </c>
      <c r="G1548" s="72" t="n">
        <v>3660</v>
      </c>
      <c r="H1548" s="72" t="n">
        <v>15.6</v>
      </c>
      <c r="I1548" s="72" t="n">
        <v>3089.04</v>
      </c>
      <c r="J1548" s="70" t="inlineStr">
        <is>
          <t>Completed</t>
        </is>
      </c>
      <c r="K1548" s="70" t="inlineStr">
        <is>
          <t>Mumbai</t>
        </is>
      </c>
    </row>
    <row r="1549" ht="14.25" customHeight="1" s="56">
      <c r="A1549" s="70" t="inlineStr">
        <is>
          <t>ORD-01548</t>
        </is>
      </c>
      <c r="B1549" s="71" t="n">
        <v>45653</v>
      </c>
      <c r="C1549" s="70" t="inlineStr">
        <is>
          <t>CUST-0200</t>
        </is>
      </c>
      <c r="D1549" s="70" t="inlineStr">
        <is>
          <t>PROD-008</t>
        </is>
      </c>
      <c r="E1549" s="70" t="inlineStr">
        <is>
          <t>R012</t>
        </is>
      </c>
      <c r="F1549" s="72" t="n">
        <v>5</v>
      </c>
      <c r="G1549" s="72" t="n">
        <v>2660</v>
      </c>
      <c r="H1549" s="72" t="n">
        <v>20.4</v>
      </c>
      <c r="I1549" s="72" t="n">
        <v>10586.8</v>
      </c>
      <c r="J1549" s="70" t="inlineStr">
        <is>
          <t>Completed</t>
        </is>
      </c>
      <c r="K1549" s="70" t="inlineStr">
        <is>
          <t>Hyderabad</t>
        </is>
      </c>
    </row>
    <row r="1550" ht="14.25" customHeight="1" s="56">
      <c r="A1550" s="70" t="inlineStr">
        <is>
          <t>ORD-01549</t>
        </is>
      </c>
      <c r="B1550" s="71" t="n">
        <v>45401</v>
      </c>
      <c r="C1550" s="70" t="inlineStr">
        <is>
          <t>CUST-0017</t>
        </is>
      </c>
      <c r="D1550" s="70" t="inlineStr">
        <is>
          <t>PROD-041</t>
        </is>
      </c>
      <c r="E1550" s="70" t="inlineStr">
        <is>
          <t>R026</t>
        </is>
      </c>
      <c r="F1550" s="72" t="n">
        <v>8</v>
      </c>
      <c r="G1550" s="72" t="n">
        <v>1540</v>
      </c>
      <c r="H1550" s="72" t="n">
        <v>0.5</v>
      </c>
      <c r="I1550" s="72" t="n">
        <v>12258.4</v>
      </c>
      <c r="J1550" s="70" t="inlineStr">
        <is>
          <t>Completed</t>
        </is>
      </c>
      <c r="K1550" s="70" t="inlineStr">
        <is>
          <t>Delhi</t>
        </is>
      </c>
    </row>
    <row r="1551" ht="14.25" customHeight="1" s="56">
      <c r="A1551" s="70" t="inlineStr">
        <is>
          <t>ORD-01550</t>
        </is>
      </c>
      <c r="B1551" s="71" t="n">
        <v>45621</v>
      </c>
      <c r="C1551" s="70" t="inlineStr">
        <is>
          <t>CUST-0264</t>
        </is>
      </c>
      <c r="D1551" s="70" t="inlineStr">
        <is>
          <t>PROD-006</t>
        </is>
      </c>
      <c r="E1551" s="70" t="inlineStr">
        <is>
          <t>R004</t>
        </is>
      </c>
      <c r="F1551" s="72" t="n">
        <v>4</v>
      </c>
      <c r="G1551" s="72" t="n">
        <v>3970</v>
      </c>
      <c r="H1551" s="72" t="n">
        <v>22.5</v>
      </c>
      <c r="I1551" s="72" t="n">
        <v>12307</v>
      </c>
      <c r="J1551" s="70" t="inlineStr">
        <is>
          <t>Completed</t>
        </is>
      </c>
      <c r="K1551" s="70" t="inlineStr">
        <is>
          <t>Pune</t>
        </is>
      </c>
    </row>
    <row r="1552" ht="14.25" customHeight="1" s="56">
      <c r="A1552" s="70" t="inlineStr">
        <is>
          <t>ORD-01551</t>
        </is>
      </c>
      <c r="B1552" s="71" t="n">
        <v>45368</v>
      </c>
      <c r="C1552" s="70" t="inlineStr">
        <is>
          <t>CUST-0102</t>
        </is>
      </c>
      <c r="D1552" s="70" t="inlineStr">
        <is>
          <t>PROD-059</t>
        </is>
      </c>
      <c r="E1552" s="70" t="inlineStr">
        <is>
          <t>R007</t>
        </is>
      </c>
      <c r="F1552" s="72" t="n">
        <v>8</v>
      </c>
      <c r="G1552" s="72" t="n">
        <v>3780</v>
      </c>
      <c r="H1552" s="72" t="n">
        <v>3.8</v>
      </c>
      <c r="I1552" s="72" t="n">
        <v>29090.88</v>
      </c>
      <c r="J1552" s="70" t="inlineStr">
        <is>
          <t>Completed</t>
        </is>
      </c>
      <c r="K1552" s="70" t="inlineStr">
        <is>
          <t>Chennai</t>
        </is>
      </c>
    </row>
    <row r="1553" ht="14.25" customHeight="1" s="56">
      <c r="A1553" s="70" t="inlineStr">
        <is>
          <t>ORD-01552</t>
        </is>
      </c>
      <c r="B1553" s="71" t="n">
        <v>45550</v>
      </c>
      <c r="C1553" s="70" t="inlineStr">
        <is>
          <t>CUST-0092</t>
        </is>
      </c>
      <c r="D1553" s="70" t="inlineStr">
        <is>
          <t>PROD-022</t>
        </is>
      </c>
      <c r="E1553" s="70" t="inlineStr">
        <is>
          <t>R004</t>
        </is>
      </c>
      <c r="F1553" s="72" t="n">
        <v>4</v>
      </c>
      <c r="G1553" s="72" t="n">
        <v>2270</v>
      </c>
      <c r="H1553" s="72" t="n">
        <v>3.8</v>
      </c>
      <c r="I1553" s="72" t="n">
        <v>8734.959999999999</v>
      </c>
      <c r="J1553" s="70" t="inlineStr">
        <is>
          <t>Cancelled</t>
        </is>
      </c>
      <c r="K1553" s="70" t="inlineStr">
        <is>
          <t>Bengaluru</t>
        </is>
      </c>
    </row>
    <row r="1554" ht="14.25" customHeight="1" s="56">
      <c r="A1554" s="70" t="inlineStr">
        <is>
          <t>ORD-01553</t>
        </is>
      </c>
      <c r="B1554" s="71" t="n">
        <v>45304</v>
      </c>
      <c r="C1554" s="70" t="inlineStr">
        <is>
          <t>CUST-0139</t>
        </is>
      </c>
      <c r="D1554" s="70" t="inlineStr">
        <is>
          <t>PROD-009</t>
        </is>
      </c>
      <c r="E1554" s="70" t="inlineStr">
        <is>
          <t>R009</t>
        </is>
      </c>
      <c r="F1554" s="72" t="n">
        <v>10</v>
      </c>
      <c r="G1554" s="72" t="n">
        <v>1220</v>
      </c>
      <c r="H1554" s="72" t="n">
        <v>19.5</v>
      </c>
      <c r="I1554" s="72" t="n">
        <v>9821</v>
      </c>
      <c r="J1554" s="70" t="inlineStr">
        <is>
          <t>Completed</t>
        </is>
      </c>
      <c r="K1554" s="70" t="inlineStr">
        <is>
          <t>Hyderabad</t>
        </is>
      </c>
    </row>
    <row r="1555" ht="14.25" customHeight="1" s="56">
      <c r="A1555" s="70" t="inlineStr">
        <is>
          <t>ORD-01554</t>
        </is>
      </c>
      <c r="B1555" s="71" t="n">
        <v>45321</v>
      </c>
      <c r="C1555" s="70" t="inlineStr">
        <is>
          <t>CUST-0129</t>
        </is>
      </c>
      <c r="D1555" s="70" t="inlineStr">
        <is>
          <t>PROD-043</t>
        </is>
      </c>
      <c r="E1555" s="70" t="inlineStr">
        <is>
          <t>R015</t>
        </is>
      </c>
      <c r="F1555" s="72" t="n">
        <v>10</v>
      </c>
      <c r="G1555" s="72" t="n">
        <v>3350</v>
      </c>
      <c r="H1555" s="72" t="n">
        <v>7.8</v>
      </c>
      <c r="I1555" s="72" t="n">
        <v>30887</v>
      </c>
      <c r="J1555" s="70" t="inlineStr">
        <is>
          <t>Completed</t>
        </is>
      </c>
      <c r="K1555" s="70" t="inlineStr">
        <is>
          <t>Hyderabad</t>
        </is>
      </c>
    </row>
    <row r="1556" ht="14.25" customHeight="1" s="56">
      <c r="A1556" s="70" t="inlineStr">
        <is>
          <t>ORD-01555</t>
        </is>
      </c>
      <c r="B1556" s="71" t="n">
        <v>45358</v>
      </c>
      <c r="C1556" s="70" t="inlineStr">
        <is>
          <t>CUST-9841</t>
        </is>
      </c>
      <c r="D1556" s="70" t="inlineStr">
        <is>
          <t>PROD-043</t>
        </is>
      </c>
      <c r="E1556" s="70" t="inlineStr">
        <is>
          <t>R030</t>
        </is>
      </c>
      <c r="F1556" s="72" t="n">
        <v>7</v>
      </c>
      <c r="G1556" s="72" t="n">
        <v>3350</v>
      </c>
      <c r="H1556" s="72" t="n">
        <v>14.5</v>
      </c>
      <c r="I1556" s="72" t="n">
        <v>20049.75</v>
      </c>
      <c r="J1556" s="70" t="inlineStr">
        <is>
          <t>Completed</t>
        </is>
      </c>
      <c r="K1556" s="70" t="inlineStr">
        <is>
          <t>Bengaluru</t>
        </is>
      </c>
    </row>
    <row r="1557" ht="14.25" customHeight="1" s="56">
      <c r="A1557" s="70" t="inlineStr">
        <is>
          <t>ORD-01556</t>
        </is>
      </c>
      <c r="B1557" s="71" t="n">
        <v>45440</v>
      </c>
      <c r="C1557" s="70" t="inlineStr">
        <is>
          <t>CUST-0069</t>
        </is>
      </c>
      <c r="D1557" s="70" t="inlineStr">
        <is>
          <t>PROD-038</t>
        </is>
      </c>
      <c r="E1557" s="70" t="inlineStr">
        <is>
          <t>R014</t>
        </is>
      </c>
      <c r="F1557" s="72" t="n">
        <v>6</v>
      </c>
      <c r="G1557" s="72" t="n">
        <v>5490</v>
      </c>
      <c r="H1557" s="72" t="n">
        <v>8</v>
      </c>
      <c r="I1557" s="72" t="n">
        <v>30304.8</v>
      </c>
      <c r="J1557" s="70" t="inlineStr">
        <is>
          <t>Completed</t>
        </is>
      </c>
      <c r="K1557" s="70" t="inlineStr">
        <is>
          <t>Chennai</t>
        </is>
      </c>
    </row>
    <row r="1558" ht="14.25" customHeight="1" s="56">
      <c r="A1558" s="70" t="inlineStr">
        <is>
          <t>ORD-01557</t>
        </is>
      </c>
      <c r="B1558" s="71" t="n">
        <v>45618</v>
      </c>
      <c r="C1558" s="70" t="inlineStr">
        <is>
          <t>CUST-0140</t>
        </is>
      </c>
      <c r="D1558" s="70" t="inlineStr">
        <is>
          <t>PROD-055</t>
        </is>
      </c>
      <c r="E1558" s="70" t="inlineStr">
        <is>
          <t>R018</t>
        </is>
      </c>
      <c r="F1558" s="72" t="n">
        <v>3</v>
      </c>
      <c r="G1558" s="72" t="n">
        <v>2860</v>
      </c>
      <c r="H1558" s="72" t="n">
        <v>19.9</v>
      </c>
      <c r="I1558" s="72" t="n">
        <v>6872.58</v>
      </c>
      <c r="J1558" s="70" t="inlineStr">
        <is>
          <t>Completed</t>
        </is>
      </c>
      <c r="K1558" s="70" t="inlineStr">
        <is>
          <t>Hyderabad</t>
        </is>
      </c>
    </row>
    <row r="1559" ht="14.25" customHeight="1" s="56">
      <c r="A1559" s="70" t="inlineStr">
        <is>
          <t>ORD-01558</t>
        </is>
      </c>
      <c r="B1559" s="71" t="n">
        <v>45295</v>
      </c>
      <c r="C1559" s="70" t="inlineStr">
        <is>
          <t>CUST-0138</t>
        </is>
      </c>
      <c r="D1559" s="70" t="inlineStr">
        <is>
          <t>PROD-010</t>
        </is>
      </c>
      <c r="E1559" s="70" t="inlineStr">
        <is>
          <t>R024</t>
        </is>
      </c>
      <c r="F1559" s="72" t="n">
        <v>3</v>
      </c>
      <c r="G1559" s="72" t="n">
        <v>2640</v>
      </c>
      <c r="H1559" s="72" t="n">
        <v>29.3</v>
      </c>
      <c r="I1559" s="72" t="n">
        <v>5599.44</v>
      </c>
      <c r="J1559" s="70" t="inlineStr">
        <is>
          <t>Completed</t>
        </is>
      </c>
      <c r="K1559" s="70" t="inlineStr">
        <is>
          <t>Chennai</t>
        </is>
      </c>
    </row>
    <row r="1560" ht="14.25" customHeight="1" s="56">
      <c r="A1560" s="70" t="inlineStr">
        <is>
          <t>ORD-01559</t>
        </is>
      </c>
      <c r="B1560" s="71" t="n">
        <v>45384</v>
      </c>
      <c r="C1560" s="70" t="inlineStr">
        <is>
          <t>CUST-0277</t>
        </is>
      </c>
      <c r="D1560" s="70" t="inlineStr">
        <is>
          <t>PROD-011</t>
        </is>
      </c>
      <c r="E1560" s="70" t="inlineStr">
        <is>
          <t>R029</t>
        </is>
      </c>
      <c r="F1560" s="72" t="n">
        <v>8</v>
      </c>
      <c r="G1560" s="72" t="n">
        <v>3450</v>
      </c>
      <c r="H1560" s="72" t="n">
        <v>15.2</v>
      </c>
      <c r="I1560" s="72" t="n">
        <v>23404.8</v>
      </c>
      <c r="J1560" s="70" t="inlineStr">
        <is>
          <t>Cancelled</t>
        </is>
      </c>
      <c r="K1560" s="70" t="inlineStr">
        <is>
          <t>Chennai</t>
        </is>
      </c>
    </row>
    <row r="1561" ht="14.25" customHeight="1" s="56">
      <c r="A1561" s="70" t="inlineStr">
        <is>
          <t>ORD-01560</t>
        </is>
      </c>
      <c r="B1561" s="71" t="n">
        <v>45349</v>
      </c>
      <c r="C1561" s="70" t="inlineStr">
        <is>
          <t>CUST-0017</t>
        </is>
      </c>
      <c r="D1561" s="70" t="inlineStr">
        <is>
          <t>PROD-032</t>
        </is>
      </c>
      <c r="E1561" s="70" t="inlineStr">
        <is>
          <t>R025</t>
        </is>
      </c>
      <c r="F1561" s="72" t="n">
        <v>6</v>
      </c>
      <c r="G1561" s="72" t="n">
        <v>370</v>
      </c>
      <c r="H1561" s="72" t="n">
        <v>7</v>
      </c>
      <c r="I1561" s="72" t="n">
        <v>2064.6</v>
      </c>
      <c r="J1561" s="70" t="inlineStr">
        <is>
          <t>Completed</t>
        </is>
      </c>
      <c r="K1561" s="70" t="inlineStr">
        <is>
          <t>Delhi</t>
        </is>
      </c>
    </row>
    <row r="1562" ht="14.25" customHeight="1" s="56">
      <c r="A1562" s="70" t="inlineStr">
        <is>
          <t>ORD-01561</t>
        </is>
      </c>
      <c r="B1562" s="71" t="n">
        <v>45439</v>
      </c>
      <c r="C1562" s="70" t="inlineStr">
        <is>
          <t>CUST-0170</t>
        </is>
      </c>
      <c r="D1562" s="70" t="inlineStr">
        <is>
          <t>PROD-025</t>
        </is>
      </c>
      <c r="E1562" s="70" t="inlineStr">
        <is>
          <t>R029</t>
        </is>
      </c>
      <c r="F1562" s="72" t="n">
        <v>10</v>
      </c>
      <c r="G1562" s="72" t="n">
        <v>4060</v>
      </c>
      <c r="H1562" s="72" t="n">
        <v>4.7</v>
      </c>
      <c r="I1562" s="72" t="n">
        <v>38691.8</v>
      </c>
      <c r="J1562" s="70" t="inlineStr">
        <is>
          <t>Cancelled</t>
        </is>
      </c>
      <c r="K1562" s="70" t="inlineStr">
        <is>
          <t>Mumbai</t>
        </is>
      </c>
    </row>
    <row r="1563" ht="14.25" customHeight="1" s="56">
      <c r="A1563" s="70" t="inlineStr">
        <is>
          <t>ORD-01562</t>
        </is>
      </c>
      <c r="B1563" s="71" t="n">
        <v>45426</v>
      </c>
      <c r="C1563" s="70" t="inlineStr">
        <is>
          <t>CUST-0022</t>
        </is>
      </c>
      <c r="D1563" s="70" t="inlineStr">
        <is>
          <t>PROD-004</t>
        </is>
      </c>
      <c r="E1563" s="70" t="inlineStr">
        <is>
          <t>R024</t>
        </is>
      </c>
      <c r="F1563" s="72" t="n">
        <v>1</v>
      </c>
      <c r="G1563" s="72" t="n">
        <v>3870</v>
      </c>
      <c r="H1563" s="72" t="n">
        <v>18.2</v>
      </c>
      <c r="I1563" s="72" t="n">
        <v>3165.66</v>
      </c>
      <c r="J1563" s="70" t="inlineStr">
        <is>
          <t>Pending</t>
        </is>
      </c>
      <c r="K1563" s="70" t="inlineStr">
        <is>
          <t>Bengaluru</t>
        </is>
      </c>
    </row>
    <row r="1564" ht="14.25" customHeight="1" s="56">
      <c r="A1564" s="70" t="inlineStr">
        <is>
          <t>ORD-01563</t>
        </is>
      </c>
      <c r="B1564" s="71" t="n">
        <v>45385</v>
      </c>
      <c r="C1564" s="70" t="inlineStr">
        <is>
          <t>CUST-0158</t>
        </is>
      </c>
      <c r="D1564" s="70" t="inlineStr">
        <is>
          <t>PROD-001</t>
        </is>
      </c>
      <c r="E1564" s="70" t="inlineStr">
        <is>
          <t>R006</t>
        </is>
      </c>
      <c r="F1564" s="72" t="n">
        <v>1</v>
      </c>
      <c r="G1564" s="72" t="n">
        <v>5330</v>
      </c>
      <c r="H1564" s="72" t="n">
        <v>3.9</v>
      </c>
      <c r="I1564" s="72" t="n">
        <v>5122.13</v>
      </c>
      <c r="J1564" s="70" t="inlineStr">
        <is>
          <t>Refunded</t>
        </is>
      </c>
      <c r="K1564" s="70" t="inlineStr">
        <is>
          <t>Pune</t>
        </is>
      </c>
    </row>
    <row r="1565" ht="14.25" customHeight="1" s="56">
      <c r="A1565" s="70" t="inlineStr">
        <is>
          <t>ORD-01564</t>
        </is>
      </c>
      <c r="B1565" s="71" t="n">
        <v>45312</v>
      </c>
      <c r="C1565" s="70" t="inlineStr">
        <is>
          <t>CUST-0160</t>
        </is>
      </c>
      <c r="D1565" s="70" t="inlineStr">
        <is>
          <t>PROD-032</t>
        </is>
      </c>
      <c r="E1565" s="70" t="inlineStr">
        <is>
          <t>R020</t>
        </is>
      </c>
      <c r="F1565" s="72" t="n">
        <v>8</v>
      </c>
      <c r="G1565" s="72" t="n">
        <v>370</v>
      </c>
      <c r="H1565" s="72" t="n">
        <v>1.3</v>
      </c>
      <c r="I1565" s="72" t="n">
        <v>2921.52</v>
      </c>
      <c r="J1565" s="70" t="inlineStr">
        <is>
          <t>Completed</t>
        </is>
      </c>
      <c r="K1565" s="70" t="inlineStr">
        <is>
          <t>Hyderabad</t>
        </is>
      </c>
    </row>
    <row r="1566" ht="14.25" customHeight="1" s="56">
      <c r="A1566" s="70" t="inlineStr">
        <is>
          <t>ORD-01565</t>
        </is>
      </c>
      <c r="B1566" s="71" t="n">
        <v>45622</v>
      </c>
      <c r="C1566" s="70" t="inlineStr">
        <is>
          <t>CUST-0009</t>
        </is>
      </c>
      <c r="D1566" s="70" t="inlineStr">
        <is>
          <t>PROD-005</t>
        </is>
      </c>
      <c r="E1566" s="70" t="inlineStr">
        <is>
          <t>R020</t>
        </is>
      </c>
      <c r="F1566" s="72" t="n">
        <v>7</v>
      </c>
      <c r="G1566" s="72" t="n">
        <v>300</v>
      </c>
      <c r="H1566" s="72" t="n">
        <v>7.1</v>
      </c>
      <c r="I1566" s="72" t="n">
        <v>1950.9</v>
      </c>
      <c r="J1566" s="70" t="inlineStr">
        <is>
          <t>Completed</t>
        </is>
      </c>
      <c r="K1566" s="70" t="inlineStr">
        <is>
          <t>Mumbai</t>
        </is>
      </c>
    </row>
    <row r="1567" ht="14.25" customHeight="1" s="56">
      <c r="A1567" s="70" t="inlineStr">
        <is>
          <t>ORD-01566</t>
        </is>
      </c>
      <c r="B1567" s="71" t="n">
        <v>45508</v>
      </c>
      <c r="C1567" s="70" t="inlineStr">
        <is>
          <t>CUST-0151</t>
        </is>
      </c>
      <c r="D1567" s="70" t="inlineStr">
        <is>
          <t>PROD-043</t>
        </is>
      </c>
      <c r="E1567" s="70" t="inlineStr">
        <is>
          <t>R012</t>
        </is>
      </c>
      <c r="F1567" s="72" t="n">
        <v>8</v>
      </c>
      <c r="G1567" s="72" t="n">
        <v>3350</v>
      </c>
      <c r="H1567" s="72" t="n">
        <v>11.2</v>
      </c>
      <c r="I1567" s="72" t="n">
        <v>23798.4</v>
      </c>
      <c r="J1567" s="70" t="inlineStr">
        <is>
          <t>Completed</t>
        </is>
      </c>
      <c r="K1567" s="70" t="inlineStr">
        <is>
          <t>Mumbai</t>
        </is>
      </c>
    </row>
    <row r="1568" ht="14.25" customHeight="1" s="56">
      <c r="A1568" s="70" t="inlineStr">
        <is>
          <t>ORD-01567</t>
        </is>
      </c>
      <c r="B1568" s="71" t="n">
        <v>45528</v>
      </c>
      <c r="C1568" s="70" t="inlineStr">
        <is>
          <t>CUST-0105</t>
        </is>
      </c>
      <c r="D1568" s="70" t="inlineStr">
        <is>
          <t>PROD-056</t>
        </is>
      </c>
      <c r="E1568" s="70" t="inlineStr">
        <is>
          <t>R009</t>
        </is>
      </c>
      <c r="F1568" s="72" t="n">
        <v>6</v>
      </c>
      <c r="G1568" s="72" t="n">
        <v>6940</v>
      </c>
      <c r="H1568" s="72" t="n">
        <v>0.3</v>
      </c>
      <c r="I1568" s="72" t="n">
        <v>41515.08</v>
      </c>
      <c r="J1568" s="70" t="inlineStr">
        <is>
          <t>Completed</t>
        </is>
      </c>
      <c r="K1568" s="70" t="inlineStr">
        <is>
          <t>Chennai</t>
        </is>
      </c>
    </row>
    <row r="1569" ht="14.25" customHeight="1" s="56">
      <c r="A1569" s="70" t="inlineStr">
        <is>
          <t>ORD-01568</t>
        </is>
      </c>
      <c r="B1569" s="71" t="n">
        <v>45483</v>
      </c>
      <c r="C1569" s="70" t="inlineStr">
        <is>
          <t>CUST-0292</t>
        </is>
      </c>
      <c r="D1569" s="70" t="inlineStr">
        <is>
          <t>PROD-049</t>
        </is>
      </c>
      <c r="E1569" s="70" t="inlineStr">
        <is>
          <t>R008</t>
        </is>
      </c>
      <c r="F1569" s="72" t="n">
        <v>10</v>
      </c>
      <c r="G1569" s="72" t="n">
        <v>960</v>
      </c>
      <c r="H1569" s="72" t="n">
        <v>9.300000000000001</v>
      </c>
      <c r="I1569" s="72" t="n">
        <v>8707.200000000001</v>
      </c>
      <c r="J1569" s="70" t="inlineStr">
        <is>
          <t>Cancelled</t>
        </is>
      </c>
      <c r="K1569" s="70" t="inlineStr">
        <is>
          <t>Bengaluru</t>
        </is>
      </c>
    </row>
    <row r="1570" ht="14.25" customHeight="1" s="56">
      <c r="A1570" s="70" t="inlineStr">
        <is>
          <t>ORD-01569</t>
        </is>
      </c>
      <c r="B1570" s="71" t="n">
        <v>45625</v>
      </c>
      <c r="C1570" s="70" t="inlineStr">
        <is>
          <t>CUST-0076</t>
        </is>
      </c>
      <c r="D1570" s="70" t="inlineStr">
        <is>
          <t>PROD-021</t>
        </is>
      </c>
      <c r="E1570" s="70" t="inlineStr">
        <is>
          <t>R021</t>
        </is>
      </c>
      <c r="F1570" s="72" t="n">
        <v>10</v>
      </c>
      <c r="G1570" s="72" t="n">
        <v>2760</v>
      </c>
      <c r="H1570" s="72" t="n">
        <v>17.2</v>
      </c>
      <c r="I1570" s="72" t="n">
        <v>22852.8</v>
      </c>
      <c r="J1570" s="70" t="inlineStr">
        <is>
          <t>Completed</t>
        </is>
      </c>
      <c r="K1570" s="70" t="inlineStr">
        <is>
          <t>Mumbai</t>
        </is>
      </c>
    </row>
    <row r="1571" ht="14.25" customHeight="1" s="56">
      <c r="A1571" s="70" t="inlineStr">
        <is>
          <t>ORD-01570</t>
        </is>
      </c>
      <c r="B1571" s="71" t="n">
        <v>45358</v>
      </c>
      <c r="C1571" s="70" t="inlineStr">
        <is>
          <t>CUST-0152</t>
        </is>
      </c>
      <c r="D1571" s="70" t="inlineStr">
        <is>
          <t>PROD-024</t>
        </is>
      </c>
      <c r="E1571" s="70" t="inlineStr">
        <is>
          <t>R026</t>
        </is>
      </c>
      <c r="F1571" s="72" t="n">
        <v>4</v>
      </c>
      <c r="G1571" s="72" t="n">
        <v>2270</v>
      </c>
      <c r="H1571" s="72" t="n">
        <v>26.8</v>
      </c>
      <c r="I1571" s="72" t="n">
        <v>6646.56</v>
      </c>
      <c r="J1571" s="70" t="inlineStr">
        <is>
          <t>Completed</t>
        </is>
      </c>
      <c r="K1571" s="70" t="inlineStr">
        <is>
          <t>Bengaluru</t>
        </is>
      </c>
    </row>
    <row r="1572" ht="14.25" customHeight="1" s="56">
      <c r="A1572" s="70" t="inlineStr">
        <is>
          <t>ORD-01571</t>
        </is>
      </c>
      <c r="B1572" s="71" t="n">
        <v>45342</v>
      </c>
      <c r="C1572" s="70" t="inlineStr">
        <is>
          <t>CUST-0146</t>
        </is>
      </c>
      <c r="D1572" s="70" t="inlineStr">
        <is>
          <t>PROD-002</t>
        </is>
      </c>
      <c r="E1572" s="70" t="inlineStr">
        <is>
          <t>R021</t>
        </is>
      </c>
      <c r="F1572" s="72" t="n">
        <v>2</v>
      </c>
      <c r="G1572" s="72" t="n">
        <v>2600</v>
      </c>
      <c r="H1572" s="72" t="n">
        <v>27</v>
      </c>
      <c r="I1572" s="72" t="n">
        <v>3796</v>
      </c>
      <c r="J1572" s="70" t="inlineStr">
        <is>
          <t>Completed</t>
        </is>
      </c>
      <c r="K1572" s="70" t="inlineStr">
        <is>
          <t>Hyderabad</t>
        </is>
      </c>
    </row>
    <row r="1573" ht="14.25" customHeight="1" s="56">
      <c r="A1573" s="70" t="inlineStr">
        <is>
          <t>ORD-01572</t>
        </is>
      </c>
      <c r="B1573" s="71" t="n">
        <v>45304</v>
      </c>
      <c r="C1573" s="70" t="inlineStr">
        <is>
          <t>CUST-0127</t>
        </is>
      </c>
      <c r="D1573" s="70" t="inlineStr">
        <is>
          <t>PROD-003</t>
        </is>
      </c>
      <c r="E1573" s="70" t="inlineStr">
        <is>
          <t>R024</t>
        </is>
      </c>
      <c r="F1573" s="72" t="n">
        <v>4</v>
      </c>
      <c r="G1573" s="72" t="n">
        <v>3570</v>
      </c>
      <c r="H1573" s="72" t="n">
        <v>12.3</v>
      </c>
      <c r="I1573" s="72" t="n">
        <v>12523.56</v>
      </c>
      <c r="J1573" s="70" t="inlineStr">
        <is>
          <t>Completed</t>
        </is>
      </c>
      <c r="K1573" s="70" t="inlineStr">
        <is>
          <t>Bengaluru</t>
        </is>
      </c>
    </row>
    <row r="1574" ht="14.25" customHeight="1" s="56">
      <c r="A1574" s="70" t="inlineStr">
        <is>
          <t>ORD-01573</t>
        </is>
      </c>
      <c r="B1574" s="71" t="n">
        <v>45316</v>
      </c>
      <c r="C1574" s="70" t="inlineStr">
        <is>
          <t>CUST-0173</t>
        </is>
      </c>
      <c r="D1574" s="70" t="inlineStr">
        <is>
          <t>PROD-034</t>
        </is>
      </c>
      <c r="E1574" s="70" t="inlineStr">
        <is>
          <t>R016</t>
        </is>
      </c>
      <c r="F1574" s="72" t="n">
        <v>5</v>
      </c>
      <c r="G1574" s="72" t="n">
        <v>5080</v>
      </c>
      <c r="H1574" s="72" t="n">
        <v>1.3</v>
      </c>
      <c r="I1574" s="72" t="n">
        <v>25069.8</v>
      </c>
      <c r="J1574" s="70" t="inlineStr">
        <is>
          <t>Completed</t>
        </is>
      </c>
      <c r="K1574" s="70" t="inlineStr">
        <is>
          <t>Mumbai</t>
        </is>
      </c>
    </row>
    <row r="1575" ht="14.25" customHeight="1" s="56">
      <c r="A1575" s="70" t="inlineStr">
        <is>
          <t>ORD-01574</t>
        </is>
      </c>
      <c r="B1575" s="71" t="n">
        <v>45340</v>
      </c>
      <c r="C1575" s="70" t="inlineStr">
        <is>
          <t>CUST-0206</t>
        </is>
      </c>
      <c r="D1575" s="70" t="inlineStr">
        <is>
          <t>PROD-049</t>
        </is>
      </c>
      <c r="E1575" s="70" t="inlineStr">
        <is>
          <t>R016</t>
        </is>
      </c>
      <c r="F1575" s="72" t="n">
        <v>5</v>
      </c>
      <c r="G1575" s="72" t="n">
        <v>960</v>
      </c>
      <c r="H1575" s="72" t="n">
        <v>25.2</v>
      </c>
      <c r="I1575" s="72" t="n">
        <v>3590.4</v>
      </c>
      <c r="J1575" s="70" t="inlineStr">
        <is>
          <t>Completed</t>
        </is>
      </c>
      <c r="K1575" s="70" t="inlineStr">
        <is>
          <t>Mumbai</t>
        </is>
      </c>
    </row>
    <row r="1576" ht="14.25" customHeight="1" s="56">
      <c r="A1576" s="70" t="inlineStr">
        <is>
          <t>ORD-01575</t>
        </is>
      </c>
      <c r="B1576" s="71" t="n">
        <v>45604</v>
      </c>
      <c r="C1576" s="70" t="inlineStr">
        <is>
          <t>CUST-0072</t>
        </is>
      </c>
      <c r="D1576" s="70" t="inlineStr">
        <is>
          <t>PROD-053</t>
        </is>
      </c>
      <c r="E1576" s="70" t="inlineStr">
        <is>
          <t>R010</t>
        </is>
      </c>
      <c r="F1576" s="72" t="n">
        <v>7</v>
      </c>
      <c r="G1576" s="72" t="n">
        <v>470</v>
      </c>
      <c r="H1576" s="72" t="n">
        <v>21.6</v>
      </c>
      <c r="I1576" s="72" t="n">
        <v>2579.36</v>
      </c>
      <c r="J1576" s="70" t="inlineStr">
        <is>
          <t>Completed</t>
        </is>
      </c>
      <c r="K1576" s="70" t="inlineStr">
        <is>
          <t>Mumbai</t>
        </is>
      </c>
    </row>
    <row r="1577" ht="14.25" customHeight="1" s="56">
      <c r="A1577" s="70" t="inlineStr">
        <is>
          <t>ORD-01576</t>
        </is>
      </c>
      <c r="B1577" s="71" t="n">
        <v>45625</v>
      </c>
      <c r="C1577" s="70" t="inlineStr">
        <is>
          <t>CUST-0004</t>
        </is>
      </c>
      <c r="D1577" s="70" t="inlineStr">
        <is>
          <t>PROD-009</t>
        </is>
      </c>
      <c r="E1577" s="70" t="inlineStr">
        <is>
          <t>R027</t>
        </is>
      </c>
      <c r="F1577" s="72" t="n">
        <v>4</v>
      </c>
      <c r="G1577" s="72" t="n">
        <v>1220</v>
      </c>
      <c r="H1577" s="72" t="n">
        <v>12.6</v>
      </c>
      <c r="I1577" s="72" t="n">
        <v>4265.12</v>
      </c>
      <c r="J1577" s="70" t="inlineStr">
        <is>
          <t>Completed</t>
        </is>
      </c>
      <c r="K1577" s="70" t="inlineStr">
        <is>
          <t>Delhi</t>
        </is>
      </c>
    </row>
    <row r="1578" ht="14.25" customHeight="1" s="56">
      <c r="A1578" s="70" t="inlineStr">
        <is>
          <t>ORD-01577</t>
        </is>
      </c>
      <c r="B1578" s="71" t="n">
        <v>45293</v>
      </c>
      <c r="C1578" s="70" t="inlineStr">
        <is>
          <t>CUST-0249</t>
        </is>
      </c>
      <c r="D1578" s="70" t="inlineStr">
        <is>
          <t>PROD-054</t>
        </is>
      </c>
      <c r="E1578" s="70" t="inlineStr">
        <is>
          <t>R008</t>
        </is>
      </c>
      <c r="F1578" s="72" t="n">
        <v>4</v>
      </c>
      <c r="G1578" s="72" t="n">
        <v>1010</v>
      </c>
      <c r="H1578" s="72" t="n">
        <v>11.3</v>
      </c>
      <c r="I1578" s="72" t="n">
        <v>3583.48</v>
      </c>
      <c r="J1578" s="70" t="inlineStr">
        <is>
          <t>Completed</t>
        </is>
      </c>
      <c r="K1578" s="70" t="inlineStr">
        <is>
          <t>Mumbai</t>
        </is>
      </c>
    </row>
    <row r="1579" ht="14.25" customHeight="1" s="56">
      <c r="A1579" s="70" t="inlineStr">
        <is>
          <t>ORD-01578</t>
        </is>
      </c>
      <c r="B1579" s="71" t="n">
        <v>45454</v>
      </c>
      <c r="C1579" s="70" t="inlineStr">
        <is>
          <t>CUST-0139</t>
        </is>
      </c>
      <c r="D1579" s="70" t="inlineStr">
        <is>
          <t>PROD-028</t>
        </is>
      </c>
      <c r="E1579" s="70" t="inlineStr">
        <is>
          <t>R005</t>
        </is>
      </c>
      <c r="F1579" s="72" t="n">
        <v>4</v>
      </c>
      <c r="G1579" s="72" t="n">
        <v>3660</v>
      </c>
      <c r="H1579" s="72" t="n">
        <v>7.2</v>
      </c>
      <c r="I1579" s="72" t="n">
        <v>13585.92</v>
      </c>
      <c r="J1579" s="70" t="inlineStr">
        <is>
          <t>Completed</t>
        </is>
      </c>
      <c r="K1579" s="70" t="inlineStr">
        <is>
          <t>Hyderabad</t>
        </is>
      </c>
    </row>
    <row r="1580" ht="14.25" customHeight="1" s="56">
      <c r="A1580" s="70" t="inlineStr">
        <is>
          <t>ORD-01579</t>
        </is>
      </c>
      <c r="B1580" s="71" t="n">
        <v>45345</v>
      </c>
      <c r="C1580" s="70" t="inlineStr">
        <is>
          <t>CUST-0019</t>
        </is>
      </c>
      <c r="D1580" s="70" t="inlineStr">
        <is>
          <t>PROD-038</t>
        </is>
      </c>
      <c r="E1580" s="70" t="inlineStr">
        <is>
          <t>R010</t>
        </is>
      </c>
      <c r="F1580" s="72" t="n">
        <v>4</v>
      </c>
      <c r="G1580" s="72" t="n">
        <v>5490</v>
      </c>
      <c r="H1580" s="72" t="n">
        <v>8</v>
      </c>
      <c r="I1580" s="72" t="n">
        <v>20203.2</v>
      </c>
      <c r="J1580" s="70" t="inlineStr">
        <is>
          <t>Completed</t>
        </is>
      </c>
      <c r="K1580" s="70" t="inlineStr">
        <is>
          <t>Chennai</t>
        </is>
      </c>
    </row>
    <row r="1581" ht="14.25" customHeight="1" s="56">
      <c r="A1581" s="70" t="inlineStr">
        <is>
          <t>ORD-01580</t>
        </is>
      </c>
      <c r="B1581" s="71" t="n">
        <v>45645</v>
      </c>
      <c r="C1581" s="70" t="inlineStr">
        <is>
          <t>CUST-0210</t>
        </is>
      </c>
      <c r="D1581" s="70" t="inlineStr">
        <is>
          <t>PROD-022</t>
        </is>
      </c>
      <c r="E1581" s="70" t="inlineStr">
        <is>
          <t>R003</t>
        </is>
      </c>
      <c r="F1581" s="72" t="n">
        <v>6</v>
      </c>
      <c r="G1581" s="72" t="n">
        <v>2270</v>
      </c>
      <c r="H1581" s="72" t="n">
        <v>17.1</v>
      </c>
      <c r="I1581" s="72" t="n">
        <v>11290.98</v>
      </c>
      <c r="J1581" s="70" t="inlineStr">
        <is>
          <t>Completed</t>
        </is>
      </c>
      <c r="K1581" s="70" t="inlineStr">
        <is>
          <t>Pune</t>
        </is>
      </c>
    </row>
    <row r="1582" ht="14.25" customHeight="1" s="56">
      <c r="A1582" s="70" t="inlineStr">
        <is>
          <t>ORD-01581</t>
        </is>
      </c>
      <c r="B1582" s="71" t="n">
        <v>45588</v>
      </c>
      <c r="C1582" s="70" t="inlineStr">
        <is>
          <t>CUST-0168</t>
        </is>
      </c>
      <c r="D1582" s="70" t="inlineStr">
        <is>
          <t>PROD-022</t>
        </is>
      </c>
      <c r="E1582" s="70" t="inlineStr">
        <is>
          <t>R015</t>
        </is>
      </c>
      <c r="F1582" s="72" t="n">
        <v>8</v>
      </c>
      <c r="G1582" s="72" t="n">
        <v>2270</v>
      </c>
      <c r="H1582" s="72" t="n">
        <v>11.9</v>
      </c>
      <c r="I1582" s="72" t="n">
        <v>15998.96</v>
      </c>
      <c r="J1582" s="70" t="inlineStr">
        <is>
          <t>Pending</t>
        </is>
      </c>
      <c r="K1582" s="70" t="inlineStr">
        <is>
          <t>Pune</t>
        </is>
      </c>
    </row>
    <row r="1583" ht="14.25" customHeight="1" s="56">
      <c r="A1583" s="70" t="inlineStr">
        <is>
          <t>ORD-01582</t>
        </is>
      </c>
      <c r="B1583" s="71" t="n">
        <v>45592</v>
      </c>
      <c r="C1583" s="70" t="inlineStr">
        <is>
          <t>CUST-0094</t>
        </is>
      </c>
      <c r="D1583" s="70" t="inlineStr">
        <is>
          <t>PROD-002</t>
        </is>
      </c>
      <c r="E1583" s="70" t="inlineStr">
        <is>
          <t>R018</t>
        </is>
      </c>
      <c r="F1583" s="72" t="n">
        <v>6</v>
      </c>
      <c r="G1583" s="72" t="n">
        <v>2600</v>
      </c>
      <c r="H1583" s="72" t="n">
        <v>5.1</v>
      </c>
      <c r="I1583" s="72" t="n">
        <v>14804.4</v>
      </c>
      <c r="J1583" s="70" t="inlineStr">
        <is>
          <t>Completed</t>
        </is>
      </c>
      <c r="K1583" s="70" t="inlineStr">
        <is>
          <t>Pune</t>
        </is>
      </c>
    </row>
    <row r="1584" ht="14.25" customHeight="1" s="56">
      <c r="A1584" s="70" t="inlineStr">
        <is>
          <t>ORD-01583</t>
        </is>
      </c>
      <c r="B1584" s="71" t="n">
        <v>45403</v>
      </c>
      <c r="C1584" s="70" t="inlineStr">
        <is>
          <t>CUST-0259</t>
        </is>
      </c>
      <c r="D1584" s="70" t="inlineStr">
        <is>
          <t>PROD-004</t>
        </is>
      </c>
      <c r="E1584" s="70" t="inlineStr">
        <is>
          <t>R027</t>
        </is>
      </c>
      <c r="F1584" s="72" t="n">
        <v>9</v>
      </c>
      <c r="G1584" s="72" t="n">
        <v>3870</v>
      </c>
      <c r="H1584" s="72" t="n">
        <v>1.8</v>
      </c>
      <c r="I1584" s="72" t="n">
        <v>34203.06</v>
      </c>
      <c r="J1584" s="70" t="inlineStr">
        <is>
          <t>Cancelled</t>
        </is>
      </c>
      <c r="K1584" s="70" t="inlineStr">
        <is>
          <t>Mumbai</t>
        </is>
      </c>
    </row>
    <row r="1585" ht="14.25" customHeight="1" s="56">
      <c r="A1585" s="70" t="inlineStr">
        <is>
          <t>ORD-01584</t>
        </is>
      </c>
      <c r="B1585" s="71" t="n">
        <v>45459</v>
      </c>
      <c r="C1585" s="70" t="inlineStr">
        <is>
          <t>CUST-0150</t>
        </is>
      </c>
      <c r="D1585" s="70" t="inlineStr">
        <is>
          <t>PROD-006</t>
        </is>
      </c>
      <c r="E1585" s="70" t="inlineStr">
        <is>
          <t>R006</t>
        </is>
      </c>
      <c r="F1585" s="72" t="n">
        <v>3</v>
      </c>
      <c r="G1585" s="72" t="n">
        <v>3970</v>
      </c>
      <c r="H1585" s="72" t="n">
        <v>8.199999999999999</v>
      </c>
      <c r="I1585" s="72" t="n">
        <v>10933.38</v>
      </c>
      <c r="J1585" s="70" t="inlineStr">
        <is>
          <t>Completed</t>
        </is>
      </c>
      <c r="K1585" s="70" t="inlineStr">
        <is>
          <t>Pune</t>
        </is>
      </c>
    </row>
    <row r="1586" ht="14.25" customHeight="1" s="56">
      <c r="A1586" s="70" t="inlineStr">
        <is>
          <t>ORD-01585</t>
        </is>
      </c>
      <c r="B1586" s="71" t="n">
        <v>45438</v>
      </c>
      <c r="C1586" s="70" t="inlineStr">
        <is>
          <t>CUST-0040</t>
        </is>
      </c>
      <c r="D1586" s="70" t="inlineStr">
        <is>
          <t>PROD-049</t>
        </is>
      </c>
      <c r="E1586" s="70" t="inlineStr">
        <is>
          <t>R028</t>
        </is>
      </c>
      <c r="F1586" s="72" t="n">
        <v>9</v>
      </c>
      <c r="G1586" s="72" t="n">
        <v>960</v>
      </c>
      <c r="H1586" s="72" t="n">
        <v>21.7</v>
      </c>
      <c r="I1586" s="72" t="n">
        <v>6765.12</v>
      </c>
      <c r="J1586" s="70" t="inlineStr">
        <is>
          <t>Cancelled</t>
        </is>
      </c>
      <c r="K1586" s="70" t="inlineStr">
        <is>
          <t>Chennai</t>
        </is>
      </c>
    </row>
    <row r="1587" ht="14.25" customHeight="1" s="56">
      <c r="A1587" s="70" t="inlineStr">
        <is>
          <t>ORD-01586</t>
        </is>
      </c>
      <c r="B1587" s="71" t="n">
        <v>45632</v>
      </c>
      <c r="C1587" s="70" t="inlineStr">
        <is>
          <t>CUST-0290</t>
        </is>
      </c>
      <c r="D1587" s="70" t="inlineStr">
        <is>
          <t>PROD-052</t>
        </is>
      </c>
      <c r="E1587" s="70" t="inlineStr">
        <is>
          <t>R025</t>
        </is>
      </c>
      <c r="F1587" s="72" t="n">
        <v>3</v>
      </c>
      <c r="G1587" s="72" t="n">
        <v>5410</v>
      </c>
      <c r="H1587" s="72" t="n">
        <v>20.3</v>
      </c>
      <c r="I1587" s="72" t="n">
        <v>12935.31</v>
      </c>
      <c r="J1587" s="70" t="inlineStr">
        <is>
          <t>Completed</t>
        </is>
      </c>
      <c r="K1587" s="70" t="inlineStr">
        <is>
          <t>Delhi</t>
        </is>
      </c>
    </row>
    <row r="1588" ht="14.25" customHeight="1" s="56">
      <c r="A1588" s="70" t="inlineStr">
        <is>
          <t>ORD-01587</t>
        </is>
      </c>
      <c r="B1588" s="71" t="n">
        <v>45579</v>
      </c>
      <c r="C1588" s="70" t="inlineStr">
        <is>
          <t>CUST-0123</t>
        </is>
      </c>
      <c r="D1588" s="70" t="inlineStr">
        <is>
          <t>PROD-011</t>
        </is>
      </c>
      <c r="E1588" s="70" t="inlineStr">
        <is>
          <t>R005</t>
        </is>
      </c>
      <c r="F1588" s="72" t="n">
        <v>3</v>
      </c>
      <c r="G1588" s="72" t="n">
        <v>3450</v>
      </c>
      <c r="H1588" s="72" t="n">
        <v>11.6</v>
      </c>
      <c r="I1588" s="72" t="n">
        <v>9149.4</v>
      </c>
      <c r="J1588" s="70" t="inlineStr">
        <is>
          <t>Completed</t>
        </is>
      </c>
      <c r="K1588" s="70" t="inlineStr">
        <is>
          <t>Chennai</t>
        </is>
      </c>
    </row>
    <row r="1589" ht="14.25" customHeight="1" s="56">
      <c r="A1589" s="70" t="inlineStr">
        <is>
          <t>ORD-01588</t>
        </is>
      </c>
      <c r="B1589" s="71" t="n">
        <v>45392</v>
      </c>
      <c r="C1589" s="70" t="inlineStr">
        <is>
          <t>CUST-0053</t>
        </is>
      </c>
      <c r="D1589" s="70" t="inlineStr">
        <is>
          <t>PROD-045</t>
        </is>
      </c>
      <c r="E1589" s="70" t="inlineStr">
        <is>
          <t>R008</t>
        </is>
      </c>
      <c r="F1589" s="72" t="n">
        <v>2</v>
      </c>
      <c r="G1589" s="72" t="n">
        <v>3020</v>
      </c>
      <c r="H1589" s="72" t="n">
        <v>20.8</v>
      </c>
      <c r="I1589" s="72" t="n">
        <v>4783.68</v>
      </c>
      <c r="J1589" s="70" t="inlineStr">
        <is>
          <t>Pending</t>
        </is>
      </c>
      <c r="K1589" s="70" t="inlineStr">
        <is>
          <t>Delhi</t>
        </is>
      </c>
    </row>
    <row r="1590" ht="14.25" customHeight="1" s="56">
      <c r="A1590" s="70" t="inlineStr">
        <is>
          <t>ORD-01589</t>
        </is>
      </c>
      <c r="B1590" s="71" t="n">
        <v>45563</v>
      </c>
      <c r="C1590" s="70" t="inlineStr">
        <is>
          <t>CUST-0179</t>
        </is>
      </c>
      <c r="D1590" s="70" t="inlineStr">
        <is>
          <t>PROD-060</t>
        </is>
      </c>
      <c r="E1590" s="70" t="inlineStr">
        <is>
          <t>R002</t>
        </is>
      </c>
      <c r="F1590" s="72" t="n">
        <v>3</v>
      </c>
      <c r="G1590" s="72" t="n">
        <v>190</v>
      </c>
      <c r="H1590" s="72" t="n">
        <v>10.7</v>
      </c>
      <c r="I1590" s="72" t="n">
        <v>509.01</v>
      </c>
      <c r="J1590" s="70" t="inlineStr">
        <is>
          <t>Completed</t>
        </is>
      </c>
      <c r="K1590" s="70" t="inlineStr">
        <is>
          <t>Mumbai</t>
        </is>
      </c>
    </row>
    <row r="1591" ht="14.25" customHeight="1" s="56">
      <c r="A1591" s="70" t="inlineStr">
        <is>
          <t>ORD-01590</t>
        </is>
      </c>
      <c r="B1591" s="71" t="n">
        <v>45294</v>
      </c>
      <c r="C1591" s="70" t="inlineStr">
        <is>
          <t>CUST-0006</t>
        </is>
      </c>
      <c r="D1591" s="70" t="inlineStr">
        <is>
          <t>PROD-031</t>
        </is>
      </c>
      <c r="E1591" s="70" t="inlineStr">
        <is>
          <t>R012</t>
        </is>
      </c>
      <c r="F1591" s="72" t="n">
        <v>4</v>
      </c>
      <c r="G1591" s="72" t="n">
        <v>3730</v>
      </c>
      <c r="H1591" s="72" t="n">
        <v>6.9</v>
      </c>
      <c r="I1591" s="72" t="n">
        <v>13890.52</v>
      </c>
      <c r="J1591" s="70" t="inlineStr">
        <is>
          <t>Completed</t>
        </is>
      </c>
      <c r="K1591" s="70" t="inlineStr">
        <is>
          <t>Pune</t>
        </is>
      </c>
    </row>
    <row r="1592" ht="14.25" customHeight="1" s="56">
      <c r="A1592" s="70" t="inlineStr">
        <is>
          <t>ORD-01591</t>
        </is>
      </c>
      <c r="B1592" s="71" t="n">
        <v>45503</v>
      </c>
      <c r="C1592" s="70" t="inlineStr">
        <is>
          <t>CUST-0272</t>
        </is>
      </c>
      <c r="D1592" s="70" t="inlineStr">
        <is>
          <t>PROD-051</t>
        </is>
      </c>
      <c r="E1592" s="70" t="inlineStr">
        <is>
          <t>R025</t>
        </is>
      </c>
      <c r="F1592" s="72" t="n">
        <v>9</v>
      </c>
      <c r="G1592" s="72" t="n">
        <v>3450</v>
      </c>
      <c r="H1592" s="72" t="n">
        <v>22.2</v>
      </c>
      <c r="I1592" s="72" t="n">
        <v>24156.9</v>
      </c>
      <c r="J1592" s="70" t="inlineStr">
        <is>
          <t>Cancelled</t>
        </is>
      </c>
      <c r="K1592" s="70" t="inlineStr">
        <is>
          <t>Mumbai</t>
        </is>
      </c>
    </row>
    <row r="1593" ht="14.25" customHeight="1" s="56">
      <c r="A1593" s="70" t="inlineStr">
        <is>
          <t>ORD-01592</t>
        </is>
      </c>
      <c r="B1593" s="71" t="n">
        <v>45336</v>
      </c>
      <c r="C1593" s="70" t="inlineStr">
        <is>
          <t>CUST-0274</t>
        </is>
      </c>
      <c r="D1593" s="70" t="inlineStr">
        <is>
          <t>PROD-006</t>
        </is>
      </c>
      <c r="E1593" s="70" t="inlineStr">
        <is>
          <t>R002</t>
        </is>
      </c>
      <c r="F1593" s="72" t="n">
        <v>3</v>
      </c>
      <c r="G1593" s="72" t="n">
        <v>3970</v>
      </c>
      <c r="H1593" s="72" t="n">
        <v>6.8</v>
      </c>
      <c r="I1593" s="72" t="n">
        <v>11100.12</v>
      </c>
      <c r="J1593" s="70" t="inlineStr">
        <is>
          <t>Completed</t>
        </is>
      </c>
      <c r="K1593" s="70" t="inlineStr">
        <is>
          <t>Bengaluru</t>
        </is>
      </c>
    </row>
    <row r="1594" ht="14.25" customHeight="1" s="56">
      <c r="A1594" s="70" t="inlineStr">
        <is>
          <t>ORD-01593</t>
        </is>
      </c>
      <c r="B1594" s="71" t="n">
        <v>45462</v>
      </c>
      <c r="C1594" s="70" t="inlineStr">
        <is>
          <t>CUST-0262</t>
        </is>
      </c>
      <c r="D1594" s="70" t="inlineStr">
        <is>
          <t>PROD-035</t>
        </is>
      </c>
      <c r="E1594" s="70" t="inlineStr">
        <is>
          <t>R022</t>
        </is>
      </c>
      <c r="F1594" s="72" t="n">
        <v>3</v>
      </c>
      <c r="G1594" s="72" t="n">
        <v>1090</v>
      </c>
      <c r="H1594" s="72" t="n">
        <v>23.7</v>
      </c>
      <c r="I1594" s="72" t="n">
        <v>2495.01</v>
      </c>
      <c r="J1594" s="70" t="inlineStr">
        <is>
          <t>Completed</t>
        </is>
      </c>
      <c r="K1594" s="70" t="inlineStr">
        <is>
          <t>Mumbai</t>
        </is>
      </c>
    </row>
    <row r="1595" ht="14.25" customHeight="1" s="56">
      <c r="A1595" s="70" t="inlineStr">
        <is>
          <t>ORD-01594</t>
        </is>
      </c>
      <c r="B1595" s="71" t="n">
        <v>45300</v>
      </c>
      <c r="C1595" s="70" t="inlineStr">
        <is>
          <t>CUST-0087</t>
        </is>
      </c>
      <c r="D1595" s="70" t="inlineStr">
        <is>
          <t>PROD-033</t>
        </is>
      </c>
      <c r="E1595" s="70" t="inlineStr">
        <is>
          <t>R023</t>
        </is>
      </c>
      <c r="F1595" s="72" t="n">
        <v>3</v>
      </c>
      <c r="G1595" s="72" t="n">
        <v>2030</v>
      </c>
      <c r="H1595" s="72" t="n">
        <v>18.8</v>
      </c>
      <c r="I1595" s="72" t="n">
        <v>4945.08</v>
      </c>
      <c r="J1595" s="70" t="inlineStr">
        <is>
          <t>Completed</t>
        </is>
      </c>
      <c r="K1595" s="70" t="inlineStr">
        <is>
          <t>Pune</t>
        </is>
      </c>
    </row>
    <row r="1596" ht="14.25" customHeight="1" s="56">
      <c r="A1596" s="70" t="inlineStr">
        <is>
          <t>ORD-01595</t>
        </is>
      </c>
      <c r="B1596" s="71" t="n">
        <v>45367</v>
      </c>
      <c r="C1596" s="70" t="inlineStr">
        <is>
          <t>CUST-0198</t>
        </is>
      </c>
      <c r="D1596" s="70" t="inlineStr">
        <is>
          <t>PROD-026</t>
        </is>
      </c>
      <c r="E1596" s="70" t="inlineStr">
        <is>
          <t>R008</t>
        </is>
      </c>
      <c r="F1596" s="72" t="n">
        <v>2</v>
      </c>
      <c r="G1596" s="72" t="n">
        <v>4070</v>
      </c>
      <c r="H1596" s="72" t="n">
        <v>14.3</v>
      </c>
      <c r="I1596" s="72" t="n">
        <v>6975.98</v>
      </c>
      <c r="J1596" s="70" t="inlineStr">
        <is>
          <t>Completed</t>
        </is>
      </c>
      <c r="K1596" s="70" t="inlineStr">
        <is>
          <t>CHENNAI</t>
        </is>
      </c>
    </row>
    <row r="1597" ht="14.25" customHeight="1" s="56">
      <c r="A1597" s="70" t="inlineStr">
        <is>
          <t>ORD-01596</t>
        </is>
      </c>
      <c r="B1597" s="71" t="n">
        <v>45410</v>
      </c>
      <c r="C1597" s="70" t="inlineStr">
        <is>
          <t>CUST-0065</t>
        </is>
      </c>
      <c r="D1597" s="70" t="inlineStr">
        <is>
          <t>PROD-014</t>
        </is>
      </c>
      <c r="E1597" s="70" t="inlineStr">
        <is>
          <t>R028</t>
        </is>
      </c>
      <c r="F1597" s="72" t="n">
        <v>3</v>
      </c>
      <c r="G1597" s="72" t="n">
        <v>3620</v>
      </c>
      <c r="H1597" s="72" t="n">
        <v>13.5</v>
      </c>
      <c r="I1597" s="72" t="n">
        <v>9393.9</v>
      </c>
      <c r="J1597" s="70" t="inlineStr">
        <is>
          <t>Completed</t>
        </is>
      </c>
      <c r="K1597" s="70" t="inlineStr">
        <is>
          <t>Chennai</t>
        </is>
      </c>
    </row>
    <row r="1598" ht="14.25" customHeight="1" s="56">
      <c r="A1598" s="70" t="inlineStr">
        <is>
          <t>ORD-01597</t>
        </is>
      </c>
      <c r="B1598" s="71" t="n">
        <v>45623</v>
      </c>
      <c r="C1598" s="70" t="inlineStr">
        <is>
          <t>CUST-0209</t>
        </is>
      </c>
      <c r="D1598" s="70" t="inlineStr">
        <is>
          <t>PROD-054</t>
        </is>
      </c>
      <c r="E1598" s="70" t="inlineStr">
        <is>
          <t>R001</t>
        </is>
      </c>
      <c r="F1598" s="72" t="n">
        <v>4</v>
      </c>
      <c r="G1598" s="72" t="n">
        <v>1010</v>
      </c>
      <c r="H1598" s="72" t="n">
        <v>3.3</v>
      </c>
      <c r="I1598" s="72" t="n">
        <v>3906.68</v>
      </c>
      <c r="J1598" s="70" t="inlineStr">
        <is>
          <t>Completed</t>
        </is>
      </c>
      <c r="K1598" s="70" t="inlineStr">
        <is>
          <t>Pune</t>
        </is>
      </c>
    </row>
    <row r="1599" ht="14.25" customHeight="1" s="56">
      <c r="A1599" s="70" t="inlineStr">
        <is>
          <t>ORD-01598</t>
        </is>
      </c>
      <c r="B1599" s="71" t="n">
        <v>45491</v>
      </c>
      <c r="C1599" s="70" t="inlineStr">
        <is>
          <t>CUST-0181</t>
        </is>
      </c>
      <c r="D1599" s="70" t="inlineStr">
        <is>
          <t>PROD-030</t>
        </is>
      </c>
      <c r="E1599" s="70" t="inlineStr">
        <is>
          <t>R005</t>
        </is>
      </c>
      <c r="F1599" s="72" t="n">
        <v>7</v>
      </c>
      <c r="G1599" s="72" t="n">
        <v>970</v>
      </c>
      <c r="H1599" s="72" t="n">
        <v>0.1</v>
      </c>
      <c r="I1599" s="72" t="n">
        <v>6783.21</v>
      </c>
      <c r="J1599" s="70" t="inlineStr">
        <is>
          <t>Completed</t>
        </is>
      </c>
      <c r="K1599" s="70" t="inlineStr">
        <is>
          <t>Delhi</t>
        </is>
      </c>
    </row>
    <row r="1600" ht="14.25" customHeight="1" s="56">
      <c r="A1600" s="70" t="inlineStr">
        <is>
          <t>ORD-01599</t>
        </is>
      </c>
      <c r="B1600" s="71" t="n">
        <v>45571</v>
      </c>
      <c r="C1600" s="70" t="inlineStr">
        <is>
          <t>CUST-0007</t>
        </is>
      </c>
      <c r="D1600" s="70" t="inlineStr">
        <is>
          <t>PROD-053</t>
        </is>
      </c>
      <c r="E1600" s="70" t="inlineStr">
        <is>
          <t>R027</t>
        </is>
      </c>
      <c r="F1600" s="72" t="n">
        <v>5</v>
      </c>
      <c r="G1600" s="72" t="n">
        <v>470</v>
      </c>
      <c r="H1600" s="72" t="n">
        <v>18.3</v>
      </c>
      <c r="I1600" s="72" t="n">
        <v>1919.95</v>
      </c>
      <c r="J1600" s="70" t="inlineStr">
        <is>
          <t>Refunded</t>
        </is>
      </c>
      <c r="K1600" s="70" t="inlineStr">
        <is>
          <t>Bengaluru</t>
        </is>
      </c>
    </row>
    <row r="1601" ht="14.25" customHeight="1" s="56">
      <c r="A1601" s="70" t="inlineStr">
        <is>
          <t>ORD-01600</t>
        </is>
      </c>
      <c r="B1601" s="71" t="n">
        <v>45393</v>
      </c>
      <c r="C1601" s="70" t="inlineStr">
        <is>
          <t>CUST-0050</t>
        </is>
      </c>
      <c r="D1601" s="70" t="inlineStr">
        <is>
          <t>PROD-011</t>
        </is>
      </c>
      <c r="E1601" s="70" t="inlineStr">
        <is>
          <t>R010</t>
        </is>
      </c>
      <c r="F1601" s="72" t="n">
        <v>8</v>
      </c>
      <c r="G1601" s="72" t="n">
        <v>3450</v>
      </c>
      <c r="H1601" s="72" t="n">
        <v>5.1</v>
      </c>
      <c r="I1601" s="72" t="n">
        <v>26192.4</v>
      </c>
      <c r="J1601" s="70" t="inlineStr">
        <is>
          <t>Refunded</t>
        </is>
      </c>
      <c r="K1601" s="70" t="inlineStr">
        <is>
          <t>Mumbai</t>
        </is>
      </c>
    </row>
    <row r="1602" ht="14.25" customHeight="1" s="56">
      <c r="A1602" s="70" t="inlineStr">
        <is>
          <t>ORD-01601</t>
        </is>
      </c>
      <c r="B1602" s="71" t="n">
        <v>45465</v>
      </c>
      <c r="C1602" s="70" t="inlineStr">
        <is>
          <t>CUST-0155</t>
        </is>
      </c>
      <c r="D1602" s="70" t="inlineStr">
        <is>
          <t>PROD-010</t>
        </is>
      </c>
      <c r="E1602" s="70" t="inlineStr">
        <is>
          <t>R022</t>
        </is>
      </c>
      <c r="F1602" s="72" t="n">
        <v>1</v>
      </c>
      <c r="G1602" s="72" t="n">
        <v>2640</v>
      </c>
      <c r="H1602" s="72" t="n">
        <v>5.9</v>
      </c>
      <c r="I1602" s="72" t="n">
        <v>2484.24</v>
      </c>
      <c r="J1602" s="70" t="inlineStr">
        <is>
          <t>Completed</t>
        </is>
      </c>
      <c r="K1602" s="70" t="inlineStr">
        <is>
          <t>Pune</t>
        </is>
      </c>
    </row>
    <row r="1603" ht="14.25" customHeight="1" s="56">
      <c r="A1603" s="70" t="inlineStr">
        <is>
          <t>ORD-01602</t>
        </is>
      </c>
      <c r="B1603" s="71" t="n">
        <v>45354</v>
      </c>
      <c r="C1603" s="70" t="inlineStr">
        <is>
          <t>CUST-0085</t>
        </is>
      </c>
      <c r="D1603" s="70" t="inlineStr">
        <is>
          <t>PROD-003</t>
        </is>
      </c>
      <c r="E1603" s="70" t="inlineStr">
        <is>
          <t>R020</t>
        </is>
      </c>
      <c r="F1603" s="72" t="n">
        <v>10</v>
      </c>
      <c r="G1603" s="72" t="n">
        <v>3570</v>
      </c>
      <c r="H1603" s="72" t="n">
        <v>21.5</v>
      </c>
      <c r="I1603" s="72" t="n">
        <v>28024.5</v>
      </c>
      <c r="J1603" s="70" t="inlineStr">
        <is>
          <t>Completed</t>
        </is>
      </c>
      <c r="K1603" s="70" t="inlineStr">
        <is>
          <t>Chennai</t>
        </is>
      </c>
    </row>
    <row r="1604" ht="14.25" customHeight="1" s="56">
      <c r="A1604" s="70" t="inlineStr">
        <is>
          <t>ORD-01603</t>
        </is>
      </c>
      <c r="B1604" s="71" t="n">
        <v>45581</v>
      </c>
      <c r="C1604" s="70" t="inlineStr">
        <is>
          <t>CUST-0285</t>
        </is>
      </c>
      <c r="D1604" s="70" t="inlineStr">
        <is>
          <t>PROD-007</t>
        </is>
      </c>
      <c r="E1604" s="70" t="inlineStr">
        <is>
          <t>R016</t>
        </is>
      </c>
      <c r="F1604" s="72" t="n">
        <v>10</v>
      </c>
      <c r="G1604" s="72" t="n">
        <v>1430</v>
      </c>
      <c r="H1604" s="72" t="n">
        <v>11.4</v>
      </c>
      <c r="I1604" s="72" t="n">
        <v>12669.8</v>
      </c>
      <c r="J1604" s="70" t="inlineStr">
        <is>
          <t>Cancelled</t>
        </is>
      </c>
      <c r="K1604" s="70" t="inlineStr">
        <is>
          <t>Hyderabad</t>
        </is>
      </c>
    </row>
    <row r="1605" ht="14.25" customHeight="1" s="56">
      <c r="A1605" s="70" t="inlineStr">
        <is>
          <t>ORD-01604</t>
        </is>
      </c>
      <c r="B1605" s="71" t="n">
        <v>45643</v>
      </c>
      <c r="C1605" s="70" t="inlineStr">
        <is>
          <t>CUST-0148</t>
        </is>
      </c>
      <c r="D1605" s="70" t="inlineStr">
        <is>
          <t>PROD-057</t>
        </is>
      </c>
      <c r="E1605" s="70" t="inlineStr">
        <is>
          <t>R013</t>
        </is>
      </c>
      <c r="F1605" s="72" t="n">
        <v>7</v>
      </c>
      <c r="G1605" s="72" t="n">
        <v>960</v>
      </c>
      <c r="H1605" s="72" t="n">
        <v>22.9</v>
      </c>
      <c r="I1605" s="72" t="n">
        <v>5181.12</v>
      </c>
      <c r="J1605" s="70" t="inlineStr">
        <is>
          <t>Completed</t>
        </is>
      </c>
      <c r="K1605" s="70" t="inlineStr">
        <is>
          <t>Chennai</t>
        </is>
      </c>
    </row>
    <row r="1606" ht="14.25" customHeight="1" s="56">
      <c r="A1606" s="70" t="inlineStr">
        <is>
          <t>ORD-01605</t>
        </is>
      </c>
      <c r="B1606" s="71" t="n">
        <v>45606</v>
      </c>
      <c r="C1606" s="70" t="inlineStr">
        <is>
          <t>CUST-0252</t>
        </is>
      </c>
      <c r="D1606" s="70" t="inlineStr">
        <is>
          <t>PROD-036</t>
        </is>
      </c>
      <c r="E1606" s="70" t="inlineStr">
        <is>
          <t>R010</t>
        </is>
      </c>
      <c r="F1606" s="72" t="n">
        <v>8</v>
      </c>
      <c r="G1606" s="72" t="n">
        <v>3250</v>
      </c>
      <c r="H1606" s="72" t="n">
        <v>1.9</v>
      </c>
      <c r="I1606" s="72" t="n">
        <v>25506</v>
      </c>
      <c r="J1606" s="70" t="inlineStr">
        <is>
          <t>Completed</t>
        </is>
      </c>
      <c r="K1606" s="70" t="inlineStr">
        <is>
          <t>Bengaluru</t>
        </is>
      </c>
    </row>
    <row r="1607" ht="14.25" customHeight="1" s="56">
      <c r="A1607" s="70" t="inlineStr">
        <is>
          <t>ORD-01606</t>
        </is>
      </c>
      <c r="B1607" s="71" t="n">
        <v>45356</v>
      </c>
      <c r="C1607" s="70" t="inlineStr">
        <is>
          <t>CUST-0141</t>
        </is>
      </c>
      <c r="D1607" s="70" t="inlineStr">
        <is>
          <t>PROD-051</t>
        </is>
      </c>
      <c r="E1607" s="70" t="inlineStr">
        <is>
          <t>R018</t>
        </is>
      </c>
      <c r="F1607" s="72" t="n">
        <v>9</v>
      </c>
      <c r="G1607" s="72" t="n">
        <v>3450</v>
      </c>
      <c r="H1607" s="72" t="n">
        <v>18</v>
      </c>
      <c r="I1607" s="72" t="n">
        <v>25461</v>
      </c>
      <c r="J1607" s="70" t="inlineStr">
        <is>
          <t>Completed</t>
        </is>
      </c>
      <c r="K1607" s="70" t="inlineStr">
        <is>
          <t>Hyderabad</t>
        </is>
      </c>
    </row>
    <row r="1608" ht="14.25" customHeight="1" s="56">
      <c r="A1608" s="70" t="inlineStr">
        <is>
          <t>ORD-01607</t>
        </is>
      </c>
      <c r="B1608" s="71" t="n">
        <v>45343</v>
      </c>
      <c r="C1608" s="70" t="inlineStr">
        <is>
          <t>CUST-0101</t>
        </is>
      </c>
      <c r="D1608" s="70" t="inlineStr">
        <is>
          <t>PROD-024</t>
        </is>
      </c>
      <c r="E1608" s="70" t="inlineStr">
        <is>
          <t>R016</t>
        </is>
      </c>
      <c r="F1608" s="72" t="n">
        <v>5</v>
      </c>
      <c r="G1608" s="72" t="n">
        <v>2270</v>
      </c>
      <c r="H1608" s="72" t="n">
        <v>11.5</v>
      </c>
      <c r="I1608" s="72" t="n">
        <v>10044.75</v>
      </c>
      <c r="J1608" s="70" t="inlineStr">
        <is>
          <t>Completed</t>
        </is>
      </c>
      <c r="K1608" s="70" t="inlineStr">
        <is>
          <t>Hyderabad</t>
        </is>
      </c>
    </row>
    <row r="1609" ht="14.25" customHeight="1" s="56">
      <c r="A1609" s="70" t="inlineStr">
        <is>
          <t>ORD-01608</t>
        </is>
      </c>
      <c r="B1609" s="71" t="n">
        <v>45449</v>
      </c>
      <c r="C1609" s="70" t="inlineStr">
        <is>
          <t>CUST-0223</t>
        </is>
      </c>
      <c r="D1609" s="70" t="inlineStr">
        <is>
          <t>PROD-045</t>
        </is>
      </c>
      <c r="E1609" s="70" t="inlineStr">
        <is>
          <t>R019</t>
        </is>
      </c>
      <c r="F1609" s="72" t="n">
        <v>6</v>
      </c>
      <c r="G1609" s="72" t="n">
        <v>3020</v>
      </c>
      <c r="H1609" s="72" t="n">
        <v>12.6</v>
      </c>
      <c r="I1609" s="72" t="n">
        <v>15836.88</v>
      </c>
      <c r="J1609" s="70" t="inlineStr">
        <is>
          <t>Completed</t>
        </is>
      </c>
      <c r="K1609" s="70" t="inlineStr">
        <is>
          <t>Bengaluru</t>
        </is>
      </c>
    </row>
    <row r="1610" ht="14.25" customHeight="1" s="56">
      <c r="A1610" s="70" t="inlineStr">
        <is>
          <t>ORD-01609</t>
        </is>
      </c>
      <c r="B1610" s="71" t="n">
        <v>45317</v>
      </c>
      <c r="C1610" s="70" t="inlineStr">
        <is>
          <t>CUST-0197</t>
        </is>
      </c>
      <c r="D1610" s="70" t="inlineStr">
        <is>
          <t>PROD-010</t>
        </is>
      </c>
      <c r="E1610" s="70" t="inlineStr">
        <is>
          <t>R008</t>
        </is>
      </c>
      <c r="F1610" s="72" t="n">
        <v>8</v>
      </c>
      <c r="G1610" s="72" t="n">
        <v>2640</v>
      </c>
      <c r="H1610" s="72" t="n">
        <v>14.5</v>
      </c>
      <c r="I1610" s="72" t="n">
        <v>18057.6</v>
      </c>
      <c r="J1610" s="70" t="inlineStr">
        <is>
          <t>Refunded</t>
        </is>
      </c>
      <c r="K1610" s="70" t="inlineStr">
        <is>
          <t>Bengaluru</t>
        </is>
      </c>
    </row>
    <row r="1611" ht="14.25" customHeight="1" s="56">
      <c r="A1611" s="70" t="inlineStr">
        <is>
          <t>ORD-01610</t>
        </is>
      </c>
      <c r="B1611" s="71" t="n">
        <v>45561</v>
      </c>
      <c r="C1611" s="70" t="inlineStr">
        <is>
          <t>CUST-0260</t>
        </is>
      </c>
      <c r="D1611" s="70" t="inlineStr">
        <is>
          <t>PROD-024</t>
        </is>
      </c>
      <c r="E1611" s="70" t="inlineStr">
        <is>
          <t>R027</t>
        </is>
      </c>
      <c r="F1611" s="72" t="n">
        <v>2</v>
      </c>
      <c r="G1611" s="72" t="n">
        <v>2270</v>
      </c>
      <c r="H1611" s="72" t="n">
        <v>27</v>
      </c>
      <c r="I1611" s="72" t="n">
        <v>3314.2</v>
      </c>
      <c r="J1611" s="70" t="inlineStr">
        <is>
          <t>Completed</t>
        </is>
      </c>
      <c r="K1611" s="70" t="inlineStr">
        <is>
          <t>Bengaluru</t>
        </is>
      </c>
    </row>
    <row r="1612" ht="14.25" customHeight="1" s="56">
      <c r="A1612" s="70" t="inlineStr">
        <is>
          <t>ORD-01611</t>
        </is>
      </c>
      <c r="B1612" s="71" t="n">
        <v>45636</v>
      </c>
      <c r="C1612" s="70" t="inlineStr">
        <is>
          <t>CUST-0180</t>
        </is>
      </c>
      <c r="D1612" s="70" t="inlineStr">
        <is>
          <t>PROD-021</t>
        </is>
      </c>
      <c r="E1612" s="70" t="inlineStr">
        <is>
          <t>R027</t>
        </is>
      </c>
      <c r="F1612" s="72" t="n">
        <v>8</v>
      </c>
      <c r="G1612" s="72" t="n">
        <v>2760</v>
      </c>
      <c r="H1612" s="72" t="n">
        <v>18</v>
      </c>
      <c r="I1612" s="72" t="n">
        <v>18105.6</v>
      </c>
      <c r="J1612" s="70" t="inlineStr">
        <is>
          <t>Cancelled</t>
        </is>
      </c>
      <c r="K1612" s="70" t="inlineStr">
        <is>
          <t>Chennai</t>
        </is>
      </c>
    </row>
    <row r="1613" ht="14.25" customHeight="1" s="56">
      <c r="A1613" s="70" t="inlineStr">
        <is>
          <t>ORD-01612</t>
        </is>
      </c>
      <c r="B1613" s="71" t="n">
        <v>45398</v>
      </c>
      <c r="C1613" s="70" t="inlineStr">
        <is>
          <t>CUST-0166</t>
        </is>
      </c>
      <c r="D1613" s="70" t="inlineStr">
        <is>
          <t>PROD-014</t>
        </is>
      </c>
      <c r="E1613" s="70" t="inlineStr">
        <is>
          <t>R023</t>
        </is>
      </c>
      <c r="F1613" s="72" t="n">
        <v>8</v>
      </c>
      <c r="G1613" s="72" t="n">
        <v>3620</v>
      </c>
      <c r="H1613" s="72" t="n">
        <v>7.1</v>
      </c>
      <c r="I1613" s="72" t="n">
        <v>26903.84</v>
      </c>
      <c r="J1613" s="70" t="inlineStr">
        <is>
          <t>Completed</t>
        </is>
      </c>
      <c r="K1613" s="70" t="inlineStr">
        <is>
          <t>Hyderabad</t>
        </is>
      </c>
    </row>
    <row r="1614" ht="14.25" customHeight="1" s="56">
      <c r="A1614" s="70" t="inlineStr">
        <is>
          <t>ORD-01613</t>
        </is>
      </c>
      <c r="B1614" s="71" t="n">
        <v>45477</v>
      </c>
      <c r="C1614" s="70" t="inlineStr">
        <is>
          <t>CUST-0062</t>
        </is>
      </c>
      <c r="D1614" s="70" t="inlineStr">
        <is>
          <t>PROD-042</t>
        </is>
      </c>
      <c r="E1614" s="70" t="inlineStr">
        <is>
          <t>R021</t>
        </is>
      </c>
      <c r="F1614" s="72" t="n">
        <v>8</v>
      </c>
      <c r="G1614" s="72" t="n">
        <v>2290</v>
      </c>
      <c r="H1614" s="72" t="n">
        <v>16.4</v>
      </c>
      <c r="I1614" s="72" t="n">
        <v>15315.52</v>
      </c>
      <c r="J1614" s="70" t="inlineStr">
        <is>
          <t>Completed</t>
        </is>
      </c>
      <c r="K1614" s="70" t="inlineStr">
        <is>
          <t>Pune</t>
        </is>
      </c>
    </row>
    <row r="1615" ht="14.25" customHeight="1" s="56">
      <c r="A1615" s="70" t="inlineStr">
        <is>
          <t>ORD-01614</t>
        </is>
      </c>
      <c r="B1615" s="71" t="n">
        <v>45462</v>
      </c>
      <c r="C1615" s="70" t="inlineStr">
        <is>
          <t>CUST-0130</t>
        </is>
      </c>
      <c r="D1615" s="70" t="inlineStr">
        <is>
          <t>PROD-044</t>
        </is>
      </c>
      <c r="E1615" s="70" t="inlineStr">
        <is>
          <t>R019</t>
        </is>
      </c>
      <c r="F1615" s="72" t="n">
        <v>3</v>
      </c>
      <c r="G1615" s="72" t="n">
        <v>1650</v>
      </c>
      <c r="H1615" s="72" t="n">
        <v>1.8</v>
      </c>
      <c r="I1615" s="72" t="n">
        <v>4860.9</v>
      </c>
      <c r="J1615" s="70" t="inlineStr">
        <is>
          <t>Cancelled</t>
        </is>
      </c>
      <c r="K1615" s="70" t="inlineStr">
        <is>
          <t>Bengaluru</t>
        </is>
      </c>
    </row>
    <row r="1616" ht="14.25" customHeight="1" s="56">
      <c r="A1616" s="70" t="inlineStr">
        <is>
          <t>ORD-01615</t>
        </is>
      </c>
      <c r="B1616" s="71" t="n">
        <v>45642</v>
      </c>
      <c r="C1616" s="70" t="inlineStr">
        <is>
          <t>CUST-0162</t>
        </is>
      </c>
      <c r="D1616" s="70" t="inlineStr">
        <is>
          <t>PROD-001</t>
        </is>
      </c>
      <c r="E1616" s="70" t="inlineStr">
        <is>
          <t>R018</t>
        </is>
      </c>
      <c r="F1616" s="72" t="n">
        <v>3</v>
      </c>
      <c r="G1616" s="72" t="n">
        <v>5330</v>
      </c>
      <c r="H1616" s="72" t="n">
        <v>22.2</v>
      </c>
      <c r="I1616" s="72" t="n">
        <v>12440.22</v>
      </c>
      <c r="J1616" s="70" t="inlineStr">
        <is>
          <t>Completed</t>
        </is>
      </c>
      <c r="K1616" s="70" t="inlineStr">
        <is>
          <t>Mumbai</t>
        </is>
      </c>
    </row>
    <row r="1617" ht="14.25" customHeight="1" s="56">
      <c r="A1617" s="70" t="inlineStr">
        <is>
          <t>ORD-01616</t>
        </is>
      </c>
      <c r="B1617" s="71" t="n">
        <v>45534</v>
      </c>
      <c r="C1617" s="70" t="inlineStr">
        <is>
          <t>CUST-0153</t>
        </is>
      </c>
      <c r="D1617" s="70" t="inlineStr">
        <is>
          <t>PROD-040</t>
        </is>
      </c>
      <c r="E1617" s="70" t="inlineStr">
        <is>
          <t>R022</t>
        </is>
      </c>
      <c r="F1617" s="72" t="n">
        <v>7</v>
      </c>
      <c r="G1617" s="72" t="n">
        <v>1080</v>
      </c>
      <c r="H1617" s="72" t="n">
        <v>17.9</v>
      </c>
      <c r="I1617" s="72" t="n">
        <v>6206.76</v>
      </c>
      <c r="J1617" s="70" t="inlineStr">
        <is>
          <t>Completed</t>
        </is>
      </c>
      <c r="K1617" s="70" t="inlineStr">
        <is>
          <t>Mumbai</t>
        </is>
      </c>
    </row>
    <row r="1618" ht="14.25" customHeight="1" s="56">
      <c r="A1618" s="70" t="inlineStr">
        <is>
          <t>ORD-01617</t>
        </is>
      </c>
      <c r="B1618" s="71" t="n">
        <v>45460</v>
      </c>
      <c r="C1618" s="70" t="inlineStr">
        <is>
          <t>CUST-0071</t>
        </is>
      </c>
      <c r="D1618" s="70" t="inlineStr">
        <is>
          <t>PROD-009</t>
        </is>
      </c>
      <c r="E1618" s="70" t="inlineStr">
        <is>
          <t>R022</t>
        </is>
      </c>
      <c r="F1618" s="72" t="n">
        <v>10</v>
      </c>
      <c r="G1618" s="72" t="n">
        <v>1220</v>
      </c>
      <c r="H1618" s="72" t="n">
        <v>5.7</v>
      </c>
      <c r="I1618" s="72" t="n">
        <v>11504.6</v>
      </c>
      <c r="J1618" s="70" t="inlineStr">
        <is>
          <t>Completed</t>
        </is>
      </c>
      <c r="K1618" s="70" t="inlineStr">
        <is>
          <t>Delhi</t>
        </is>
      </c>
    </row>
    <row r="1619" ht="14.25" customHeight="1" s="56">
      <c r="A1619" s="70" t="inlineStr">
        <is>
          <t>ORD-01618</t>
        </is>
      </c>
      <c r="B1619" s="71" t="n">
        <v>45648</v>
      </c>
      <c r="C1619" s="70" t="inlineStr">
        <is>
          <t>CUST-0200</t>
        </is>
      </c>
      <c r="D1619" s="70" t="inlineStr">
        <is>
          <t>PROD-037</t>
        </is>
      </c>
      <c r="E1619" s="70" t="inlineStr">
        <is>
          <t>R030</t>
        </is>
      </c>
      <c r="F1619" s="72" t="n">
        <v>10</v>
      </c>
      <c r="G1619" s="72" t="n">
        <v>660</v>
      </c>
      <c r="H1619" s="72" t="n">
        <v>7.5</v>
      </c>
      <c r="I1619" s="72" t="n">
        <v>6105</v>
      </c>
      <c r="J1619" s="70" t="inlineStr">
        <is>
          <t>Completed</t>
        </is>
      </c>
      <c r="K1619" s="70" t="inlineStr">
        <is>
          <t>Hyderabad</t>
        </is>
      </c>
    </row>
    <row r="1620" ht="14.25" customHeight="1" s="56">
      <c r="A1620" s="70" t="inlineStr">
        <is>
          <t>ORD-01619</t>
        </is>
      </c>
      <c r="B1620" s="71" t="n">
        <v>45557</v>
      </c>
      <c r="C1620" s="70" t="inlineStr">
        <is>
          <t>CUST-0266</t>
        </is>
      </c>
      <c r="D1620" s="70" t="inlineStr">
        <is>
          <t>PROD-040</t>
        </is>
      </c>
      <c r="E1620" s="70" t="inlineStr">
        <is>
          <t>R020</t>
        </is>
      </c>
      <c r="F1620" s="72" t="n">
        <v>6</v>
      </c>
      <c r="G1620" s="72" t="n">
        <v>1080</v>
      </c>
      <c r="H1620" s="72" t="n">
        <v>28.9</v>
      </c>
      <c r="I1620" s="72" t="n">
        <v>4607.28</v>
      </c>
      <c r="J1620" s="70" t="inlineStr">
        <is>
          <t>Completed</t>
        </is>
      </c>
      <c r="K1620" s="70" t="inlineStr">
        <is>
          <t>Pune</t>
        </is>
      </c>
    </row>
    <row r="1621" ht="14.25" customHeight="1" s="56">
      <c r="A1621" s="70" t="inlineStr">
        <is>
          <t>ORD-01620</t>
        </is>
      </c>
      <c r="B1621" s="71" t="n">
        <v>45584</v>
      </c>
      <c r="C1621" s="70" t="inlineStr">
        <is>
          <t>CUST-0171</t>
        </is>
      </c>
      <c r="D1621" s="70" t="inlineStr">
        <is>
          <t>PROD-022</t>
        </is>
      </c>
      <c r="E1621" s="70" t="inlineStr">
        <is>
          <t>R020</t>
        </is>
      </c>
      <c r="F1621" s="72" t="n">
        <v>7</v>
      </c>
      <c r="G1621" s="72" t="n">
        <v>2270</v>
      </c>
      <c r="H1621" s="72" t="n">
        <v>1.4</v>
      </c>
      <c r="I1621" s="72" t="n">
        <v>15667.54</v>
      </c>
      <c r="J1621" s="70" t="inlineStr">
        <is>
          <t>Completed</t>
        </is>
      </c>
      <c r="K1621" s="70" t="inlineStr">
        <is>
          <t>Chennai</t>
        </is>
      </c>
    </row>
    <row r="1622" ht="14.25" customHeight="1" s="56">
      <c r="A1622" s="70" t="inlineStr">
        <is>
          <t>ORD-01621</t>
        </is>
      </c>
      <c r="B1622" s="71" t="n">
        <v>45475</v>
      </c>
      <c r="C1622" s="70" t="inlineStr">
        <is>
          <t>CUST-0221</t>
        </is>
      </c>
      <c r="D1622" s="70" t="inlineStr">
        <is>
          <t>PROD-032</t>
        </is>
      </c>
      <c r="E1622" s="70" t="inlineStr">
        <is>
          <t>R028</t>
        </is>
      </c>
      <c r="F1622" s="72" t="n">
        <v>3</v>
      </c>
      <c r="G1622" s="72" t="n">
        <v>370</v>
      </c>
      <c r="H1622" s="72" t="n">
        <v>9.6</v>
      </c>
      <c r="I1622" s="72" t="n">
        <v>1003.44</v>
      </c>
      <c r="J1622" s="70" t="inlineStr">
        <is>
          <t>Refunded</t>
        </is>
      </c>
      <c r="K1622" s="70" t="inlineStr">
        <is>
          <t>Delhi</t>
        </is>
      </c>
    </row>
    <row r="1623" ht="14.25" customHeight="1" s="56">
      <c r="A1623" s="70" t="inlineStr">
        <is>
          <t>ORD-01622</t>
        </is>
      </c>
      <c r="B1623" s="71" t="n">
        <v>45365</v>
      </c>
      <c r="C1623" s="70" t="inlineStr">
        <is>
          <t>CUST-0038</t>
        </is>
      </c>
      <c r="D1623" s="70" t="inlineStr">
        <is>
          <t>PROD-030</t>
        </is>
      </c>
      <c r="E1623" s="70" t="inlineStr">
        <is>
          <t>R009</t>
        </is>
      </c>
      <c r="F1623" s="72" t="n">
        <v>9</v>
      </c>
      <c r="G1623" s="72" t="n">
        <v>970</v>
      </c>
      <c r="H1623" s="72" t="n">
        <v>29.7</v>
      </c>
      <c r="I1623" s="72" t="n">
        <v>6137.19</v>
      </c>
      <c r="J1623" s="70" t="inlineStr">
        <is>
          <t>Completed</t>
        </is>
      </c>
      <c r="K1623" s="70" t="inlineStr">
        <is>
          <t>Mumbai</t>
        </is>
      </c>
    </row>
    <row r="1624" ht="14.25" customHeight="1" s="56">
      <c r="A1624" s="70" t="inlineStr">
        <is>
          <t>ORD-00613</t>
        </is>
      </c>
      <c r="B1624" s="71" t="n">
        <v>45405</v>
      </c>
      <c r="C1624" s="70" t="inlineStr">
        <is>
          <t>CUST-0174</t>
        </is>
      </c>
      <c r="D1624" s="70" t="inlineStr">
        <is>
          <t>PROD-016</t>
        </is>
      </c>
      <c r="E1624" s="70" t="inlineStr">
        <is>
          <t>R003</t>
        </is>
      </c>
      <c r="F1624" s="72" t="n">
        <v>1</v>
      </c>
      <c r="G1624" s="72" t="n">
        <v>620</v>
      </c>
      <c r="H1624" s="72" t="n">
        <v>10.4</v>
      </c>
      <c r="I1624" s="72" t="n">
        <v>555.52</v>
      </c>
      <c r="J1624" s="70" t="inlineStr">
        <is>
          <t>Cancelled</t>
        </is>
      </c>
      <c r="K1624" s="70" t="inlineStr">
        <is>
          <t>Pune</t>
        </is>
      </c>
    </row>
    <row r="1625" ht="14.25" customHeight="1" s="56">
      <c r="A1625" s="70" t="inlineStr">
        <is>
          <t>ORD-01624</t>
        </is>
      </c>
      <c r="B1625" s="71" t="n">
        <v>45533</v>
      </c>
      <c r="C1625" s="70" t="inlineStr">
        <is>
          <t>CUST-0054</t>
        </is>
      </c>
      <c r="D1625" s="70" t="inlineStr">
        <is>
          <t>PROD-028</t>
        </is>
      </c>
      <c r="E1625" s="70" t="inlineStr">
        <is>
          <t>R029</t>
        </is>
      </c>
      <c r="F1625" s="72" t="n">
        <v>5</v>
      </c>
      <c r="G1625" s="72" t="n">
        <v>3660</v>
      </c>
      <c r="H1625" s="72" t="n">
        <v>8</v>
      </c>
      <c r="I1625" s="72" t="n">
        <v>16836</v>
      </c>
      <c r="J1625" s="70" t="inlineStr">
        <is>
          <t>Completed</t>
        </is>
      </c>
      <c r="K1625" s="70" t="inlineStr">
        <is>
          <t>Mumbai</t>
        </is>
      </c>
    </row>
    <row r="1626" ht="14.25" customHeight="1" s="56">
      <c r="A1626" s="70" t="inlineStr">
        <is>
          <t>ORD-01625</t>
        </is>
      </c>
      <c r="B1626" s="71" t="n">
        <v>45628</v>
      </c>
      <c r="C1626" s="70" t="inlineStr">
        <is>
          <t>CUST-0071</t>
        </is>
      </c>
      <c r="D1626" s="70" t="inlineStr">
        <is>
          <t>PROD-029</t>
        </is>
      </c>
      <c r="E1626" s="70" t="inlineStr">
        <is>
          <t>R024</t>
        </is>
      </c>
      <c r="F1626" s="72" t="n">
        <v>7</v>
      </c>
      <c r="G1626" s="72" t="n">
        <v>2210</v>
      </c>
      <c r="H1626" s="72" t="n">
        <v>13.7</v>
      </c>
      <c r="I1626" s="72" t="n">
        <v>13350.61</v>
      </c>
      <c r="J1626" s="70" t="inlineStr">
        <is>
          <t>Refunded</t>
        </is>
      </c>
      <c r="K1626" s="70" t="inlineStr">
        <is>
          <t>Delhi</t>
        </is>
      </c>
    </row>
    <row r="1627" ht="14.25" customHeight="1" s="56">
      <c r="A1627" s="70" t="inlineStr">
        <is>
          <t>ORD-01626</t>
        </is>
      </c>
      <c r="B1627" s="71" t="n">
        <v>45631</v>
      </c>
      <c r="C1627" s="70" t="inlineStr">
        <is>
          <t>CUST-0004</t>
        </is>
      </c>
      <c r="D1627" s="70" t="inlineStr">
        <is>
          <t>PROD-059</t>
        </is>
      </c>
      <c r="E1627" s="70" t="inlineStr">
        <is>
          <t>R028</t>
        </is>
      </c>
      <c r="F1627" s="72" t="n">
        <v>1</v>
      </c>
      <c r="G1627" s="72" t="n">
        <v>3780</v>
      </c>
      <c r="H1627" s="72" t="n">
        <v>11.5</v>
      </c>
      <c r="I1627" s="72" t="n">
        <v>3345.3</v>
      </c>
      <c r="J1627" s="70" t="inlineStr">
        <is>
          <t>Completed</t>
        </is>
      </c>
      <c r="K1627" s="70" t="inlineStr">
        <is>
          <t>Delhi</t>
        </is>
      </c>
    </row>
    <row r="1628" ht="14.25" customHeight="1" s="56">
      <c r="A1628" s="70" t="inlineStr">
        <is>
          <t>ORD-01627</t>
        </is>
      </c>
      <c r="B1628" s="71" t="n">
        <v>45601</v>
      </c>
      <c r="C1628" s="70" t="inlineStr">
        <is>
          <t>CUST-0033</t>
        </is>
      </c>
      <c r="D1628" s="70" t="inlineStr">
        <is>
          <t>PROD-002</t>
        </is>
      </c>
      <c r="E1628" s="70" t="inlineStr">
        <is>
          <t>R005</t>
        </is>
      </c>
      <c r="F1628" s="72" t="n">
        <v>10</v>
      </c>
      <c r="G1628" s="72" t="n">
        <v>2600</v>
      </c>
      <c r="H1628" s="72" t="n">
        <v>29.4</v>
      </c>
      <c r="I1628" s="72" t="n">
        <v>18356</v>
      </c>
      <c r="J1628" s="70" t="inlineStr">
        <is>
          <t>Completed</t>
        </is>
      </c>
      <c r="K1628" s="70" t="inlineStr">
        <is>
          <t>Delhi</t>
        </is>
      </c>
    </row>
    <row r="1629" ht="14.25" customHeight="1" s="56">
      <c r="A1629" s="70" t="inlineStr">
        <is>
          <t>ORD-01628</t>
        </is>
      </c>
      <c r="B1629" s="71" t="n">
        <v>45365</v>
      </c>
      <c r="C1629" s="70" t="inlineStr">
        <is>
          <t>CUST-0079</t>
        </is>
      </c>
      <c r="D1629" s="70" t="inlineStr">
        <is>
          <t>PROD-027</t>
        </is>
      </c>
      <c r="E1629" s="70" t="inlineStr">
        <is>
          <t>R017</t>
        </is>
      </c>
      <c r="F1629" s="72" t="n">
        <v>3</v>
      </c>
      <c r="G1629" s="72" t="n">
        <v>3780</v>
      </c>
      <c r="H1629" s="72" t="n">
        <v>14.4</v>
      </c>
      <c r="I1629" s="72" t="n">
        <v>9707.040000000001</v>
      </c>
      <c r="J1629" s="70" t="inlineStr">
        <is>
          <t>Completed</t>
        </is>
      </c>
      <c r="K1629" s="70" t="inlineStr">
        <is>
          <t>Mumbai</t>
        </is>
      </c>
    </row>
    <row r="1630" ht="14.25" customHeight="1" s="56">
      <c r="A1630" s="70" t="inlineStr">
        <is>
          <t>ORD-01629</t>
        </is>
      </c>
      <c r="B1630" s="71" t="n">
        <v>45421</v>
      </c>
      <c r="C1630" s="70" t="inlineStr">
        <is>
          <t>CUST-0176</t>
        </is>
      </c>
      <c r="D1630" s="70" t="inlineStr">
        <is>
          <t>PROD-010</t>
        </is>
      </c>
      <c r="E1630" s="70" t="inlineStr">
        <is>
          <t>R003</t>
        </is>
      </c>
      <c r="F1630" s="72" t="n">
        <v>10</v>
      </c>
      <c r="G1630" s="72" t="n">
        <v>2640</v>
      </c>
      <c r="H1630" s="72" t="n">
        <v>26.8</v>
      </c>
      <c r="I1630" s="72" t="n">
        <v>19324.8</v>
      </c>
      <c r="J1630" s="70" t="inlineStr">
        <is>
          <t>Pending</t>
        </is>
      </c>
      <c r="K1630" s="70" t="inlineStr">
        <is>
          <t>Bengaluru</t>
        </is>
      </c>
    </row>
    <row r="1631" ht="14.25" customHeight="1" s="56">
      <c r="A1631" s="70" t="inlineStr">
        <is>
          <t>ORD-01630</t>
        </is>
      </c>
      <c r="B1631" s="71" t="n">
        <v>45347</v>
      </c>
      <c r="C1631" s="70" t="inlineStr">
        <is>
          <t>CUST-0254</t>
        </is>
      </c>
      <c r="D1631" s="70" t="inlineStr">
        <is>
          <t>PROD-035</t>
        </is>
      </c>
      <c r="E1631" s="70" t="inlineStr">
        <is>
          <t>R013</t>
        </is>
      </c>
      <c r="F1631" s="72" t="n">
        <v>3</v>
      </c>
      <c r="G1631" s="72" t="n">
        <v>1090</v>
      </c>
      <c r="H1631" s="72" t="n">
        <v>9.1</v>
      </c>
      <c r="I1631" s="72" t="n">
        <v>2972.43</v>
      </c>
      <c r="J1631" s="70" t="inlineStr">
        <is>
          <t>Completed</t>
        </is>
      </c>
      <c r="K1631" s="70" t="inlineStr">
        <is>
          <t>Bengaluru</t>
        </is>
      </c>
    </row>
    <row r="1632" ht="14.25" customHeight="1" s="56">
      <c r="A1632" s="70" t="inlineStr">
        <is>
          <t>ORD-01631</t>
        </is>
      </c>
      <c r="B1632" s="71" t="n">
        <v>45574</v>
      </c>
      <c r="C1632" s="70" t="inlineStr">
        <is>
          <t>CUST-0212</t>
        </is>
      </c>
      <c r="D1632" s="70" t="inlineStr">
        <is>
          <t>PROD-011</t>
        </is>
      </c>
      <c r="E1632" s="70" t="inlineStr">
        <is>
          <t>R024</t>
        </is>
      </c>
      <c r="F1632" s="72" t="n">
        <v>3</v>
      </c>
      <c r="G1632" s="72" t="n">
        <v>3450</v>
      </c>
      <c r="H1632" s="72" t="n">
        <v>23</v>
      </c>
      <c r="I1632" s="72" t="n">
        <v>7969.5</v>
      </c>
      <c r="J1632" s="70" t="inlineStr">
        <is>
          <t>Pending</t>
        </is>
      </c>
      <c r="K1632" s="70" t="inlineStr">
        <is>
          <t>Chennai</t>
        </is>
      </c>
    </row>
    <row r="1633" ht="14.25" customHeight="1" s="56">
      <c r="A1633" s="70" t="inlineStr">
        <is>
          <t>ORD-01632</t>
        </is>
      </c>
      <c r="B1633" s="71" t="n">
        <v>45365</v>
      </c>
      <c r="C1633" s="70" t="inlineStr">
        <is>
          <t>CUST-0109</t>
        </is>
      </c>
      <c r="D1633" s="70" t="inlineStr">
        <is>
          <t>PROD-049</t>
        </is>
      </c>
      <c r="E1633" s="70" t="inlineStr">
        <is>
          <t>R015</t>
        </is>
      </c>
      <c r="F1633" s="72" t="n">
        <v>1</v>
      </c>
      <c r="G1633" s="72" t="n">
        <v>960</v>
      </c>
      <c r="H1633" s="72" t="n">
        <v>1.1</v>
      </c>
      <c r="I1633" s="72" t="n">
        <v>949.4400000000001</v>
      </c>
      <c r="J1633" s="70" t="inlineStr">
        <is>
          <t>Completed</t>
        </is>
      </c>
      <c r="K1633" s="70" t="inlineStr">
        <is>
          <t>Pune</t>
        </is>
      </c>
    </row>
    <row r="1634" ht="14.25" customHeight="1" s="56">
      <c r="A1634" s="70" t="inlineStr">
        <is>
          <t>ORD-01633</t>
        </is>
      </c>
      <c r="B1634" s="71" t="n">
        <v>45577</v>
      </c>
      <c r="C1634" s="70" t="inlineStr">
        <is>
          <t>CUST-0087</t>
        </is>
      </c>
      <c r="D1634" s="70" t="inlineStr">
        <is>
          <t>PROD-028</t>
        </is>
      </c>
      <c r="E1634" s="70" t="inlineStr">
        <is>
          <t>R030</t>
        </is>
      </c>
      <c r="F1634" s="72" t="n">
        <v>9</v>
      </c>
      <c r="G1634" s="72" t="n">
        <v>3660</v>
      </c>
      <c r="H1634" s="72" t="n">
        <v>9</v>
      </c>
      <c r="I1634" s="72" t="n">
        <v>29975.4</v>
      </c>
      <c r="J1634" s="70" t="inlineStr">
        <is>
          <t>Completed</t>
        </is>
      </c>
      <c r="K1634" s="70" t="inlineStr">
        <is>
          <t>Pune</t>
        </is>
      </c>
    </row>
    <row r="1635" ht="14.25" customHeight="1" s="56">
      <c r="A1635" s="70" t="inlineStr">
        <is>
          <t>ORD-01634</t>
        </is>
      </c>
      <c r="B1635" s="71" t="n">
        <v>45420</v>
      </c>
      <c r="C1635" s="70" t="inlineStr">
        <is>
          <t>CUST-0167</t>
        </is>
      </c>
      <c r="D1635" s="70" t="inlineStr">
        <is>
          <t>PROD-031</t>
        </is>
      </c>
      <c r="E1635" s="70" t="inlineStr">
        <is>
          <t>R008</t>
        </is>
      </c>
      <c r="F1635" s="72" t="n">
        <v>3</v>
      </c>
      <c r="G1635" s="72" t="n">
        <v>3730</v>
      </c>
      <c r="H1635" s="72" t="n">
        <v>15.8</v>
      </c>
      <c r="I1635" s="72" t="n">
        <v>9421.98</v>
      </c>
      <c r="J1635" s="70" t="inlineStr">
        <is>
          <t>Completed</t>
        </is>
      </c>
      <c r="K1635" s="70" t="inlineStr">
        <is>
          <t>Delhi</t>
        </is>
      </c>
    </row>
    <row r="1636" ht="14.25" customHeight="1" s="56">
      <c r="A1636" s="70" t="inlineStr">
        <is>
          <t>ORD-01635</t>
        </is>
      </c>
      <c r="B1636" s="71" t="n">
        <v>45347</v>
      </c>
      <c r="C1636" s="70" t="inlineStr">
        <is>
          <t>CUST-0079</t>
        </is>
      </c>
      <c r="D1636" s="70" t="inlineStr">
        <is>
          <t>PROD-026</t>
        </is>
      </c>
      <c r="E1636" s="70" t="inlineStr">
        <is>
          <t>R004</t>
        </is>
      </c>
      <c r="F1636" s="72" t="n">
        <v>6</v>
      </c>
      <c r="G1636" s="72" t="n">
        <v>4070</v>
      </c>
      <c r="H1636" s="72" t="n">
        <v>6.2</v>
      </c>
      <c r="I1636" s="72" t="n">
        <v>22905.96</v>
      </c>
      <c r="J1636" s="70" t="inlineStr">
        <is>
          <t>Completed</t>
        </is>
      </c>
      <c r="K1636" s="70" t="inlineStr">
        <is>
          <t>Mumbai</t>
        </is>
      </c>
    </row>
    <row r="1637" ht="14.25" customHeight="1" s="56">
      <c r="A1637" s="70" t="inlineStr">
        <is>
          <t>ORD-01636</t>
        </is>
      </c>
      <c r="B1637" s="71" t="n">
        <v>45329</v>
      </c>
      <c r="C1637" s="70" t="inlineStr">
        <is>
          <t>CUST-0115</t>
        </is>
      </c>
      <c r="D1637" s="70" t="inlineStr">
        <is>
          <t>PROD-008</t>
        </is>
      </c>
      <c r="E1637" s="70" t="inlineStr">
        <is>
          <t>R022</t>
        </is>
      </c>
      <c r="F1637" s="72" t="n">
        <v>1</v>
      </c>
      <c r="G1637" s="72" t="n">
        <v>2660</v>
      </c>
      <c r="H1637" s="72" t="n">
        <v>14.6</v>
      </c>
      <c r="I1637" s="72" t="n">
        <v>2271.64</v>
      </c>
      <c r="J1637" s="70" t="inlineStr">
        <is>
          <t>Completed</t>
        </is>
      </c>
      <c r="K1637" s="70" t="inlineStr">
        <is>
          <t>Mumbai</t>
        </is>
      </c>
    </row>
    <row r="1638" ht="14.25" customHeight="1" s="56">
      <c r="A1638" s="70" t="inlineStr">
        <is>
          <t>ORD-01637</t>
        </is>
      </c>
      <c r="B1638" s="71" t="n">
        <v>45378</v>
      </c>
      <c r="C1638" s="70" t="inlineStr">
        <is>
          <t>CUST-0184</t>
        </is>
      </c>
      <c r="D1638" s="70" t="inlineStr">
        <is>
          <t>PROD-033</t>
        </is>
      </c>
      <c r="E1638" s="70" t="inlineStr">
        <is>
          <t>R003</t>
        </is>
      </c>
      <c r="F1638" s="72" t="n">
        <v>3</v>
      </c>
      <c r="G1638" s="72" t="n">
        <v>2030</v>
      </c>
      <c r="H1638" s="72" t="n">
        <v>13.3</v>
      </c>
      <c r="I1638" s="72" t="n">
        <v>5280.03</v>
      </c>
      <c r="J1638" s="70" t="inlineStr">
        <is>
          <t>Cancelled</t>
        </is>
      </c>
      <c r="K1638" s="70" t="inlineStr">
        <is>
          <t>Pune</t>
        </is>
      </c>
    </row>
    <row r="1639" ht="14.25" customHeight="1" s="56">
      <c r="A1639" s="70" t="inlineStr">
        <is>
          <t>ORD-01638</t>
        </is>
      </c>
      <c r="B1639" s="71" t="n">
        <v>45393</v>
      </c>
      <c r="C1639" s="70" t="inlineStr">
        <is>
          <t>CUST-0084</t>
        </is>
      </c>
      <c r="D1639" s="70" t="inlineStr">
        <is>
          <t>PROD-028</t>
        </is>
      </c>
      <c r="E1639" s="70" t="inlineStr">
        <is>
          <t>R001</t>
        </is>
      </c>
      <c r="F1639" s="72" t="n">
        <v>4</v>
      </c>
      <c r="G1639" s="72" t="n">
        <v>3660</v>
      </c>
      <c r="H1639" s="72" t="n">
        <v>2.2</v>
      </c>
      <c r="I1639" s="72" t="n">
        <v>14317.92</v>
      </c>
      <c r="J1639" s="70" t="inlineStr">
        <is>
          <t>Completed</t>
        </is>
      </c>
      <c r="K1639" s="70" t="inlineStr">
        <is>
          <t>Chennai</t>
        </is>
      </c>
    </row>
    <row r="1640" ht="14.25" customHeight="1" s="56">
      <c r="A1640" s="70" t="inlineStr">
        <is>
          <t>ORD-01639</t>
        </is>
      </c>
      <c r="B1640" s="71" t="n">
        <v>45364</v>
      </c>
      <c r="C1640" s="70" t="inlineStr">
        <is>
          <t>CUST-0186</t>
        </is>
      </c>
      <c r="D1640" s="70" t="inlineStr">
        <is>
          <t>PROD-008</t>
        </is>
      </c>
      <c r="E1640" s="70" t="inlineStr">
        <is>
          <t>R006</t>
        </is>
      </c>
      <c r="F1640" s="72" t="n">
        <v>2</v>
      </c>
      <c r="G1640" s="72" t="n">
        <v>2660</v>
      </c>
      <c r="H1640" s="72" t="n">
        <v>7.2</v>
      </c>
      <c r="I1640" s="72" t="n">
        <v>4936.96</v>
      </c>
      <c r="J1640" s="70" t="inlineStr">
        <is>
          <t>Cancelled</t>
        </is>
      </c>
      <c r="K1640" s="70" t="inlineStr">
        <is>
          <t>Bengaluru</t>
        </is>
      </c>
    </row>
    <row r="1641" ht="14.25" customHeight="1" s="56">
      <c r="A1641" s="70" t="inlineStr">
        <is>
          <t>ORD-01640</t>
        </is>
      </c>
      <c r="B1641" s="71" t="n">
        <v>45624</v>
      </c>
      <c r="C1641" s="70" t="inlineStr">
        <is>
          <t>CUST-0077</t>
        </is>
      </c>
      <c r="D1641" s="70" t="inlineStr">
        <is>
          <t>PROD-046</t>
        </is>
      </c>
      <c r="E1641" s="70" t="inlineStr">
        <is>
          <t>R013</t>
        </is>
      </c>
      <c r="F1641" s="72" t="n">
        <v>2</v>
      </c>
      <c r="G1641" s="72" t="n">
        <v>4880</v>
      </c>
      <c r="H1641" s="72" t="n">
        <v>23.8</v>
      </c>
      <c r="I1641" s="72" t="n">
        <v>7437.12</v>
      </c>
      <c r="J1641" s="70" t="inlineStr">
        <is>
          <t>Completed</t>
        </is>
      </c>
      <c r="K1641" s="70" t="inlineStr">
        <is>
          <t>Hyderabad</t>
        </is>
      </c>
    </row>
    <row r="1642" ht="14.25" customHeight="1" s="56">
      <c r="A1642" s="70" t="inlineStr">
        <is>
          <t>ORD-01641</t>
        </is>
      </c>
      <c r="B1642" s="71" t="n">
        <v>45411</v>
      </c>
      <c r="C1642" s="70" t="inlineStr">
        <is>
          <t>CUST-0093</t>
        </is>
      </c>
      <c r="D1642" s="70" t="inlineStr">
        <is>
          <t>PROD-011</t>
        </is>
      </c>
      <c r="E1642" s="70" t="inlineStr">
        <is>
          <t>R011</t>
        </is>
      </c>
      <c r="F1642" s="72" t="n">
        <v>1</v>
      </c>
      <c r="G1642" s="72" t="n">
        <v>3450</v>
      </c>
      <c r="H1642" s="72" t="n">
        <v>1.7</v>
      </c>
      <c r="I1642" s="72" t="n">
        <v>3391.35</v>
      </c>
      <c r="J1642" s="70" t="inlineStr">
        <is>
          <t>Completed</t>
        </is>
      </c>
      <c r="K1642" s="70" t="inlineStr">
        <is>
          <t>Pune</t>
        </is>
      </c>
    </row>
    <row r="1643" ht="14.25" customHeight="1" s="56">
      <c r="A1643" s="70" t="inlineStr">
        <is>
          <t>ORD-01642</t>
        </is>
      </c>
      <c r="B1643" s="71" t="n">
        <v>45550</v>
      </c>
      <c r="C1643" s="70" t="inlineStr">
        <is>
          <t>CUST-0018</t>
        </is>
      </c>
      <c r="D1643" s="70" t="inlineStr">
        <is>
          <t>PROD-045</t>
        </is>
      </c>
      <c r="E1643" s="70" t="inlineStr">
        <is>
          <t>R023</t>
        </is>
      </c>
      <c r="F1643" s="72" t="n">
        <v>4</v>
      </c>
      <c r="G1643" s="72" t="n">
        <v>3020</v>
      </c>
      <c r="H1643" s="72" t="n">
        <v>17.8</v>
      </c>
      <c r="I1643" s="72" t="n">
        <v>9929.76</v>
      </c>
      <c r="J1643" s="70" t="inlineStr">
        <is>
          <t>Completed</t>
        </is>
      </c>
      <c r="K1643" s="70" t="inlineStr">
        <is>
          <t>Pune</t>
        </is>
      </c>
    </row>
    <row r="1644" ht="14.25" customHeight="1" s="56">
      <c r="A1644" s="70" t="inlineStr">
        <is>
          <t>ORD-01643</t>
        </is>
      </c>
      <c r="B1644" s="71" t="n">
        <v>45512</v>
      </c>
      <c r="C1644" s="70" t="inlineStr">
        <is>
          <t>CUST-0034</t>
        </is>
      </c>
      <c r="D1644" s="70" t="inlineStr">
        <is>
          <t>PROD-056</t>
        </is>
      </c>
      <c r="E1644" s="70" t="inlineStr">
        <is>
          <t>R021</t>
        </is>
      </c>
      <c r="F1644" s="72" t="n">
        <v>6</v>
      </c>
      <c r="G1644" s="72" t="n">
        <v>6940</v>
      </c>
      <c r="H1644" s="72" t="n">
        <v>8.9</v>
      </c>
      <c r="I1644" s="72" t="n">
        <v>37934.04</v>
      </c>
      <c r="J1644" s="70" t="inlineStr">
        <is>
          <t>Completed</t>
        </is>
      </c>
      <c r="K1644" s="70" t="inlineStr">
        <is>
          <t>Delhi</t>
        </is>
      </c>
    </row>
    <row r="1645" ht="14.25" customHeight="1" s="56">
      <c r="A1645" s="70" t="inlineStr">
        <is>
          <t>ORD-01644</t>
        </is>
      </c>
      <c r="B1645" s="71" t="n">
        <v>45523</v>
      </c>
      <c r="C1645" s="70" t="inlineStr">
        <is>
          <t>CUST-0111</t>
        </is>
      </c>
      <c r="D1645" s="70" t="inlineStr">
        <is>
          <t>PROD-021</t>
        </is>
      </c>
      <c r="E1645" s="70" t="inlineStr">
        <is>
          <t>R023</t>
        </is>
      </c>
      <c r="F1645" s="72" t="n">
        <v>10</v>
      </c>
      <c r="G1645" s="72" t="n">
        <v>2760</v>
      </c>
      <c r="H1645" s="72" t="n">
        <v>8.9</v>
      </c>
      <c r="I1645" s="72" t="n">
        <v>25143.6</v>
      </c>
      <c r="J1645" s="70" t="inlineStr">
        <is>
          <t>Completed</t>
        </is>
      </c>
      <c r="K1645" s="70" t="inlineStr">
        <is>
          <t>Chennai</t>
        </is>
      </c>
    </row>
    <row r="1646" ht="14.25" customHeight="1" s="56">
      <c r="A1646" s="70" t="inlineStr">
        <is>
          <t>ORD-01645</t>
        </is>
      </c>
      <c r="B1646" s="71" t="n">
        <v>45310</v>
      </c>
      <c r="C1646" s="70" t="inlineStr">
        <is>
          <t>CUST-0210</t>
        </is>
      </c>
      <c r="D1646" s="70" t="inlineStr">
        <is>
          <t>PROD-049</t>
        </is>
      </c>
      <c r="E1646" s="70" t="inlineStr">
        <is>
          <t>R020</t>
        </is>
      </c>
      <c r="F1646" s="72" t="n">
        <v>8</v>
      </c>
      <c r="G1646" s="72" t="n">
        <v>960</v>
      </c>
      <c r="H1646" s="72" t="n">
        <v>20.9</v>
      </c>
      <c r="I1646" s="72" t="n">
        <v>6074.88</v>
      </c>
      <c r="J1646" s="70" t="inlineStr">
        <is>
          <t>Completed</t>
        </is>
      </c>
      <c r="K1646" s="70" t="inlineStr">
        <is>
          <t>Pune</t>
        </is>
      </c>
    </row>
    <row r="1647" ht="14.25" customHeight="1" s="56">
      <c r="A1647" s="70" t="inlineStr">
        <is>
          <t>ORD-01646</t>
        </is>
      </c>
      <c r="B1647" s="71" t="n">
        <v>45498</v>
      </c>
      <c r="C1647" s="70" t="inlineStr">
        <is>
          <t>CUST-0037</t>
        </is>
      </c>
      <c r="D1647" s="70" t="inlineStr">
        <is>
          <t>PROD-049</t>
        </is>
      </c>
      <c r="E1647" s="70" t="inlineStr">
        <is>
          <t>R012</t>
        </is>
      </c>
      <c r="F1647" s="72" t="n">
        <v>4</v>
      </c>
      <c r="G1647" s="72" t="n">
        <v>960</v>
      </c>
      <c r="H1647" s="72" t="n">
        <v>29.1</v>
      </c>
      <c r="I1647" s="72" t="n">
        <v>2722.56</v>
      </c>
      <c r="J1647" s="70" t="inlineStr">
        <is>
          <t>Completed</t>
        </is>
      </c>
      <c r="K1647" s="70" t="inlineStr">
        <is>
          <t>Bengaluru</t>
        </is>
      </c>
    </row>
    <row r="1648" ht="14.25" customHeight="1" s="56">
      <c r="A1648" s="70" t="inlineStr">
        <is>
          <t>ORD-01647</t>
        </is>
      </c>
      <c r="B1648" s="71" t="n">
        <v>45410</v>
      </c>
      <c r="C1648" s="70" t="inlineStr">
        <is>
          <t>CUST-0192</t>
        </is>
      </c>
      <c r="D1648" s="70" t="inlineStr">
        <is>
          <t>PROD-030</t>
        </is>
      </c>
      <c r="E1648" s="70" t="inlineStr">
        <is>
          <t>R021</t>
        </is>
      </c>
      <c r="F1648" s="72" t="n">
        <v>1</v>
      </c>
      <c r="G1648" s="72" t="n">
        <v>970</v>
      </c>
      <c r="H1648" s="72" t="n">
        <v>8.4</v>
      </c>
      <c r="I1648" s="72" t="n">
        <v>888.52</v>
      </c>
      <c r="J1648" s="70" t="inlineStr">
        <is>
          <t>Cancelled</t>
        </is>
      </c>
      <c r="K1648" s="70" t="inlineStr">
        <is>
          <t>Bengaluru</t>
        </is>
      </c>
    </row>
    <row r="1649" ht="14.25" customHeight="1" s="56">
      <c r="A1649" s="70" t="inlineStr">
        <is>
          <t>ORD-01648</t>
        </is>
      </c>
      <c r="B1649" s="71" t="n">
        <v>45400</v>
      </c>
      <c r="C1649" s="70" t="inlineStr">
        <is>
          <t>CUST-0038</t>
        </is>
      </c>
      <c r="D1649" s="70" t="inlineStr">
        <is>
          <t>PROD-050</t>
        </is>
      </c>
      <c r="E1649" s="70" t="inlineStr">
        <is>
          <t>R023</t>
        </is>
      </c>
      <c r="F1649" s="72" t="n">
        <v>5</v>
      </c>
      <c r="G1649" s="72" t="n">
        <v>6080</v>
      </c>
      <c r="H1649" s="72" t="n">
        <v>17.6</v>
      </c>
      <c r="I1649" s="72" t="n">
        <v>25049.6</v>
      </c>
      <c r="J1649" s="70" t="inlineStr">
        <is>
          <t>Completed</t>
        </is>
      </c>
      <c r="K1649" s="70" t="inlineStr">
        <is>
          <t>Mumbai</t>
        </is>
      </c>
    </row>
    <row r="1650" ht="14.25" customHeight="1" s="56">
      <c r="A1650" s="70" t="inlineStr">
        <is>
          <t>ORD-01649</t>
        </is>
      </c>
      <c r="B1650" s="71" t="n">
        <v>45525</v>
      </c>
      <c r="C1650" s="70" t="inlineStr">
        <is>
          <t>CUST-0034</t>
        </is>
      </c>
      <c r="D1650" s="70" t="inlineStr">
        <is>
          <t>PROD-028</t>
        </is>
      </c>
      <c r="E1650" s="70" t="inlineStr">
        <is>
          <t>R013</t>
        </is>
      </c>
      <c r="F1650" s="72" t="n">
        <v>4</v>
      </c>
      <c r="G1650" s="72" t="n">
        <v>3660</v>
      </c>
      <c r="H1650" s="72" t="n">
        <v>21.8</v>
      </c>
      <c r="I1650" s="72" t="n">
        <v>11448.48</v>
      </c>
      <c r="J1650" s="70" t="inlineStr">
        <is>
          <t>Pending</t>
        </is>
      </c>
      <c r="K1650" s="70" t="inlineStr">
        <is>
          <t>Delhi</t>
        </is>
      </c>
    </row>
    <row r="1651" ht="14.25" customHeight="1" s="56">
      <c r="A1651" s="70" t="inlineStr">
        <is>
          <t>ORD-01650</t>
        </is>
      </c>
      <c r="B1651" s="71" t="n">
        <v>45462</v>
      </c>
      <c r="C1651" s="70" t="inlineStr">
        <is>
          <t>CUST-0248</t>
        </is>
      </c>
      <c r="D1651" s="70" t="inlineStr">
        <is>
          <t>PROD-031</t>
        </is>
      </c>
      <c r="E1651" s="70" t="inlineStr">
        <is>
          <t>R008</t>
        </is>
      </c>
      <c r="F1651" s="72" t="n">
        <v>6</v>
      </c>
      <c r="G1651" s="72" t="n">
        <v>3730</v>
      </c>
      <c r="H1651" s="72" t="n">
        <v>13.3</v>
      </c>
      <c r="I1651" s="72" t="n">
        <v>19403.46</v>
      </c>
      <c r="J1651" s="70" t="inlineStr">
        <is>
          <t>Cancelled</t>
        </is>
      </c>
      <c r="K1651" s="70" t="inlineStr">
        <is>
          <t>Chennai</t>
        </is>
      </c>
    </row>
    <row r="1652" ht="14.25" customHeight="1" s="56">
      <c r="A1652" s="70" t="inlineStr">
        <is>
          <t>ORD-01651</t>
        </is>
      </c>
      <c r="B1652" s="71" t="n">
        <v>45625</v>
      </c>
      <c r="C1652" s="70" t="inlineStr">
        <is>
          <t>CUST-0194</t>
        </is>
      </c>
      <c r="D1652" s="70" t="inlineStr">
        <is>
          <t>PROD-004</t>
        </is>
      </c>
      <c r="E1652" s="70" t="inlineStr">
        <is>
          <t>R029</t>
        </is>
      </c>
      <c r="F1652" s="72" t="n">
        <v>8</v>
      </c>
      <c r="G1652" s="72" t="n">
        <v>3870</v>
      </c>
      <c r="H1652" s="72" t="n">
        <v>21.2</v>
      </c>
      <c r="I1652" s="72" t="n">
        <v>24396.48</v>
      </c>
      <c r="J1652" s="70" t="inlineStr">
        <is>
          <t>Pending</t>
        </is>
      </c>
      <c r="K1652" s="70" t="inlineStr">
        <is>
          <t>Delhi</t>
        </is>
      </c>
    </row>
    <row r="1653" ht="14.25" customHeight="1" s="56">
      <c r="A1653" s="70" t="inlineStr">
        <is>
          <t>ORD-01652</t>
        </is>
      </c>
      <c r="B1653" s="71" t="n">
        <v>45390</v>
      </c>
      <c r="C1653" s="70" t="inlineStr">
        <is>
          <t>CUST-0114</t>
        </is>
      </c>
      <c r="D1653" s="70" t="inlineStr">
        <is>
          <t>PROD-021</t>
        </is>
      </c>
      <c r="E1653" s="70" t="inlineStr">
        <is>
          <t>R016</t>
        </is>
      </c>
      <c r="F1653" s="72" t="n">
        <v>4</v>
      </c>
      <c r="G1653" s="72" t="n">
        <v>2760</v>
      </c>
      <c r="H1653" s="72" t="n">
        <v>14</v>
      </c>
      <c r="I1653" s="72" t="n">
        <v>9494.4</v>
      </c>
      <c r="J1653" s="70" t="inlineStr">
        <is>
          <t>Completed</t>
        </is>
      </c>
      <c r="K1653" s="70" t="inlineStr">
        <is>
          <t>Bengaluru</t>
        </is>
      </c>
    </row>
    <row r="1654" ht="14.25" customHeight="1" s="56">
      <c r="A1654" s="70" t="inlineStr">
        <is>
          <t>ORD-01653</t>
        </is>
      </c>
      <c r="B1654" s="71" t="n">
        <v>45597</v>
      </c>
      <c r="C1654" s="70" t="inlineStr">
        <is>
          <t>CUST-0118</t>
        </is>
      </c>
      <c r="D1654" s="70" t="inlineStr">
        <is>
          <t>PROD-023</t>
        </is>
      </c>
      <c r="E1654" s="70" t="inlineStr">
        <is>
          <t>R020</t>
        </is>
      </c>
      <c r="F1654" s="72" t="n">
        <v>5</v>
      </c>
      <c r="G1654" s="72" t="n">
        <v>2380</v>
      </c>
      <c r="H1654" s="72" t="n">
        <v>16.4</v>
      </c>
      <c r="I1654" s="72" t="n">
        <v>9948.4</v>
      </c>
      <c r="J1654" s="70" t="inlineStr">
        <is>
          <t>Completed</t>
        </is>
      </c>
      <c r="K1654" s="70" t="inlineStr">
        <is>
          <t>Hyderabad</t>
        </is>
      </c>
    </row>
    <row r="1655" ht="14.25" customHeight="1" s="56">
      <c r="A1655" s="70" t="inlineStr">
        <is>
          <t>ORD-01654</t>
        </is>
      </c>
      <c r="B1655" s="71" t="n">
        <v>45307</v>
      </c>
      <c r="C1655" s="70" t="inlineStr">
        <is>
          <t>CUST-9719</t>
        </is>
      </c>
      <c r="D1655" s="70" t="inlineStr">
        <is>
          <t>PROD-050</t>
        </is>
      </c>
      <c r="E1655" s="70" t="inlineStr">
        <is>
          <t>R015</t>
        </is>
      </c>
      <c r="F1655" s="72" t="n">
        <v>2</v>
      </c>
      <c r="G1655" s="72" t="n">
        <v>6080</v>
      </c>
      <c r="H1655" s="72" t="n">
        <v>20.1</v>
      </c>
      <c r="I1655" s="72" t="n">
        <v>9715.84</v>
      </c>
      <c r="J1655" s="70" t="inlineStr">
        <is>
          <t>Cancelled</t>
        </is>
      </c>
      <c r="K1655" s="70" t="inlineStr">
        <is>
          <t>Mumbai</t>
        </is>
      </c>
    </row>
    <row r="1656" ht="14.25" customHeight="1" s="56">
      <c r="A1656" s="70" t="inlineStr">
        <is>
          <t>ORD-01655</t>
        </is>
      </c>
      <c r="B1656" s="71" t="n">
        <v>45568</v>
      </c>
      <c r="C1656" s="70" t="inlineStr">
        <is>
          <t>CUST-0232</t>
        </is>
      </c>
      <c r="D1656" s="70" t="inlineStr">
        <is>
          <t>PROD-016</t>
        </is>
      </c>
      <c r="E1656" s="70" t="inlineStr">
        <is>
          <t>R016</t>
        </is>
      </c>
      <c r="F1656" s="72" t="n">
        <v>2</v>
      </c>
      <c r="G1656" s="72" t="n">
        <v>620</v>
      </c>
      <c r="H1656" s="72" t="n">
        <v>4.3</v>
      </c>
      <c r="I1656" s="72" t="n">
        <v>1186.68</v>
      </c>
      <c r="J1656" s="70" t="inlineStr">
        <is>
          <t>Completed</t>
        </is>
      </c>
      <c r="K1656" s="70" t="inlineStr">
        <is>
          <t>Hyderabad</t>
        </is>
      </c>
    </row>
    <row r="1657" ht="14.25" customHeight="1" s="56">
      <c r="A1657" s="70" t="inlineStr">
        <is>
          <t>ORD-01656</t>
        </is>
      </c>
      <c r="B1657" s="71" t="n">
        <v>45654</v>
      </c>
      <c r="C1657" s="70" t="inlineStr">
        <is>
          <t>CUST-0240</t>
        </is>
      </c>
      <c r="D1657" s="70" t="inlineStr">
        <is>
          <t>PROD-004</t>
        </is>
      </c>
      <c r="E1657" s="70" t="inlineStr">
        <is>
          <t>R012</t>
        </is>
      </c>
      <c r="F1657" s="72" t="n">
        <v>7</v>
      </c>
      <c r="G1657" s="72" t="n">
        <v>3870</v>
      </c>
      <c r="H1657" s="72" t="n">
        <v>5.9</v>
      </c>
      <c r="I1657" s="72" t="n">
        <v>25491.69</v>
      </c>
      <c r="J1657" s="70" t="inlineStr">
        <is>
          <t>Completed</t>
        </is>
      </c>
      <c r="K1657" s="70" t="inlineStr">
        <is>
          <t>Chennai</t>
        </is>
      </c>
    </row>
    <row r="1658" ht="14.25" customHeight="1" s="56">
      <c r="A1658" s="70" t="inlineStr">
        <is>
          <t>ORD-01657</t>
        </is>
      </c>
      <c r="B1658" s="71" t="n">
        <v>45412</v>
      </c>
      <c r="C1658" s="70" t="inlineStr">
        <is>
          <t>CUST-0227</t>
        </is>
      </c>
      <c r="D1658" s="70" t="inlineStr">
        <is>
          <t>PROD-003</t>
        </is>
      </c>
      <c r="E1658" s="70" t="inlineStr">
        <is>
          <t>R020</t>
        </is>
      </c>
      <c r="F1658" s="72" t="n">
        <v>8</v>
      </c>
      <c r="G1658" s="72" t="n">
        <v>3570</v>
      </c>
      <c r="H1658" s="72" t="n">
        <v>24.6</v>
      </c>
      <c r="I1658" s="72" t="n">
        <v>21534.24</v>
      </c>
      <c r="J1658" s="70" t="inlineStr">
        <is>
          <t>Completed</t>
        </is>
      </c>
      <c r="K1658" s="70" t="inlineStr">
        <is>
          <t>Bengaluru</t>
        </is>
      </c>
    </row>
    <row r="1659" ht="14.25" customHeight="1" s="56">
      <c r="A1659" s="70" t="inlineStr">
        <is>
          <t>ORD-01658</t>
        </is>
      </c>
      <c r="B1659" s="71" t="n">
        <v>45653</v>
      </c>
      <c r="C1659" s="70" t="inlineStr">
        <is>
          <t>CUST-0234</t>
        </is>
      </c>
      <c r="D1659" s="70" t="inlineStr">
        <is>
          <t>PROD-026</t>
        </is>
      </c>
      <c r="E1659" s="70" t="inlineStr">
        <is>
          <t>R010</t>
        </is>
      </c>
      <c r="F1659" s="72" t="n">
        <v>1</v>
      </c>
      <c r="G1659" s="72" t="n">
        <v>4070</v>
      </c>
      <c r="H1659" s="72" t="n">
        <v>29.1</v>
      </c>
      <c r="I1659" s="72" t="n">
        <v>2885.63</v>
      </c>
      <c r="J1659" s="70" t="inlineStr">
        <is>
          <t>Pending</t>
        </is>
      </c>
      <c r="K1659" s="70" t="inlineStr">
        <is>
          <t>Bengaluru</t>
        </is>
      </c>
    </row>
    <row r="1660" ht="14.25" customHeight="1" s="56">
      <c r="A1660" s="70" t="inlineStr">
        <is>
          <t>ORD-01659</t>
        </is>
      </c>
      <c r="B1660" s="71" t="n">
        <v>45568</v>
      </c>
      <c r="C1660" s="70" t="inlineStr">
        <is>
          <t>CUST-0041</t>
        </is>
      </c>
      <c r="D1660" s="70" t="inlineStr">
        <is>
          <t>PROD-020</t>
        </is>
      </c>
      <c r="E1660" s="70" t="inlineStr">
        <is>
          <t>R017</t>
        </is>
      </c>
      <c r="F1660" s="72" t="n">
        <v>1</v>
      </c>
      <c r="G1660" s="72" t="n">
        <v>820</v>
      </c>
      <c r="H1660" s="72" t="n">
        <v>17.9</v>
      </c>
      <c r="I1660" s="72" t="n">
        <v>673.22</v>
      </c>
      <c r="J1660" s="70" t="inlineStr">
        <is>
          <t>Completed</t>
        </is>
      </c>
      <c r="K1660" s="70" t="inlineStr">
        <is>
          <t>Bengaluru</t>
        </is>
      </c>
    </row>
    <row r="1661" ht="14.25" customHeight="1" s="56">
      <c r="A1661" s="70" t="inlineStr">
        <is>
          <t>ORD-01660</t>
        </is>
      </c>
      <c r="B1661" s="71" t="n">
        <v>45643</v>
      </c>
      <c r="C1661" s="70" t="inlineStr">
        <is>
          <t>CUST-0129</t>
        </is>
      </c>
      <c r="D1661" s="70" t="inlineStr">
        <is>
          <t>PROD-045</t>
        </is>
      </c>
      <c r="E1661" s="70" t="inlineStr">
        <is>
          <t>R029</t>
        </is>
      </c>
      <c r="F1661" s="72" t="n">
        <v>5</v>
      </c>
      <c r="G1661" s="72" t="n">
        <v>3020</v>
      </c>
      <c r="H1661" s="72" t="n">
        <v>26.2</v>
      </c>
      <c r="I1661" s="72" t="n">
        <v>11143.8</v>
      </c>
      <c r="J1661" s="70" t="inlineStr">
        <is>
          <t>Completed</t>
        </is>
      </c>
      <c r="K1661" s="70" t="inlineStr">
        <is>
          <t>Hyderabad</t>
        </is>
      </c>
    </row>
    <row r="1662" ht="14.25" customHeight="1" s="56">
      <c r="A1662" s="70" t="inlineStr">
        <is>
          <t>ORD-01661</t>
        </is>
      </c>
      <c r="B1662" s="71" t="n">
        <v>45411</v>
      </c>
      <c r="C1662" s="70" t="inlineStr">
        <is>
          <t>CUST-0141</t>
        </is>
      </c>
      <c r="D1662" s="70" t="inlineStr">
        <is>
          <t>PROD-018</t>
        </is>
      </c>
      <c r="E1662" s="70" t="inlineStr">
        <is>
          <t>R022</t>
        </is>
      </c>
      <c r="F1662" s="72" t="n">
        <v>10</v>
      </c>
      <c r="G1662" s="72" t="n">
        <v>3560</v>
      </c>
      <c r="H1662" s="72" t="n">
        <v>15.4</v>
      </c>
      <c r="I1662" s="72" t="n">
        <v>30117.6</v>
      </c>
      <c r="J1662" s="70" t="inlineStr">
        <is>
          <t>Refunded</t>
        </is>
      </c>
      <c r="K1662" s="70" t="inlineStr">
        <is>
          <t>Hyderabad</t>
        </is>
      </c>
    </row>
    <row r="1663" ht="14.25" customHeight="1" s="56">
      <c r="A1663" s="70" t="inlineStr">
        <is>
          <t>ORD-01662</t>
        </is>
      </c>
      <c r="B1663" s="71" t="n">
        <v>45467</v>
      </c>
      <c r="C1663" s="70" t="inlineStr">
        <is>
          <t>CUST-0282</t>
        </is>
      </c>
      <c r="D1663" s="70" t="inlineStr">
        <is>
          <t>PROD-043</t>
        </is>
      </c>
      <c r="E1663" s="70" t="inlineStr">
        <is>
          <t>R001</t>
        </is>
      </c>
      <c r="F1663" s="72" t="n">
        <v>3</v>
      </c>
      <c r="G1663" s="72" t="n">
        <v>3350</v>
      </c>
      <c r="H1663" s="72" t="n">
        <v>8.1</v>
      </c>
      <c r="I1663" s="72" t="n">
        <v>9235.950000000001</v>
      </c>
      <c r="J1663" s="70" t="inlineStr">
        <is>
          <t>Completed</t>
        </is>
      </c>
      <c r="K1663" s="70" t="inlineStr">
        <is>
          <t>Hyderabad</t>
        </is>
      </c>
    </row>
    <row r="1664" ht="14.25" customHeight="1" s="56">
      <c r="A1664" s="70" t="inlineStr">
        <is>
          <t>ORD-01663</t>
        </is>
      </c>
      <c r="B1664" s="71" t="n">
        <v>45542</v>
      </c>
      <c r="C1664" s="70" t="inlineStr">
        <is>
          <t>CUST-0269</t>
        </is>
      </c>
      <c r="D1664" s="70" t="inlineStr">
        <is>
          <t>PROD-042</t>
        </is>
      </c>
      <c r="E1664" s="70" t="inlineStr">
        <is>
          <t>R025</t>
        </is>
      </c>
      <c r="F1664" s="72" t="n">
        <v>10</v>
      </c>
      <c r="G1664" s="72" t="n">
        <v>2290</v>
      </c>
      <c r="H1664" s="72" t="n">
        <v>7</v>
      </c>
      <c r="I1664" s="72" t="n">
        <v>21297</v>
      </c>
      <c r="J1664" s="70" t="inlineStr">
        <is>
          <t>Completed</t>
        </is>
      </c>
      <c r="K1664" s="70" t="inlineStr">
        <is>
          <t>Pune</t>
        </is>
      </c>
    </row>
    <row r="1665" ht="14.25" customHeight="1" s="56">
      <c r="A1665" s="70" t="inlineStr">
        <is>
          <t>ORD-01664</t>
        </is>
      </c>
      <c r="B1665" s="71" t="n">
        <v>45483</v>
      </c>
      <c r="C1665" s="70" t="inlineStr">
        <is>
          <t>CUST-0239</t>
        </is>
      </c>
      <c r="D1665" s="70" t="inlineStr">
        <is>
          <t>PROD-028</t>
        </is>
      </c>
      <c r="E1665" s="70" t="inlineStr">
        <is>
          <t>R003</t>
        </is>
      </c>
      <c r="F1665" s="72" t="n">
        <v>6</v>
      </c>
      <c r="G1665" s="72" t="n">
        <v>3660</v>
      </c>
      <c r="H1665" s="72" t="n">
        <v>29.9</v>
      </c>
      <c r="I1665" s="72" t="n">
        <v>15393.96</v>
      </c>
      <c r="J1665" s="70" t="inlineStr">
        <is>
          <t>Completed</t>
        </is>
      </c>
      <c r="K1665" s="70" t="inlineStr">
        <is>
          <t>Mumbai</t>
        </is>
      </c>
    </row>
    <row r="1666" ht="14.25" customHeight="1" s="56">
      <c r="A1666" s="70" t="inlineStr">
        <is>
          <t>ORD-01665</t>
        </is>
      </c>
      <c r="B1666" s="71" t="n">
        <v>45426</v>
      </c>
      <c r="C1666" s="70" t="inlineStr">
        <is>
          <t>CUST-0075</t>
        </is>
      </c>
      <c r="D1666" s="70" t="inlineStr">
        <is>
          <t>PROD-010</t>
        </is>
      </c>
      <c r="E1666" s="70" t="inlineStr">
        <is>
          <t>R013</t>
        </is>
      </c>
      <c r="F1666" s="72" t="n">
        <v>8</v>
      </c>
      <c r="G1666" s="72" t="n">
        <v>2640</v>
      </c>
      <c r="H1666" s="72" t="n">
        <v>4.2</v>
      </c>
      <c r="I1666" s="72" t="n">
        <v>20232.96</v>
      </c>
      <c r="J1666" s="70" t="inlineStr">
        <is>
          <t>Refunded</t>
        </is>
      </c>
      <c r="K1666" s="70" t="inlineStr">
        <is>
          <t>Mumbai</t>
        </is>
      </c>
    </row>
    <row r="1667" ht="14.25" customHeight="1" s="56">
      <c r="A1667" s="70" t="inlineStr">
        <is>
          <t>ORD-01666</t>
        </is>
      </c>
      <c r="B1667" s="71" t="n">
        <v>45386</v>
      </c>
      <c r="C1667" s="70" t="inlineStr">
        <is>
          <t>CUST-0184</t>
        </is>
      </c>
      <c r="D1667" s="70" t="inlineStr">
        <is>
          <t>PROD-032</t>
        </is>
      </c>
      <c r="E1667" s="70" t="inlineStr">
        <is>
          <t>R006</t>
        </is>
      </c>
      <c r="F1667" s="72" t="n">
        <v>5</v>
      </c>
      <c r="G1667" s="72" t="n">
        <v>370</v>
      </c>
      <c r="H1667" s="72" t="n">
        <v>6</v>
      </c>
      <c r="I1667" s="72" t="n">
        <v>1739</v>
      </c>
      <c r="J1667" s="70" t="inlineStr">
        <is>
          <t>Completed</t>
        </is>
      </c>
      <c r="K1667" s="70" t="inlineStr">
        <is>
          <t>Pune</t>
        </is>
      </c>
    </row>
    <row r="1668" ht="14.25" customHeight="1" s="56">
      <c r="A1668" s="70" t="inlineStr">
        <is>
          <t>ORD-01667</t>
        </is>
      </c>
      <c r="B1668" s="71" t="n">
        <v>45377</v>
      </c>
      <c r="C1668" s="70" t="inlineStr">
        <is>
          <t>CUST-0144</t>
        </is>
      </c>
      <c r="D1668" s="70" t="inlineStr">
        <is>
          <t>PROD-024</t>
        </is>
      </c>
      <c r="E1668" s="70" t="inlineStr">
        <is>
          <t>R007</t>
        </is>
      </c>
      <c r="F1668" s="72" t="n">
        <v>9</v>
      </c>
      <c r="G1668" s="72" t="n">
        <v>2270</v>
      </c>
      <c r="H1668" s="72" t="n">
        <v>4.7</v>
      </c>
      <c r="I1668" s="72" t="n">
        <v>19469.79</v>
      </c>
      <c r="J1668" s="70" t="inlineStr">
        <is>
          <t>Completed</t>
        </is>
      </c>
      <c r="K1668" s="70" t="inlineStr">
        <is>
          <t>Chennai</t>
        </is>
      </c>
    </row>
    <row r="1669" ht="14.25" customHeight="1" s="56">
      <c r="A1669" s="70" t="inlineStr">
        <is>
          <t>ORD-01668</t>
        </is>
      </c>
      <c r="B1669" s="71" t="n">
        <v>45414</v>
      </c>
      <c r="C1669" s="70" t="inlineStr">
        <is>
          <t>CUST-0039</t>
        </is>
      </c>
      <c r="D1669" s="70" t="inlineStr">
        <is>
          <t>PROD-037</t>
        </is>
      </c>
      <c r="E1669" s="70" t="inlineStr">
        <is>
          <t>R011</t>
        </is>
      </c>
      <c r="F1669" s="72" t="n">
        <v>5</v>
      </c>
      <c r="G1669" s="72" t="n">
        <v>660</v>
      </c>
      <c r="H1669" s="72" t="n">
        <v>21</v>
      </c>
      <c r="I1669" s="72" t="n">
        <v>2607</v>
      </c>
      <c r="J1669" s="70" t="inlineStr">
        <is>
          <t>Completed</t>
        </is>
      </c>
      <c r="K1669" s="70" t="inlineStr">
        <is>
          <t>Bengaluru</t>
        </is>
      </c>
    </row>
    <row r="1670" ht="14.25" customHeight="1" s="56">
      <c r="A1670" s="70" t="inlineStr">
        <is>
          <t>ORD-01669</t>
        </is>
      </c>
      <c r="B1670" s="71" t="n">
        <v>45407</v>
      </c>
      <c r="C1670" s="70" t="inlineStr">
        <is>
          <t>CUST-9765</t>
        </is>
      </c>
      <c r="D1670" s="70" t="inlineStr">
        <is>
          <t>PROD-057</t>
        </is>
      </c>
      <c r="E1670" s="70" t="inlineStr">
        <is>
          <t>R003</t>
        </is>
      </c>
      <c r="F1670" s="72" t="n">
        <v>2</v>
      </c>
      <c r="G1670" s="72" t="n">
        <v>960</v>
      </c>
      <c r="H1670" s="72" t="n">
        <v>7.3</v>
      </c>
      <c r="I1670" s="72" t="n">
        <v>1779.84</v>
      </c>
      <c r="J1670" s="70" t="inlineStr">
        <is>
          <t>Completed</t>
        </is>
      </c>
      <c r="K1670" s="70" t="inlineStr">
        <is>
          <t>Bengaluru</t>
        </is>
      </c>
    </row>
    <row r="1671" ht="14.25" customHeight="1" s="56">
      <c r="A1671" s="70" t="inlineStr">
        <is>
          <t>ORD-01670</t>
        </is>
      </c>
      <c r="B1671" s="71" t="n">
        <v>45509</v>
      </c>
      <c r="C1671" s="70" t="inlineStr">
        <is>
          <t>CUST-0159</t>
        </is>
      </c>
      <c r="D1671" s="70" t="inlineStr">
        <is>
          <t>PROD-048</t>
        </is>
      </c>
      <c r="E1671" s="70" t="inlineStr">
        <is>
          <t>R009</t>
        </is>
      </c>
      <c r="F1671" s="72" t="n">
        <v>3</v>
      </c>
      <c r="G1671" s="72" t="n">
        <v>5100</v>
      </c>
      <c r="H1671" s="72" t="n">
        <v>21</v>
      </c>
      <c r="I1671" s="72" t="n">
        <v>12087</v>
      </c>
      <c r="J1671" s="70" t="inlineStr">
        <is>
          <t>Completed</t>
        </is>
      </c>
      <c r="K1671" s="70" t="inlineStr">
        <is>
          <t>Hyderabad</t>
        </is>
      </c>
    </row>
    <row r="1672" ht="14.25" customHeight="1" s="56">
      <c r="A1672" s="70" t="inlineStr">
        <is>
          <t>ORD-01671</t>
        </is>
      </c>
      <c r="B1672" s="71" t="n">
        <v>45566</v>
      </c>
      <c r="C1672" s="70" t="inlineStr">
        <is>
          <t>CUST-0168</t>
        </is>
      </c>
      <c r="D1672" s="70" t="inlineStr">
        <is>
          <t>PROD-012</t>
        </is>
      </c>
      <c r="E1672" s="70" t="inlineStr">
        <is>
          <t>R004</t>
        </is>
      </c>
      <c r="F1672" s="72" t="n">
        <v>3</v>
      </c>
      <c r="G1672" s="72" t="n">
        <v>3160</v>
      </c>
      <c r="H1672" s="72" t="n">
        <v>13.5</v>
      </c>
      <c r="I1672" s="72" t="n">
        <v>8200.200000000001</v>
      </c>
      <c r="J1672" s="70" t="inlineStr">
        <is>
          <t>Completed</t>
        </is>
      </c>
      <c r="K1672" s="70" t="inlineStr">
        <is>
          <t>Pune</t>
        </is>
      </c>
    </row>
    <row r="1673" ht="14.25" customHeight="1" s="56">
      <c r="A1673" s="70" t="inlineStr">
        <is>
          <t>ORD-01672</t>
        </is>
      </c>
      <c r="B1673" s="71" t="n">
        <v>45524</v>
      </c>
      <c r="C1673" s="70" t="inlineStr">
        <is>
          <t>CUST-9552</t>
        </is>
      </c>
      <c r="D1673" s="70" t="inlineStr">
        <is>
          <t>PROD-041</t>
        </is>
      </c>
      <c r="E1673" s="70" t="inlineStr">
        <is>
          <t>R005</t>
        </is>
      </c>
      <c r="F1673" s="72" t="n">
        <v>9</v>
      </c>
      <c r="G1673" s="72" t="n">
        <v>1540</v>
      </c>
      <c r="H1673" s="72" t="n">
        <v>18.2</v>
      </c>
      <c r="I1673" s="72" t="n">
        <v>11337.48</v>
      </c>
      <c r="J1673" s="70" t="inlineStr">
        <is>
          <t>Cancelled</t>
        </is>
      </c>
      <c r="K1673" s="70" t="inlineStr">
        <is>
          <t>Bengaluru</t>
        </is>
      </c>
    </row>
    <row r="1674" ht="14.25" customHeight="1" s="56">
      <c r="A1674" s="70" t="inlineStr">
        <is>
          <t>ORD-01673</t>
        </is>
      </c>
      <c r="B1674" s="71" t="n">
        <v>45431</v>
      </c>
      <c r="C1674" s="70" t="inlineStr">
        <is>
          <t>CUST-0056</t>
        </is>
      </c>
      <c r="D1674" s="70" t="inlineStr">
        <is>
          <t>PROD-047</t>
        </is>
      </c>
      <c r="E1674" s="70" t="inlineStr">
        <is>
          <t>R024</t>
        </is>
      </c>
      <c r="F1674" s="72" t="n">
        <v>4</v>
      </c>
      <c r="G1674" s="72" t="n">
        <v>3450</v>
      </c>
      <c r="H1674" s="72" t="n">
        <v>26.4</v>
      </c>
      <c r="I1674" s="72" t="n">
        <v>10156.8</v>
      </c>
      <c r="J1674" s="70" t="inlineStr">
        <is>
          <t>Pending</t>
        </is>
      </c>
      <c r="K1674" s="70" t="inlineStr">
        <is>
          <t>Bengaluru</t>
        </is>
      </c>
    </row>
    <row r="1675" ht="14.25" customHeight="1" s="56">
      <c r="A1675" s="70" t="inlineStr">
        <is>
          <t>ORD-01674</t>
        </is>
      </c>
      <c r="B1675" s="71" t="n">
        <v>45598</v>
      </c>
      <c r="C1675" s="70" t="inlineStr">
        <is>
          <t>CUST-0239</t>
        </is>
      </c>
      <c r="D1675" s="70" t="inlineStr">
        <is>
          <t>PROD-023</t>
        </is>
      </c>
      <c r="E1675" s="70" t="inlineStr">
        <is>
          <t>R026</t>
        </is>
      </c>
      <c r="F1675" s="72" t="n">
        <v>4</v>
      </c>
      <c r="G1675" s="72" t="n">
        <v>2380</v>
      </c>
      <c r="H1675" s="72" t="n">
        <v>6.9</v>
      </c>
      <c r="I1675" s="72" t="n">
        <v>8863.120000000001</v>
      </c>
      <c r="J1675" s="70" t="inlineStr">
        <is>
          <t>Completed</t>
        </is>
      </c>
      <c r="K1675" s="70" t="inlineStr">
        <is>
          <t>Mumbai</t>
        </is>
      </c>
    </row>
    <row r="1676" ht="14.25" customHeight="1" s="56">
      <c r="A1676" s="70" t="inlineStr">
        <is>
          <t>ORD-01675</t>
        </is>
      </c>
      <c r="B1676" s="71" t="n">
        <v>45419</v>
      </c>
      <c r="C1676" s="70" t="inlineStr">
        <is>
          <t>CUST-0168</t>
        </is>
      </c>
      <c r="D1676" s="70" t="inlineStr">
        <is>
          <t>PROD-031</t>
        </is>
      </c>
      <c r="E1676" s="70" t="inlineStr">
        <is>
          <t>R003</t>
        </is>
      </c>
      <c r="F1676" s="72" t="n">
        <v>2</v>
      </c>
      <c r="G1676" s="72" t="n">
        <v>3730</v>
      </c>
      <c r="H1676" s="72" t="n">
        <v>22.9</v>
      </c>
      <c r="I1676" s="72" t="n">
        <v>5751.66</v>
      </c>
      <c r="J1676" s="70" t="inlineStr">
        <is>
          <t>Completed</t>
        </is>
      </c>
      <c r="K1676" s="70" t="inlineStr">
        <is>
          <t>Pune</t>
        </is>
      </c>
    </row>
    <row r="1677" ht="14.25" customHeight="1" s="56">
      <c r="A1677" s="70" t="inlineStr">
        <is>
          <t>ORD-01676</t>
        </is>
      </c>
      <c r="B1677" s="71" t="n">
        <v>45549</v>
      </c>
      <c r="C1677" s="70" t="inlineStr">
        <is>
          <t>CUST-0012</t>
        </is>
      </c>
      <c r="D1677" s="70" t="inlineStr">
        <is>
          <t>PROD-036</t>
        </is>
      </c>
      <c r="E1677" s="70" t="inlineStr">
        <is>
          <t>R002</t>
        </is>
      </c>
      <c r="F1677" s="72" t="n">
        <v>7</v>
      </c>
      <c r="G1677" s="72" t="n">
        <v>3250</v>
      </c>
      <c r="H1677" s="72" t="n">
        <v>6</v>
      </c>
      <c r="I1677" s="72" t="n">
        <v>21385</v>
      </c>
      <c r="J1677" s="70" t="inlineStr">
        <is>
          <t>Completed</t>
        </is>
      </c>
      <c r="K1677" s="70" t="inlineStr">
        <is>
          <t>Pune</t>
        </is>
      </c>
    </row>
    <row r="1678" ht="14.25" customHeight="1" s="56">
      <c r="A1678" s="70" t="inlineStr">
        <is>
          <t>ORD-01677</t>
        </is>
      </c>
      <c r="B1678" s="71" t="n">
        <v>45519</v>
      </c>
      <c r="C1678" s="70" t="inlineStr">
        <is>
          <t>CUST-0057</t>
        </is>
      </c>
      <c r="D1678" s="70" t="inlineStr">
        <is>
          <t>PROD-053</t>
        </is>
      </c>
      <c r="E1678" s="70" t="inlineStr">
        <is>
          <t>R020</t>
        </is>
      </c>
      <c r="F1678" s="72" t="n">
        <v>9</v>
      </c>
      <c r="G1678" s="72" t="n">
        <v>470</v>
      </c>
      <c r="H1678" s="72" t="n">
        <v>11.6</v>
      </c>
      <c r="I1678" s="72" t="n">
        <v>3739.32</v>
      </c>
      <c r="J1678" s="70" t="inlineStr">
        <is>
          <t>Completed</t>
        </is>
      </c>
      <c r="K1678" s="70" t="inlineStr">
        <is>
          <t>Pune</t>
        </is>
      </c>
    </row>
    <row r="1679" ht="14.25" customHeight="1" s="56">
      <c r="A1679" s="70" t="inlineStr">
        <is>
          <t>ORD-01678</t>
        </is>
      </c>
      <c r="B1679" s="71" t="n">
        <v>45574</v>
      </c>
      <c r="C1679" s="70" t="inlineStr">
        <is>
          <t>CUST-0030</t>
        </is>
      </c>
      <c r="D1679" s="70" t="inlineStr">
        <is>
          <t>PROD-042</t>
        </is>
      </c>
      <c r="E1679" s="70" t="inlineStr">
        <is>
          <t>R026</t>
        </is>
      </c>
      <c r="F1679" s="72" t="n">
        <v>5</v>
      </c>
      <c r="G1679" s="72" t="n">
        <v>2290</v>
      </c>
      <c r="H1679" s="72" t="n">
        <v>27.6</v>
      </c>
      <c r="I1679" s="72" t="n">
        <v>8289.799999999999</v>
      </c>
      <c r="J1679" s="70" t="inlineStr">
        <is>
          <t>Completed</t>
        </is>
      </c>
      <c r="K1679" s="70" t="inlineStr">
        <is>
          <t>Bengaluru</t>
        </is>
      </c>
    </row>
    <row r="1680" ht="14.25" customHeight="1" s="56">
      <c r="A1680" s="70" t="inlineStr">
        <is>
          <t>ORD-01679</t>
        </is>
      </c>
      <c r="B1680" s="71" t="n">
        <v>45462</v>
      </c>
      <c r="C1680" s="70" t="inlineStr">
        <is>
          <t>CUST-0166</t>
        </is>
      </c>
      <c r="D1680" s="70" t="inlineStr">
        <is>
          <t>PROD-007</t>
        </is>
      </c>
      <c r="E1680" s="70" t="inlineStr">
        <is>
          <t>R029</t>
        </is>
      </c>
      <c r="F1680" s="72" t="n">
        <v>6</v>
      </c>
      <c r="G1680" s="72" t="n">
        <v>1430</v>
      </c>
      <c r="H1680" s="72" t="n">
        <v>18.4</v>
      </c>
      <c r="I1680" s="72" t="n">
        <v>7001.28</v>
      </c>
      <c r="J1680" s="70" t="inlineStr">
        <is>
          <t>Pending</t>
        </is>
      </c>
      <c r="K1680" s="70" t="inlineStr">
        <is>
          <t>Hyderabad</t>
        </is>
      </c>
    </row>
    <row r="1681" ht="14.25" customHeight="1" s="56">
      <c r="A1681" s="70" t="inlineStr">
        <is>
          <t>ORD-01680</t>
        </is>
      </c>
      <c r="B1681" s="71" t="n">
        <v>45336</v>
      </c>
      <c r="C1681" s="70" t="inlineStr">
        <is>
          <t>CUST-0188</t>
        </is>
      </c>
      <c r="D1681" s="70" t="inlineStr">
        <is>
          <t>PROD-055</t>
        </is>
      </c>
      <c r="E1681" s="70" t="inlineStr">
        <is>
          <t>R002</t>
        </is>
      </c>
      <c r="F1681" s="72" t="n">
        <v>7</v>
      </c>
      <c r="G1681" s="72" t="n">
        <v>2860</v>
      </c>
      <c r="H1681" s="72" t="n">
        <v>19.5</v>
      </c>
      <c r="I1681" s="72" t="n">
        <v>16116.1</v>
      </c>
      <c r="J1681" s="70" t="inlineStr">
        <is>
          <t>Completed</t>
        </is>
      </c>
      <c r="K1681" s="70" t="inlineStr">
        <is>
          <t>Bengaluru</t>
        </is>
      </c>
    </row>
    <row r="1682" ht="14.25" customHeight="1" s="56">
      <c r="A1682" s="70" t="inlineStr">
        <is>
          <t>ORD-01681</t>
        </is>
      </c>
      <c r="B1682" s="71" t="n">
        <v>45439</v>
      </c>
      <c r="C1682" s="70" t="inlineStr">
        <is>
          <t>CUST-0097</t>
        </is>
      </c>
      <c r="D1682" s="70" t="inlineStr">
        <is>
          <t>PROD-047</t>
        </is>
      </c>
      <c r="E1682" s="70" t="inlineStr">
        <is>
          <t>R020</t>
        </is>
      </c>
      <c r="F1682" s="72" t="n">
        <v>8</v>
      </c>
      <c r="G1682" s="72" t="n">
        <v>3450</v>
      </c>
      <c r="H1682" s="72" t="n">
        <v>25.5</v>
      </c>
      <c r="I1682" s="72" t="n">
        <v>20562</v>
      </c>
      <c r="J1682" s="70" t="inlineStr">
        <is>
          <t>Pending</t>
        </is>
      </c>
      <c r="K1682" s="70" t="inlineStr">
        <is>
          <t>Mumbai</t>
        </is>
      </c>
    </row>
    <row r="1683" ht="14.25" customHeight="1" s="56">
      <c r="A1683" s="70" t="inlineStr">
        <is>
          <t>ORD-01682</t>
        </is>
      </c>
      <c r="B1683" s="71" t="n">
        <v>45578</v>
      </c>
      <c r="C1683" s="70" t="inlineStr">
        <is>
          <t>CUST-0026</t>
        </is>
      </c>
      <c r="D1683" s="70" t="inlineStr">
        <is>
          <t>PROD-052</t>
        </is>
      </c>
      <c r="E1683" s="70" t="inlineStr">
        <is>
          <t>R019</t>
        </is>
      </c>
      <c r="F1683" s="72" t="n">
        <v>7</v>
      </c>
      <c r="G1683" s="72" t="n">
        <v>5410</v>
      </c>
      <c r="H1683" s="72" t="n">
        <v>15.2</v>
      </c>
      <c r="I1683" s="72" t="n">
        <v>32113.76</v>
      </c>
      <c r="J1683" s="70" t="inlineStr">
        <is>
          <t>Cancelled</t>
        </is>
      </c>
      <c r="K1683" s="70" t="inlineStr">
        <is>
          <t>Pune</t>
        </is>
      </c>
    </row>
    <row r="1684" ht="14.25" customHeight="1" s="56">
      <c r="A1684" s="70" t="inlineStr">
        <is>
          <t>ORD-01683</t>
        </is>
      </c>
      <c r="B1684" s="71" t="n">
        <v>45588</v>
      </c>
      <c r="C1684" s="70" t="inlineStr">
        <is>
          <t>CUST-0026</t>
        </is>
      </c>
      <c r="D1684" s="70" t="inlineStr">
        <is>
          <t>PROD-040</t>
        </is>
      </c>
      <c r="E1684" s="70" t="inlineStr">
        <is>
          <t>R025</t>
        </is>
      </c>
      <c r="F1684" s="72" t="n">
        <v>3</v>
      </c>
      <c r="G1684" s="72" t="n">
        <v>1080</v>
      </c>
      <c r="H1684" s="72" t="n">
        <v>26</v>
      </c>
      <c r="I1684" s="72" t="n">
        <v>2397.6</v>
      </c>
      <c r="J1684" s="70" t="inlineStr">
        <is>
          <t>Completed</t>
        </is>
      </c>
      <c r="K1684" s="70" t="inlineStr">
        <is>
          <t>Pune</t>
        </is>
      </c>
    </row>
    <row r="1685" ht="14.25" customHeight="1" s="56">
      <c r="A1685" s="70" t="inlineStr">
        <is>
          <t>ORD-01684</t>
        </is>
      </c>
      <c r="B1685" s="71" t="n">
        <v>45354</v>
      </c>
      <c r="C1685" s="70" t="inlineStr">
        <is>
          <t>CUST-0020</t>
        </is>
      </c>
      <c r="D1685" s="70" t="inlineStr">
        <is>
          <t>PROD-055</t>
        </is>
      </c>
      <c r="E1685" s="70" t="inlineStr">
        <is>
          <t>R019</t>
        </is>
      </c>
      <c r="F1685" s="72" t="n">
        <v>8</v>
      </c>
      <c r="G1685" s="72" t="n">
        <v>2860</v>
      </c>
      <c r="H1685" s="72" t="n">
        <v>14.8</v>
      </c>
      <c r="I1685" s="72" t="n">
        <v>19493.76</v>
      </c>
      <c r="J1685" s="70" t="inlineStr">
        <is>
          <t>Completed</t>
        </is>
      </c>
      <c r="K1685" s="70" t="inlineStr">
        <is>
          <t>Hyderabad</t>
        </is>
      </c>
    </row>
    <row r="1686" ht="14.25" customHeight="1" s="56">
      <c r="A1686" s="70" t="inlineStr">
        <is>
          <t>ORD-01685</t>
        </is>
      </c>
      <c r="B1686" s="71" t="n">
        <v>45332</v>
      </c>
      <c r="C1686" s="70" t="inlineStr">
        <is>
          <t>CUST-9740</t>
        </is>
      </c>
      <c r="D1686" s="70" t="inlineStr">
        <is>
          <t>PROD-045</t>
        </is>
      </c>
      <c r="E1686" s="70" t="inlineStr">
        <is>
          <t>R013</t>
        </is>
      </c>
      <c r="F1686" s="72" t="n">
        <v>4</v>
      </c>
      <c r="G1686" s="72" t="n">
        <v>3020</v>
      </c>
      <c r="H1686" s="72" t="n">
        <v>8.1</v>
      </c>
      <c r="I1686" s="72" t="n">
        <v>11101.52</v>
      </c>
      <c r="J1686" s="70" t="inlineStr">
        <is>
          <t>Completed</t>
        </is>
      </c>
      <c r="K1686" s="70" t="inlineStr">
        <is>
          <t>Hyderabad</t>
        </is>
      </c>
    </row>
    <row r="1687" ht="14.25" customHeight="1" s="56">
      <c r="A1687" s="70" t="inlineStr">
        <is>
          <t>ORD-01686</t>
        </is>
      </c>
      <c r="B1687" s="71" t="n">
        <v>45649</v>
      </c>
      <c r="C1687" s="70" t="inlineStr">
        <is>
          <t>CUST-0095</t>
        </is>
      </c>
      <c r="D1687" s="70" t="inlineStr">
        <is>
          <t>PROD-057</t>
        </is>
      </c>
      <c r="E1687" s="70" t="inlineStr">
        <is>
          <t>R025</t>
        </is>
      </c>
      <c r="F1687" s="72" t="n">
        <v>4</v>
      </c>
      <c r="G1687" s="72" t="n">
        <v>960</v>
      </c>
      <c r="H1687" s="72" t="n">
        <v>6.4</v>
      </c>
      <c r="I1687" s="72" t="n">
        <v>3594.24</v>
      </c>
      <c r="J1687" s="70" t="inlineStr">
        <is>
          <t>Cancelled</t>
        </is>
      </c>
      <c r="K1687" s="70" t="inlineStr">
        <is>
          <t>Mumbai</t>
        </is>
      </c>
    </row>
    <row r="1688" ht="14.25" customHeight="1" s="56">
      <c r="A1688" s="70" t="inlineStr">
        <is>
          <t>ORD-01687</t>
        </is>
      </c>
      <c r="B1688" s="71" t="n">
        <v>45596</v>
      </c>
      <c r="C1688" s="70" t="inlineStr">
        <is>
          <t>CUST-0079</t>
        </is>
      </c>
      <c r="D1688" s="70" t="inlineStr">
        <is>
          <t>PROD-004</t>
        </is>
      </c>
      <c r="E1688" s="70" t="inlineStr">
        <is>
          <t>R029</t>
        </is>
      </c>
      <c r="F1688" s="72" t="n">
        <v>4</v>
      </c>
      <c r="G1688" s="72" t="n">
        <v>3870</v>
      </c>
      <c r="H1688" s="72" t="n">
        <v>15.9</v>
      </c>
      <c r="I1688" s="72" t="n">
        <v>13018.68</v>
      </c>
      <c r="J1688" s="70" t="inlineStr">
        <is>
          <t>Completed</t>
        </is>
      </c>
      <c r="K1688" s="70" t="inlineStr">
        <is>
          <t>Mumbai</t>
        </is>
      </c>
    </row>
    <row r="1689" ht="14.25" customHeight="1" s="56">
      <c r="A1689" s="70" t="inlineStr">
        <is>
          <t>ORD-01688</t>
        </is>
      </c>
      <c r="B1689" s="71" t="n">
        <v>45378</v>
      </c>
      <c r="C1689" s="70" t="inlineStr">
        <is>
          <t>CUST-0060</t>
        </is>
      </c>
      <c r="D1689" s="70" t="inlineStr">
        <is>
          <t>PROD-012</t>
        </is>
      </c>
      <c r="E1689" s="70" t="inlineStr">
        <is>
          <t>R020</t>
        </is>
      </c>
      <c r="F1689" s="72" t="n">
        <v>5</v>
      </c>
      <c r="G1689" s="72" t="n">
        <v>3160</v>
      </c>
      <c r="H1689" s="72" t="n">
        <v>29.8</v>
      </c>
      <c r="I1689" s="72" t="n">
        <v>11091.6</v>
      </c>
      <c r="J1689" s="70" t="inlineStr">
        <is>
          <t>Completed</t>
        </is>
      </c>
      <c r="K1689" s="70" t="inlineStr">
        <is>
          <t>Pune</t>
        </is>
      </c>
    </row>
    <row r="1690" ht="14.25" customHeight="1" s="56">
      <c r="A1690" s="70" t="inlineStr">
        <is>
          <t>ORD-01689</t>
        </is>
      </c>
      <c r="B1690" s="71" t="n">
        <v>45403</v>
      </c>
      <c r="C1690" s="70" t="inlineStr">
        <is>
          <t>CUST-0080</t>
        </is>
      </c>
      <c r="D1690" s="70" t="inlineStr">
        <is>
          <t>PROD-047</t>
        </is>
      </c>
      <c r="E1690" s="70" t="inlineStr">
        <is>
          <t>R027</t>
        </is>
      </c>
      <c r="F1690" s="72" t="n">
        <v>5</v>
      </c>
      <c r="G1690" s="72" t="n">
        <v>3450</v>
      </c>
      <c r="H1690" s="72" t="n">
        <v>29.4</v>
      </c>
      <c r="I1690" s="72" t="n">
        <v>12178.5</v>
      </c>
      <c r="J1690" s="70" t="inlineStr">
        <is>
          <t>Completed</t>
        </is>
      </c>
      <c r="K1690" s="70" t="inlineStr">
        <is>
          <t>Pune</t>
        </is>
      </c>
    </row>
    <row r="1691" ht="14.25" customHeight="1" s="56">
      <c r="A1691" s="70" t="inlineStr">
        <is>
          <t>ORD-01690</t>
        </is>
      </c>
      <c r="B1691" s="71" t="n">
        <v>45535</v>
      </c>
      <c r="C1691" s="70" t="inlineStr">
        <is>
          <t>CUST-0136</t>
        </is>
      </c>
      <c r="D1691" s="70" t="inlineStr">
        <is>
          <t>PROD-049</t>
        </is>
      </c>
      <c r="E1691" s="70" t="inlineStr">
        <is>
          <t>R018</t>
        </is>
      </c>
      <c r="F1691" s="72" t="n">
        <v>10</v>
      </c>
      <c r="G1691" s="72" t="n">
        <v>960</v>
      </c>
      <c r="H1691" s="72" t="n">
        <v>27</v>
      </c>
      <c r="I1691" s="72" t="n">
        <v>7008</v>
      </c>
      <c r="J1691" s="70" t="inlineStr">
        <is>
          <t>Cancelled</t>
        </is>
      </c>
      <c r="K1691" s="70" t="inlineStr">
        <is>
          <t>Chennai</t>
        </is>
      </c>
    </row>
    <row r="1692" ht="14.25" customHeight="1" s="56">
      <c r="A1692" s="70" t="inlineStr">
        <is>
          <t>ORD-01691</t>
        </is>
      </c>
      <c r="B1692" s="71" t="n">
        <v>45429</v>
      </c>
      <c r="C1692" s="70" t="inlineStr">
        <is>
          <t>CUST-0074</t>
        </is>
      </c>
      <c r="D1692" s="70" t="inlineStr">
        <is>
          <t>PROD-056</t>
        </is>
      </c>
      <c r="E1692" s="70" t="inlineStr">
        <is>
          <t>R018</t>
        </is>
      </c>
      <c r="F1692" s="72" t="n">
        <v>10</v>
      </c>
      <c r="G1692" s="72" t="n">
        <v>6940</v>
      </c>
      <c r="H1692" s="72" t="n">
        <v>20.1</v>
      </c>
      <c r="I1692" s="72" t="n">
        <v>55450.6</v>
      </c>
      <c r="J1692" s="70" t="inlineStr">
        <is>
          <t>Completed</t>
        </is>
      </c>
      <c r="K1692" s="70" t="inlineStr">
        <is>
          <t>Bengaluru</t>
        </is>
      </c>
    </row>
    <row r="1693" ht="14.25" customHeight="1" s="56">
      <c r="A1693" s="70" t="inlineStr">
        <is>
          <t>ORD-01692</t>
        </is>
      </c>
      <c r="B1693" s="71" t="n">
        <v>45436</v>
      </c>
      <c r="C1693" s="70" t="inlineStr">
        <is>
          <t>CUST-0090</t>
        </is>
      </c>
      <c r="D1693" s="70" t="inlineStr">
        <is>
          <t>PROD-058</t>
        </is>
      </c>
      <c r="E1693" s="70" t="inlineStr">
        <is>
          <t>R009</t>
        </is>
      </c>
      <c r="F1693" s="72" t="n">
        <v>9</v>
      </c>
      <c r="G1693" s="72" t="n">
        <v>2400</v>
      </c>
      <c r="H1693" s="72" t="n">
        <v>7.8</v>
      </c>
      <c r="I1693" s="72" t="n">
        <v>19915.2</v>
      </c>
      <c r="J1693" s="70" t="inlineStr">
        <is>
          <t>Completed</t>
        </is>
      </c>
      <c r="K1693" s="70" t="inlineStr">
        <is>
          <t>Bengaluru</t>
        </is>
      </c>
    </row>
    <row r="1694" ht="14.25" customHeight="1" s="56">
      <c r="A1694" s="70" t="inlineStr">
        <is>
          <t>ORD-01693</t>
        </is>
      </c>
      <c r="B1694" s="71" t="n">
        <v>45397</v>
      </c>
      <c r="C1694" s="70" t="inlineStr">
        <is>
          <t>CUST-0300</t>
        </is>
      </c>
      <c r="D1694" s="70" t="inlineStr">
        <is>
          <t>PROD-052</t>
        </is>
      </c>
      <c r="E1694" s="70" t="inlineStr">
        <is>
          <t>R017</t>
        </is>
      </c>
      <c r="F1694" s="72" t="n">
        <v>1</v>
      </c>
      <c r="G1694" s="72" t="n">
        <v>5410</v>
      </c>
      <c r="H1694" s="72" t="n">
        <v>22.8</v>
      </c>
      <c r="I1694" s="72" t="n">
        <v>4176.52</v>
      </c>
      <c r="J1694" s="70" t="inlineStr">
        <is>
          <t>Completed</t>
        </is>
      </c>
      <c r="K1694" s="70" t="inlineStr">
        <is>
          <t>Mumbai</t>
        </is>
      </c>
    </row>
    <row r="1695" ht="14.25" customHeight="1" s="56">
      <c r="A1695" s="70" t="inlineStr">
        <is>
          <t>ORD-01694</t>
        </is>
      </c>
      <c r="B1695" s="71" t="n">
        <v>45629</v>
      </c>
      <c r="C1695" s="70" t="inlineStr">
        <is>
          <t>CUST-0188</t>
        </is>
      </c>
      <c r="D1695" s="70" t="inlineStr">
        <is>
          <t>PROD-009</t>
        </is>
      </c>
      <c r="E1695" s="70" t="inlineStr">
        <is>
          <t>R004</t>
        </is>
      </c>
      <c r="F1695" s="72" t="n">
        <v>7</v>
      </c>
      <c r="G1695" s="72" t="n">
        <v>1220</v>
      </c>
      <c r="H1695" s="72" t="n">
        <v>18.8</v>
      </c>
      <c r="I1695" s="72" t="n">
        <v>6934.48</v>
      </c>
      <c r="J1695" s="70" t="inlineStr">
        <is>
          <t>Pending</t>
        </is>
      </c>
      <c r="K1695" s="70" t="inlineStr">
        <is>
          <t>Bengaluru</t>
        </is>
      </c>
    </row>
    <row r="1696" ht="14.25" customHeight="1" s="56">
      <c r="A1696" s="70" t="inlineStr">
        <is>
          <t>ORD-01695</t>
        </is>
      </c>
      <c r="B1696" s="71" t="n">
        <v>45595</v>
      </c>
      <c r="C1696" s="70" t="inlineStr">
        <is>
          <t>CUST-0250</t>
        </is>
      </c>
      <c r="D1696" s="70" t="inlineStr">
        <is>
          <t>PROD-035</t>
        </is>
      </c>
      <c r="E1696" s="70" t="inlineStr">
        <is>
          <t>R019</t>
        </is>
      </c>
      <c r="F1696" s="72" t="n">
        <v>1</v>
      </c>
      <c r="G1696" s="72" t="n">
        <v>1090</v>
      </c>
      <c r="H1696" s="72" t="n">
        <v>23.5</v>
      </c>
      <c r="I1696" s="72" t="n">
        <v>833.85</v>
      </c>
      <c r="J1696" s="70" t="inlineStr">
        <is>
          <t>Completed</t>
        </is>
      </c>
      <c r="K1696" s="70" t="inlineStr">
        <is>
          <t>Delhi</t>
        </is>
      </c>
    </row>
    <row r="1697" ht="14.25" customHeight="1" s="56">
      <c r="A1697" s="70" t="inlineStr">
        <is>
          <t>ORD-01696</t>
        </is>
      </c>
      <c r="B1697" s="71" t="n">
        <v>45531</v>
      </c>
      <c r="C1697" s="70" t="inlineStr">
        <is>
          <t>CUST-0195</t>
        </is>
      </c>
      <c r="D1697" s="70" t="inlineStr">
        <is>
          <t>PROD-021</t>
        </is>
      </c>
      <c r="E1697" s="70" t="inlineStr">
        <is>
          <t>R023</t>
        </is>
      </c>
      <c r="F1697" s="72" t="n">
        <v>2</v>
      </c>
      <c r="G1697" s="72" t="n">
        <v>2760</v>
      </c>
      <c r="H1697" s="72" t="n">
        <v>2.3</v>
      </c>
      <c r="I1697" s="72" t="n">
        <v>5393.04</v>
      </c>
      <c r="J1697" s="70" t="inlineStr">
        <is>
          <t>Completed</t>
        </is>
      </c>
      <c r="K1697" s="70" t="inlineStr">
        <is>
          <t>Bengaluru</t>
        </is>
      </c>
    </row>
    <row r="1698" ht="14.25" customHeight="1" s="56">
      <c r="A1698" s="70" t="inlineStr">
        <is>
          <t>ORD-01697</t>
        </is>
      </c>
      <c r="B1698" s="71" t="n">
        <v>45626</v>
      </c>
      <c r="C1698" s="70" t="inlineStr">
        <is>
          <t>CUST-0185</t>
        </is>
      </c>
      <c r="D1698" s="70" t="inlineStr">
        <is>
          <t>PROD-003</t>
        </is>
      </c>
      <c r="E1698" s="70" t="inlineStr">
        <is>
          <t>R026</t>
        </is>
      </c>
      <c r="F1698" s="72" t="n">
        <v>3</v>
      </c>
      <c r="G1698" s="72" t="n">
        <v>3570</v>
      </c>
      <c r="H1698" s="72" t="n">
        <v>18.4</v>
      </c>
      <c r="I1698" s="72" t="n">
        <v>8739.360000000001</v>
      </c>
      <c r="J1698" s="70" t="inlineStr">
        <is>
          <t>Refunded</t>
        </is>
      </c>
      <c r="K1698" s="70" t="inlineStr">
        <is>
          <t>Hyderabad</t>
        </is>
      </c>
    </row>
    <row r="1699" ht="14.25" customHeight="1" s="56">
      <c r="A1699" s="70" t="inlineStr">
        <is>
          <t>ORD-01698</t>
        </is>
      </c>
      <c r="B1699" s="71" t="n">
        <v>45502</v>
      </c>
      <c r="C1699" s="70" t="inlineStr">
        <is>
          <t>CUST-0256</t>
        </is>
      </c>
      <c r="D1699" s="70" t="inlineStr">
        <is>
          <t>PROD-009</t>
        </is>
      </c>
      <c r="E1699" s="70" t="inlineStr">
        <is>
          <t>R004</t>
        </is>
      </c>
      <c r="F1699" s="72" t="n">
        <v>7</v>
      </c>
      <c r="G1699" s="72" t="n">
        <v>1220</v>
      </c>
      <c r="H1699" s="72" t="n">
        <v>25.8</v>
      </c>
      <c r="I1699" s="72" t="n">
        <v>6336.68</v>
      </c>
      <c r="J1699" s="70" t="inlineStr">
        <is>
          <t>Refunded</t>
        </is>
      </c>
      <c r="K1699" s="70" t="inlineStr">
        <is>
          <t>Hyderabad</t>
        </is>
      </c>
    </row>
    <row r="1700" ht="14.25" customHeight="1" s="56">
      <c r="A1700" s="70" t="inlineStr">
        <is>
          <t>ORD-01699</t>
        </is>
      </c>
      <c r="B1700" s="71" t="n">
        <v>45501</v>
      </c>
      <c r="C1700" s="70" t="inlineStr">
        <is>
          <t>CUST-0060</t>
        </is>
      </c>
      <c r="D1700" s="70" t="inlineStr">
        <is>
          <t>PROD-051</t>
        </is>
      </c>
      <c r="E1700" s="70" t="inlineStr">
        <is>
          <t>R029</t>
        </is>
      </c>
      <c r="F1700" s="72" t="n">
        <v>6</v>
      </c>
      <c r="G1700" s="72" t="n">
        <v>3450</v>
      </c>
      <c r="H1700" s="72" t="n">
        <v>13.1</v>
      </c>
      <c r="I1700" s="72" t="n">
        <v>17988.3</v>
      </c>
      <c r="J1700" s="70" t="inlineStr">
        <is>
          <t>Completed</t>
        </is>
      </c>
      <c r="K1700" s="70" t="inlineStr">
        <is>
          <t>Pune</t>
        </is>
      </c>
    </row>
    <row r="1701" ht="14.25" customHeight="1" s="56">
      <c r="A1701" s="70" t="inlineStr">
        <is>
          <t>ORD-01700</t>
        </is>
      </c>
      <c r="B1701" s="71" t="n">
        <v>45435</v>
      </c>
      <c r="C1701" s="70" t="inlineStr">
        <is>
          <t>CUST-0275</t>
        </is>
      </c>
      <c r="D1701" s="70" t="inlineStr">
        <is>
          <t>PROD-029</t>
        </is>
      </c>
      <c r="E1701" s="70" t="inlineStr">
        <is>
          <t>R004</t>
        </is>
      </c>
      <c r="F1701" s="72" t="n">
        <v>10</v>
      </c>
      <c r="G1701" s="72" t="n">
        <v>2210</v>
      </c>
      <c r="H1701" s="72" t="n">
        <v>16.6</v>
      </c>
      <c r="I1701" s="72" t="n">
        <v>18431.4</v>
      </c>
      <c r="J1701" s="70" t="inlineStr">
        <is>
          <t>Completed</t>
        </is>
      </c>
      <c r="K1701" s="70" t="inlineStr">
        <is>
          <t>Mumbai</t>
        </is>
      </c>
    </row>
    <row r="1702" ht="14.25" customHeight="1" s="56">
      <c r="A1702" s="70" t="inlineStr">
        <is>
          <t>ORD-01701</t>
        </is>
      </c>
      <c r="B1702" s="71" t="n">
        <v>45295</v>
      </c>
      <c r="C1702" s="70" t="inlineStr">
        <is>
          <t>CUST-0114</t>
        </is>
      </c>
      <c r="D1702" s="70" t="inlineStr">
        <is>
          <t>PROD-019</t>
        </is>
      </c>
      <c r="E1702" s="70" t="inlineStr">
        <is>
          <t>R027</t>
        </is>
      </c>
      <c r="F1702" s="72" t="n">
        <v>10</v>
      </c>
      <c r="G1702" s="72" t="n">
        <v>2480</v>
      </c>
      <c r="H1702" s="72" t="n">
        <v>17.5</v>
      </c>
      <c r="I1702" s="72" t="n">
        <v>20460</v>
      </c>
      <c r="J1702" s="70" t="inlineStr">
        <is>
          <t>Completed</t>
        </is>
      </c>
      <c r="K1702" s="70" t="inlineStr">
        <is>
          <t>Bengaluru</t>
        </is>
      </c>
    </row>
    <row r="1703" ht="14.25" customHeight="1" s="56">
      <c r="A1703" s="70" t="inlineStr">
        <is>
          <t>ORD-01702</t>
        </is>
      </c>
      <c r="B1703" s="71" t="n">
        <v>45566</v>
      </c>
      <c r="C1703" s="70" t="inlineStr">
        <is>
          <t>CUST-0060</t>
        </is>
      </c>
      <c r="D1703" s="70" t="inlineStr">
        <is>
          <t>PROD-036</t>
        </is>
      </c>
      <c r="E1703" s="70" t="inlineStr">
        <is>
          <t>R019</t>
        </is>
      </c>
      <c r="F1703" s="72" t="n">
        <v>9</v>
      </c>
      <c r="G1703" s="72" t="n">
        <v>3250</v>
      </c>
      <c r="H1703" s="72" t="n">
        <v>25.9</v>
      </c>
      <c r="I1703" s="72" t="n">
        <v>21674.25</v>
      </c>
      <c r="J1703" s="70" t="inlineStr">
        <is>
          <t>Completed</t>
        </is>
      </c>
      <c r="K1703" s="70" t="inlineStr">
        <is>
          <t>Pune</t>
        </is>
      </c>
    </row>
    <row r="1704" ht="14.25" customHeight="1" s="56">
      <c r="A1704" s="70" t="inlineStr">
        <is>
          <t>ORD-01703</t>
        </is>
      </c>
      <c r="B1704" s="71" t="n">
        <v>45474</v>
      </c>
      <c r="C1704" s="70" t="inlineStr">
        <is>
          <t>CUST-0039</t>
        </is>
      </c>
      <c r="D1704" s="70" t="inlineStr">
        <is>
          <t>PROD-058</t>
        </is>
      </c>
      <c r="E1704" s="70" t="inlineStr">
        <is>
          <t>R008</t>
        </is>
      </c>
      <c r="F1704" s="72" t="n">
        <v>3</v>
      </c>
      <c r="G1704" s="72" t="n">
        <v>2400</v>
      </c>
      <c r="H1704" s="72" t="n">
        <v>17.5</v>
      </c>
      <c r="I1704" s="72" t="n">
        <v>5940</v>
      </c>
      <c r="J1704" s="70" t="inlineStr">
        <is>
          <t>Completed</t>
        </is>
      </c>
      <c r="K1704" s="70" t="inlineStr">
        <is>
          <t>Bengaluru</t>
        </is>
      </c>
    </row>
    <row r="1705" ht="14.25" customHeight="1" s="56">
      <c r="A1705" s="70" t="inlineStr">
        <is>
          <t>ORD-01704</t>
        </is>
      </c>
      <c r="B1705" s="71" t="n">
        <v>45372</v>
      </c>
      <c r="C1705" s="70" t="inlineStr">
        <is>
          <t>CUST-0033</t>
        </is>
      </c>
      <c r="D1705" s="70" t="inlineStr">
        <is>
          <t>PROD-052</t>
        </is>
      </c>
      <c r="E1705" s="70" t="inlineStr">
        <is>
          <t>R006</t>
        </is>
      </c>
      <c r="F1705" s="72" t="n">
        <v>8</v>
      </c>
      <c r="G1705" s="72" t="n">
        <v>5410</v>
      </c>
      <c r="H1705" s="72" t="n">
        <v>8.300000000000001</v>
      </c>
      <c r="I1705" s="72" t="n">
        <v>39687.76</v>
      </c>
      <c r="J1705" s="70" t="inlineStr">
        <is>
          <t>Completed</t>
        </is>
      </c>
      <c r="K1705" s="70" t="inlineStr">
        <is>
          <t>Delhi</t>
        </is>
      </c>
    </row>
    <row r="1706" ht="14.25" customHeight="1" s="56">
      <c r="A1706" s="70" t="inlineStr">
        <is>
          <t>ORD-01705</t>
        </is>
      </c>
      <c r="B1706" s="71" t="n">
        <v>45622</v>
      </c>
      <c r="C1706" s="70" t="inlineStr">
        <is>
          <t>CUST-0037</t>
        </is>
      </c>
      <c r="D1706" s="70" t="inlineStr">
        <is>
          <t>PROD-002</t>
        </is>
      </c>
      <c r="E1706" s="70" t="inlineStr">
        <is>
          <t>R018</t>
        </is>
      </c>
      <c r="F1706" s="72" t="n">
        <v>1</v>
      </c>
      <c r="G1706" s="72" t="n">
        <v>2600</v>
      </c>
      <c r="H1706" s="72" t="n">
        <v>5.9</v>
      </c>
      <c r="I1706" s="72" t="n">
        <v>2446.6</v>
      </c>
      <c r="J1706" s="70" t="inlineStr">
        <is>
          <t>Completed</t>
        </is>
      </c>
      <c r="K1706" s="70" t="inlineStr">
        <is>
          <t>Bengaluru</t>
        </is>
      </c>
    </row>
    <row r="1707" ht="14.25" customHeight="1" s="56">
      <c r="A1707" s="70" t="inlineStr">
        <is>
          <t>ORD-01706</t>
        </is>
      </c>
      <c r="B1707" s="71" t="n">
        <v>45603</v>
      </c>
      <c r="C1707" s="70" t="inlineStr">
        <is>
          <t>CUST-0081</t>
        </is>
      </c>
      <c r="D1707" s="70" t="inlineStr">
        <is>
          <t>PROD-025</t>
        </is>
      </c>
      <c r="E1707" s="70" t="inlineStr">
        <is>
          <t>R003</t>
        </is>
      </c>
      <c r="F1707" s="72" t="n">
        <v>10</v>
      </c>
      <c r="G1707" s="72" t="n">
        <v>4060</v>
      </c>
      <c r="H1707" s="72" t="n">
        <v>2.3</v>
      </c>
      <c r="I1707" s="72" t="n">
        <v>39666.2</v>
      </c>
      <c r="J1707" s="70" t="inlineStr">
        <is>
          <t>Completed</t>
        </is>
      </c>
      <c r="K1707" s="70" t="inlineStr">
        <is>
          <t>Mumbai</t>
        </is>
      </c>
    </row>
    <row r="1708" ht="14.25" customHeight="1" s="56">
      <c r="A1708" s="70" t="inlineStr">
        <is>
          <t>ORD-01707</t>
        </is>
      </c>
      <c r="B1708" s="71" t="n">
        <v>45352</v>
      </c>
      <c r="C1708" s="70" t="inlineStr">
        <is>
          <t>CUST-0279</t>
        </is>
      </c>
      <c r="D1708" s="70" t="inlineStr">
        <is>
          <t>PROD-001</t>
        </is>
      </c>
      <c r="E1708" s="70" t="inlineStr">
        <is>
          <t>R020</t>
        </is>
      </c>
      <c r="F1708" s="72" t="n">
        <v>9</v>
      </c>
      <c r="G1708" s="72" t="n">
        <v>5330</v>
      </c>
      <c r="H1708" s="72" t="n">
        <v>23.5</v>
      </c>
      <c r="I1708" s="72" t="n">
        <v>36697.05</v>
      </c>
      <c r="J1708" s="70" t="inlineStr">
        <is>
          <t>Completed</t>
        </is>
      </c>
      <c r="K1708" s="70" t="inlineStr">
        <is>
          <t>Mumbai</t>
        </is>
      </c>
    </row>
    <row r="1709" ht="14.25" customHeight="1" s="56">
      <c r="A1709" s="70" t="inlineStr">
        <is>
          <t>ORD-01708</t>
        </is>
      </c>
      <c r="B1709" s="71" t="n">
        <v>45600</v>
      </c>
      <c r="C1709" s="70" t="inlineStr">
        <is>
          <t>CUST-0129</t>
        </is>
      </c>
      <c r="D1709" s="70" t="inlineStr">
        <is>
          <t>PROD-043</t>
        </is>
      </c>
      <c r="E1709" s="70" t="inlineStr">
        <is>
          <t>R025</t>
        </is>
      </c>
      <c r="F1709" s="72" t="n">
        <v>7</v>
      </c>
      <c r="G1709" s="72" t="n">
        <v>3350</v>
      </c>
      <c r="H1709" s="72" t="n">
        <v>13.4</v>
      </c>
      <c r="I1709" s="72" t="n">
        <v>20307.7</v>
      </c>
      <c r="J1709" s="70" t="inlineStr">
        <is>
          <t>Pending</t>
        </is>
      </c>
      <c r="K1709" s="70" t="inlineStr">
        <is>
          <t>Hyderabad</t>
        </is>
      </c>
    </row>
    <row r="1710" ht="14.25" customHeight="1" s="56">
      <c r="A1710" s="70" t="inlineStr">
        <is>
          <t>ORD-01709</t>
        </is>
      </c>
      <c r="B1710" s="71" t="n">
        <v>45631</v>
      </c>
      <c r="C1710" s="70" t="inlineStr">
        <is>
          <t>CUST-0010</t>
        </is>
      </c>
      <c r="D1710" s="70" t="inlineStr">
        <is>
          <t>PROD-017</t>
        </is>
      </c>
      <c r="E1710" s="70" t="inlineStr">
        <is>
          <t>R014</t>
        </is>
      </c>
      <c r="F1710" s="72" t="n">
        <v>4</v>
      </c>
      <c r="G1710" s="72" t="n">
        <v>2510</v>
      </c>
      <c r="H1710" s="72" t="n">
        <v>26.6</v>
      </c>
      <c r="I1710" s="72" t="n">
        <v>7369.36</v>
      </c>
      <c r="J1710" s="70" t="inlineStr">
        <is>
          <t>Completed</t>
        </is>
      </c>
      <c r="K1710" s="70" t="inlineStr">
        <is>
          <t>Mumbai</t>
        </is>
      </c>
    </row>
    <row r="1711" ht="14.25" customHeight="1" s="56">
      <c r="A1711" s="70" t="inlineStr">
        <is>
          <t>ORD-01710</t>
        </is>
      </c>
      <c r="B1711" s="71" t="n">
        <v>45456</v>
      </c>
      <c r="C1711" s="70" t="inlineStr">
        <is>
          <t>CUST-0006</t>
        </is>
      </c>
      <c r="D1711" s="70" t="inlineStr">
        <is>
          <t>PROD-045</t>
        </is>
      </c>
      <c r="E1711" s="70" t="inlineStr">
        <is>
          <t>R021</t>
        </is>
      </c>
      <c r="F1711" s="72" t="n">
        <v>1</v>
      </c>
      <c r="G1711" s="72" t="n">
        <v>3020</v>
      </c>
      <c r="H1711" s="72" t="n">
        <v>15.2</v>
      </c>
      <c r="I1711" s="72" t="n">
        <v>2560.96</v>
      </c>
      <c r="J1711" s="70" t="inlineStr">
        <is>
          <t>Cancelled</t>
        </is>
      </c>
      <c r="K1711" s="70" t="inlineStr">
        <is>
          <t>Pune</t>
        </is>
      </c>
    </row>
    <row r="1712" ht="14.25" customHeight="1" s="56">
      <c r="A1712" s="70" t="inlineStr">
        <is>
          <t>ORD-01711</t>
        </is>
      </c>
      <c r="B1712" s="71" t="n">
        <v>45539</v>
      </c>
      <c r="C1712" s="70" t="inlineStr">
        <is>
          <t>CUST-0206</t>
        </is>
      </c>
      <c r="D1712" s="70" t="inlineStr">
        <is>
          <t>PROD-020</t>
        </is>
      </c>
      <c r="E1712" s="70" t="inlineStr">
        <is>
          <t>R029</t>
        </is>
      </c>
      <c r="F1712" s="72" t="n">
        <v>1</v>
      </c>
      <c r="G1712" s="72" t="n">
        <v>820</v>
      </c>
      <c r="H1712" s="72" t="n">
        <v>6.3</v>
      </c>
      <c r="I1712" s="72" t="n">
        <v>768.34</v>
      </c>
      <c r="J1712" s="70" t="inlineStr">
        <is>
          <t>Completed</t>
        </is>
      </c>
      <c r="K1712" s="70" t="inlineStr">
        <is>
          <t>Mumbai</t>
        </is>
      </c>
    </row>
    <row r="1713" ht="14.25" customHeight="1" s="56">
      <c r="A1713" s="70" t="inlineStr">
        <is>
          <t>ORD-01712</t>
        </is>
      </c>
      <c r="B1713" s="71" t="n">
        <v>45488</v>
      </c>
      <c r="C1713" s="70" t="inlineStr">
        <is>
          <t>CUST-0034</t>
        </is>
      </c>
      <c r="D1713" s="70" t="inlineStr">
        <is>
          <t>PROD-012</t>
        </is>
      </c>
      <c r="E1713" s="70" t="inlineStr">
        <is>
          <t>R027</t>
        </is>
      </c>
      <c r="F1713" s="72" t="n">
        <v>4</v>
      </c>
      <c r="G1713" s="72" t="n">
        <v>3160</v>
      </c>
      <c r="H1713" s="72" t="n">
        <v>3.6</v>
      </c>
      <c r="I1713" s="72" t="n">
        <v>12184.96</v>
      </c>
      <c r="J1713" s="70" t="inlineStr">
        <is>
          <t>Pending</t>
        </is>
      </c>
      <c r="K1713" s="70" t="inlineStr">
        <is>
          <t>Delhi</t>
        </is>
      </c>
    </row>
    <row r="1714" ht="14.25" customHeight="1" s="56">
      <c r="A1714" s="70" t="inlineStr">
        <is>
          <t>ORD-01713</t>
        </is>
      </c>
      <c r="B1714" s="71" t="n">
        <v>45370</v>
      </c>
      <c r="C1714" s="70" t="inlineStr">
        <is>
          <t>CUST-0121</t>
        </is>
      </c>
      <c r="D1714" s="70" t="inlineStr">
        <is>
          <t>PROD-028</t>
        </is>
      </c>
      <c r="E1714" s="70" t="inlineStr">
        <is>
          <t>R012</t>
        </is>
      </c>
      <c r="F1714" s="72" t="n">
        <v>1</v>
      </c>
      <c r="G1714" s="72" t="n">
        <v>3660</v>
      </c>
      <c r="H1714" s="72" t="n">
        <v>28.2</v>
      </c>
      <c r="I1714" s="72" t="n">
        <v>2627.88</v>
      </c>
      <c r="J1714" s="70" t="inlineStr">
        <is>
          <t>Pending</t>
        </is>
      </c>
      <c r="K1714" s="70" t="inlineStr">
        <is>
          <t>Delhi</t>
        </is>
      </c>
    </row>
    <row r="1715" ht="14.25" customHeight="1" s="56">
      <c r="A1715" s="70" t="inlineStr">
        <is>
          <t>ORD-01714</t>
        </is>
      </c>
      <c r="B1715" s="71" t="n">
        <v>45394</v>
      </c>
      <c r="C1715" s="70" t="inlineStr">
        <is>
          <t>CUST-0098</t>
        </is>
      </c>
      <c r="D1715" s="70" t="inlineStr">
        <is>
          <t>PROD-020</t>
        </is>
      </c>
      <c r="E1715" s="70" t="inlineStr">
        <is>
          <t>R026</t>
        </is>
      </c>
      <c r="F1715" s="72" t="n">
        <v>2</v>
      </c>
      <c r="G1715" s="72" t="n">
        <v>820</v>
      </c>
      <c r="H1715" s="72" t="n">
        <v>7</v>
      </c>
      <c r="I1715" s="72" t="n">
        <v>1525.2</v>
      </c>
      <c r="J1715" s="70" t="inlineStr">
        <is>
          <t>Completed</t>
        </is>
      </c>
      <c r="K1715" s="70" t="inlineStr">
        <is>
          <t>Delhi</t>
        </is>
      </c>
    </row>
    <row r="1716" ht="14.25" customHeight="1" s="56">
      <c r="A1716" s="70" t="inlineStr">
        <is>
          <t>ORD-01715</t>
        </is>
      </c>
      <c r="B1716" s="71" t="n">
        <v>45446</v>
      </c>
      <c r="C1716" s="70" t="inlineStr">
        <is>
          <t>CUST-0031</t>
        </is>
      </c>
      <c r="D1716" s="70" t="inlineStr">
        <is>
          <t>PROD-023</t>
        </is>
      </c>
      <c r="E1716" s="70" t="inlineStr">
        <is>
          <t>R022</t>
        </is>
      </c>
      <c r="F1716" s="72" t="n">
        <v>5</v>
      </c>
      <c r="G1716" s="72" t="n">
        <v>2380</v>
      </c>
      <c r="H1716" s="72" t="n">
        <v>23</v>
      </c>
      <c r="I1716" s="72" t="n">
        <v>9163</v>
      </c>
      <c r="J1716" s="70" t="inlineStr">
        <is>
          <t>Completed</t>
        </is>
      </c>
      <c r="K1716" s="70" t="inlineStr">
        <is>
          <t>Hyderabad</t>
        </is>
      </c>
    </row>
    <row r="1717" ht="14.25" customHeight="1" s="56">
      <c r="A1717" s="70" t="inlineStr">
        <is>
          <t>ORD-01716</t>
        </is>
      </c>
      <c r="B1717" s="71" t="n">
        <v>45612</v>
      </c>
      <c r="C1717" s="70" t="inlineStr">
        <is>
          <t>CUST-0185</t>
        </is>
      </c>
      <c r="D1717" s="70" t="inlineStr">
        <is>
          <t>PROD-004</t>
        </is>
      </c>
      <c r="E1717" s="70" t="inlineStr">
        <is>
          <t>R013</t>
        </is>
      </c>
      <c r="F1717" s="72" t="n">
        <v>1</v>
      </c>
      <c r="G1717" s="72" t="n">
        <v>3870</v>
      </c>
      <c r="H1717" s="72" t="n">
        <v>27.3</v>
      </c>
      <c r="I1717" s="72" t="n">
        <v>2813.49</v>
      </c>
      <c r="J1717" s="70" t="inlineStr">
        <is>
          <t>Completed</t>
        </is>
      </c>
      <c r="K1717" s="70" t="inlineStr">
        <is>
          <t>Hyderabad</t>
        </is>
      </c>
    </row>
    <row r="1718" ht="14.25" customHeight="1" s="56">
      <c r="A1718" s="70" t="inlineStr">
        <is>
          <t>ORD-01717</t>
        </is>
      </c>
      <c r="B1718" s="71" t="n">
        <v>45301</v>
      </c>
      <c r="C1718" s="70" t="inlineStr">
        <is>
          <t>CUST-0011</t>
        </is>
      </c>
      <c r="D1718" s="70" t="inlineStr">
        <is>
          <t>PROD-005</t>
        </is>
      </c>
      <c r="E1718" s="70" t="inlineStr">
        <is>
          <t>R007</t>
        </is>
      </c>
      <c r="F1718" s="72" t="n">
        <v>10</v>
      </c>
      <c r="G1718" s="72" t="n">
        <v>300</v>
      </c>
      <c r="H1718" s="72" t="n">
        <v>14.1</v>
      </c>
      <c r="I1718" s="72" t="n">
        <v>2577</v>
      </c>
      <c r="J1718" s="70" t="inlineStr">
        <is>
          <t>Cancelled</t>
        </is>
      </c>
      <c r="K1718" s="70" t="inlineStr">
        <is>
          <t>Chennai</t>
        </is>
      </c>
    </row>
    <row r="1719" ht="14.25" customHeight="1" s="56">
      <c r="A1719" s="70" t="inlineStr">
        <is>
          <t>ORD-01718</t>
        </is>
      </c>
      <c r="B1719" s="71" t="n">
        <v>45647</v>
      </c>
      <c r="C1719" s="70" t="inlineStr">
        <is>
          <t>CUST-0223</t>
        </is>
      </c>
      <c r="D1719" s="70" t="inlineStr">
        <is>
          <t>PROD-048</t>
        </is>
      </c>
      <c r="E1719" s="70" t="inlineStr">
        <is>
          <t>R027</t>
        </is>
      </c>
      <c r="F1719" s="72" t="n">
        <v>10</v>
      </c>
      <c r="G1719" s="72" t="n">
        <v>5100</v>
      </c>
      <c r="H1719" s="72" t="n">
        <v>12.7</v>
      </c>
      <c r="I1719" s="72" t="n">
        <v>44523</v>
      </c>
      <c r="J1719" s="70" t="inlineStr">
        <is>
          <t>Completed</t>
        </is>
      </c>
      <c r="K1719" s="70" t="inlineStr">
        <is>
          <t>Bengaluru</t>
        </is>
      </c>
    </row>
    <row r="1720" ht="14.25" customHeight="1" s="56">
      <c r="A1720" s="70" t="inlineStr">
        <is>
          <t>ORD-01719</t>
        </is>
      </c>
      <c r="B1720" s="71" t="n">
        <v>45589</v>
      </c>
      <c r="C1720" s="70" t="inlineStr">
        <is>
          <t>CUST-0126</t>
        </is>
      </c>
      <c r="D1720" s="70" t="inlineStr">
        <is>
          <t>PROD-021</t>
        </is>
      </c>
      <c r="E1720" s="70" t="inlineStr">
        <is>
          <t>R013</t>
        </is>
      </c>
      <c r="F1720" s="72" t="n">
        <v>1</v>
      </c>
      <c r="G1720" s="72" t="n">
        <v>2760</v>
      </c>
      <c r="H1720" s="72" t="n">
        <v>17.8</v>
      </c>
      <c r="I1720" s="72" t="n">
        <v>2268.72</v>
      </c>
      <c r="J1720" s="70" t="inlineStr">
        <is>
          <t>Refunded</t>
        </is>
      </c>
      <c r="K1720" s="70" t="inlineStr">
        <is>
          <t>Mumbai</t>
        </is>
      </c>
    </row>
    <row r="1721" ht="14.25" customHeight="1" s="56">
      <c r="A1721" s="70" t="inlineStr">
        <is>
          <t>ORD-01720</t>
        </is>
      </c>
      <c r="B1721" s="71" t="n">
        <v>45382</v>
      </c>
      <c r="C1721" s="70" t="inlineStr">
        <is>
          <t>CUST-0284</t>
        </is>
      </c>
      <c r="D1721" s="70" t="inlineStr">
        <is>
          <t>PROD-001</t>
        </is>
      </c>
      <c r="E1721" s="70" t="inlineStr">
        <is>
          <t>R002</t>
        </is>
      </c>
      <c r="F1721" s="72" t="n">
        <v>8</v>
      </c>
      <c r="G1721" s="72" t="n">
        <v>5330</v>
      </c>
      <c r="H1721" s="72" t="n">
        <v>16.4</v>
      </c>
      <c r="I1721" s="72" t="n">
        <v>35647.04</v>
      </c>
      <c r="J1721" s="70" t="inlineStr">
        <is>
          <t>Completed</t>
        </is>
      </c>
      <c r="K1721" s="70" t="inlineStr">
        <is>
          <t>Hyderabad</t>
        </is>
      </c>
    </row>
    <row r="1722" ht="14.25" customHeight="1" s="56">
      <c r="A1722" s="70" t="inlineStr">
        <is>
          <t>ORD-01721</t>
        </is>
      </c>
      <c r="B1722" s="71" t="n">
        <v>45457</v>
      </c>
      <c r="C1722" s="70" t="inlineStr">
        <is>
          <t>CUST-0011</t>
        </is>
      </c>
      <c r="D1722" s="70" t="inlineStr">
        <is>
          <t>PROD-054</t>
        </is>
      </c>
      <c r="E1722" s="70" t="inlineStr">
        <is>
          <t>R016</t>
        </is>
      </c>
      <c r="F1722" s="72" t="n">
        <v>1</v>
      </c>
      <c r="G1722" s="72" t="n">
        <v>1010</v>
      </c>
      <c r="H1722" s="72" t="n">
        <v>20.4</v>
      </c>
      <c r="I1722" s="72" t="n">
        <v>803.96</v>
      </c>
      <c r="J1722" s="70" t="inlineStr">
        <is>
          <t>Cancelled</t>
        </is>
      </c>
      <c r="K1722" s="70" t="inlineStr">
        <is>
          <t>Chennai</t>
        </is>
      </c>
    </row>
    <row r="1723" ht="14.25" customHeight="1" s="56">
      <c r="A1723" s="70" t="inlineStr">
        <is>
          <t>ORD-01722</t>
        </is>
      </c>
      <c r="B1723" s="71" t="n">
        <v>45376</v>
      </c>
      <c r="C1723" s="70" t="inlineStr">
        <is>
          <t>CUST-0275</t>
        </is>
      </c>
      <c r="D1723" s="70" t="inlineStr">
        <is>
          <t>PROD-008</t>
        </is>
      </c>
      <c r="E1723" s="70" t="inlineStr">
        <is>
          <t>R019</t>
        </is>
      </c>
      <c r="F1723" s="72" t="n">
        <v>10</v>
      </c>
      <c r="G1723" s="72" t="n">
        <v>2660</v>
      </c>
      <c r="H1723" s="72" t="n">
        <v>29.3</v>
      </c>
      <c r="I1723" s="72" t="n">
        <v>18806.2</v>
      </c>
      <c r="J1723" s="70" t="inlineStr">
        <is>
          <t>Completed</t>
        </is>
      </c>
      <c r="K1723" s="70" t="inlineStr">
        <is>
          <t>Mumbai</t>
        </is>
      </c>
    </row>
    <row r="1724" ht="14.25" customHeight="1" s="56">
      <c r="A1724" s="70" t="inlineStr">
        <is>
          <t>ORD-01723</t>
        </is>
      </c>
      <c r="B1724" s="71" t="n">
        <v>45506</v>
      </c>
      <c r="C1724" s="70" t="inlineStr">
        <is>
          <t>CUST-0259</t>
        </is>
      </c>
      <c r="D1724" s="70" t="inlineStr">
        <is>
          <t>PROD-006</t>
        </is>
      </c>
      <c r="E1724" s="70" t="inlineStr">
        <is>
          <t>R011</t>
        </is>
      </c>
      <c r="F1724" s="72" t="n">
        <v>9</v>
      </c>
      <c r="G1724" s="72" t="n">
        <v>3970</v>
      </c>
      <c r="H1724" s="72" t="n">
        <v>10.4</v>
      </c>
      <c r="I1724" s="72" t="n">
        <v>32014.08</v>
      </c>
      <c r="J1724" s="70" t="inlineStr">
        <is>
          <t>Pending</t>
        </is>
      </c>
      <c r="K1724" s="70" t="inlineStr">
        <is>
          <t>Mumbai</t>
        </is>
      </c>
    </row>
    <row r="1725" ht="14.25" customHeight="1" s="56">
      <c r="A1725" s="70" t="inlineStr">
        <is>
          <t>ORD-01724</t>
        </is>
      </c>
      <c r="B1725" s="71" t="n">
        <v>45472</v>
      </c>
      <c r="C1725" s="70" t="inlineStr">
        <is>
          <t>CUST-0089</t>
        </is>
      </c>
      <c r="D1725" s="70" t="inlineStr">
        <is>
          <t>PROD-014</t>
        </is>
      </c>
      <c r="E1725" s="70" t="inlineStr">
        <is>
          <t>R008</t>
        </is>
      </c>
      <c r="F1725" s="72" t="n">
        <v>3</v>
      </c>
      <c r="G1725" s="72" t="n">
        <v>3620</v>
      </c>
      <c r="H1725" s="72" t="n">
        <v>22</v>
      </c>
      <c r="I1725" s="72" t="n">
        <v>8470.799999999999</v>
      </c>
      <c r="J1725" s="70" t="inlineStr">
        <is>
          <t>Completed</t>
        </is>
      </c>
      <c r="K1725" s="70" t="inlineStr">
        <is>
          <t>Mumbai</t>
        </is>
      </c>
    </row>
    <row r="1726" ht="14.25" customHeight="1" s="56">
      <c r="A1726" s="70" t="inlineStr">
        <is>
          <t>ORD-01725</t>
        </is>
      </c>
      <c r="B1726" s="71" t="n">
        <v>45383</v>
      </c>
      <c r="C1726" s="70" t="inlineStr">
        <is>
          <t>CUST-0232</t>
        </is>
      </c>
      <c r="D1726" s="70" t="inlineStr">
        <is>
          <t>PROD-022</t>
        </is>
      </c>
      <c r="E1726" s="70" t="inlineStr">
        <is>
          <t>R018</t>
        </is>
      </c>
      <c r="F1726" s="72" t="n">
        <v>6</v>
      </c>
      <c r="G1726" s="72" t="n">
        <v>2270</v>
      </c>
      <c r="H1726" s="72" t="n">
        <v>11.1</v>
      </c>
      <c r="I1726" s="72" t="n">
        <v>12108.18</v>
      </c>
      <c r="J1726" s="70" t="inlineStr">
        <is>
          <t>Cancelled</t>
        </is>
      </c>
      <c r="K1726" s="70" t="inlineStr">
        <is>
          <t>Hyderabad</t>
        </is>
      </c>
    </row>
    <row r="1727" ht="14.25" customHeight="1" s="56">
      <c r="A1727" s="70" t="inlineStr">
        <is>
          <t>ORD-01726</t>
        </is>
      </c>
      <c r="B1727" s="71" t="n">
        <v>45543</v>
      </c>
      <c r="C1727" s="70" t="inlineStr">
        <is>
          <t>CUST-0220</t>
        </is>
      </c>
      <c r="D1727" s="70" t="inlineStr">
        <is>
          <t>PROD-022</t>
        </is>
      </c>
      <c r="E1727" s="70" t="inlineStr">
        <is>
          <t>R014</t>
        </is>
      </c>
      <c r="F1727" s="72" t="n">
        <v>4</v>
      </c>
      <c r="G1727" s="72" t="n">
        <v>2270</v>
      </c>
      <c r="H1727" s="72" t="n">
        <v>27.2</v>
      </c>
      <c r="I1727" s="72" t="n">
        <v>6610.24</v>
      </c>
      <c r="J1727" s="70" t="inlineStr">
        <is>
          <t>Pending</t>
        </is>
      </c>
      <c r="K1727" s="70" t="inlineStr">
        <is>
          <t>Chennai</t>
        </is>
      </c>
    </row>
    <row r="1728" ht="14.25" customHeight="1" s="56">
      <c r="A1728" s="70" t="inlineStr">
        <is>
          <t>ORD-01727</t>
        </is>
      </c>
      <c r="B1728" s="71" t="n">
        <v>45576</v>
      </c>
      <c r="C1728" s="70" t="inlineStr">
        <is>
          <t>CUST-0137</t>
        </is>
      </c>
      <c r="D1728" s="70" t="inlineStr">
        <is>
          <t>PROD-039</t>
        </is>
      </c>
      <c r="E1728" s="70" t="inlineStr">
        <is>
          <t>R012</t>
        </is>
      </c>
      <c r="F1728" s="72" t="n">
        <v>8</v>
      </c>
      <c r="G1728" s="72" t="n">
        <v>4610</v>
      </c>
      <c r="H1728" s="72" t="n">
        <v>24.5</v>
      </c>
      <c r="I1728" s="72" t="n">
        <v>27844.4</v>
      </c>
      <c r="J1728" s="70" t="inlineStr">
        <is>
          <t>Completed</t>
        </is>
      </c>
      <c r="K1728" s="70" t="inlineStr">
        <is>
          <t>Mumbai</t>
        </is>
      </c>
    </row>
    <row r="1729" ht="14.25" customHeight="1" s="56">
      <c r="A1729" s="70" t="inlineStr">
        <is>
          <t>ORD-01728</t>
        </is>
      </c>
      <c r="B1729" s="71" t="n">
        <v>45366</v>
      </c>
      <c r="C1729" s="70" t="inlineStr">
        <is>
          <t>CUST-0132</t>
        </is>
      </c>
      <c r="D1729" s="70" t="inlineStr">
        <is>
          <t>PROD-060</t>
        </is>
      </c>
      <c r="E1729" s="70" t="inlineStr">
        <is>
          <t>R020</t>
        </is>
      </c>
      <c r="F1729" s="72" t="n">
        <v>6</v>
      </c>
      <c r="G1729" s="72" t="n">
        <v>190</v>
      </c>
      <c r="H1729" s="72" t="n">
        <v>8.699999999999999</v>
      </c>
      <c r="I1729" s="72" t="n">
        <v>1040.82</v>
      </c>
      <c r="J1729" s="70" t="inlineStr">
        <is>
          <t>Cancelled</t>
        </is>
      </c>
      <c r="K1729" s="70" t="inlineStr">
        <is>
          <t>Delhi</t>
        </is>
      </c>
    </row>
    <row r="1730" ht="14.25" customHeight="1" s="56">
      <c r="A1730" s="70" t="inlineStr">
        <is>
          <t>ORD-01729</t>
        </is>
      </c>
      <c r="B1730" s="71" t="n">
        <v>45617</v>
      </c>
      <c r="C1730" s="70" t="inlineStr">
        <is>
          <t>CUST-0226</t>
        </is>
      </c>
      <c r="D1730" s="70" t="inlineStr">
        <is>
          <t>PROD-033</t>
        </is>
      </c>
      <c r="E1730" s="70" t="inlineStr">
        <is>
          <t>R026</t>
        </is>
      </c>
      <c r="F1730" s="72" t="n">
        <v>5</v>
      </c>
      <c r="G1730" s="72" t="n">
        <v>2030</v>
      </c>
      <c r="H1730" s="72" t="n">
        <v>0.9</v>
      </c>
      <c r="I1730" s="72" t="n">
        <v>10058.65</v>
      </c>
      <c r="J1730" s="70" t="inlineStr">
        <is>
          <t>Cancelled</t>
        </is>
      </c>
      <c r="K1730" s="70" t="inlineStr">
        <is>
          <t>Chennai</t>
        </is>
      </c>
    </row>
    <row r="1731" ht="14.25" customHeight="1" s="56">
      <c r="A1731" s="70" t="inlineStr">
        <is>
          <t>ORD-01730</t>
        </is>
      </c>
      <c r="B1731" s="71" t="n">
        <v>45614</v>
      </c>
      <c r="C1731" s="70" t="inlineStr">
        <is>
          <t>CUST-0080</t>
        </is>
      </c>
      <c r="D1731" s="70" t="inlineStr">
        <is>
          <t>PROD-026</t>
        </is>
      </c>
      <c r="E1731" s="70" t="inlineStr">
        <is>
          <t>R020</t>
        </is>
      </c>
      <c r="F1731" s="72" t="n">
        <v>1</v>
      </c>
      <c r="G1731" s="72" t="n">
        <v>4070</v>
      </c>
      <c r="H1731" s="72" t="n">
        <v>9.300000000000001</v>
      </c>
      <c r="I1731" s="72" t="n">
        <v>3691.49</v>
      </c>
      <c r="J1731" s="70" t="inlineStr">
        <is>
          <t>Refunded</t>
        </is>
      </c>
      <c r="K1731" s="70" t="inlineStr">
        <is>
          <t>Pune</t>
        </is>
      </c>
    </row>
    <row r="1732" ht="14.25" customHeight="1" s="56">
      <c r="A1732" s="70" t="inlineStr">
        <is>
          <t>ORD-01731</t>
        </is>
      </c>
      <c r="B1732" s="71" t="n">
        <v>45460</v>
      </c>
      <c r="C1732" s="70" t="inlineStr">
        <is>
          <t>CUST-0068</t>
        </is>
      </c>
      <c r="D1732" s="70" t="inlineStr">
        <is>
          <t>PROD-042</t>
        </is>
      </c>
      <c r="E1732" s="70" t="inlineStr">
        <is>
          <t>R001</t>
        </is>
      </c>
      <c r="F1732" s="72" t="n">
        <v>3</v>
      </c>
      <c r="G1732" s="72" t="n">
        <v>2290</v>
      </c>
      <c r="H1732" s="72" t="n">
        <v>12.1</v>
      </c>
      <c r="I1732" s="72" t="n">
        <v>6038.73</v>
      </c>
      <c r="J1732" s="70" t="inlineStr">
        <is>
          <t>Completed</t>
        </is>
      </c>
      <c r="K1732" s="70" t="inlineStr">
        <is>
          <t>Delhi</t>
        </is>
      </c>
    </row>
    <row r="1733" ht="14.25" customHeight="1" s="56">
      <c r="A1733" s="70" t="inlineStr">
        <is>
          <t>ORD-01732</t>
        </is>
      </c>
      <c r="B1733" s="71" t="n">
        <v>45514</v>
      </c>
      <c r="C1733" s="70" t="inlineStr">
        <is>
          <t>CUST-0146</t>
        </is>
      </c>
      <c r="D1733" s="70" t="inlineStr">
        <is>
          <t>PROD-031</t>
        </is>
      </c>
      <c r="E1733" s="70" t="inlineStr">
        <is>
          <t>R020</t>
        </is>
      </c>
      <c r="F1733" s="72" t="n">
        <v>7</v>
      </c>
      <c r="G1733" s="72" t="n">
        <v>3730</v>
      </c>
      <c r="H1733" s="72" t="n">
        <v>4.5</v>
      </c>
      <c r="I1733" s="72" t="n">
        <v>24935.05</v>
      </c>
      <c r="J1733" s="70" t="inlineStr">
        <is>
          <t>Completed</t>
        </is>
      </c>
      <c r="K1733" s="70" t="inlineStr">
        <is>
          <t>Hyderabad</t>
        </is>
      </c>
    </row>
    <row r="1734" ht="14.25" customHeight="1" s="56">
      <c r="A1734" s="70" t="inlineStr">
        <is>
          <t>ORD-01733</t>
        </is>
      </c>
      <c r="B1734" s="71" t="n">
        <v>45306</v>
      </c>
      <c r="C1734" s="70" t="inlineStr">
        <is>
          <t>CUST-0106</t>
        </is>
      </c>
      <c r="D1734" s="70" t="inlineStr">
        <is>
          <t>PROD-016</t>
        </is>
      </c>
      <c r="E1734" s="70" t="inlineStr">
        <is>
          <t>R005</t>
        </is>
      </c>
      <c r="F1734" s="72" t="n">
        <v>5</v>
      </c>
      <c r="G1734" s="72" t="n">
        <v>620</v>
      </c>
      <c r="H1734" s="72" t="n">
        <v>7.5</v>
      </c>
      <c r="I1734" s="72" t="n">
        <v>2867.5</v>
      </c>
      <c r="J1734" s="70" t="inlineStr">
        <is>
          <t>Completed</t>
        </is>
      </c>
      <c r="K1734" s="70" t="inlineStr">
        <is>
          <t>Pune</t>
        </is>
      </c>
    </row>
    <row r="1735" ht="14.25" customHeight="1" s="56">
      <c r="A1735" s="70" t="inlineStr">
        <is>
          <t>ORD-01734</t>
        </is>
      </c>
      <c r="B1735" s="71" t="n">
        <v>45455</v>
      </c>
      <c r="C1735" s="70" t="inlineStr">
        <is>
          <t>CUST-0096</t>
        </is>
      </c>
      <c r="D1735" s="70" t="inlineStr">
        <is>
          <t>PROD-010</t>
        </is>
      </c>
      <c r="E1735" s="70" t="inlineStr">
        <is>
          <t>R010</t>
        </is>
      </c>
      <c r="F1735" s="72" t="n">
        <v>8</v>
      </c>
      <c r="G1735" s="72" t="n">
        <v>2640</v>
      </c>
      <c r="H1735" s="72" t="n">
        <v>16.4</v>
      </c>
      <c r="I1735" s="72" t="n">
        <v>17656.32</v>
      </c>
      <c r="J1735" s="70" t="inlineStr">
        <is>
          <t>Completed</t>
        </is>
      </c>
      <c r="K1735" s="70" t="inlineStr">
        <is>
          <t>Delhi</t>
        </is>
      </c>
    </row>
    <row r="1736" ht="14.25" customHeight="1" s="56">
      <c r="A1736" s="70" t="inlineStr">
        <is>
          <t>ORD-01735</t>
        </is>
      </c>
      <c r="B1736" s="71" t="n">
        <v>45564</v>
      </c>
      <c r="C1736" s="70" t="inlineStr">
        <is>
          <t>CUST-0248</t>
        </is>
      </c>
      <c r="D1736" s="70" t="inlineStr">
        <is>
          <t>PROD-028</t>
        </is>
      </c>
      <c r="E1736" s="70" t="inlineStr">
        <is>
          <t>R004</t>
        </is>
      </c>
      <c r="F1736" s="72" t="n">
        <v>6</v>
      </c>
      <c r="G1736" s="72" t="n">
        <v>3660</v>
      </c>
      <c r="H1736" s="72" t="n">
        <v>6.2</v>
      </c>
      <c r="I1736" s="72" t="n">
        <v>20598.48</v>
      </c>
      <c r="J1736" s="70" t="inlineStr">
        <is>
          <t>Completed</t>
        </is>
      </c>
      <c r="K1736" s="70" t="inlineStr">
        <is>
          <t>Chennai</t>
        </is>
      </c>
    </row>
    <row r="1737" ht="14.25" customHeight="1" s="56">
      <c r="A1737" s="70" t="inlineStr">
        <is>
          <t>ORD-01736</t>
        </is>
      </c>
      <c r="B1737" s="71" t="n">
        <v>45507</v>
      </c>
      <c r="C1737" s="70" t="inlineStr">
        <is>
          <t>CUST-0297</t>
        </is>
      </c>
      <c r="D1737" s="70" t="inlineStr">
        <is>
          <t>PROD-020</t>
        </is>
      </c>
      <c r="E1737" s="70" t="inlineStr">
        <is>
          <t>R020</t>
        </is>
      </c>
      <c r="F1737" s="72" t="n">
        <v>2</v>
      </c>
      <c r="G1737" s="72" t="n">
        <v>820</v>
      </c>
      <c r="H1737" s="72" t="n">
        <v>25.4</v>
      </c>
      <c r="I1737" s="72" t="n">
        <v>1223.44</v>
      </c>
      <c r="J1737" s="70" t="inlineStr">
        <is>
          <t>Completed</t>
        </is>
      </c>
      <c r="K1737" s="70" t="inlineStr">
        <is>
          <t>Hyderabad</t>
        </is>
      </c>
    </row>
    <row r="1738" ht="14.25" customHeight="1" s="56">
      <c r="A1738" s="70" t="inlineStr">
        <is>
          <t>ORD-01737</t>
        </is>
      </c>
      <c r="B1738" s="71" t="n">
        <v>45596</v>
      </c>
      <c r="C1738" s="70" t="inlineStr">
        <is>
          <t>CUST-0120</t>
        </is>
      </c>
      <c r="D1738" s="70" t="inlineStr">
        <is>
          <t>PROD-019</t>
        </is>
      </c>
      <c r="E1738" s="70" t="inlineStr">
        <is>
          <t>R021</t>
        </is>
      </c>
      <c r="F1738" s="72" t="n">
        <v>3</v>
      </c>
      <c r="G1738" s="72" t="n">
        <v>2480</v>
      </c>
      <c r="H1738" s="72" t="n">
        <v>28.7</v>
      </c>
      <c r="I1738" s="72" t="n">
        <v>5304.72</v>
      </c>
      <c r="J1738" s="70" t="inlineStr">
        <is>
          <t>Pending</t>
        </is>
      </c>
      <c r="K1738" s="70" t="inlineStr">
        <is>
          <t>Mumbai</t>
        </is>
      </c>
    </row>
    <row r="1739" ht="14.25" customHeight="1" s="56">
      <c r="A1739" s="70" t="inlineStr">
        <is>
          <t>ORD-01738</t>
        </is>
      </c>
      <c r="B1739" s="71" t="n">
        <v>45534</v>
      </c>
      <c r="C1739" s="70" t="inlineStr">
        <is>
          <t>CUST-0148</t>
        </is>
      </c>
      <c r="D1739" s="70" t="inlineStr">
        <is>
          <t>PROD-050</t>
        </is>
      </c>
      <c r="E1739" s="70" t="inlineStr">
        <is>
          <t>R028</t>
        </is>
      </c>
      <c r="F1739" s="72" t="n">
        <v>10</v>
      </c>
      <c r="G1739" s="72" t="n">
        <v>6080</v>
      </c>
      <c r="H1739" s="72" t="n">
        <v>18.9</v>
      </c>
      <c r="I1739" s="72" t="n">
        <v>49308.8</v>
      </c>
      <c r="J1739" s="70" t="inlineStr">
        <is>
          <t>Completed</t>
        </is>
      </c>
      <c r="K1739" s="70" t="inlineStr">
        <is>
          <t>Chennai</t>
        </is>
      </c>
    </row>
    <row r="1740" ht="14.25" customHeight="1" s="56">
      <c r="A1740" s="70" t="inlineStr">
        <is>
          <t>ORD-01739</t>
        </is>
      </c>
      <c r="B1740" s="71" t="n">
        <v>45336</v>
      </c>
      <c r="C1740" s="70" t="inlineStr">
        <is>
          <t>CUST-0008</t>
        </is>
      </c>
      <c r="D1740" s="70" t="inlineStr">
        <is>
          <t>PROD-060</t>
        </is>
      </c>
      <c r="E1740" s="70" t="inlineStr">
        <is>
          <t>R022</t>
        </is>
      </c>
      <c r="F1740" s="72" t="n">
        <v>1</v>
      </c>
      <c r="G1740" s="72" t="n">
        <v>190</v>
      </c>
      <c r="H1740" s="72" t="n">
        <v>5.7</v>
      </c>
      <c r="I1740" s="72" t="n">
        <v>179.17</v>
      </c>
      <c r="J1740" s="70" t="inlineStr">
        <is>
          <t>Completed</t>
        </is>
      </c>
      <c r="K1740" s="70" t="inlineStr">
        <is>
          <t>Pune</t>
        </is>
      </c>
    </row>
    <row r="1741" ht="14.25" customHeight="1" s="56">
      <c r="A1741" s="70" t="inlineStr">
        <is>
          <t>ORD-01740</t>
        </is>
      </c>
      <c r="B1741" s="71" t="n">
        <v>45463</v>
      </c>
      <c r="C1741" s="70" t="inlineStr">
        <is>
          <t>CUST-0013</t>
        </is>
      </c>
      <c r="D1741" s="70" t="inlineStr">
        <is>
          <t>PROD-059</t>
        </is>
      </c>
      <c r="E1741" s="70" t="inlineStr">
        <is>
          <t>R026</t>
        </is>
      </c>
      <c r="F1741" s="72" t="n">
        <v>2</v>
      </c>
      <c r="G1741" s="72" t="n">
        <v>3780</v>
      </c>
      <c r="H1741" s="72" t="n">
        <v>11.8</v>
      </c>
      <c r="I1741" s="72" t="n">
        <v>6667.92</v>
      </c>
      <c r="J1741" s="70" t="inlineStr">
        <is>
          <t>Completed</t>
        </is>
      </c>
      <c r="K1741" s="70" t="inlineStr">
        <is>
          <t>Delhi</t>
        </is>
      </c>
    </row>
    <row r="1742" ht="14.25" customHeight="1" s="56">
      <c r="A1742" s="70" t="inlineStr">
        <is>
          <t>ORD-01741</t>
        </is>
      </c>
      <c r="B1742" s="71" t="n">
        <v>45602</v>
      </c>
      <c r="C1742" s="70" t="inlineStr">
        <is>
          <t>CUST-0234</t>
        </is>
      </c>
      <c r="D1742" s="70" t="inlineStr">
        <is>
          <t>PROD-036</t>
        </is>
      </c>
      <c r="E1742" s="70" t="inlineStr">
        <is>
          <t>R001</t>
        </is>
      </c>
      <c r="F1742" s="72" t="n">
        <v>5</v>
      </c>
      <c r="G1742" s="72" t="n">
        <v>3250</v>
      </c>
      <c r="H1742" s="72" t="n">
        <v>19.9</v>
      </c>
      <c r="I1742" s="72" t="n">
        <v>13016.25</v>
      </c>
      <c r="J1742" s="70" t="inlineStr">
        <is>
          <t>Completed</t>
        </is>
      </c>
      <c r="K1742" s="70" t="inlineStr">
        <is>
          <t>Bengaluru</t>
        </is>
      </c>
    </row>
    <row r="1743" ht="14.25" customHeight="1" s="56">
      <c r="A1743" s="70" t="inlineStr">
        <is>
          <t>ORD-01742</t>
        </is>
      </c>
      <c r="B1743" s="71" t="n">
        <v>45365</v>
      </c>
      <c r="C1743" s="70" t="inlineStr">
        <is>
          <t>CUST-0207</t>
        </is>
      </c>
      <c r="D1743" s="70" t="inlineStr">
        <is>
          <t>PROD-033</t>
        </is>
      </c>
      <c r="E1743" s="70" t="inlineStr">
        <is>
          <t>R008</t>
        </is>
      </c>
      <c r="F1743" s="72" t="n">
        <v>7</v>
      </c>
      <c r="G1743" s="72" t="n">
        <v>2030</v>
      </c>
      <c r="H1743" s="72" t="n">
        <v>4.1</v>
      </c>
      <c r="I1743" s="72" t="n">
        <v>13627.39</v>
      </c>
      <c r="J1743" s="70" t="inlineStr">
        <is>
          <t>Completed</t>
        </is>
      </c>
      <c r="K1743" s="70" t="inlineStr">
        <is>
          <t>Hyderabad</t>
        </is>
      </c>
    </row>
    <row r="1744" ht="14.25" customHeight="1" s="56">
      <c r="A1744" s="70" t="inlineStr">
        <is>
          <t>ORD-01743</t>
        </is>
      </c>
      <c r="B1744" s="71" t="n">
        <v>45651</v>
      </c>
      <c r="C1744" s="70" t="inlineStr">
        <is>
          <t>CUST-0245</t>
        </is>
      </c>
      <c r="D1744" s="70" t="inlineStr">
        <is>
          <t>PROD-046</t>
        </is>
      </c>
      <c r="E1744" s="70" t="inlineStr">
        <is>
          <t>R012</t>
        </is>
      </c>
      <c r="F1744" s="72" t="n">
        <v>5</v>
      </c>
      <c r="G1744" s="72" t="n">
        <v>4880</v>
      </c>
      <c r="H1744" s="72" t="n">
        <v>22.9</v>
      </c>
      <c r="I1744" s="72" t="n">
        <v>18812.4</v>
      </c>
      <c r="J1744" s="70" t="inlineStr">
        <is>
          <t>Completed</t>
        </is>
      </c>
      <c r="K1744" s="70" t="inlineStr">
        <is>
          <t>Hyderabad</t>
        </is>
      </c>
    </row>
    <row r="1745" ht="14.25" customHeight="1" s="56">
      <c r="A1745" s="70" t="inlineStr">
        <is>
          <t>ORD-01744</t>
        </is>
      </c>
      <c r="B1745" s="71" t="n">
        <v>45297</v>
      </c>
      <c r="C1745" s="70" t="inlineStr">
        <is>
          <t>CUST-0044</t>
        </is>
      </c>
      <c r="D1745" s="70" t="inlineStr">
        <is>
          <t>PROD-043</t>
        </is>
      </c>
      <c r="E1745" s="70" t="inlineStr">
        <is>
          <t>R020</t>
        </is>
      </c>
      <c r="F1745" s="72" t="n">
        <v>3</v>
      </c>
      <c r="G1745" s="72" t="n">
        <v>3350</v>
      </c>
      <c r="H1745" s="72" t="n">
        <v>15.2</v>
      </c>
      <c r="I1745" s="72" t="n">
        <v>8522.4</v>
      </c>
      <c r="J1745" s="70" t="inlineStr">
        <is>
          <t>Pending</t>
        </is>
      </c>
      <c r="K1745" s="70" t="inlineStr">
        <is>
          <t>Hyderabad</t>
        </is>
      </c>
    </row>
    <row r="1746" ht="14.25" customHeight="1" s="56">
      <c r="A1746" s="70" t="inlineStr">
        <is>
          <t>ORD-01745</t>
        </is>
      </c>
      <c r="B1746" s="71" t="n">
        <v>45425</v>
      </c>
      <c r="C1746" s="70" t="inlineStr">
        <is>
          <t>CUST-0264</t>
        </is>
      </c>
      <c r="D1746" s="70" t="inlineStr">
        <is>
          <t>PROD-055</t>
        </is>
      </c>
      <c r="E1746" s="70" t="inlineStr">
        <is>
          <t>R029</t>
        </is>
      </c>
      <c r="F1746" s="72" t="n">
        <v>10</v>
      </c>
      <c r="G1746" s="72" t="n">
        <v>2860</v>
      </c>
      <c r="H1746" s="72" t="n">
        <v>15</v>
      </c>
      <c r="I1746" s="72" t="n">
        <v>24310</v>
      </c>
      <c r="J1746" s="70" t="inlineStr">
        <is>
          <t>Completed</t>
        </is>
      </c>
      <c r="K1746" s="70" t="inlineStr">
        <is>
          <t>Pune</t>
        </is>
      </c>
    </row>
    <row r="1747" ht="14.25" customHeight="1" s="56">
      <c r="A1747" s="70" t="inlineStr">
        <is>
          <t>ORD-01746</t>
        </is>
      </c>
      <c r="B1747" s="71" t="n">
        <v>45444</v>
      </c>
      <c r="C1747" s="70" t="inlineStr">
        <is>
          <t>CUST-0193</t>
        </is>
      </c>
      <c r="D1747" s="70" t="inlineStr">
        <is>
          <t>PROD-047</t>
        </is>
      </c>
      <c r="E1747" s="70" t="inlineStr">
        <is>
          <t>R018</t>
        </is>
      </c>
      <c r="F1747" s="72" t="n">
        <v>5</v>
      </c>
      <c r="G1747" s="72" t="n">
        <v>3450</v>
      </c>
      <c r="H1747" s="72" t="n">
        <v>2.3</v>
      </c>
      <c r="I1747" s="72" t="n">
        <v>16853.25</v>
      </c>
      <c r="J1747" s="70" t="inlineStr">
        <is>
          <t>Completed</t>
        </is>
      </c>
      <c r="K1747" s="70" t="inlineStr">
        <is>
          <t>Bengaluru</t>
        </is>
      </c>
    </row>
    <row r="1748" ht="14.25" customHeight="1" s="56">
      <c r="A1748" s="70" t="inlineStr">
        <is>
          <t>ORD-01747</t>
        </is>
      </c>
      <c r="B1748" s="71" t="n">
        <v>45397</v>
      </c>
      <c r="C1748" s="70" t="inlineStr">
        <is>
          <t>CUST-0006</t>
        </is>
      </c>
      <c r="D1748" s="70" t="inlineStr">
        <is>
          <t>PROD-024</t>
        </is>
      </c>
      <c r="E1748" s="70" t="inlineStr">
        <is>
          <t>R015</t>
        </is>
      </c>
      <c r="F1748" s="72" t="n">
        <v>3</v>
      </c>
      <c r="G1748" s="72" t="n">
        <v>2270</v>
      </c>
      <c r="H1748" s="72" t="n">
        <v>2.8</v>
      </c>
      <c r="I1748" s="72" t="n">
        <v>6619.32</v>
      </c>
      <c r="J1748" s="70" t="inlineStr">
        <is>
          <t>Pending</t>
        </is>
      </c>
      <c r="K1748" s="70" t="inlineStr">
        <is>
          <t>Pune</t>
        </is>
      </c>
    </row>
    <row r="1749" ht="14.25" customHeight="1" s="56">
      <c r="A1749" s="70" t="inlineStr">
        <is>
          <t>ORD-01748</t>
        </is>
      </c>
      <c r="B1749" s="71" t="n">
        <v>45354</v>
      </c>
      <c r="C1749" s="70" t="inlineStr">
        <is>
          <t>CUST-0221</t>
        </is>
      </c>
      <c r="D1749" s="70" t="inlineStr">
        <is>
          <t>PROD-028</t>
        </is>
      </c>
      <c r="E1749" s="70" t="inlineStr">
        <is>
          <t>R007</t>
        </is>
      </c>
      <c r="F1749" s="72" t="n">
        <v>8</v>
      </c>
      <c r="G1749" s="72" t="n">
        <v>3660</v>
      </c>
      <c r="H1749" s="72" t="n">
        <v>16.8</v>
      </c>
      <c r="I1749" s="72" t="n">
        <v>24360.96</v>
      </c>
      <c r="J1749" s="70" t="inlineStr">
        <is>
          <t>Completed</t>
        </is>
      </c>
      <c r="K1749" s="70" t="inlineStr">
        <is>
          <t>Delhi</t>
        </is>
      </c>
    </row>
    <row r="1750" ht="14.25" customHeight="1" s="56">
      <c r="A1750" s="70" t="inlineStr">
        <is>
          <t>ORD-01749</t>
        </is>
      </c>
      <c r="B1750" s="71" t="n">
        <v>45469</v>
      </c>
      <c r="C1750" s="70" t="inlineStr">
        <is>
          <t>CUST-0151</t>
        </is>
      </c>
      <c r="D1750" s="70" t="inlineStr">
        <is>
          <t>PROD-045</t>
        </is>
      </c>
      <c r="E1750" s="70" t="inlineStr">
        <is>
          <t>R008</t>
        </is>
      </c>
      <c r="F1750" s="72" t="n">
        <v>7</v>
      </c>
      <c r="G1750" s="72" t="n">
        <v>3020</v>
      </c>
      <c r="H1750" s="72" t="n">
        <v>17.8</v>
      </c>
      <c r="I1750" s="72" t="n">
        <v>17377.08</v>
      </c>
      <c r="J1750" s="70" t="inlineStr">
        <is>
          <t>Completed</t>
        </is>
      </c>
      <c r="K1750" s="70" t="inlineStr">
        <is>
          <t>Mumbai</t>
        </is>
      </c>
    </row>
    <row r="1751" ht="14.25" customHeight="1" s="56">
      <c r="A1751" s="70" t="inlineStr">
        <is>
          <t>ORD-01750</t>
        </is>
      </c>
      <c r="B1751" s="71" t="n">
        <v>45587</v>
      </c>
      <c r="C1751" s="70" t="inlineStr">
        <is>
          <t>CUST-0188</t>
        </is>
      </c>
      <c r="D1751" s="70" t="inlineStr">
        <is>
          <t>PROD-040</t>
        </is>
      </c>
      <c r="E1751" s="70" t="inlineStr">
        <is>
          <t>R014</t>
        </is>
      </c>
      <c r="F1751" s="72" t="n">
        <v>7</v>
      </c>
      <c r="G1751" s="72" t="n">
        <v>1080</v>
      </c>
      <c r="H1751" s="72" t="n">
        <v>12.9</v>
      </c>
      <c r="I1751" s="72" t="n">
        <v>6584.76</v>
      </c>
      <c r="J1751" s="70" t="inlineStr">
        <is>
          <t>Completed</t>
        </is>
      </c>
      <c r="K1751" s="70" t="inlineStr">
        <is>
          <t>Bengaluru</t>
        </is>
      </c>
    </row>
    <row r="1752" ht="14.25" customHeight="1" s="56">
      <c r="A1752" s="70" t="inlineStr">
        <is>
          <t>ORD-01751</t>
        </is>
      </c>
      <c r="B1752" s="71" t="n">
        <v>45494</v>
      </c>
      <c r="C1752" s="70" t="inlineStr">
        <is>
          <t>CUST-0010</t>
        </is>
      </c>
      <c r="D1752" s="70" t="inlineStr">
        <is>
          <t>PROD-022</t>
        </is>
      </c>
      <c r="E1752" s="70" t="inlineStr">
        <is>
          <t>R012</t>
        </is>
      </c>
      <c r="F1752" s="72" t="n">
        <v>2</v>
      </c>
      <c r="G1752" s="72" t="n">
        <v>2270</v>
      </c>
      <c r="H1752" s="72" t="n">
        <v>8.6</v>
      </c>
      <c r="I1752" s="72" t="n">
        <v>4149.56</v>
      </c>
      <c r="J1752" s="70" t="inlineStr">
        <is>
          <t>Cancelled</t>
        </is>
      </c>
      <c r="K1752" s="70" t="inlineStr">
        <is>
          <t>Mumbai</t>
        </is>
      </c>
    </row>
    <row r="1753" ht="14.25" customHeight="1" s="56">
      <c r="A1753" s="70" t="inlineStr">
        <is>
          <t>ORD-01752</t>
        </is>
      </c>
      <c r="B1753" s="71" t="n">
        <v>45445</v>
      </c>
      <c r="C1753" s="70" t="inlineStr">
        <is>
          <t>CUST-0018</t>
        </is>
      </c>
      <c r="D1753" s="70" t="inlineStr">
        <is>
          <t>PROD-016</t>
        </is>
      </c>
      <c r="E1753" s="70" t="inlineStr">
        <is>
          <t>R012</t>
        </is>
      </c>
      <c r="F1753" s="72" t="n">
        <v>10</v>
      </c>
      <c r="G1753" s="72" t="n">
        <v>620</v>
      </c>
      <c r="H1753" s="72" t="n">
        <v>26.1</v>
      </c>
      <c r="I1753" s="72" t="n">
        <v>4581.8</v>
      </c>
      <c r="J1753" s="70" t="inlineStr">
        <is>
          <t>Completed</t>
        </is>
      </c>
      <c r="K1753" s="70" t="inlineStr">
        <is>
          <t>Pune</t>
        </is>
      </c>
    </row>
    <row r="1754" ht="14.25" customHeight="1" s="56">
      <c r="A1754" s="70" t="inlineStr">
        <is>
          <t>ORD-01753</t>
        </is>
      </c>
      <c r="B1754" s="71" t="n">
        <v>45561</v>
      </c>
      <c r="C1754" s="70" t="inlineStr">
        <is>
          <t>CUST-0262</t>
        </is>
      </c>
      <c r="D1754" s="70" t="inlineStr">
        <is>
          <t>PROD-025</t>
        </is>
      </c>
      <c r="E1754" s="70" t="inlineStr">
        <is>
          <t>R015</t>
        </is>
      </c>
      <c r="F1754" s="72" t="n">
        <v>2</v>
      </c>
      <c r="G1754" s="72" t="n">
        <v>4060</v>
      </c>
      <c r="H1754" s="72" t="n">
        <v>3.8</v>
      </c>
      <c r="I1754" s="72" t="n">
        <v>7811.44</v>
      </c>
      <c r="J1754" s="70" t="inlineStr">
        <is>
          <t>Completed</t>
        </is>
      </c>
      <c r="K1754" s="70" t="inlineStr">
        <is>
          <t>Mumbai</t>
        </is>
      </c>
    </row>
    <row r="1755" ht="14.25" customHeight="1" s="56">
      <c r="A1755" s="70" t="inlineStr">
        <is>
          <t>ORD-01754</t>
        </is>
      </c>
      <c r="B1755" s="71" t="n">
        <v>45488</v>
      </c>
      <c r="C1755" s="70" t="inlineStr">
        <is>
          <t>CUST-0282</t>
        </is>
      </c>
      <c r="D1755" s="70" t="inlineStr">
        <is>
          <t>PROD-027</t>
        </is>
      </c>
      <c r="E1755" s="70" t="inlineStr">
        <is>
          <t>R012</t>
        </is>
      </c>
      <c r="F1755" s="72" t="n">
        <v>1</v>
      </c>
      <c r="G1755" s="72" t="n">
        <v>3780</v>
      </c>
      <c r="H1755" s="72" t="n">
        <v>27.9</v>
      </c>
      <c r="I1755" s="72" t="n">
        <v>2725.38</v>
      </c>
      <c r="J1755" s="70" t="inlineStr">
        <is>
          <t>Completed</t>
        </is>
      </c>
      <c r="K1755" s="70" t="inlineStr">
        <is>
          <t>Hyderabad</t>
        </is>
      </c>
    </row>
    <row r="1756" ht="14.25" customHeight="1" s="56">
      <c r="A1756" s="70" t="inlineStr">
        <is>
          <t>ORD-01755</t>
        </is>
      </c>
      <c r="B1756" s="71" t="n">
        <v>45617</v>
      </c>
      <c r="C1756" s="70" t="inlineStr">
        <is>
          <t>CUST-0194</t>
        </is>
      </c>
      <c r="D1756" s="70" t="inlineStr">
        <is>
          <t>PROD-023</t>
        </is>
      </c>
      <c r="E1756" s="70" t="inlineStr">
        <is>
          <t>R022</t>
        </is>
      </c>
      <c r="F1756" s="72" t="n">
        <v>8</v>
      </c>
      <c r="G1756" s="72" t="n">
        <v>2380</v>
      </c>
      <c r="H1756" s="72" t="n">
        <v>3.8</v>
      </c>
      <c r="I1756" s="72" t="n">
        <v>18316.48</v>
      </c>
      <c r="J1756" s="70" t="inlineStr">
        <is>
          <t>Completed</t>
        </is>
      </c>
      <c r="K1756" s="70" t="inlineStr">
        <is>
          <t>Delhi</t>
        </is>
      </c>
    </row>
    <row r="1757" ht="14.25" customHeight="1" s="56">
      <c r="A1757" s="70" t="inlineStr">
        <is>
          <t>ORD-01756</t>
        </is>
      </c>
      <c r="B1757" s="71" t="n">
        <v>45378</v>
      </c>
      <c r="C1757" s="70" t="inlineStr">
        <is>
          <t>CUST-0161</t>
        </is>
      </c>
      <c r="D1757" s="70" t="inlineStr">
        <is>
          <t>PROD-026</t>
        </is>
      </c>
      <c r="E1757" s="70" t="inlineStr">
        <is>
          <t>R024</t>
        </is>
      </c>
      <c r="F1757" s="72" t="n">
        <v>7</v>
      </c>
      <c r="G1757" s="72" t="n">
        <v>4070</v>
      </c>
      <c r="H1757" s="72" t="n">
        <v>0.3</v>
      </c>
      <c r="I1757" s="72" t="n">
        <v>28404.53</v>
      </c>
      <c r="J1757" s="70" t="inlineStr">
        <is>
          <t>Completed</t>
        </is>
      </c>
      <c r="K1757" s="70" t="inlineStr">
        <is>
          <t>Chennai</t>
        </is>
      </c>
    </row>
    <row r="1758" ht="14.25" customHeight="1" s="56">
      <c r="A1758" s="70" t="inlineStr">
        <is>
          <t>ORD-01757</t>
        </is>
      </c>
      <c r="B1758" s="71" t="n">
        <v>45459</v>
      </c>
      <c r="C1758" s="70" t="inlineStr">
        <is>
          <t>CUST-0120</t>
        </is>
      </c>
      <c r="D1758" s="70" t="inlineStr">
        <is>
          <t>PROD-010</t>
        </is>
      </c>
      <c r="E1758" s="70" t="inlineStr">
        <is>
          <t>R020</t>
        </is>
      </c>
      <c r="F1758" s="72" t="n">
        <v>6</v>
      </c>
      <c r="G1758" s="72" t="n">
        <v>2640</v>
      </c>
      <c r="H1758" s="72" t="n">
        <v>3.4</v>
      </c>
      <c r="I1758" s="72" t="n">
        <v>15301.44</v>
      </c>
      <c r="J1758" s="70" t="inlineStr">
        <is>
          <t>Completed</t>
        </is>
      </c>
      <c r="K1758" s="70" t="inlineStr">
        <is>
          <t>Mumbai</t>
        </is>
      </c>
    </row>
    <row r="1759" ht="14.25" customHeight="1" s="56">
      <c r="A1759" s="70" t="inlineStr">
        <is>
          <t>ORD-01758</t>
        </is>
      </c>
      <c r="B1759" s="71" t="n">
        <v>45377</v>
      </c>
      <c r="C1759" s="70" t="inlineStr">
        <is>
          <t>CUST-0250</t>
        </is>
      </c>
      <c r="D1759" s="70" t="inlineStr">
        <is>
          <t>PROD-059</t>
        </is>
      </c>
      <c r="E1759" s="70" t="inlineStr">
        <is>
          <t>R030</t>
        </is>
      </c>
      <c r="F1759" s="72" t="n">
        <v>10</v>
      </c>
      <c r="G1759" s="72" t="n">
        <v>3780</v>
      </c>
      <c r="H1759" s="72" t="n">
        <v>13.3</v>
      </c>
      <c r="I1759" s="72" t="n">
        <v>32772.6</v>
      </c>
      <c r="J1759" s="70" t="inlineStr">
        <is>
          <t>Completed</t>
        </is>
      </c>
      <c r="K1759" s="70" t="inlineStr">
        <is>
          <t>Delhi</t>
        </is>
      </c>
    </row>
    <row r="1760" ht="14.25" customHeight="1" s="56">
      <c r="A1760" s="70" t="inlineStr">
        <is>
          <t>ORD-01759</t>
        </is>
      </c>
      <c r="B1760" s="71" t="n">
        <v>45302</v>
      </c>
      <c r="C1760" s="70" t="inlineStr">
        <is>
          <t>CUST-0054</t>
        </is>
      </c>
      <c r="D1760" s="70" t="inlineStr">
        <is>
          <t>PROD-043</t>
        </is>
      </c>
      <c r="E1760" s="70" t="inlineStr">
        <is>
          <t>R009</t>
        </is>
      </c>
      <c r="F1760" s="72" t="n">
        <v>9</v>
      </c>
      <c r="G1760" s="72" t="n">
        <v>3350</v>
      </c>
      <c r="H1760" s="72" t="n">
        <v>12.8</v>
      </c>
      <c r="I1760" s="72" t="n">
        <v>26290.8</v>
      </c>
      <c r="J1760" s="70" t="inlineStr">
        <is>
          <t>Completed</t>
        </is>
      </c>
      <c r="K1760" s="70" t="inlineStr">
        <is>
          <t>Mumbai</t>
        </is>
      </c>
    </row>
    <row r="1761" ht="14.25" customHeight="1" s="56">
      <c r="A1761" s="70" t="inlineStr">
        <is>
          <t>ORD-01760</t>
        </is>
      </c>
      <c r="B1761" s="71" t="n">
        <v>45459</v>
      </c>
      <c r="C1761" s="70" t="inlineStr">
        <is>
          <t>CUST-0247</t>
        </is>
      </c>
      <c r="D1761" s="70" t="inlineStr">
        <is>
          <t>PROD-012</t>
        </is>
      </c>
      <c r="E1761" s="70" t="inlineStr">
        <is>
          <t>R024</t>
        </is>
      </c>
      <c r="F1761" s="72" t="n">
        <v>7</v>
      </c>
      <c r="G1761" s="72" t="n">
        <v>3160</v>
      </c>
      <c r="H1761" s="72" t="n">
        <v>15.3</v>
      </c>
      <c r="I1761" s="72" t="n">
        <v>18735.64</v>
      </c>
      <c r="J1761" s="70" t="inlineStr">
        <is>
          <t>Completed</t>
        </is>
      </c>
      <c r="K1761" s="70" t="inlineStr">
        <is>
          <t>Pune</t>
        </is>
      </c>
    </row>
    <row r="1762" ht="14.25" customHeight="1" s="56">
      <c r="A1762" s="70" t="inlineStr">
        <is>
          <t>ORD-01761</t>
        </is>
      </c>
      <c r="B1762" s="71" t="n">
        <v>45428</v>
      </c>
      <c r="C1762" s="70" t="inlineStr">
        <is>
          <t>CUST-0127</t>
        </is>
      </c>
      <c r="D1762" s="70" t="inlineStr">
        <is>
          <t>PROD-055</t>
        </is>
      </c>
      <c r="E1762" s="70" t="inlineStr">
        <is>
          <t>R004</t>
        </is>
      </c>
      <c r="F1762" s="72" t="n">
        <v>6</v>
      </c>
      <c r="G1762" s="72" t="n">
        <v>2860</v>
      </c>
      <c r="H1762" s="72" t="n">
        <v>17.5</v>
      </c>
      <c r="I1762" s="72" t="n">
        <v>14157</v>
      </c>
      <c r="J1762" s="70" t="inlineStr">
        <is>
          <t>Completed</t>
        </is>
      </c>
      <c r="K1762" s="70" t="inlineStr">
        <is>
          <t>Bengaluru</t>
        </is>
      </c>
    </row>
    <row r="1763" ht="14.25" customHeight="1" s="56">
      <c r="A1763" s="70" t="inlineStr">
        <is>
          <t>ORD-01762</t>
        </is>
      </c>
      <c r="B1763" s="71" t="n">
        <v>45341</v>
      </c>
      <c r="C1763" s="70" t="inlineStr">
        <is>
          <t>CUST-0030</t>
        </is>
      </c>
      <c r="D1763" s="70" t="inlineStr">
        <is>
          <t>PROD-005</t>
        </is>
      </c>
      <c r="E1763" s="70" t="inlineStr">
        <is>
          <t>R010</t>
        </is>
      </c>
      <c r="F1763" s="72" t="n">
        <v>9</v>
      </c>
      <c r="G1763" s="72" t="n">
        <v>300</v>
      </c>
      <c r="H1763" s="72" t="n">
        <v>25.2</v>
      </c>
      <c r="I1763" s="72" t="n">
        <v>2019.6</v>
      </c>
      <c r="J1763" s="70" t="inlineStr">
        <is>
          <t>Completed</t>
        </is>
      </c>
      <c r="K1763" s="70" t="inlineStr">
        <is>
          <t>Bengaluru</t>
        </is>
      </c>
    </row>
    <row r="1764" ht="14.25" customHeight="1" s="56">
      <c r="A1764" s="70" t="inlineStr">
        <is>
          <t>ORD-01763</t>
        </is>
      </c>
      <c r="B1764" s="71" t="n">
        <v>45296</v>
      </c>
      <c r="C1764" s="70" t="inlineStr">
        <is>
          <t>CUST-0205</t>
        </is>
      </c>
      <c r="D1764" s="70" t="inlineStr">
        <is>
          <t>PROD-060</t>
        </is>
      </c>
      <c r="E1764" s="70" t="inlineStr">
        <is>
          <t>R020</t>
        </is>
      </c>
      <c r="F1764" s="72" t="n">
        <v>5</v>
      </c>
      <c r="G1764" s="72" t="n">
        <v>190</v>
      </c>
      <c r="H1764" s="72" t="n">
        <v>1.8</v>
      </c>
      <c r="I1764" s="72" t="n">
        <v>932.9</v>
      </c>
      <c r="J1764" s="70" t="inlineStr">
        <is>
          <t>Completed</t>
        </is>
      </c>
      <c r="K1764" s="70" t="inlineStr">
        <is>
          <t>Pune</t>
        </is>
      </c>
    </row>
    <row r="1765" ht="14.25" customHeight="1" s="56">
      <c r="A1765" s="70" t="inlineStr">
        <is>
          <t>ORD-01764</t>
        </is>
      </c>
      <c r="B1765" s="71" t="n">
        <v>45533</v>
      </c>
      <c r="C1765" s="70" t="inlineStr">
        <is>
          <t>CUST-0172</t>
        </is>
      </c>
      <c r="D1765" s="70" t="inlineStr">
        <is>
          <t>PROD-054</t>
        </is>
      </c>
      <c r="E1765" s="70" t="inlineStr">
        <is>
          <t>R021</t>
        </is>
      </c>
      <c r="F1765" s="72" t="n">
        <v>7</v>
      </c>
      <c r="G1765" s="72" t="n">
        <v>1010</v>
      </c>
      <c r="H1765" s="72" t="n">
        <v>11.2</v>
      </c>
      <c r="I1765" s="72" t="n">
        <v>6278.16</v>
      </c>
      <c r="J1765" s="70" t="inlineStr">
        <is>
          <t>Completed</t>
        </is>
      </c>
      <c r="K1765" s="70" t="inlineStr">
        <is>
          <t>Pune</t>
        </is>
      </c>
    </row>
    <row r="1766" ht="14.25" customHeight="1" s="56">
      <c r="A1766" s="70" t="inlineStr">
        <is>
          <t>ORD-01765</t>
        </is>
      </c>
      <c r="B1766" s="71" t="n">
        <v>45515</v>
      </c>
      <c r="C1766" s="70" t="inlineStr">
        <is>
          <t>CUST-0283</t>
        </is>
      </c>
      <c r="D1766" s="70" t="inlineStr">
        <is>
          <t>PROD-051</t>
        </is>
      </c>
      <c r="E1766" s="70" t="inlineStr">
        <is>
          <t>R001</t>
        </is>
      </c>
      <c r="F1766" s="72" t="n">
        <v>8</v>
      </c>
      <c r="G1766" s="72" t="n">
        <v>3450</v>
      </c>
      <c r="H1766" s="72" t="n">
        <v>8.4</v>
      </c>
      <c r="I1766" s="72" t="n">
        <v>25281.6</v>
      </c>
      <c r="J1766" s="70" t="inlineStr">
        <is>
          <t>Completed</t>
        </is>
      </c>
      <c r="K1766" s="70" t="inlineStr">
        <is>
          <t>Delhi</t>
        </is>
      </c>
    </row>
    <row r="1767" ht="14.25" customHeight="1" s="56">
      <c r="A1767" s="70" t="inlineStr">
        <is>
          <t>ORD-01766</t>
        </is>
      </c>
      <c r="B1767" s="71" t="n">
        <v>45597</v>
      </c>
      <c r="C1767" s="70" t="inlineStr">
        <is>
          <t>CUST-0005</t>
        </is>
      </c>
      <c r="D1767" s="70" t="inlineStr">
        <is>
          <t>PROD-005</t>
        </is>
      </c>
      <c r="E1767" s="70" t="inlineStr">
        <is>
          <t>R001</t>
        </is>
      </c>
      <c r="F1767" s="72" t="n">
        <v>3</v>
      </c>
      <c r="G1767" s="72" t="n">
        <v>300</v>
      </c>
      <c r="H1767" s="72" t="n">
        <v>7.5</v>
      </c>
      <c r="I1767" s="72" t="n">
        <v>832.5</v>
      </c>
      <c r="J1767" s="70" t="inlineStr">
        <is>
          <t>Refunded</t>
        </is>
      </c>
      <c r="K1767" s="70" t="inlineStr">
        <is>
          <t>Chennai</t>
        </is>
      </c>
    </row>
    <row r="1768" ht="14.25" customHeight="1" s="56">
      <c r="A1768" s="70" t="inlineStr">
        <is>
          <t>ORD-01767</t>
        </is>
      </c>
      <c r="B1768" s="71" t="n">
        <v>45370</v>
      </c>
      <c r="C1768" s="70" t="inlineStr">
        <is>
          <t>CUST-0095</t>
        </is>
      </c>
      <c r="D1768" s="70" t="inlineStr">
        <is>
          <t>PROD-031</t>
        </is>
      </c>
      <c r="E1768" s="70" t="inlineStr">
        <is>
          <t>R018</t>
        </is>
      </c>
      <c r="F1768" s="72" t="n">
        <v>4</v>
      </c>
      <c r="G1768" s="72" t="n">
        <v>3730</v>
      </c>
      <c r="H1768" s="72" t="n">
        <v>24.8</v>
      </c>
      <c r="I1768" s="72" t="n">
        <v>11219.84</v>
      </c>
      <c r="J1768" s="70" t="inlineStr">
        <is>
          <t>Completed</t>
        </is>
      </c>
      <c r="K1768" s="70" t="inlineStr">
        <is>
          <t>Mumbai</t>
        </is>
      </c>
    </row>
    <row r="1769" ht="14.25" customHeight="1" s="56">
      <c r="A1769" s="70" t="inlineStr">
        <is>
          <t>ORD-01768</t>
        </is>
      </c>
      <c r="B1769" s="71" t="n">
        <v>45462</v>
      </c>
      <c r="C1769" s="70" t="inlineStr">
        <is>
          <t>CUST-0142</t>
        </is>
      </c>
      <c r="D1769" s="70" t="inlineStr">
        <is>
          <t>PROD-058</t>
        </is>
      </c>
      <c r="E1769" s="70" t="inlineStr">
        <is>
          <t>R020</t>
        </is>
      </c>
      <c r="F1769" s="72" t="n">
        <v>5</v>
      </c>
      <c r="G1769" s="72" t="n">
        <v>2400</v>
      </c>
      <c r="H1769" s="72" t="n">
        <v>9.199999999999999</v>
      </c>
      <c r="I1769" s="72" t="n">
        <v>10896</v>
      </c>
      <c r="J1769" s="70" t="inlineStr">
        <is>
          <t>Completed</t>
        </is>
      </c>
      <c r="K1769" s="70" t="inlineStr">
        <is>
          <t>Chennai</t>
        </is>
      </c>
    </row>
    <row r="1770" ht="14.25" customHeight="1" s="56">
      <c r="A1770" s="70" t="inlineStr">
        <is>
          <t>ORD-01769</t>
        </is>
      </c>
      <c r="B1770" s="71" t="n">
        <v>45609</v>
      </c>
      <c r="C1770" s="70" t="inlineStr">
        <is>
          <t>CUST-0028</t>
        </is>
      </c>
      <c r="D1770" s="70" t="inlineStr">
        <is>
          <t>PROD-021</t>
        </is>
      </c>
      <c r="E1770" s="70" t="inlineStr">
        <is>
          <t>R001</t>
        </is>
      </c>
      <c r="F1770" s="72" t="n">
        <v>3</v>
      </c>
      <c r="G1770" s="72" t="n">
        <v>2760</v>
      </c>
      <c r="H1770" s="72" t="n">
        <v>2.4</v>
      </c>
      <c r="I1770" s="72" t="n">
        <v>8081.28</v>
      </c>
      <c r="J1770" s="70" t="inlineStr">
        <is>
          <t>Completed</t>
        </is>
      </c>
      <c r="K1770" s="70" t="inlineStr">
        <is>
          <t>Bengaluru</t>
        </is>
      </c>
    </row>
    <row r="1771" ht="14.25" customHeight="1" s="56">
      <c r="A1771" s="70" t="inlineStr">
        <is>
          <t>ORD-01770</t>
        </is>
      </c>
      <c r="B1771" s="71" t="n">
        <v>45548</v>
      </c>
      <c r="C1771" s="70" t="inlineStr">
        <is>
          <t>CUST-0118</t>
        </is>
      </c>
      <c r="D1771" s="70" t="inlineStr">
        <is>
          <t>PROD-053</t>
        </is>
      </c>
      <c r="E1771" s="70" t="inlineStr">
        <is>
          <t>R009</t>
        </is>
      </c>
      <c r="F1771" s="72" t="n">
        <v>8</v>
      </c>
      <c r="G1771" s="72" t="n">
        <v>470</v>
      </c>
      <c r="H1771" s="72" t="n">
        <v>24.8</v>
      </c>
      <c r="I1771" s="72" t="n">
        <v>2827.52</v>
      </c>
      <c r="J1771" s="70" t="inlineStr">
        <is>
          <t>Pending</t>
        </is>
      </c>
      <c r="K1771" s="70" t="inlineStr">
        <is>
          <t>Hyderabad</t>
        </is>
      </c>
    </row>
    <row r="1772" ht="14.25" customHeight="1" s="56">
      <c r="A1772" s="70" t="inlineStr">
        <is>
          <t>ORD-01771</t>
        </is>
      </c>
      <c r="B1772" s="71" t="n">
        <v>45633</v>
      </c>
      <c r="C1772" s="70" t="inlineStr">
        <is>
          <t>CUST-0231</t>
        </is>
      </c>
      <c r="D1772" s="70" t="inlineStr">
        <is>
          <t>PROD-053</t>
        </is>
      </c>
      <c r="E1772" s="70" t="inlineStr">
        <is>
          <t>R027</t>
        </is>
      </c>
      <c r="F1772" s="72" t="n">
        <v>3</v>
      </c>
      <c r="G1772" s="72" t="n">
        <v>470</v>
      </c>
      <c r="H1772" s="72" t="n">
        <v>18.6</v>
      </c>
      <c r="I1772" s="72" t="n">
        <v>1147.74</v>
      </c>
      <c r="J1772" s="70" t="inlineStr">
        <is>
          <t>Completed</t>
        </is>
      </c>
      <c r="K1772" s="70" t="inlineStr">
        <is>
          <t>Chennai</t>
        </is>
      </c>
    </row>
    <row r="1773" ht="14.25" customHeight="1" s="56">
      <c r="A1773" s="70" t="inlineStr">
        <is>
          <t>ORD-01772</t>
        </is>
      </c>
      <c r="B1773" s="71" t="n">
        <v>45580</v>
      </c>
      <c r="C1773" s="70" t="inlineStr">
        <is>
          <t>CUST-0264</t>
        </is>
      </c>
      <c r="D1773" s="70" t="inlineStr">
        <is>
          <t>PROD-032</t>
        </is>
      </c>
      <c r="E1773" s="70" t="inlineStr">
        <is>
          <t>R028</t>
        </is>
      </c>
      <c r="F1773" s="72" t="n">
        <v>2</v>
      </c>
      <c r="G1773" s="72" t="n">
        <v>370</v>
      </c>
      <c r="H1773" s="72" t="n">
        <v>24</v>
      </c>
      <c r="I1773" s="72" t="n">
        <v>562.4</v>
      </c>
      <c r="J1773" s="70" t="inlineStr">
        <is>
          <t>Completed</t>
        </is>
      </c>
      <c r="K1773" s="70" t="inlineStr">
        <is>
          <t>Pune</t>
        </is>
      </c>
    </row>
    <row r="1774" ht="14.25" customHeight="1" s="56">
      <c r="A1774" s="70" t="inlineStr">
        <is>
          <t>ORD-01773</t>
        </is>
      </c>
      <c r="B1774" s="71" t="n">
        <v>45329</v>
      </c>
      <c r="C1774" s="70" t="inlineStr">
        <is>
          <t>CUST-0120</t>
        </is>
      </c>
      <c r="D1774" s="70" t="inlineStr">
        <is>
          <t>PROD-029</t>
        </is>
      </c>
      <c r="E1774" s="70" t="inlineStr">
        <is>
          <t>R001</t>
        </is>
      </c>
      <c r="F1774" s="72" t="n">
        <v>6</v>
      </c>
      <c r="G1774" s="72" t="n">
        <v>2210</v>
      </c>
      <c r="H1774" s="72" t="n">
        <v>28.3</v>
      </c>
      <c r="I1774" s="72" t="n">
        <v>9507.42</v>
      </c>
      <c r="J1774" s="70" t="inlineStr">
        <is>
          <t>Cancelled</t>
        </is>
      </c>
      <c r="K1774" s="70" t="inlineStr">
        <is>
          <t>Mumbai</t>
        </is>
      </c>
    </row>
    <row r="1775" ht="14.25" customHeight="1" s="56">
      <c r="A1775" s="70" t="inlineStr">
        <is>
          <t>ORD-01774</t>
        </is>
      </c>
      <c r="B1775" s="71" t="n">
        <v>45549</v>
      </c>
      <c r="C1775" s="70" t="inlineStr">
        <is>
          <t>CUST-0185</t>
        </is>
      </c>
      <c r="D1775" s="70" t="inlineStr">
        <is>
          <t>PROD-056</t>
        </is>
      </c>
      <c r="E1775" s="70" t="inlineStr">
        <is>
          <t>R002</t>
        </is>
      </c>
      <c r="F1775" s="72" t="n">
        <v>3</v>
      </c>
      <c r="G1775" s="72" t="n">
        <v>6940</v>
      </c>
      <c r="H1775" s="72" t="n">
        <v>27.2</v>
      </c>
      <c r="I1775" s="72" t="n">
        <v>15156.96</v>
      </c>
      <c r="J1775" s="70" t="inlineStr">
        <is>
          <t>Refunded</t>
        </is>
      </c>
      <c r="K1775" s="70" t="inlineStr">
        <is>
          <t>Hyderabad</t>
        </is>
      </c>
    </row>
    <row r="1776" ht="14.25" customHeight="1" s="56">
      <c r="A1776" s="70" t="inlineStr">
        <is>
          <t>ORD-01775</t>
        </is>
      </c>
      <c r="B1776" s="71" t="n">
        <v>45423</v>
      </c>
      <c r="C1776" s="70" t="inlineStr">
        <is>
          <t>CUST-0174</t>
        </is>
      </c>
      <c r="D1776" s="70" t="inlineStr">
        <is>
          <t>PROD-033</t>
        </is>
      </c>
      <c r="E1776" s="70" t="inlineStr">
        <is>
          <t>R018</t>
        </is>
      </c>
      <c r="F1776" s="72" t="n">
        <v>10</v>
      </c>
      <c r="G1776" s="72" t="n">
        <v>2030</v>
      </c>
      <c r="H1776" s="72" t="n">
        <v>25.6</v>
      </c>
      <c r="I1776" s="72" t="n">
        <v>15103.2</v>
      </c>
      <c r="J1776" s="70" t="inlineStr">
        <is>
          <t>Completed</t>
        </is>
      </c>
      <c r="K1776" s="70" t="inlineStr">
        <is>
          <t>Pune</t>
        </is>
      </c>
    </row>
    <row r="1777" ht="14.25" customHeight="1" s="56">
      <c r="A1777" s="70" t="inlineStr">
        <is>
          <t>ORD-01776</t>
        </is>
      </c>
      <c r="B1777" s="71" t="n">
        <v>45533</v>
      </c>
      <c r="C1777" s="70" t="inlineStr">
        <is>
          <t>CUST-0174</t>
        </is>
      </c>
      <c r="D1777" s="70" t="inlineStr">
        <is>
          <t>PROD-054</t>
        </is>
      </c>
      <c r="E1777" s="70" t="inlineStr">
        <is>
          <t>R017</t>
        </is>
      </c>
      <c r="F1777" s="72" t="n">
        <v>9</v>
      </c>
      <c r="G1777" s="72" t="n">
        <v>1010</v>
      </c>
      <c r="H1777" s="72" t="n">
        <v>9.300000000000001</v>
      </c>
      <c r="I1777" s="72" t="n">
        <v>8244.629999999999</v>
      </c>
      <c r="J1777" s="70" t="inlineStr">
        <is>
          <t>Completed</t>
        </is>
      </c>
      <c r="K1777" s="70" t="inlineStr">
        <is>
          <t>Pune</t>
        </is>
      </c>
    </row>
    <row r="1778" ht="14.25" customHeight="1" s="56">
      <c r="A1778" s="70" t="inlineStr">
        <is>
          <t>ORD-01777</t>
        </is>
      </c>
      <c r="B1778" s="71" t="n">
        <v>45571</v>
      </c>
      <c r="C1778" s="70" t="inlineStr">
        <is>
          <t>CUST-0084</t>
        </is>
      </c>
      <c r="D1778" s="70" t="inlineStr">
        <is>
          <t>PROD-017</t>
        </is>
      </c>
      <c r="E1778" s="70" t="inlineStr">
        <is>
          <t>R002</t>
        </is>
      </c>
      <c r="F1778" s="72" t="n">
        <v>5</v>
      </c>
      <c r="G1778" s="72" t="n">
        <v>2510</v>
      </c>
      <c r="H1778" s="72" t="n">
        <v>22.2</v>
      </c>
      <c r="I1778" s="72" t="n">
        <v>9763.9</v>
      </c>
      <c r="J1778" s="70" t="inlineStr">
        <is>
          <t>Completed</t>
        </is>
      </c>
      <c r="K1778" s="70" t="inlineStr">
        <is>
          <t>Chennai</t>
        </is>
      </c>
    </row>
    <row r="1779" ht="14.25" customHeight="1" s="56">
      <c r="A1779" s="70" t="inlineStr">
        <is>
          <t>ORD-01778</t>
        </is>
      </c>
      <c r="B1779" s="71" t="n">
        <v>45441</v>
      </c>
      <c r="C1779" s="70" t="inlineStr">
        <is>
          <t>CUST-0270</t>
        </is>
      </c>
      <c r="D1779" s="70" t="inlineStr">
        <is>
          <t>PROD-032</t>
        </is>
      </c>
      <c r="E1779" s="70" t="inlineStr">
        <is>
          <t>R002</t>
        </is>
      </c>
      <c r="F1779" s="72" t="n">
        <v>10</v>
      </c>
      <c r="G1779" s="72" t="n">
        <v>370</v>
      </c>
      <c r="H1779" s="72" t="n">
        <v>29</v>
      </c>
      <c r="I1779" s="72" t="n">
        <v>2627</v>
      </c>
      <c r="J1779" s="70" t="inlineStr">
        <is>
          <t>Completed</t>
        </is>
      </c>
      <c r="K1779" s="70" t="inlineStr">
        <is>
          <t>Bengaluru</t>
        </is>
      </c>
    </row>
    <row r="1780" ht="14.25" customHeight="1" s="56">
      <c r="A1780" s="70" t="inlineStr">
        <is>
          <t>ORD-01779</t>
        </is>
      </c>
      <c r="B1780" s="71" t="n">
        <v>45403</v>
      </c>
      <c r="C1780" s="70" t="inlineStr">
        <is>
          <t>CUST-0178</t>
        </is>
      </c>
      <c r="D1780" s="70" t="inlineStr">
        <is>
          <t>PROD-019</t>
        </is>
      </c>
      <c r="E1780" s="70" t="inlineStr">
        <is>
          <t>R021</t>
        </is>
      </c>
      <c r="F1780" s="72" t="n">
        <v>3</v>
      </c>
      <c r="G1780" s="72" t="n">
        <v>2480</v>
      </c>
      <c r="H1780" s="72" t="n">
        <v>9.6</v>
      </c>
      <c r="I1780" s="72" t="n">
        <v>6725.76</v>
      </c>
      <c r="J1780" s="70" t="inlineStr">
        <is>
          <t>Completed</t>
        </is>
      </c>
      <c r="K1780" s="70" t="inlineStr">
        <is>
          <t>Hyderabad</t>
        </is>
      </c>
    </row>
    <row r="1781" ht="14.25" customHeight="1" s="56">
      <c r="A1781" s="70" t="inlineStr">
        <is>
          <t>ORD-01780</t>
        </is>
      </c>
      <c r="B1781" s="71" t="n">
        <v>45644</v>
      </c>
      <c r="C1781" s="70" t="inlineStr">
        <is>
          <t>CUST-0019</t>
        </is>
      </c>
      <c r="D1781" s="70" t="inlineStr">
        <is>
          <t>PROD-010</t>
        </is>
      </c>
      <c r="E1781" s="70" t="inlineStr">
        <is>
          <t>R017</t>
        </is>
      </c>
      <c r="F1781" s="72" t="n">
        <v>3</v>
      </c>
      <c r="G1781" s="72" t="n">
        <v>2640</v>
      </c>
      <c r="H1781" s="72" t="n">
        <v>10.2</v>
      </c>
      <c r="I1781" s="72" t="n">
        <v>7112.16</v>
      </c>
      <c r="J1781" s="70" t="inlineStr">
        <is>
          <t>Cancelled</t>
        </is>
      </c>
      <c r="K1781" s="70" t="inlineStr">
        <is>
          <t>Chennai</t>
        </is>
      </c>
    </row>
    <row r="1782" ht="14.25" customHeight="1" s="56">
      <c r="A1782" s="70" t="inlineStr">
        <is>
          <t>ORD-01781</t>
        </is>
      </c>
      <c r="B1782" s="71" t="n">
        <v>45504</v>
      </c>
      <c r="C1782" s="70" t="inlineStr">
        <is>
          <t>CUST-0276</t>
        </is>
      </c>
      <c r="D1782" s="70" t="inlineStr">
        <is>
          <t>PROD-035</t>
        </is>
      </c>
      <c r="E1782" s="70" t="inlineStr">
        <is>
          <t>R020</t>
        </is>
      </c>
      <c r="F1782" s="72" t="n">
        <v>1</v>
      </c>
      <c r="G1782" s="72" t="n">
        <v>1090</v>
      </c>
      <c r="H1782" s="72" t="n">
        <v>21.6</v>
      </c>
      <c r="I1782" s="72" t="n">
        <v>854.5599999999999</v>
      </c>
      <c r="J1782" s="70" t="inlineStr">
        <is>
          <t>Cancelled</t>
        </is>
      </c>
      <c r="K1782" s="70" t="inlineStr">
        <is>
          <t>Chennai</t>
        </is>
      </c>
    </row>
    <row r="1783" ht="14.25" customHeight="1" s="56">
      <c r="A1783" s="70" t="inlineStr">
        <is>
          <t>ORD-01782</t>
        </is>
      </c>
      <c r="B1783" s="71" t="n">
        <v>45606</v>
      </c>
      <c r="C1783" s="70" t="inlineStr">
        <is>
          <t>CUST-0076</t>
        </is>
      </c>
      <c r="D1783" s="70" t="inlineStr">
        <is>
          <t>PROD-043</t>
        </is>
      </c>
      <c r="E1783" s="70" t="inlineStr">
        <is>
          <t>R002</t>
        </is>
      </c>
      <c r="F1783" s="72" t="n">
        <v>10</v>
      </c>
      <c r="G1783" s="72" t="n">
        <v>3350</v>
      </c>
      <c r="H1783" s="72" t="n">
        <v>12.1</v>
      </c>
      <c r="I1783" s="72" t="n">
        <v>29446.5</v>
      </c>
      <c r="J1783" s="70" t="inlineStr">
        <is>
          <t>Completed</t>
        </is>
      </c>
      <c r="K1783" s="70" t="inlineStr">
        <is>
          <t>Mumbai</t>
        </is>
      </c>
    </row>
    <row r="1784" ht="14.25" customHeight="1" s="56">
      <c r="A1784" s="70" t="inlineStr">
        <is>
          <t>ORD-01783</t>
        </is>
      </c>
      <c r="B1784" s="71" t="n">
        <v>45562</v>
      </c>
      <c r="C1784" s="70" t="inlineStr">
        <is>
          <t>CUST-0085</t>
        </is>
      </c>
      <c r="D1784" s="70" t="inlineStr">
        <is>
          <t>PROD-050</t>
        </is>
      </c>
      <c r="E1784" s="70" t="inlineStr">
        <is>
          <t>R015</t>
        </is>
      </c>
      <c r="F1784" s="72" t="n">
        <v>4</v>
      </c>
      <c r="G1784" s="72" t="n">
        <v>6080</v>
      </c>
      <c r="H1784" s="72" t="n">
        <v>26.7</v>
      </c>
      <c r="I1784" s="72" t="n">
        <v>17826.56</v>
      </c>
      <c r="J1784" s="70" t="inlineStr">
        <is>
          <t>Cancelled</t>
        </is>
      </c>
      <c r="K1784" s="70" t="inlineStr">
        <is>
          <t>Chennai</t>
        </is>
      </c>
    </row>
    <row r="1785" ht="14.25" customHeight="1" s="56">
      <c r="A1785" s="70" t="inlineStr">
        <is>
          <t>ORD-01784</t>
        </is>
      </c>
      <c r="B1785" s="71" t="n">
        <v>45372</v>
      </c>
      <c r="C1785" s="70" t="inlineStr">
        <is>
          <t>CUST-0245</t>
        </is>
      </c>
      <c r="D1785" s="70" t="inlineStr">
        <is>
          <t>PROD-049</t>
        </is>
      </c>
      <c r="E1785" s="70" t="inlineStr">
        <is>
          <t>R002</t>
        </is>
      </c>
      <c r="F1785" s="72" t="n">
        <v>3</v>
      </c>
      <c r="G1785" s="72" t="n">
        <v>960</v>
      </c>
      <c r="H1785" s="72" t="n">
        <v>13.2</v>
      </c>
      <c r="I1785" s="72" t="n">
        <v>2499.84</v>
      </c>
      <c r="J1785" s="70" t="inlineStr">
        <is>
          <t>Completed</t>
        </is>
      </c>
      <c r="K1785" s="70" t="inlineStr">
        <is>
          <t>Hyderabad</t>
        </is>
      </c>
    </row>
    <row r="1786" ht="14.25" customHeight="1" s="56">
      <c r="A1786" s="70" t="inlineStr">
        <is>
          <t>ORD-01785</t>
        </is>
      </c>
      <c r="B1786" s="71" t="n">
        <v>45610</v>
      </c>
      <c r="C1786" s="70" t="inlineStr">
        <is>
          <t>CUST-0135</t>
        </is>
      </c>
      <c r="D1786" s="70" t="inlineStr">
        <is>
          <t>PROD-028</t>
        </is>
      </c>
      <c r="E1786" s="70" t="inlineStr">
        <is>
          <t>R007</t>
        </is>
      </c>
      <c r="F1786" s="72" t="n">
        <v>9</v>
      </c>
      <c r="G1786" s="72" t="n">
        <v>3660</v>
      </c>
      <c r="H1786" s="72" t="n">
        <v>9.300000000000001</v>
      </c>
      <c r="I1786" s="72" t="n">
        <v>29876.58</v>
      </c>
      <c r="J1786" s="70" t="inlineStr">
        <is>
          <t>Cancelled</t>
        </is>
      </c>
      <c r="K1786" s="70" t="inlineStr">
        <is>
          <t>Pune</t>
        </is>
      </c>
    </row>
    <row r="1787" ht="14.25" customHeight="1" s="56">
      <c r="A1787" s="70" t="inlineStr">
        <is>
          <t>ORD-01786</t>
        </is>
      </c>
      <c r="B1787" s="71" t="n">
        <v>45388</v>
      </c>
      <c r="C1787" s="70" t="inlineStr">
        <is>
          <t>CUST-0224</t>
        </is>
      </c>
      <c r="D1787" s="70" t="inlineStr">
        <is>
          <t>PROD-047</t>
        </is>
      </c>
      <c r="E1787" s="70" t="inlineStr">
        <is>
          <t>R019</t>
        </is>
      </c>
      <c r="F1787" s="72" t="n">
        <v>6</v>
      </c>
      <c r="G1787" s="72" t="n">
        <v>3450</v>
      </c>
      <c r="H1787" s="72" t="n">
        <v>8.199999999999999</v>
      </c>
      <c r="I1787" s="72" t="n">
        <v>19002.6</v>
      </c>
      <c r="J1787" s="70" t="inlineStr">
        <is>
          <t>Completed</t>
        </is>
      </c>
      <c r="K1787" s="70" t="inlineStr">
        <is>
          <t>Chennai</t>
        </is>
      </c>
    </row>
    <row r="1788" ht="14.25" customHeight="1" s="56">
      <c r="A1788" s="70" t="inlineStr">
        <is>
          <t>ORD-01787</t>
        </is>
      </c>
      <c r="B1788" s="71" t="n">
        <v>45421</v>
      </c>
      <c r="C1788" s="70" t="inlineStr">
        <is>
          <t>CUST-0036</t>
        </is>
      </c>
      <c r="D1788" s="70" t="inlineStr">
        <is>
          <t>PROD-039</t>
        </is>
      </c>
      <c r="E1788" s="70" t="inlineStr">
        <is>
          <t>R020</t>
        </is>
      </c>
      <c r="F1788" s="72" t="n">
        <v>7</v>
      </c>
      <c r="G1788" s="72" t="n">
        <v>4610</v>
      </c>
      <c r="H1788" s="72" t="n">
        <v>10.4</v>
      </c>
      <c r="I1788" s="72" t="n">
        <v>28913.92</v>
      </c>
      <c r="J1788" s="70" t="inlineStr">
        <is>
          <t>Completed</t>
        </is>
      </c>
      <c r="K1788" s="70" t="inlineStr">
        <is>
          <t>Mumbai</t>
        </is>
      </c>
    </row>
    <row r="1789" ht="14.25" customHeight="1" s="56">
      <c r="A1789" s="70" t="inlineStr">
        <is>
          <t>ORD-01788</t>
        </is>
      </c>
      <c r="B1789" s="71" t="n">
        <v>45529</v>
      </c>
      <c r="C1789" s="70" t="inlineStr">
        <is>
          <t>CUST-0197</t>
        </is>
      </c>
      <c r="D1789" s="70" t="inlineStr">
        <is>
          <t>PROD-057</t>
        </is>
      </c>
      <c r="E1789" s="70" t="inlineStr">
        <is>
          <t>R009</t>
        </is>
      </c>
      <c r="F1789" s="72" t="n">
        <v>2</v>
      </c>
      <c r="G1789" s="72" t="n">
        <v>960</v>
      </c>
      <c r="H1789" s="72" t="n">
        <v>16.5</v>
      </c>
      <c r="I1789" s="72" t="n">
        <v>1603.2</v>
      </c>
      <c r="J1789" s="70" t="inlineStr">
        <is>
          <t>Completed</t>
        </is>
      </c>
      <c r="K1789" s="70" t="inlineStr">
        <is>
          <t>Bengaluru</t>
        </is>
      </c>
    </row>
    <row r="1790" ht="14.25" customHeight="1" s="56">
      <c r="A1790" s="70" t="inlineStr">
        <is>
          <t>ORD-01789</t>
        </is>
      </c>
      <c r="B1790" s="71" t="n">
        <v>45553</v>
      </c>
      <c r="C1790" s="70" t="inlineStr">
        <is>
          <t>CUST-0111</t>
        </is>
      </c>
      <c r="D1790" s="70" t="inlineStr">
        <is>
          <t>PROD-032</t>
        </is>
      </c>
      <c r="E1790" s="70" t="inlineStr">
        <is>
          <t>R023</t>
        </is>
      </c>
      <c r="F1790" s="72" t="n">
        <v>7</v>
      </c>
      <c r="G1790" s="72" t="n">
        <v>370</v>
      </c>
      <c r="H1790" s="72" t="n">
        <v>1.4</v>
      </c>
      <c r="I1790" s="72" t="n">
        <v>2553.74</v>
      </c>
      <c r="J1790" s="70" t="inlineStr">
        <is>
          <t>Refunded</t>
        </is>
      </c>
      <c r="K1790" s="70" t="inlineStr">
        <is>
          <t>Chennai</t>
        </is>
      </c>
    </row>
    <row r="1791" ht="14.25" customHeight="1" s="56">
      <c r="A1791" s="70" t="inlineStr">
        <is>
          <t>ORD-01790</t>
        </is>
      </c>
      <c r="B1791" s="71" t="n">
        <v>45535</v>
      </c>
      <c r="C1791" s="70" t="inlineStr">
        <is>
          <t>CUST-0198</t>
        </is>
      </c>
      <c r="D1791" s="70" t="inlineStr">
        <is>
          <t>PROD-024</t>
        </is>
      </c>
      <c r="E1791" s="70" t="inlineStr">
        <is>
          <t>R004</t>
        </is>
      </c>
      <c r="F1791" s="72" t="n">
        <v>3</v>
      </c>
      <c r="G1791" s="72" t="n">
        <v>2270</v>
      </c>
      <c r="H1791" s="72" t="n">
        <v>12.6</v>
      </c>
      <c r="I1791" s="72" t="n">
        <v>5951.94</v>
      </c>
      <c r="J1791" s="70" t="inlineStr">
        <is>
          <t>Completed</t>
        </is>
      </c>
      <c r="K1791" s="70" t="inlineStr">
        <is>
          <t>Chennai</t>
        </is>
      </c>
    </row>
    <row r="1792" ht="14.25" customHeight="1" s="56">
      <c r="A1792" s="70" t="inlineStr">
        <is>
          <t>ORD-00268</t>
        </is>
      </c>
      <c r="B1792" s="71" t="n">
        <v>45301</v>
      </c>
      <c r="C1792" s="70" t="inlineStr">
        <is>
          <t>CUST-0049</t>
        </is>
      </c>
      <c r="D1792" s="70" t="inlineStr">
        <is>
          <t>PROD-036</t>
        </is>
      </c>
      <c r="E1792" s="70" t="inlineStr">
        <is>
          <t>R014</t>
        </is>
      </c>
      <c r="F1792" s="72" t="n">
        <v>1</v>
      </c>
      <c r="G1792" s="72" t="n">
        <v>3250</v>
      </c>
      <c r="H1792" s="72" t="n">
        <v>17.8</v>
      </c>
      <c r="I1792" s="72" t="n">
        <v>2671.5</v>
      </c>
      <c r="J1792" s="70" t="inlineStr">
        <is>
          <t>Completed</t>
        </is>
      </c>
      <c r="K1792" s="70" t="inlineStr">
        <is>
          <t>Mumbai</t>
        </is>
      </c>
    </row>
    <row r="1793" ht="14.25" customHeight="1" s="56">
      <c r="A1793" s="70" t="inlineStr">
        <is>
          <t>ORD-01792</t>
        </is>
      </c>
      <c r="B1793" s="71" t="n">
        <v>45404</v>
      </c>
      <c r="C1793" s="70" t="inlineStr">
        <is>
          <t>CUST-0029</t>
        </is>
      </c>
      <c r="D1793" s="70" t="inlineStr">
        <is>
          <t>PROD-016</t>
        </is>
      </c>
      <c r="E1793" s="70" t="inlineStr">
        <is>
          <t>R018</t>
        </is>
      </c>
      <c r="F1793" s="72" t="n">
        <v>5</v>
      </c>
      <c r="G1793" s="72" t="n">
        <v>620</v>
      </c>
      <c r="H1793" s="72" t="n">
        <v>19.4</v>
      </c>
      <c r="I1793" s="72" t="n">
        <v>2498.6</v>
      </c>
      <c r="J1793" s="70" t="inlineStr">
        <is>
          <t>Pending</t>
        </is>
      </c>
      <c r="K1793" s="70" t="inlineStr">
        <is>
          <t>Chennai</t>
        </is>
      </c>
    </row>
    <row r="1794" ht="14.25" customHeight="1" s="56">
      <c r="A1794" s="70" t="inlineStr">
        <is>
          <t>ORD-01793</t>
        </is>
      </c>
      <c r="B1794" s="71" t="n">
        <v>45600</v>
      </c>
      <c r="C1794" s="70" t="inlineStr">
        <is>
          <t>CUST-0018</t>
        </is>
      </c>
      <c r="D1794" s="70" t="inlineStr">
        <is>
          <t>PROD-008</t>
        </is>
      </c>
      <c r="E1794" s="70" t="inlineStr">
        <is>
          <t>R005</t>
        </is>
      </c>
      <c r="F1794" s="72" t="n">
        <v>6</v>
      </c>
      <c r="G1794" s="72" t="n">
        <v>2660</v>
      </c>
      <c r="H1794" s="72" t="n">
        <v>14.9</v>
      </c>
      <c r="I1794" s="72" t="n">
        <v>13581.96</v>
      </c>
      <c r="J1794" s="70" t="inlineStr">
        <is>
          <t>Completed</t>
        </is>
      </c>
      <c r="K1794" s="70" t="inlineStr">
        <is>
          <t>Pune</t>
        </is>
      </c>
    </row>
    <row r="1795" ht="14.25" customHeight="1" s="56">
      <c r="A1795" s="70" t="inlineStr">
        <is>
          <t>ORD-01794</t>
        </is>
      </c>
      <c r="B1795" s="71" t="n">
        <v>45526</v>
      </c>
      <c r="C1795" s="70" t="inlineStr">
        <is>
          <t>CUST-0007</t>
        </is>
      </c>
      <c r="D1795" s="70" t="inlineStr">
        <is>
          <t>PROD-014</t>
        </is>
      </c>
      <c r="E1795" s="70" t="inlineStr">
        <is>
          <t>R001</t>
        </is>
      </c>
      <c r="F1795" s="72" t="n">
        <v>5</v>
      </c>
      <c r="G1795" s="72" t="n">
        <v>3620</v>
      </c>
      <c r="H1795" s="72" t="n">
        <v>21</v>
      </c>
      <c r="I1795" s="72" t="n">
        <v>14299</v>
      </c>
      <c r="J1795" s="70" t="inlineStr">
        <is>
          <t>Cancelled</t>
        </is>
      </c>
      <c r="K1795" s="70" t="inlineStr">
        <is>
          <t>Bengaluru</t>
        </is>
      </c>
    </row>
    <row r="1796" ht="14.25" customHeight="1" s="56">
      <c r="A1796" s="70" t="inlineStr">
        <is>
          <t>ORD-01795</t>
        </is>
      </c>
      <c r="B1796" s="71" t="n">
        <v>45580</v>
      </c>
      <c r="C1796" s="70" t="inlineStr">
        <is>
          <t>CUST-0014</t>
        </is>
      </c>
      <c r="D1796" s="70" t="inlineStr">
        <is>
          <t>PROD-013</t>
        </is>
      </c>
      <c r="E1796" s="70" t="inlineStr">
        <is>
          <t>R021</t>
        </is>
      </c>
      <c r="F1796" s="72" t="n">
        <v>1</v>
      </c>
      <c r="G1796" s="72" t="n">
        <v>3640</v>
      </c>
      <c r="H1796" s="72" t="n">
        <v>15.8</v>
      </c>
      <c r="I1796" s="72" t="n">
        <v>3064.88</v>
      </c>
      <c r="J1796" s="70" t="inlineStr">
        <is>
          <t>Completed</t>
        </is>
      </c>
      <c r="K1796" s="70" t="inlineStr">
        <is>
          <t>Bengaluru</t>
        </is>
      </c>
    </row>
    <row r="1797" ht="14.25" customHeight="1" s="56">
      <c r="A1797" s="70" t="inlineStr">
        <is>
          <t>ORD-01796</t>
        </is>
      </c>
      <c r="B1797" s="71" t="n">
        <v>45444</v>
      </c>
      <c r="C1797" s="70" t="inlineStr">
        <is>
          <t>CUST-0215</t>
        </is>
      </c>
      <c r="D1797" s="70" t="inlineStr">
        <is>
          <t>PROD-009</t>
        </is>
      </c>
      <c r="E1797" s="70" t="inlineStr">
        <is>
          <t>R007</t>
        </is>
      </c>
      <c r="F1797" s="72" t="n">
        <v>1</v>
      </c>
      <c r="G1797" s="72" t="n">
        <v>1220</v>
      </c>
      <c r="H1797" s="72" t="n">
        <v>0.6</v>
      </c>
      <c r="I1797" s="72" t="n">
        <v>1212.68</v>
      </c>
      <c r="J1797" s="70" t="inlineStr">
        <is>
          <t>Refunded</t>
        </is>
      </c>
      <c r="K1797" s="70" t="inlineStr">
        <is>
          <t>Hyderabad</t>
        </is>
      </c>
    </row>
    <row r="1798" ht="14.25" customHeight="1" s="56">
      <c r="A1798" s="70" t="inlineStr">
        <is>
          <t>ORD-01797</t>
        </is>
      </c>
      <c r="B1798" s="71" t="n">
        <v>45350</v>
      </c>
      <c r="C1798" s="70" t="inlineStr">
        <is>
          <t>CUST-0056</t>
        </is>
      </c>
      <c r="D1798" s="70" t="inlineStr">
        <is>
          <t>PROD-019</t>
        </is>
      </c>
      <c r="E1798" s="70" t="inlineStr">
        <is>
          <t>R002</t>
        </is>
      </c>
      <c r="F1798" s="72" t="n">
        <v>10</v>
      </c>
      <c r="G1798" s="72" t="n">
        <v>2480</v>
      </c>
      <c r="H1798" s="72" t="n">
        <v>0.6</v>
      </c>
      <c r="I1798" s="72" t="n">
        <v>24651.2</v>
      </c>
      <c r="J1798" s="70" t="inlineStr">
        <is>
          <t>Completed</t>
        </is>
      </c>
      <c r="K1798" s="70" t="inlineStr">
        <is>
          <t>Bengaluru</t>
        </is>
      </c>
    </row>
    <row r="1799" ht="14.25" customHeight="1" s="56">
      <c r="A1799" s="70" t="inlineStr">
        <is>
          <t>ORD-01798</t>
        </is>
      </c>
      <c r="B1799" s="71" t="n">
        <v>45634</v>
      </c>
      <c r="C1799" s="70" t="inlineStr">
        <is>
          <t>CUST-0231</t>
        </is>
      </c>
      <c r="D1799" s="70" t="inlineStr">
        <is>
          <t>PROD-044</t>
        </is>
      </c>
      <c r="E1799" s="70" t="inlineStr">
        <is>
          <t>R027</t>
        </is>
      </c>
      <c r="F1799" s="72" t="n">
        <v>9</v>
      </c>
      <c r="G1799" s="72" t="n">
        <v>1650</v>
      </c>
      <c r="H1799" s="72" t="n">
        <v>26.8</v>
      </c>
      <c r="I1799" s="72" t="n">
        <v>10870.2</v>
      </c>
      <c r="J1799" s="70" t="inlineStr">
        <is>
          <t>Completed</t>
        </is>
      </c>
      <c r="K1799" s="70" t="inlineStr">
        <is>
          <t>Chennai</t>
        </is>
      </c>
    </row>
    <row r="1800" ht="14.25" customHeight="1" s="56">
      <c r="A1800" s="70" t="inlineStr">
        <is>
          <t>ORD-01799</t>
        </is>
      </c>
      <c r="B1800" s="71" t="n">
        <v>45560</v>
      </c>
      <c r="C1800" s="70" t="inlineStr">
        <is>
          <t>CUST-0138</t>
        </is>
      </c>
      <c r="D1800" s="70" t="inlineStr">
        <is>
          <t>PROD-045</t>
        </is>
      </c>
      <c r="E1800" s="70" t="inlineStr">
        <is>
          <t>R008</t>
        </is>
      </c>
      <c r="F1800" s="72" t="n">
        <v>10</v>
      </c>
      <c r="G1800" s="72" t="n">
        <v>3020</v>
      </c>
      <c r="H1800" s="72" t="n">
        <v>2.6</v>
      </c>
      <c r="I1800" s="72" t="n">
        <v>29414.8</v>
      </c>
      <c r="J1800" s="70" t="inlineStr">
        <is>
          <t>Completed</t>
        </is>
      </c>
      <c r="K1800" s="70" t="inlineStr">
        <is>
          <t>Chennai</t>
        </is>
      </c>
    </row>
    <row r="1801" ht="14.25" customHeight="1" s="56">
      <c r="A1801" s="70" t="inlineStr">
        <is>
          <t>ORD-01800</t>
        </is>
      </c>
      <c r="B1801" s="71" t="n">
        <v>45544</v>
      </c>
      <c r="C1801" s="70" t="inlineStr">
        <is>
          <t>CUST-0007</t>
        </is>
      </c>
      <c r="D1801" s="70" t="inlineStr">
        <is>
          <t>PROD-011</t>
        </is>
      </c>
      <c r="E1801" s="70" t="inlineStr">
        <is>
          <t>R014</t>
        </is>
      </c>
      <c r="F1801" s="72" t="n">
        <v>5</v>
      </c>
      <c r="G1801" s="72" t="n">
        <v>3450</v>
      </c>
      <c r="H1801" s="72" t="n">
        <v>25.3</v>
      </c>
      <c r="I1801" s="72" t="n">
        <v>12885.75</v>
      </c>
      <c r="J1801" s="70" t="inlineStr">
        <is>
          <t>Completed</t>
        </is>
      </c>
      <c r="K1801" s="70" t="inlineStr">
        <is>
          <t>Bengaluru</t>
        </is>
      </c>
    </row>
    <row r="1802" ht="14.25" customHeight="1" s="56">
      <c r="A1802" s="70" t="inlineStr">
        <is>
          <t>ORD-01801</t>
        </is>
      </c>
      <c r="B1802" s="71" t="n">
        <v>45457</v>
      </c>
      <c r="C1802" s="70" t="inlineStr">
        <is>
          <t>CUST-0118</t>
        </is>
      </c>
      <c r="D1802" s="70" t="inlineStr">
        <is>
          <t>PROD-009</t>
        </is>
      </c>
      <c r="E1802" s="70" t="inlineStr">
        <is>
          <t>R019</t>
        </is>
      </c>
      <c r="F1802" s="72" t="n">
        <v>7</v>
      </c>
      <c r="G1802" s="72" t="n">
        <v>1220</v>
      </c>
      <c r="H1802" s="72" t="n">
        <v>13.1</v>
      </c>
      <c r="I1802" s="72" t="n">
        <v>7421.26</v>
      </c>
      <c r="J1802" s="70" t="inlineStr">
        <is>
          <t>Completed</t>
        </is>
      </c>
      <c r="K1802" s="70" t="inlineStr">
        <is>
          <t>Hyderabad</t>
        </is>
      </c>
    </row>
    <row r="1803" ht="14.25" customHeight="1" s="56">
      <c r="A1803" s="70" t="inlineStr">
        <is>
          <t>ORD-01802</t>
        </is>
      </c>
      <c r="B1803" s="71" t="n">
        <v>45578</v>
      </c>
      <c r="C1803" s="70" t="inlineStr">
        <is>
          <t>CUST-0064</t>
        </is>
      </c>
      <c r="D1803" s="70" t="inlineStr">
        <is>
          <t>PROD-027</t>
        </is>
      </c>
      <c r="E1803" s="70" t="inlineStr">
        <is>
          <t>R005</t>
        </is>
      </c>
      <c r="F1803" s="72" t="n">
        <v>10</v>
      </c>
      <c r="G1803" s="72" t="n">
        <v>3780</v>
      </c>
      <c r="H1803" s="72" t="n">
        <v>23.7</v>
      </c>
      <c r="I1803" s="72" t="n">
        <v>28841.4</v>
      </c>
      <c r="J1803" s="70" t="inlineStr">
        <is>
          <t>Completed</t>
        </is>
      </c>
      <c r="K1803" s="70" t="inlineStr">
        <is>
          <t>Hyderabad</t>
        </is>
      </c>
    </row>
    <row r="1804" ht="14.25" customHeight="1" s="56">
      <c r="A1804" s="70" t="inlineStr">
        <is>
          <t>ORD-01803</t>
        </is>
      </c>
      <c r="B1804" s="71" t="n">
        <v>45405</v>
      </c>
      <c r="C1804" s="70" t="inlineStr">
        <is>
          <t>CUST-0298</t>
        </is>
      </c>
      <c r="D1804" s="70" t="inlineStr">
        <is>
          <t>PROD-008</t>
        </is>
      </c>
      <c r="E1804" s="70" t="inlineStr">
        <is>
          <t>R002</t>
        </is>
      </c>
      <c r="F1804" s="72" t="n">
        <v>8</v>
      </c>
      <c r="G1804" s="72" t="n">
        <v>2660</v>
      </c>
      <c r="H1804" s="72" t="n">
        <v>16.1</v>
      </c>
      <c r="I1804" s="72" t="n">
        <v>17853.92</v>
      </c>
      <c r="J1804" s="70" t="inlineStr">
        <is>
          <t>Completed</t>
        </is>
      </c>
      <c r="K1804" s="70" t="inlineStr">
        <is>
          <t>Delhi</t>
        </is>
      </c>
    </row>
    <row r="1805" ht="14.25" customHeight="1" s="56">
      <c r="A1805" s="70" t="inlineStr">
        <is>
          <t>ORD-01804</t>
        </is>
      </c>
      <c r="B1805" s="71" t="n">
        <v>45338</v>
      </c>
      <c r="C1805" s="70" t="inlineStr">
        <is>
          <t>CUST-0020</t>
        </is>
      </c>
      <c r="D1805" s="70" t="inlineStr">
        <is>
          <t>PROD-035</t>
        </is>
      </c>
      <c r="E1805" s="70" t="inlineStr">
        <is>
          <t>R008</t>
        </is>
      </c>
      <c r="F1805" s="72" t="n">
        <v>6</v>
      </c>
      <c r="G1805" s="72" t="n">
        <v>1090</v>
      </c>
      <c r="H1805" s="72" t="n">
        <v>20</v>
      </c>
      <c r="I1805" s="72" t="n">
        <v>5232</v>
      </c>
      <c r="J1805" s="70" t="inlineStr">
        <is>
          <t>Pending</t>
        </is>
      </c>
      <c r="K1805" s="70" t="inlineStr">
        <is>
          <t>Hyderabad</t>
        </is>
      </c>
    </row>
    <row r="1806" ht="14.25" customHeight="1" s="56">
      <c r="A1806" s="70" t="inlineStr">
        <is>
          <t>ORD-01805</t>
        </is>
      </c>
      <c r="B1806" s="71" t="n">
        <v>45324</v>
      </c>
      <c r="C1806" s="70" t="inlineStr">
        <is>
          <t>CUST-9725</t>
        </is>
      </c>
      <c r="D1806" s="70" t="inlineStr">
        <is>
          <t>PROD-037</t>
        </is>
      </c>
      <c r="E1806" s="70" t="inlineStr">
        <is>
          <t>R016</t>
        </is>
      </c>
      <c r="F1806" s="72" t="n">
        <v>2</v>
      </c>
      <c r="G1806" s="72" t="n">
        <v>660</v>
      </c>
      <c r="H1806" s="72" t="n">
        <v>18.7</v>
      </c>
      <c r="I1806" s="72" t="n">
        <v>1073.16</v>
      </c>
      <c r="J1806" s="70" t="inlineStr">
        <is>
          <t>Completed</t>
        </is>
      </c>
      <c r="K1806" s="70" t="inlineStr">
        <is>
          <t>Mumbai</t>
        </is>
      </c>
    </row>
    <row r="1807" ht="14.25" customHeight="1" s="56">
      <c r="A1807" s="70" t="inlineStr">
        <is>
          <t>ORD-01806</t>
        </is>
      </c>
      <c r="B1807" s="71" t="n">
        <v>45332</v>
      </c>
      <c r="C1807" s="70" t="inlineStr">
        <is>
          <t>CUST-0063</t>
        </is>
      </c>
      <c r="D1807" s="70" t="inlineStr">
        <is>
          <t>PROD-035</t>
        </is>
      </c>
      <c r="E1807" s="70" t="inlineStr">
        <is>
          <t>R015</t>
        </is>
      </c>
      <c r="F1807" s="72" t="n">
        <v>7</v>
      </c>
      <c r="G1807" s="72" t="n">
        <v>1090</v>
      </c>
      <c r="H1807" s="72" t="n">
        <v>19.4</v>
      </c>
      <c r="I1807" s="72" t="n">
        <v>6149.78</v>
      </c>
      <c r="J1807" s="70" t="inlineStr">
        <is>
          <t>Pending</t>
        </is>
      </c>
      <c r="K1807" s="70" t="inlineStr">
        <is>
          <t>Mumbai</t>
        </is>
      </c>
    </row>
    <row r="1808" ht="14.25" customHeight="1" s="56">
      <c r="A1808" s="70" t="inlineStr">
        <is>
          <t>ORD-01807</t>
        </is>
      </c>
      <c r="B1808" s="71" t="n">
        <v>45429</v>
      </c>
      <c r="C1808" s="70" t="inlineStr">
        <is>
          <t>CUST-0193</t>
        </is>
      </c>
      <c r="D1808" s="70" t="inlineStr">
        <is>
          <t>PROD-029</t>
        </is>
      </c>
      <c r="E1808" s="70" t="inlineStr">
        <is>
          <t>R015</t>
        </is>
      </c>
      <c r="F1808" s="72" t="n">
        <v>3</v>
      </c>
      <c r="G1808" s="72" t="n">
        <v>2210</v>
      </c>
      <c r="H1808" s="72" t="n">
        <v>11</v>
      </c>
      <c r="I1808" s="72" t="n">
        <v>5900.7</v>
      </c>
      <c r="J1808" s="70" t="inlineStr">
        <is>
          <t>Completed</t>
        </is>
      </c>
      <c r="K1808" s="70" t="inlineStr">
        <is>
          <t>Bengaluru</t>
        </is>
      </c>
    </row>
    <row r="1809" ht="14.25" customHeight="1" s="56">
      <c r="A1809" s="70" t="inlineStr">
        <is>
          <t>ORD-01808</t>
        </is>
      </c>
      <c r="B1809" s="71" t="n">
        <v>45420</v>
      </c>
      <c r="C1809" s="70" t="inlineStr">
        <is>
          <t>CUST-0142</t>
        </is>
      </c>
      <c r="D1809" s="70" t="inlineStr">
        <is>
          <t>PROD-006</t>
        </is>
      </c>
      <c r="E1809" s="70" t="inlineStr">
        <is>
          <t>R029</t>
        </is>
      </c>
      <c r="F1809" s="72" t="n">
        <v>2</v>
      </c>
      <c r="G1809" s="72" t="n">
        <v>3970</v>
      </c>
      <c r="H1809" s="72" t="n">
        <v>24.9</v>
      </c>
      <c r="I1809" s="72" t="n">
        <v>5962.94</v>
      </c>
      <c r="J1809" s="70" t="inlineStr">
        <is>
          <t>Completed</t>
        </is>
      </c>
      <c r="K1809" s="70" t="inlineStr">
        <is>
          <t>Chennai</t>
        </is>
      </c>
    </row>
    <row r="1810" ht="14.25" customHeight="1" s="56">
      <c r="A1810" s="70" t="inlineStr">
        <is>
          <t>ORD-01809</t>
        </is>
      </c>
      <c r="B1810" s="71" t="n">
        <v>45403</v>
      </c>
      <c r="C1810" s="70" t="inlineStr">
        <is>
          <t>CUST-0264</t>
        </is>
      </c>
      <c r="D1810" s="70" t="inlineStr">
        <is>
          <t>PROD-039</t>
        </is>
      </c>
      <c r="E1810" s="70" t="inlineStr">
        <is>
          <t>R021</t>
        </is>
      </c>
      <c r="F1810" s="72" t="n">
        <v>7</v>
      </c>
      <c r="G1810" s="72" t="n">
        <v>4610</v>
      </c>
      <c r="H1810" s="72" t="n">
        <v>6.3</v>
      </c>
      <c r="I1810" s="72" t="n">
        <v>30236.99</v>
      </c>
      <c r="J1810" s="70" t="inlineStr">
        <is>
          <t>Completed</t>
        </is>
      </c>
      <c r="K1810" s="70" t="inlineStr">
        <is>
          <t>Pune</t>
        </is>
      </c>
    </row>
    <row r="1811" ht="14.25" customHeight="1" s="56">
      <c r="A1811" s="70" t="inlineStr">
        <is>
          <t>ORD-01810</t>
        </is>
      </c>
      <c r="B1811" s="71" t="n">
        <v>45403</v>
      </c>
      <c r="C1811" s="70" t="inlineStr">
        <is>
          <t>CUST-0121</t>
        </is>
      </c>
      <c r="D1811" s="70" t="inlineStr">
        <is>
          <t>PROD-049</t>
        </is>
      </c>
      <c r="E1811" s="70" t="inlineStr">
        <is>
          <t>R026</t>
        </is>
      </c>
      <c r="F1811" s="72" t="n">
        <v>10</v>
      </c>
      <c r="G1811" s="72" t="n">
        <v>960</v>
      </c>
      <c r="H1811" s="72" t="n">
        <v>14.6</v>
      </c>
      <c r="I1811" s="72" t="n">
        <v>8198.4</v>
      </c>
      <c r="J1811" s="70" t="inlineStr">
        <is>
          <t>Completed</t>
        </is>
      </c>
      <c r="K1811" s="70" t="inlineStr">
        <is>
          <t>Delhi</t>
        </is>
      </c>
    </row>
    <row r="1812" ht="14.25" customHeight="1" s="56">
      <c r="A1812" s="70" t="inlineStr">
        <is>
          <t>ORD-01811</t>
        </is>
      </c>
      <c r="B1812" s="71" t="n">
        <v>45600</v>
      </c>
      <c r="C1812" s="70" t="inlineStr">
        <is>
          <t>CUST-0152</t>
        </is>
      </c>
      <c r="D1812" s="70" t="inlineStr">
        <is>
          <t>PROD-045</t>
        </is>
      </c>
      <c r="E1812" s="70" t="inlineStr">
        <is>
          <t>R016</t>
        </is>
      </c>
      <c r="F1812" s="72" t="n">
        <v>8</v>
      </c>
      <c r="G1812" s="72" t="n">
        <v>3020</v>
      </c>
      <c r="H1812" s="72" t="n">
        <v>14.5</v>
      </c>
      <c r="I1812" s="72" t="n">
        <v>20656.8</v>
      </c>
      <c r="J1812" s="70" t="inlineStr">
        <is>
          <t>Completed</t>
        </is>
      </c>
      <c r="K1812" s="70" t="inlineStr">
        <is>
          <t>Bengaluru</t>
        </is>
      </c>
    </row>
    <row r="1813" ht="14.25" customHeight="1" s="56">
      <c r="A1813" s="70" t="inlineStr">
        <is>
          <t>ORD-01812</t>
        </is>
      </c>
      <c r="B1813" s="71" t="n">
        <v>45629</v>
      </c>
      <c r="C1813" s="70" t="inlineStr">
        <is>
          <t>CUST-0008</t>
        </is>
      </c>
      <c r="D1813" s="70" t="inlineStr">
        <is>
          <t>PROD-019</t>
        </is>
      </c>
      <c r="E1813" s="70" t="inlineStr">
        <is>
          <t>R026</t>
        </is>
      </c>
      <c r="F1813" s="72" t="n">
        <v>7</v>
      </c>
      <c r="G1813" s="72" t="n">
        <v>2480</v>
      </c>
      <c r="H1813" s="72" t="n">
        <v>17.3</v>
      </c>
      <c r="I1813" s="72" t="n">
        <v>14356.72</v>
      </c>
      <c r="J1813" s="70" t="inlineStr">
        <is>
          <t>Completed</t>
        </is>
      </c>
      <c r="K1813" s="70" t="inlineStr">
        <is>
          <t>Pune</t>
        </is>
      </c>
    </row>
    <row r="1814" ht="14.25" customHeight="1" s="56">
      <c r="A1814" s="70" t="inlineStr">
        <is>
          <t>ORD-01813</t>
        </is>
      </c>
      <c r="B1814" s="71" t="n">
        <v>45330</v>
      </c>
      <c r="C1814" s="70" t="inlineStr">
        <is>
          <t>CUST-0285</t>
        </is>
      </c>
      <c r="D1814" s="70" t="inlineStr">
        <is>
          <t>PROD-004</t>
        </is>
      </c>
      <c r="E1814" s="70" t="inlineStr">
        <is>
          <t>R013</t>
        </is>
      </c>
      <c r="F1814" s="72" t="n">
        <v>10</v>
      </c>
      <c r="G1814" s="72" t="n">
        <v>3870</v>
      </c>
      <c r="H1814" s="72" t="n">
        <v>22.4</v>
      </c>
      <c r="I1814" s="72" t="n">
        <v>30031.2</v>
      </c>
      <c r="J1814" s="70" t="inlineStr">
        <is>
          <t>Pending</t>
        </is>
      </c>
      <c r="K1814" s="70" t="inlineStr">
        <is>
          <t>Hyderabad</t>
        </is>
      </c>
    </row>
    <row r="1815" ht="14.25" customHeight="1" s="56">
      <c r="A1815" s="70" t="inlineStr">
        <is>
          <t>ORD-01814</t>
        </is>
      </c>
      <c r="B1815" s="71" t="n">
        <v>45551</v>
      </c>
      <c r="C1815" s="70" t="inlineStr">
        <is>
          <t>CUST-0072</t>
        </is>
      </c>
      <c r="D1815" s="70" t="inlineStr">
        <is>
          <t>PROD-037</t>
        </is>
      </c>
      <c r="E1815" s="70" t="inlineStr">
        <is>
          <t>R022</t>
        </is>
      </c>
      <c r="F1815" s="72" t="n">
        <v>6</v>
      </c>
      <c r="G1815" s="72" t="n">
        <v>660</v>
      </c>
      <c r="H1815" s="72" t="n">
        <v>27.3</v>
      </c>
      <c r="I1815" s="72" t="n">
        <v>2878.92</v>
      </c>
      <c r="J1815" s="70" t="inlineStr">
        <is>
          <t>Completed</t>
        </is>
      </c>
      <c r="K1815" s="70" t="inlineStr">
        <is>
          <t>Mumbai</t>
        </is>
      </c>
    </row>
    <row r="1816" ht="14.25" customHeight="1" s="56">
      <c r="A1816" s="70" t="inlineStr">
        <is>
          <t>ORD-01815</t>
        </is>
      </c>
      <c r="B1816" s="71" t="n">
        <v>45321</v>
      </c>
      <c r="C1816" s="70" t="inlineStr">
        <is>
          <t>CUST-9630</t>
        </is>
      </c>
      <c r="D1816" s="70" t="inlineStr">
        <is>
          <t>PROD-004</t>
        </is>
      </c>
      <c r="E1816" s="70" t="inlineStr">
        <is>
          <t>R026</t>
        </is>
      </c>
      <c r="F1816" s="72" t="n">
        <v>3</v>
      </c>
      <c r="G1816" s="72" t="n">
        <v>3870</v>
      </c>
      <c r="H1816" s="72" t="n">
        <v>7.6</v>
      </c>
      <c r="I1816" s="72" t="n">
        <v>10727.64</v>
      </c>
      <c r="J1816" s="70" t="inlineStr">
        <is>
          <t>Cancelled</t>
        </is>
      </c>
      <c r="K1816" s="70" t="inlineStr">
        <is>
          <t>Chennai</t>
        </is>
      </c>
    </row>
    <row r="1817" ht="14.25" customHeight="1" s="56">
      <c r="A1817" s="70" t="inlineStr">
        <is>
          <t>ORD-01816</t>
        </is>
      </c>
      <c r="B1817" s="71" t="n">
        <v>45542</v>
      </c>
      <c r="C1817" s="70" t="inlineStr">
        <is>
          <t>CUST-0243</t>
        </is>
      </c>
      <c r="D1817" s="70" t="inlineStr">
        <is>
          <t>PROD-019</t>
        </is>
      </c>
      <c r="E1817" s="70" t="inlineStr">
        <is>
          <t>R006</t>
        </is>
      </c>
      <c r="F1817" s="72" t="n">
        <v>10</v>
      </c>
      <c r="G1817" s="72" t="n">
        <v>2480</v>
      </c>
      <c r="H1817" s="72" t="n">
        <v>21.5</v>
      </c>
      <c r="I1817" s="72" t="n">
        <v>19468</v>
      </c>
      <c r="J1817" s="70" t="inlineStr">
        <is>
          <t>Pending</t>
        </is>
      </c>
      <c r="K1817" s="70" t="inlineStr">
        <is>
          <t>Pune</t>
        </is>
      </c>
    </row>
    <row r="1818" ht="14.25" customHeight="1" s="56">
      <c r="A1818" s="70" t="inlineStr">
        <is>
          <t>ORD-01817</t>
        </is>
      </c>
      <c r="B1818" s="71" t="n">
        <v>45643</v>
      </c>
      <c r="C1818" s="70" t="inlineStr">
        <is>
          <t>CUST-0231</t>
        </is>
      </c>
      <c r="D1818" s="70" t="inlineStr">
        <is>
          <t>PROD-010</t>
        </is>
      </c>
      <c r="E1818" s="70" t="inlineStr">
        <is>
          <t>R001</t>
        </is>
      </c>
      <c r="F1818" s="72" t="n">
        <v>8</v>
      </c>
      <c r="G1818" s="72" t="n">
        <v>2640</v>
      </c>
      <c r="H1818" s="72" t="n">
        <v>22.3</v>
      </c>
      <c r="I1818" s="72" t="n">
        <v>16410.24</v>
      </c>
      <c r="J1818" s="70" t="inlineStr">
        <is>
          <t>Completed</t>
        </is>
      </c>
      <c r="K1818" s="70" t="inlineStr">
        <is>
          <t>Chennai</t>
        </is>
      </c>
    </row>
    <row r="1819" ht="14.25" customHeight="1" s="56">
      <c r="A1819" s="70" t="inlineStr">
        <is>
          <t>ORD-01818</t>
        </is>
      </c>
      <c r="B1819" s="71" t="n">
        <v>45559</v>
      </c>
      <c r="C1819" s="70" t="inlineStr">
        <is>
          <t>CUST-0229</t>
        </is>
      </c>
      <c r="D1819" s="70" t="inlineStr">
        <is>
          <t>PROD-030</t>
        </is>
      </c>
      <c r="E1819" s="70" t="inlineStr">
        <is>
          <t>R001</t>
        </is>
      </c>
      <c r="F1819" s="72" t="n">
        <v>8</v>
      </c>
      <c r="G1819" s="72" t="n">
        <v>970</v>
      </c>
      <c r="H1819" s="72" t="n">
        <v>13.1</v>
      </c>
      <c r="I1819" s="72" t="n">
        <v>6743.44</v>
      </c>
      <c r="J1819" s="70" t="inlineStr">
        <is>
          <t>Completed</t>
        </is>
      </c>
      <c r="K1819" s="70" t="inlineStr">
        <is>
          <t>Hyderabad</t>
        </is>
      </c>
    </row>
    <row r="1820" ht="14.25" customHeight="1" s="56">
      <c r="A1820" s="70" t="inlineStr">
        <is>
          <t>ORD-01819</t>
        </is>
      </c>
      <c r="B1820" s="71" t="n">
        <v>45416</v>
      </c>
      <c r="C1820" s="70" t="inlineStr">
        <is>
          <t>CUST-0218</t>
        </is>
      </c>
      <c r="D1820" s="70" t="inlineStr">
        <is>
          <t>PROD-057</t>
        </is>
      </c>
      <c r="E1820" s="70" t="inlineStr">
        <is>
          <t>R001</t>
        </is>
      </c>
      <c r="F1820" s="72" t="n">
        <v>6</v>
      </c>
      <c r="G1820" s="72" t="n">
        <v>960</v>
      </c>
      <c r="H1820" s="72" t="n">
        <v>3.2</v>
      </c>
      <c r="I1820" s="72" t="n">
        <v>5575.68</v>
      </c>
      <c r="J1820" s="70" t="inlineStr">
        <is>
          <t>Completed</t>
        </is>
      </c>
      <c r="K1820" s="70" t="inlineStr">
        <is>
          <t>Mumbai</t>
        </is>
      </c>
    </row>
    <row r="1821" ht="14.25" customHeight="1" s="56">
      <c r="A1821" s="70" t="inlineStr">
        <is>
          <t>ORD-01820</t>
        </is>
      </c>
      <c r="B1821" s="71" t="n">
        <v>45469</v>
      </c>
      <c r="C1821" s="70" t="inlineStr">
        <is>
          <t>CUST-0015</t>
        </is>
      </c>
      <c r="D1821" s="70" t="inlineStr">
        <is>
          <t>PROD-033</t>
        </is>
      </c>
      <c r="E1821" s="70" t="inlineStr">
        <is>
          <t>R008</t>
        </is>
      </c>
      <c r="F1821" s="72" t="n">
        <v>9</v>
      </c>
      <c r="G1821" s="72" t="n">
        <v>2030</v>
      </c>
      <c r="H1821" s="72" t="n">
        <v>12.6</v>
      </c>
      <c r="I1821" s="72" t="n">
        <v>15967.98</v>
      </c>
      <c r="J1821" s="70" t="inlineStr">
        <is>
          <t>Cancelled</t>
        </is>
      </c>
      <c r="K1821" s="70" t="inlineStr">
        <is>
          <t>Chennai</t>
        </is>
      </c>
    </row>
    <row r="1822" ht="14.25" customHeight="1" s="56">
      <c r="A1822" s="70" t="inlineStr">
        <is>
          <t>ORD-01821</t>
        </is>
      </c>
      <c r="B1822" s="71" t="n">
        <v>45387</v>
      </c>
      <c r="C1822" s="70" t="inlineStr">
        <is>
          <t>CUST-0291</t>
        </is>
      </c>
      <c r="D1822" s="70" t="inlineStr">
        <is>
          <t>PROD-042</t>
        </is>
      </c>
      <c r="E1822" s="70" t="inlineStr">
        <is>
          <t>R024</t>
        </is>
      </c>
      <c r="F1822" s="72" t="n">
        <v>10</v>
      </c>
      <c r="G1822" s="72" t="n">
        <v>2290</v>
      </c>
      <c r="H1822" s="72" t="n">
        <v>22.2</v>
      </c>
      <c r="I1822" s="72" t="n">
        <v>17816.2</v>
      </c>
      <c r="J1822" s="70" t="inlineStr">
        <is>
          <t>Completed</t>
        </is>
      </c>
      <c r="K1822" s="70" t="inlineStr">
        <is>
          <t>Pune</t>
        </is>
      </c>
    </row>
    <row r="1823" ht="14.25" customHeight="1" s="56">
      <c r="A1823" s="70" t="inlineStr">
        <is>
          <t>ORD-01822</t>
        </is>
      </c>
      <c r="B1823" s="71" t="n">
        <v>45373</v>
      </c>
      <c r="C1823" s="70" t="inlineStr">
        <is>
          <t>CUST-0276</t>
        </is>
      </c>
      <c r="D1823" s="70" t="inlineStr">
        <is>
          <t>PROD-020</t>
        </is>
      </c>
      <c r="E1823" s="70" t="inlineStr">
        <is>
          <t>R027</t>
        </is>
      </c>
      <c r="F1823" s="72" t="n">
        <v>7</v>
      </c>
      <c r="G1823" s="72" t="n">
        <v>820</v>
      </c>
      <c r="H1823" s="72" t="n">
        <v>6.4</v>
      </c>
      <c r="I1823" s="72" t="n">
        <v>5372.64</v>
      </c>
      <c r="J1823" s="70" t="inlineStr">
        <is>
          <t>Refunded</t>
        </is>
      </c>
      <c r="K1823" s="70" t="inlineStr">
        <is>
          <t>Chennai</t>
        </is>
      </c>
    </row>
    <row r="1824" ht="14.25" customHeight="1" s="56">
      <c r="A1824" s="70" t="inlineStr">
        <is>
          <t>ORD-01823</t>
        </is>
      </c>
      <c r="B1824" s="71" t="n">
        <v>45614</v>
      </c>
      <c r="C1824" s="70" t="inlineStr">
        <is>
          <t>CUST-0139</t>
        </is>
      </c>
      <c r="D1824" s="70" t="inlineStr">
        <is>
          <t>PROD-040</t>
        </is>
      </c>
      <c r="E1824" s="70" t="inlineStr">
        <is>
          <t>R030</t>
        </is>
      </c>
      <c r="F1824" s="72" t="n">
        <v>5</v>
      </c>
      <c r="G1824" s="72" t="n">
        <v>1080</v>
      </c>
      <c r="H1824" s="72" t="n">
        <v>6</v>
      </c>
      <c r="I1824" s="72" t="n">
        <v>5076</v>
      </c>
      <c r="J1824" s="70" t="inlineStr">
        <is>
          <t>Completed</t>
        </is>
      </c>
      <c r="K1824" s="70" t="inlineStr">
        <is>
          <t>Hyderabad</t>
        </is>
      </c>
    </row>
    <row r="1825" ht="14.25" customHeight="1" s="56">
      <c r="A1825" s="70" t="inlineStr">
        <is>
          <t>ORD-01824</t>
        </is>
      </c>
      <c r="B1825" s="71" t="n">
        <v>45310</v>
      </c>
      <c r="C1825" s="70" t="inlineStr">
        <is>
          <t>CUST-0087</t>
        </is>
      </c>
      <c r="D1825" s="70" t="inlineStr">
        <is>
          <t>PROD-060</t>
        </is>
      </c>
      <c r="E1825" s="70" t="inlineStr">
        <is>
          <t>R028</t>
        </is>
      </c>
      <c r="F1825" s="72" t="n">
        <v>4</v>
      </c>
      <c r="G1825" s="72" t="n">
        <v>190</v>
      </c>
      <c r="H1825" s="72" t="n">
        <v>6.3</v>
      </c>
      <c r="I1825" s="72" t="n">
        <v>712.12</v>
      </c>
      <c r="J1825" s="70" t="inlineStr">
        <is>
          <t>Refunded</t>
        </is>
      </c>
      <c r="K1825" s="70" t="inlineStr">
        <is>
          <t>Pune</t>
        </is>
      </c>
    </row>
    <row r="1826" ht="14.25" customHeight="1" s="56">
      <c r="A1826" s="70" t="inlineStr">
        <is>
          <t>ORD-01825</t>
        </is>
      </c>
      <c r="B1826" s="71" t="n">
        <v>45319</v>
      </c>
      <c r="C1826" s="70" t="inlineStr">
        <is>
          <t>CUST-0203</t>
        </is>
      </c>
      <c r="D1826" s="70" t="inlineStr">
        <is>
          <t>PROD-017</t>
        </is>
      </c>
      <c r="E1826" s="70" t="inlineStr">
        <is>
          <t>R029</t>
        </is>
      </c>
      <c r="F1826" s="72" t="n">
        <v>6</v>
      </c>
      <c r="G1826" s="72" t="n">
        <v>2510</v>
      </c>
      <c r="H1826" s="72" t="n">
        <v>11.5</v>
      </c>
      <c r="I1826" s="72" t="n">
        <v>13328.1</v>
      </c>
      <c r="J1826" s="70" t="inlineStr">
        <is>
          <t>Completed</t>
        </is>
      </c>
      <c r="K1826" s="70" t="inlineStr">
        <is>
          <t>Chennai</t>
        </is>
      </c>
    </row>
    <row r="1827" ht="14.25" customHeight="1" s="56">
      <c r="A1827" s="70" t="inlineStr">
        <is>
          <t>ORD-01826</t>
        </is>
      </c>
      <c r="B1827" s="71" t="n">
        <v>45299</v>
      </c>
      <c r="C1827" s="70" t="inlineStr">
        <is>
          <t>CUST-0180</t>
        </is>
      </c>
      <c r="D1827" s="70" t="inlineStr">
        <is>
          <t>PROD-018</t>
        </is>
      </c>
      <c r="E1827" s="70" t="inlineStr">
        <is>
          <t>R015</t>
        </is>
      </c>
      <c r="F1827" s="72" t="n">
        <v>2</v>
      </c>
      <c r="G1827" s="72" t="n">
        <v>3560</v>
      </c>
      <c r="H1827" s="72" t="n">
        <v>10.5</v>
      </c>
      <c r="I1827" s="72" t="n">
        <v>6372.4</v>
      </c>
      <c r="J1827" s="70" t="inlineStr">
        <is>
          <t>Completed</t>
        </is>
      </c>
      <c r="K1827" s="70" t="inlineStr">
        <is>
          <t>Chennai</t>
        </is>
      </c>
    </row>
    <row r="1828" ht="14.25" customHeight="1" s="56">
      <c r="A1828" s="70" t="inlineStr">
        <is>
          <t>ORD-01827</t>
        </is>
      </c>
      <c r="B1828" s="71" t="n">
        <v>45556</v>
      </c>
      <c r="C1828" s="70" t="inlineStr">
        <is>
          <t>CUST-0130</t>
        </is>
      </c>
      <c r="D1828" s="70" t="inlineStr">
        <is>
          <t>PROD-020</t>
        </is>
      </c>
      <c r="E1828" s="70" t="inlineStr">
        <is>
          <t>R013</t>
        </is>
      </c>
      <c r="F1828" s="72" t="n">
        <v>3</v>
      </c>
      <c r="G1828" s="72" t="n">
        <v>820</v>
      </c>
      <c r="H1828" s="72" t="n">
        <v>13</v>
      </c>
      <c r="I1828" s="72" t="n">
        <v>2140.2</v>
      </c>
      <c r="J1828" s="70" t="inlineStr">
        <is>
          <t>Cancelled</t>
        </is>
      </c>
      <c r="K1828" s="70" t="inlineStr">
        <is>
          <t>Bengaluru</t>
        </is>
      </c>
    </row>
    <row r="1829" ht="14.25" customHeight="1" s="56">
      <c r="A1829" s="70" t="inlineStr">
        <is>
          <t>ORD-01828</t>
        </is>
      </c>
      <c r="B1829" s="71" t="n">
        <v>45500</v>
      </c>
      <c r="C1829" s="70" t="inlineStr">
        <is>
          <t>CUST-0049</t>
        </is>
      </c>
      <c r="D1829" s="70" t="inlineStr">
        <is>
          <t>PROD-013</t>
        </is>
      </c>
      <c r="E1829" s="70" t="inlineStr">
        <is>
          <t>R003</t>
        </is>
      </c>
      <c r="F1829" s="72" t="n">
        <v>6</v>
      </c>
      <c r="G1829" s="72" t="n">
        <v>3640</v>
      </c>
      <c r="H1829" s="72" t="n">
        <v>14</v>
      </c>
      <c r="I1829" s="72" t="n">
        <v>18782.4</v>
      </c>
      <c r="J1829" s="70" t="inlineStr">
        <is>
          <t>Completed</t>
        </is>
      </c>
      <c r="K1829" s="70" t="inlineStr">
        <is>
          <t>Mumbai</t>
        </is>
      </c>
    </row>
    <row r="1830" ht="14.25" customHeight="1" s="56">
      <c r="A1830" s="70" t="inlineStr">
        <is>
          <t>ORD-01829</t>
        </is>
      </c>
      <c r="B1830" s="71" t="n">
        <v>45370</v>
      </c>
      <c r="C1830" s="70" t="inlineStr">
        <is>
          <t>CUST-0182</t>
        </is>
      </c>
      <c r="D1830" s="70" t="inlineStr">
        <is>
          <t>PROD-028</t>
        </is>
      </c>
      <c r="E1830" s="70" t="inlineStr">
        <is>
          <t>R019</t>
        </is>
      </c>
      <c r="F1830" s="72" t="n">
        <v>5</v>
      </c>
      <c r="G1830" s="72" t="n">
        <v>3660</v>
      </c>
      <c r="H1830" s="72" t="n">
        <v>28.7</v>
      </c>
      <c r="I1830" s="72" t="n">
        <v>13047.9</v>
      </c>
      <c r="J1830" s="70" t="inlineStr">
        <is>
          <t>Completed</t>
        </is>
      </c>
      <c r="K1830" s="70" t="inlineStr">
        <is>
          <t>Mumbai</t>
        </is>
      </c>
    </row>
    <row r="1831" ht="14.25" customHeight="1" s="56">
      <c r="A1831" s="70" t="inlineStr">
        <is>
          <t>ORD-01830</t>
        </is>
      </c>
      <c r="B1831" s="71" t="n">
        <v>45521</v>
      </c>
      <c r="C1831" s="70" t="inlineStr">
        <is>
          <t>CUST-0291</t>
        </is>
      </c>
      <c r="D1831" s="70" t="inlineStr">
        <is>
          <t>PROD-055</t>
        </is>
      </c>
      <c r="E1831" s="70" t="inlineStr">
        <is>
          <t>R030</t>
        </is>
      </c>
      <c r="F1831" s="72" t="n">
        <v>2</v>
      </c>
      <c r="G1831" s="72" t="n">
        <v>2860</v>
      </c>
      <c r="H1831" s="72" t="n">
        <v>21.1</v>
      </c>
      <c r="I1831" s="72" t="n">
        <v>4513.08</v>
      </c>
      <c r="J1831" s="70" t="inlineStr">
        <is>
          <t>Completed</t>
        </is>
      </c>
      <c r="K1831" s="70" t="inlineStr">
        <is>
          <t>Pune</t>
        </is>
      </c>
    </row>
    <row r="1832" ht="14.25" customHeight="1" s="56">
      <c r="A1832" s="70" t="inlineStr">
        <is>
          <t>ORD-01831</t>
        </is>
      </c>
      <c r="B1832" s="71" t="n">
        <v>45481</v>
      </c>
      <c r="C1832" s="70" t="inlineStr">
        <is>
          <t>CUST-0167</t>
        </is>
      </c>
      <c r="D1832" s="70" t="inlineStr">
        <is>
          <t>PROD-015</t>
        </is>
      </c>
      <c r="E1832" s="70" t="inlineStr">
        <is>
          <t>R019</t>
        </is>
      </c>
      <c r="F1832" s="72" t="n">
        <v>1</v>
      </c>
      <c r="G1832" s="72" t="n">
        <v>2720</v>
      </c>
      <c r="H1832" s="72" t="n">
        <v>22.1</v>
      </c>
      <c r="I1832" s="72" t="n">
        <v>2118.88</v>
      </c>
      <c r="J1832" s="70" t="inlineStr">
        <is>
          <t>Completed</t>
        </is>
      </c>
      <c r="K1832" s="70" t="inlineStr">
        <is>
          <t>Delhi</t>
        </is>
      </c>
    </row>
    <row r="1833" ht="14.25" customHeight="1" s="56">
      <c r="A1833" s="70" t="inlineStr">
        <is>
          <t>ORD-01832</t>
        </is>
      </c>
      <c r="B1833" s="71" t="n">
        <v>45633</v>
      </c>
      <c r="C1833" s="70" t="inlineStr">
        <is>
          <t>CUST-0223</t>
        </is>
      </c>
      <c r="D1833" s="70" t="inlineStr">
        <is>
          <t>PROD-055</t>
        </is>
      </c>
      <c r="E1833" s="70" t="inlineStr">
        <is>
          <t>R004</t>
        </is>
      </c>
      <c r="F1833" s="72" t="n">
        <v>6</v>
      </c>
      <c r="G1833" s="72" t="n">
        <v>2860</v>
      </c>
      <c r="H1833" s="72" t="n">
        <v>10.5</v>
      </c>
      <c r="I1833" s="72" t="n">
        <v>15358.2</v>
      </c>
      <c r="J1833" s="70" t="inlineStr">
        <is>
          <t>Cancelled</t>
        </is>
      </c>
      <c r="K1833" s="70" t="inlineStr">
        <is>
          <t>Bengaluru</t>
        </is>
      </c>
    </row>
    <row r="1834" ht="14.25" customHeight="1" s="56">
      <c r="A1834" s="70" t="inlineStr">
        <is>
          <t>ORD-01833</t>
        </is>
      </c>
      <c r="B1834" s="71" t="n">
        <v>45305</v>
      </c>
      <c r="C1834" s="70" t="inlineStr">
        <is>
          <t>CUST-0050</t>
        </is>
      </c>
      <c r="D1834" s="70" t="inlineStr">
        <is>
          <t>PROD-017</t>
        </is>
      </c>
      <c r="E1834" s="70" t="inlineStr">
        <is>
          <t>R020</t>
        </is>
      </c>
      <c r="F1834" s="72" t="n">
        <v>1</v>
      </c>
      <c r="G1834" s="72" t="n">
        <v>2510</v>
      </c>
      <c r="H1834" s="72" t="n">
        <v>12</v>
      </c>
      <c r="I1834" s="72" t="n">
        <v>2208.8</v>
      </c>
      <c r="J1834" s="70" t="inlineStr">
        <is>
          <t>Completed</t>
        </is>
      </c>
      <c r="K1834" s="70" t="inlineStr">
        <is>
          <t>Mumbai</t>
        </is>
      </c>
    </row>
    <row r="1835" ht="14.25" customHeight="1" s="56">
      <c r="A1835" s="70" t="inlineStr">
        <is>
          <t>ORD-01834</t>
        </is>
      </c>
      <c r="B1835" s="71" t="n">
        <v>45593</v>
      </c>
      <c r="C1835" s="70" t="inlineStr">
        <is>
          <t>CUST-0242</t>
        </is>
      </c>
      <c r="D1835" s="70" t="inlineStr">
        <is>
          <t>PROD-017</t>
        </is>
      </c>
      <c r="E1835" s="70" t="inlineStr">
        <is>
          <t>R020</t>
        </is>
      </c>
      <c r="F1835" s="72" t="n">
        <v>4</v>
      </c>
      <c r="G1835" s="72" t="n">
        <v>2510</v>
      </c>
      <c r="H1835" s="72" t="n">
        <v>23.2</v>
      </c>
      <c r="I1835" s="72" t="n">
        <v>7710.72</v>
      </c>
      <c r="J1835" s="70" t="inlineStr">
        <is>
          <t>Completed</t>
        </is>
      </c>
      <c r="K1835" s="70" t="inlineStr">
        <is>
          <t>Chennai</t>
        </is>
      </c>
    </row>
    <row r="1836" ht="14.25" customHeight="1" s="56">
      <c r="A1836" s="70" t="inlineStr">
        <is>
          <t>ORD-01835</t>
        </is>
      </c>
      <c r="B1836" s="71" t="n">
        <v>45555</v>
      </c>
      <c r="C1836" s="70" t="inlineStr">
        <is>
          <t>CUST-0144</t>
        </is>
      </c>
      <c r="D1836" s="70" t="inlineStr">
        <is>
          <t>PROD-049</t>
        </is>
      </c>
      <c r="E1836" s="70" t="inlineStr">
        <is>
          <t>R005</t>
        </is>
      </c>
      <c r="F1836" s="72" t="n">
        <v>8</v>
      </c>
      <c r="G1836" s="72" t="n">
        <v>960</v>
      </c>
      <c r="H1836" s="72" t="n">
        <v>20.3</v>
      </c>
      <c r="I1836" s="72" t="n">
        <v>6120.96</v>
      </c>
      <c r="J1836" s="70" t="inlineStr">
        <is>
          <t>Pending</t>
        </is>
      </c>
      <c r="K1836" s="70" t="inlineStr">
        <is>
          <t>Chennai</t>
        </is>
      </c>
    </row>
    <row r="1837" ht="14.25" customHeight="1" s="56">
      <c r="A1837" s="70" t="inlineStr">
        <is>
          <t>ORD-01836</t>
        </is>
      </c>
      <c r="B1837" s="71" t="n">
        <v>45406</v>
      </c>
      <c r="C1837" s="70" t="inlineStr">
        <is>
          <t>CUST-0140</t>
        </is>
      </c>
      <c r="D1837" s="70" t="inlineStr">
        <is>
          <t>PROD-038</t>
        </is>
      </c>
      <c r="E1837" s="70" t="inlineStr">
        <is>
          <t>R010</t>
        </is>
      </c>
      <c r="F1837" s="72" t="n">
        <v>3</v>
      </c>
      <c r="G1837" s="72" t="n">
        <v>5490</v>
      </c>
      <c r="H1837" s="72" t="n">
        <v>25.2</v>
      </c>
      <c r="I1837" s="72" t="n">
        <v>12319.56</v>
      </c>
      <c r="J1837" s="70" t="inlineStr">
        <is>
          <t>Completed</t>
        </is>
      </c>
      <c r="K1837" s="70" t="inlineStr">
        <is>
          <t>Hyderabad</t>
        </is>
      </c>
    </row>
    <row r="1838" ht="14.25" customHeight="1" s="56">
      <c r="A1838" s="70" t="inlineStr">
        <is>
          <t>ORD-01837</t>
        </is>
      </c>
      <c r="B1838" s="71" t="n">
        <v>45647</v>
      </c>
      <c r="C1838" s="70" t="inlineStr">
        <is>
          <t>CUST-0174</t>
        </is>
      </c>
      <c r="D1838" s="70" t="inlineStr">
        <is>
          <t>PROD-017</t>
        </is>
      </c>
      <c r="E1838" s="70" t="inlineStr">
        <is>
          <t>R006</t>
        </is>
      </c>
      <c r="F1838" s="72" t="n">
        <v>2</v>
      </c>
      <c r="G1838" s="72" t="n">
        <v>2510</v>
      </c>
      <c r="H1838" s="72" t="n">
        <v>28.2</v>
      </c>
      <c r="I1838" s="72" t="n">
        <v>3604.36</v>
      </c>
      <c r="J1838" s="70" t="inlineStr">
        <is>
          <t>Completed</t>
        </is>
      </c>
      <c r="K1838" s="70" t="inlineStr">
        <is>
          <t>Pune</t>
        </is>
      </c>
    </row>
    <row r="1839" ht="14.25" customHeight="1" s="56">
      <c r="A1839" s="70" t="inlineStr">
        <is>
          <t>ORD-01838</t>
        </is>
      </c>
      <c r="B1839" s="71" t="n">
        <v>45386</v>
      </c>
      <c r="C1839" s="70" t="inlineStr">
        <is>
          <t>CUST-0290</t>
        </is>
      </c>
      <c r="D1839" s="70" t="inlineStr">
        <is>
          <t>PROD-020</t>
        </is>
      </c>
      <c r="E1839" s="70" t="inlineStr">
        <is>
          <t>R011</t>
        </is>
      </c>
      <c r="F1839" s="72" t="n">
        <v>1</v>
      </c>
      <c r="G1839" s="72" t="n">
        <v>820</v>
      </c>
      <c r="H1839" s="72" t="n">
        <v>4.7</v>
      </c>
      <c r="I1839" s="72" t="n">
        <v>781.46</v>
      </c>
      <c r="J1839" s="70" t="inlineStr">
        <is>
          <t>Completed</t>
        </is>
      </c>
      <c r="K1839" s="70" t="inlineStr">
        <is>
          <t>Delhi</t>
        </is>
      </c>
    </row>
    <row r="1840" ht="14.25" customHeight="1" s="56">
      <c r="A1840" s="70" t="inlineStr">
        <is>
          <t>ORD-01839</t>
        </is>
      </c>
      <c r="B1840" s="71" t="n">
        <v>45453</v>
      </c>
      <c r="C1840" s="70" t="inlineStr">
        <is>
          <t>CUST-0170</t>
        </is>
      </c>
      <c r="D1840" s="70" t="inlineStr">
        <is>
          <t>PROD-005</t>
        </is>
      </c>
      <c r="E1840" s="70" t="inlineStr">
        <is>
          <t>R018</t>
        </is>
      </c>
      <c r="F1840" s="72" t="n">
        <v>6</v>
      </c>
      <c r="G1840" s="72" t="n">
        <v>300</v>
      </c>
      <c r="H1840" s="72" t="n">
        <v>13.3</v>
      </c>
      <c r="I1840" s="72" t="n">
        <v>1560.6</v>
      </c>
      <c r="J1840" s="70" t="inlineStr">
        <is>
          <t>Completed</t>
        </is>
      </c>
      <c r="K1840" s="70" t="inlineStr">
        <is>
          <t>Mumbai</t>
        </is>
      </c>
    </row>
    <row r="1841" ht="14.25" customHeight="1" s="56">
      <c r="A1841" s="70" t="inlineStr">
        <is>
          <t>ORD-01840</t>
        </is>
      </c>
      <c r="B1841" s="71" t="n">
        <v>45492</v>
      </c>
      <c r="C1841" s="70" t="inlineStr">
        <is>
          <t>CUST-0180</t>
        </is>
      </c>
      <c r="D1841" s="70" t="inlineStr">
        <is>
          <t>PROD-043</t>
        </is>
      </c>
      <c r="E1841" s="70" t="inlineStr">
        <is>
          <t>R016</t>
        </is>
      </c>
      <c r="F1841" s="72" t="n">
        <v>4</v>
      </c>
      <c r="G1841" s="72" t="n">
        <v>3350</v>
      </c>
      <c r="H1841" s="72" t="n">
        <v>5.8</v>
      </c>
      <c r="I1841" s="72" t="n">
        <v>12622.8</v>
      </c>
      <c r="J1841" s="70" t="inlineStr">
        <is>
          <t>Pending</t>
        </is>
      </c>
      <c r="K1841" s="70" t="inlineStr">
        <is>
          <t>Chennai</t>
        </is>
      </c>
    </row>
    <row r="1842" ht="14.25" customHeight="1" s="56">
      <c r="A1842" s="70" t="inlineStr">
        <is>
          <t>ORD-01841</t>
        </is>
      </c>
      <c r="B1842" s="71" t="n">
        <v>45605</v>
      </c>
      <c r="C1842" s="70" t="inlineStr">
        <is>
          <t>CUST-0286</t>
        </is>
      </c>
      <c r="D1842" s="70" t="inlineStr">
        <is>
          <t>PROD-036</t>
        </is>
      </c>
      <c r="E1842" s="70" t="inlineStr">
        <is>
          <t>R025</t>
        </is>
      </c>
      <c r="F1842" s="72" t="n">
        <v>3</v>
      </c>
      <c r="G1842" s="72" t="n">
        <v>3250</v>
      </c>
      <c r="H1842" s="72" t="n">
        <v>19.6</v>
      </c>
      <c r="I1842" s="72" t="n">
        <v>7839</v>
      </c>
      <c r="J1842" s="70" t="inlineStr">
        <is>
          <t>Pending</t>
        </is>
      </c>
      <c r="K1842" s="70" t="inlineStr">
        <is>
          <t>Delhi</t>
        </is>
      </c>
    </row>
    <row r="1843" ht="14.25" customHeight="1" s="56">
      <c r="A1843" s="70" t="inlineStr">
        <is>
          <t>ORD-01842</t>
        </is>
      </c>
      <c r="B1843" s="71" t="n">
        <v>45344</v>
      </c>
      <c r="C1843" s="70" t="inlineStr">
        <is>
          <t>CUST-0056</t>
        </is>
      </c>
      <c r="D1843" s="70" t="inlineStr">
        <is>
          <t>PROD-044</t>
        </is>
      </c>
      <c r="E1843" s="70" t="inlineStr">
        <is>
          <t>R027</t>
        </is>
      </c>
      <c r="F1843" s="72" t="n">
        <v>10</v>
      </c>
      <c r="G1843" s="72" t="n">
        <v>1650</v>
      </c>
      <c r="H1843" s="72" t="n">
        <v>22.5</v>
      </c>
      <c r="I1843" s="72" t="n">
        <v>12787.5</v>
      </c>
      <c r="J1843" s="70" t="inlineStr">
        <is>
          <t>Cancelled</t>
        </is>
      </c>
      <c r="K1843" s="70" t="inlineStr">
        <is>
          <t>Bengaluru</t>
        </is>
      </c>
    </row>
    <row r="1844" ht="14.25" customHeight="1" s="56">
      <c r="A1844" s="70" t="inlineStr">
        <is>
          <t>ORD-01843</t>
        </is>
      </c>
      <c r="B1844" s="71" t="n">
        <v>45506</v>
      </c>
      <c r="C1844" s="70" t="inlineStr">
        <is>
          <t>CUST-0292</t>
        </is>
      </c>
      <c r="D1844" s="70" t="inlineStr">
        <is>
          <t>PROD-009</t>
        </is>
      </c>
      <c r="E1844" s="70" t="inlineStr">
        <is>
          <t>R026</t>
        </is>
      </c>
      <c r="F1844" s="72" t="n">
        <v>2</v>
      </c>
      <c r="G1844" s="72" t="n">
        <v>1220</v>
      </c>
      <c r="H1844" s="72" t="n">
        <v>10.5</v>
      </c>
      <c r="I1844" s="72" t="n">
        <v>2183.8</v>
      </c>
      <c r="J1844" s="70" t="inlineStr">
        <is>
          <t>Completed</t>
        </is>
      </c>
      <c r="K1844" s="70" t="inlineStr">
        <is>
          <t>Bengaluru</t>
        </is>
      </c>
    </row>
    <row r="1845" ht="14.25" customHeight="1" s="56">
      <c r="A1845" s="70" t="inlineStr">
        <is>
          <t>ORD-01844</t>
        </is>
      </c>
      <c r="B1845" s="71" t="n">
        <v>45521</v>
      </c>
      <c r="C1845" s="70" t="inlineStr">
        <is>
          <t>CUST-0020</t>
        </is>
      </c>
      <c r="D1845" s="70" t="inlineStr">
        <is>
          <t>PROD-049</t>
        </is>
      </c>
      <c r="E1845" s="70" t="inlineStr">
        <is>
          <t>R026</t>
        </is>
      </c>
      <c r="F1845" s="72" t="n">
        <v>7</v>
      </c>
      <c r="G1845" s="72" t="n">
        <v>960</v>
      </c>
      <c r="H1845" s="72" t="n">
        <v>5.4</v>
      </c>
      <c r="I1845" s="72" t="n">
        <v>6357.12</v>
      </c>
      <c r="J1845" s="70" t="inlineStr">
        <is>
          <t>Refunded</t>
        </is>
      </c>
      <c r="K1845" s="70" t="inlineStr">
        <is>
          <t>Hyderabad</t>
        </is>
      </c>
    </row>
    <row r="1846" ht="14.25" customHeight="1" s="56">
      <c r="A1846" s="70" t="inlineStr">
        <is>
          <t>ORD-01845</t>
        </is>
      </c>
      <c r="B1846" s="71" t="n">
        <v>45389</v>
      </c>
      <c r="C1846" s="70" t="inlineStr">
        <is>
          <t>CUST-0089</t>
        </is>
      </c>
      <c r="D1846" s="70" t="inlineStr">
        <is>
          <t>PROD-046</t>
        </is>
      </c>
      <c r="E1846" s="70" t="inlineStr">
        <is>
          <t>R014</t>
        </is>
      </c>
      <c r="F1846" s="72" t="n">
        <v>3</v>
      </c>
      <c r="G1846" s="72" t="n">
        <v>4880</v>
      </c>
      <c r="H1846" s="72" t="n">
        <v>17.1</v>
      </c>
      <c r="I1846" s="72" t="n">
        <v>12136.56</v>
      </c>
      <c r="J1846" s="70" t="inlineStr">
        <is>
          <t>Completed</t>
        </is>
      </c>
      <c r="K1846" s="70" t="inlineStr">
        <is>
          <t>Mumbai</t>
        </is>
      </c>
    </row>
    <row r="1847" ht="14.25" customHeight="1" s="56">
      <c r="A1847" s="70" t="inlineStr">
        <is>
          <t>ORD-01846</t>
        </is>
      </c>
      <c r="B1847" s="71" t="n">
        <v>45390</v>
      </c>
      <c r="C1847" s="70" t="inlineStr">
        <is>
          <t>CUST-0242</t>
        </is>
      </c>
      <c r="D1847" s="70" t="inlineStr">
        <is>
          <t>PROD-024</t>
        </is>
      </c>
      <c r="E1847" s="70" t="inlineStr">
        <is>
          <t>R028</t>
        </is>
      </c>
      <c r="F1847" s="72" t="n">
        <v>5</v>
      </c>
      <c r="G1847" s="72" t="n">
        <v>2270</v>
      </c>
      <c r="H1847" s="72" t="n">
        <v>12.4</v>
      </c>
      <c r="I1847" s="72" t="n">
        <v>9942.6</v>
      </c>
      <c r="J1847" s="70" t="inlineStr">
        <is>
          <t>Completed</t>
        </is>
      </c>
      <c r="K1847" s="70" t="inlineStr">
        <is>
          <t>Chennai</t>
        </is>
      </c>
    </row>
    <row r="1848" ht="14.25" customHeight="1" s="56">
      <c r="A1848" s="70" t="inlineStr">
        <is>
          <t>ORD-01847</t>
        </is>
      </c>
      <c r="B1848" s="71" t="n">
        <v>45413</v>
      </c>
      <c r="C1848" s="70" t="inlineStr">
        <is>
          <t>CUST-0249</t>
        </is>
      </c>
      <c r="D1848" s="70" t="inlineStr">
        <is>
          <t>PROD-035</t>
        </is>
      </c>
      <c r="E1848" s="70" t="inlineStr">
        <is>
          <t>R028</t>
        </is>
      </c>
      <c r="F1848" s="72" t="n">
        <v>1</v>
      </c>
      <c r="G1848" s="72" t="n">
        <v>1090</v>
      </c>
      <c r="H1848" s="72" t="n">
        <v>17.3</v>
      </c>
      <c r="I1848" s="72" t="n">
        <v>901.4299999999999</v>
      </c>
      <c r="J1848" s="70" t="inlineStr">
        <is>
          <t>Completed</t>
        </is>
      </c>
      <c r="K1848" s="70" t="inlineStr">
        <is>
          <t>Mumbai</t>
        </is>
      </c>
    </row>
    <row r="1849" ht="14.25" customHeight="1" s="56">
      <c r="A1849" s="70" t="inlineStr">
        <is>
          <t>ORD-01848</t>
        </is>
      </c>
      <c r="B1849" s="71" t="n">
        <v>45535</v>
      </c>
      <c r="C1849" s="70" t="inlineStr">
        <is>
          <t>CUST-0032</t>
        </is>
      </c>
      <c r="D1849" s="70" t="inlineStr">
        <is>
          <t>PROD-034</t>
        </is>
      </c>
      <c r="E1849" s="70" t="inlineStr">
        <is>
          <t>R029</t>
        </is>
      </c>
      <c r="F1849" s="72" t="n">
        <v>8</v>
      </c>
      <c r="G1849" s="72" t="n">
        <v>5080</v>
      </c>
      <c r="H1849" s="72" t="n">
        <v>0.9</v>
      </c>
      <c r="I1849" s="72" t="n">
        <v>40274.24</v>
      </c>
      <c r="J1849" s="70" t="inlineStr">
        <is>
          <t>Completed</t>
        </is>
      </c>
      <c r="K1849" s="70" t="inlineStr">
        <is>
          <t>Hyderabad</t>
        </is>
      </c>
    </row>
    <row r="1850" ht="14.25" customHeight="1" s="56">
      <c r="A1850" s="70" t="inlineStr">
        <is>
          <t>ORD-01849</t>
        </is>
      </c>
      <c r="B1850" s="71" t="n">
        <v>45569</v>
      </c>
      <c r="C1850" s="70" t="inlineStr">
        <is>
          <t>CUST-0217</t>
        </is>
      </c>
      <c r="D1850" s="70" t="inlineStr">
        <is>
          <t>PROD-039</t>
        </is>
      </c>
      <c r="E1850" s="70" t="inlineStr">
        <is>
          <t>R017</t>
        </is>
      </c>
      <c r="F1850" s="72" t="n">
        <v>7</v>
      </c>
      <c r="G1850" s="72" t="n">
        <v>4610</v>
      </c>
      <c r="H1850" s="72" t="n">
        <v>0.9</v>
      </c>
      <c r="I1850" s="72" t="n">
        <v>31979.57</v>
      </c>
      <c r="J1850" s="70" t="inlineStr">
        <is>
          <t>Completed</t>
        </is>
      </c>
      <c r="K1850" s="70" t="inlineStr">
        <is>
          <t>Pune</t>
        </is>
      </c>
    </row>
    <row r="1851" ht="14.25" customHeight="1" s="56">
      <c r="A1851" s="70" t="inlineStr">
        <is>
          <t>ORD-01850</t>
        </is>
      </c>
      <c r="B1851" s="71" t="n">
        <v>45527</v>
      </c>
      <c r="C1851" s="70" t="inlineStr">
        <is>
          <t>CUST-0284</t>
        </is>
      </c>
      <c r="D1851" s="70" t="inlineStr">
        <is>
          <t>PROD-045</t>
        </is>
      </c>
      <c r="E1851" s="70" t="inlineStr">
        <is>
          <t>R028</t>
        </is>
      </c>
      <c r="F1851" s="72" t="n">
        <v>1</v>
      </c>
      <c r="G1851" s="72" t="n">
        <v>3020</v>
      </c>
      <c r="H1851" s="72" t="n">
        <v>10.3</v>
      </c>
      <c r="I1851" s="72" t="n">
        <v>2708.94</v>
      </c>
      <c r="J1851" s="70" t="inlineStr">
        <is>
          <t>Completed</t>
        </is>
      </c>
      <c r="K1851" s="70" t="inlineStr">
        <is>
          <t>Hyderabad</t>
        </is>
      </c>
    </row>
    <row r="1852" ht="14.25" customHeight="1" s="56">
      <c r="A1852" s="70" t="inlineStr">
        <is>
          <t>ORD-01851</t>
        </is>
      </c>
      <c r="B1852" s="71" t="n">
        <v>45453</v>
      </c>
      <c r="C1852" s="70" t="inlineStr">
        <is>
          <t>CUST-0167</t>
        </is>
      </c>
      <c r="D1852" s="70" t="inlineStr">
        <is>
          <t>PROD-022</t>
        </is>
      </c>
      <c r="E1852" s="70" t="inlineStr">
        <is>
          <t>R028</t>
        </is>
      </c>
      <c r="F1852" s="72" t="n">
        <v>6</v>
      </c>
      <c r="G1852" s="72" t="n">
        <v>2270</v>
      </c>
      <c r="H1852" s="72" t="n">
        <v>23.1</v>
      </c>
      <c r="I1852" s="72" t="n">
        <v>10473.78</v>
      </c>
      <c r="J1852" s="70" t="inlineStr">
        <is>
          <t>Completed</t>
        </is>
      </c>
      <c r="K1852" s="70" t="inlineStr">
        <is>
          <t>Delhi</t>
        </is>
      </c>
    </row>
    <row r="1853" ht="14.25" customHeight="1" s="56">
      <c r="A1853" s="70" t="inlineStr">
        <is>
          <t>ORD-01852</t>
        </is>
      </c>
      <c r="B1853" s="71" t="n">
        <v>45605</v>
      </c>
      <c r="C1853" s="70" t="inlineStr">
        <is>
          <t>CUST-0008</t>
        </is>
      </c>
      <c r="D1853" s="70" t="inlineStr">
        <is>
          <t>PROD-026</t>
        </is>
      </c>
      <c r="E1853" s="70" t="inlineStr">
        <is>
          <t>R010</t>
        </is>
      </c>
      <c r="F1853" s="72" t="n">
        <v>6</v>
      </c>
      <c r="G1853" s="72" t="n">
        <v>4070</v>
      </c>
      <c r="H1853" s="72" t="n">
        <v>28.9</v>
      </c>
      <c r="I1853" s="72" t="n">
        <v>17362.62</v>
      </c>
      <c r="J1853" s="70" t="inlineStr">
        <is>
          <t>Completed</t>
        </is>
      </c>
      <c r="K1853" s="70" t="inlineStr">
        <is>
          <t>Pune</t>
        </is>
      </c>
    </row>
    <row r="1854" ht="14.25" customHeight="1" s="56">
      <c r="A1854" s="70" t="inlineStr">
        <is>
          <t>ORD-01853</t>
        </is>
      </c>
      <c r="B1854" s="71" t="n">
        <v>45650</v>
      </c>
      <c r="C1854" s="70" t="inlineStr">
        <is>
          <t>CUST-0277</t>
        </is>
      </c>
      <c r="D1854" s="70" t="inlineStr">
        <is>
          <t>PROD-009</t>
        </is>
      </c>
      <c r="E1854" s="70" t="inlineStr">
        <is>
          <t>R017</t>
        </is>
      </c>
      <c r="F1854" s="72" t="n">
        <v>5</v>
      </c>
      <c r="G1854" s="72" t="n">
        <v>1220</v>
      </c>
      <c r="H1854" s="72" t="n">
        <v>18.7</v>
      </c>
      <c r="I1854" s="72" t="n">
        <v>4959.3</v>
      </c>
      <c r="J1854" s="70" t="inlineStr">
        <is>
          <t>Completed</t>
        </is>
      </c>
      <c r="K1854" s="70" t="inlineStr">
        <is>
          <t>Chennai</t>
        </is>
      </c>
    </row>
    <row r="1855" ht="14.25" customHeight="1" s="56">
      <c r="A1855" s="70" t="inlineStr">
        <is>
          <t>ORD-01854</t>
        </is>
      </c>
      <c r="B1855" s="71" t="n">
        <v>45412</v>
      </c>
      <c r="C1855" s="70" t="inlineStr">
        <is>
          <t>CUST-0025</t>
        </is>
      </c>
      <c r="D1855" s="70" t="inlineStr">
        <is>
          <t>PROD-019</t>
        </is>
      </c>
      <c r="E1855" s="70" t="inlineStr">
        <is>
          <t>R024</t>
        </is>
      </c>
      <c r="F1855" s="72" t="n">
        <v>8</v>
      </c>
      <c r="G1855" s="72" t="n">
        <v>2480</v>
      </c>
      <c r="H1855" s="72" t="n">
        <v>3.2</v>
      </c>
      <c r="I1855" s="72" t="n">
        <v>19205.12</v>
      </c>
      <c r="J1855" s="70" t="inlineStr">
        <is>
          <t>Cancelled</t>
        </is>
      </c>
      <c r="K1855" s="70" t="inlineStr">
        <is>
          <t>Bengaluru</t>
        </is>
      </c>
    </row>
    <row r="1856" ht="14.25" customHeight="1" s="56">
      <c r="A1856" s="70" t="inlineStr">
        <is>
          <t>ORD-01855</t>
        </is>
      </c>
      <c r="B1856" s="71" t="n">
        <v>45554</v>
      </c>
      <c r="C1856" s="70" t="inlineStr">
        <is>
          <t>CUST-0228</t>
        </is>
      </c>
      <c r="D1856" s="70" t="inlineStr">
        <is>
          <t>PROD-055</t>
        </is>
      </c>
      <c r="E1856" s="70" t="inlineStr">
        <is>
          <t>R007</t>
        </is>
      </c>
      <c r="F1856" s="72" t="n">
        <v>7</v>
      </c>
      <c r="G1856" s="72" t="n">
        <v>2860</v>
      </c>
      <c r="H1856" s="72" t="n">
        <v>8.4</v>
      </c>
      <c r="I1856" s="72" t="n">
        <v>18338.32</v>
      </c>
      <c r="J1856" s="70" t="inlineStr">
        <is>
          <t>Completed</t>
        </is>
      </c>
      <c r="K1856" s="70" t="inlineStr">
        <is>
          <t>Pune</t>
        </is>
      </c>
    </row>
    <row r="1857" ht="14.25" customHeight="1" s="56">
      <c r="A1857" s="70" t="inlineStr">
        <is>
          <t>ORD-01856</t>
        </is>
      </c>
      <c r="B1857" s="71" t="n">
        <v>45365</v>
      </c>
      <c r="C1857" s="70" t="inlineStr">
        <is>
          <t>CUST-0078</t>
        </is>
      </c>
      <c r="D1857" s="70" t="inlineStr">
        <is>
          <t>PROD-027</t>
        </is>
      </c>
      <c r="E1857" s="70" t="inlineStr">
        <is>
          <t>R024</t>
        </is>
      </c>
      <c r="F1857" s="72" t="n">
        <v>1</v>
      </c>
      <c r="G1857" s="72" t="n">
        <v>3780</v>
      </c>
      <c r="H1857" s="72" t="n">
        <v>16.3</v>
      </c>
      <c r="I1857" s="72" t="n">
        <v>3163.86</v>
      </c>
      <c r="J1857" s="70" t="inlineStr">
        <is>
          <t>Cancelled</t>
        </is>
      </c>
      <c r="K1857" s="70" t="inlineStr">
        <is>
          <t>Delhi</t>
        </is>
      </c>
    </row>
    <row r="1858" ht="14.25" customHeight="1" s="56">
      <c r="A1858" s="70" t="inlineStr">
        <is>
          <t>ORD-01857</t>
        </is>
      </c>
      <c r="B1858" s="71" t="n">
        <v>45504</v>
      </c>
      <c r="C1858" s="70" t="inlineStr">
        <is>
          <t>CUST-0205</t>
        </is>
      </c>
      <c r="D1858" s="70" t="inlineStr">
        <is>
          <t>PROD-055</t>
        </is>
      </c>
      <c r="E1858" s="70" t="inlineStr">
        <is>
          <t>R025</t>
        </is>
      </c>
      <c r="F1858" s="72" t="n">
        <v>6</v>
      </c>
      <c r="G1858" s="72" t="n">
        <v>2860</v>
      </c>
      <c r="H1858" s="72" t="n">
        <v>10.7</v>
      </c>
      <c r="I1858" s="72" t="n">
        <v>15323.88</v>
      </c>
      <c r="J1858" s="70" t="inlineStr">
        <is>
          <t>Completed</t>
        </is>
      </c>
      <c r="K1858" s="70" t="inlineStr">
        <is>
          <t>Pune</t>
        </is>
      </c>
    </row>
    <row r="1859" ht="14.25" customHeight="1" s="56">
      <c r="A1859" s="70" t="inlineStr">
        <is>
          <t>ORD-01858</t>
        </is>
      </c>
      <c r="B1859" s="71" t="n">
        <v>45652</v>
      </c>
      <c r="C1859" s="70" t="inlineStr">
        <is>
          <t>CUST-0044</t>
        </is>
      </c>
      <c r="D1859" s="70" t="inlineStr">
        <is>
          <t>PROD-058</t>
        </is>
      </c>
      <c r="E1859" s="70" t="inlineStr">
        <is>
          <t>R027</t>
        </is>
      </c>
      <c r="F1859" s="72" t="n">
        <v>3</v>
      </c>
      <c r="G1859" s="72" t="n">
        <v>2400</v>
      </c>
      <c r="H1859" s="72" t="n">
        <v>20.7</v>
      </c>
      <c r="I1859" s="72" t="n">
        <v>5709.6</v>
      </c>
      <c r="J1859" s="70" t="inlineStr">
        <is>
          <t>Completed</t>
        </is>
      </c>
      <c r="K1859" s="70" t="inlineStr">
        <is>
          <t>Hyderabad</t>
        </is>
      </c>
    </row>
    <row r="1860" ht="14.25" customHeight="1" s="56">
      <c r="A1860" s="70" t="inlineStr">
        <is>
          <t>ORD-01859</t>
        </is>
      </c>
      <c r="B1860" s="71" t="n">
        <v>45330</v>
      </c>
      <c r="C1860" s="70" t="inlineStr">
        <is>
          <t>CUST-0188</t>
        </is>
      </c>
      <c r="D1860" s="70" t="inlineStr">
        <is>
          <t>PROD-023</t>
        </is>
      </c>
      <c r="E1860" s="70" t="inlineStr">
        <is>
          <t>R025</t>
        </is>
      </c>
      <c r="F1860" s="72" t="n">
        <v>8</v>
      </c>
      <c r="G1860" s="72" t="n">
        <v>2380</v>
      </c>
      <c r="H1860" s="72" t="n">
        <v>22.3</v>
      </c>
      <c r="I1860" s="72" t="n">
        <v>14794.08</v>
      </c>
      <c r="J1860" s="70" t="inlineStr">
        <is>
          <t>Refunded</t>
        </is>
      </c>
      <c r="K1860" s="70" t="inlineStr">
        <is>
          <t>Bengaluru</t>
        </is>
      </c>
    </row>
    <row r="1861" ht="14.25" customHeight="1" s="56">
      <c r="A1861" s="70" t="inlineStr">
        <is>
          <t>ORD-01860</t>
        </is>
      </c>
      <c r="B1861" s="71" t="n">
        <v>45533</v>
      </c>
      <c r="C1861" s="70" t="inlineStr">
        <is>
          <t>CUST-0165</t>
        </is>
      </c>
      <c r="D1861" s="70" t="inlineStr">
        <is>
          <t>PROD-048</t>
        </is>
      </c>
      <c r="E1861" s="70" t="inlineStr">
        <is>
          <t>R006</t>
        </is>
      </c>
      <c r="F1861" s="72" t="n">
        <v>7</v>
      </c>
      <c r="G1861" s="72" t="n">
        <v>5100</v>
      </c>
      <c r="H1861" s="72" t="n">
        <v>22.9</v>
      </c>
      <c r="I1861" s="72" t="n">
        <v>27524.7</v>
      </c>
      <c r="J1861" s="70" t="inlineStr">
        <is>
          <t>Cancelled</t>
        </is>
      </c>
      <c r="K1861" s="70" t="inlineStr">
        <is>
          <t>Pune</t>
        </is>
      </c>
    </row>
    <row r="1862" ht="14.25" customHeight="1" s="56">
      <c r="A1862" s="70" t="inlineStr">
        <is>
          <t>ORD-01861</t>
        </is>
      </c>
      <c r="B1862" s="71" t="n">
        <v>45463</v>
      </c>
      <c r="C1862" s="70" t="inlineStr">
        <is>
          <t>CUST-0059</t>
        </is>
      </c>
      <c r="D1862" s="70" t="inlineStr">
        <is>
          <t>PROD-005</t>
        </is>
      </c>
      <c r="E1862" s="70" t="inlineStr">
        <is>
          <t>R015</t>
        </is>
      </c>
      <c r="F1862" s="72" t="n">
        <v>7</v>
      </c>
      <c r="G1862" s="72" t="n">
        <v>300</v>
      </c>
      <c r="H1862" s="72" t="n">
        <v>15.3</v>
      </c>
      <c r="I1862" s="72" t="n">
        <v>1778.7</v>
      </c>
      <c r="J1862" s="70" t="inlineStr">
        <is>
          <t>Completed</t>
        </is>
      </c>
      <c r="K1862" s="70" t="inlineStr">
        <is>
          <t>Pune</t>
        </is>
      </c>
    </row>
    <row r="1863" ht="14.25" customHeight="1" s="56">
      <c r="A1863" s="70" t="inlineStr">
        <is>
          <t>ORD-01862</t>
        </is>
      </c>
      <c r="B1863" s="71" t="n">
        <v>45428</v>
      </c>
      <c r="C1863" s="70" t="inlineStr">
        <is>
          <t>CUST-0280</t>
        </is>
      </c>
      <c r="D1863" s="70" t="inlineStr">
        <is>
          <t>PROD-051</t>
        </is>
      </c>
      <c r="E1863" s="70" t="inlineStr">
        <is>
          <t>R010</t>
        </is>
      </c>
      <c r="F1863" s="72" t="n">
        <v>5</v>
      </c>
      <c r="G1863" s="72" t="n">
        <v>3450</v>
      </c>
      <c r="H1863" s="72" t="n">
        <v>16.8</v>
      </c>
      <c r="I1863" s="72" t="n">
        <v>14352</v>
      </c>
      <c r="J1863" s="70" t="inlineStr">
        <is>
          <t>Completed</t>
        </is>
      </c>
      <c r="K1863" s="70" t="inlineStr">
        <is>
          <t>Delhi</t>
        </is>
      </c>
    </row>
    <row r="1864" ht="14.25" customHeight="1" s="56">
      <c r="A1864" s="70" t="inlineStr">
        <is>
          <t>ORD-01863</t>
        </is>
      </c>
      <c r="B1864" s="71" t="n">
        <v>45634</v>
      </c>
      <c r="C1864" s="70" t="inlineStr">
        <is>
          <t>CUST-0153</t>
        </is>
      </c>
      <c r="D1864" s="70" t="inlineStr">
        <is>
          <t>PROD-055</t>
        </is>
      </c>
      <c r="E1864" s="70" t="inlineStr">
        <is>
          <t>R014</t>
        </is>
      </c>
      <c r="F1864" s="72" t="n">
        <v>4</v>
      </c>
      <c r="G1864" s="72" t="n">
        <v>2860</v>
      </c>
      <c r="H1864" s="72" t="n">
        <v>14.3</v>
      </c>
      <c r="I1864" s="72" t="n">
        <v>9804.08</v>
      </c>
      <c r="J1864" s="70" t="inlineStr">
        <is>
          <t>Completed</t>
        </is>
      </c>
      <c r="K1864" s="70" t="inlineStr">
        <is>
          <t>Mumbai</t>
        </is>
      </c>
    </row>
    <row r="1865" ht="14.25" customHeight="1" s="56">
      <c r="A1865" s="70" t="inlineStr">
        <is>
          <t>ORD-01864</t>
        </is>
      </c>
      <c r="B1865" s="71" t="n">
        <v>45627</v>
      </c>
      <c r="C1865" s="70" t="inlineStr">
        <is>
          <t>CUST-0251</t>
        </is>
      </c>
      <c r="D1865" s="70" t="inlineStr">
        <is>
          <t>PROD-015</t>
        </is>
      </c>
      <c r="E1865" s="70" t="inlineStr">
        <is>
          <t>R001</t>
        </is>
      </c>
      <c r="F1865" s="72" t="n">
        <v>6</v>
      </c>
      <c r="G1865" s="72" t="n">
        <v>2720</v>
      </c>
      <c r="H1865" s="72" t="n">
        <v>25.1</v>
      </c>
      <c r="I1865" s="72" t="n">
        <v>12223.68</v>
      </c>
      <c r="J1865" s="70" t="inlineStr">
        <is>
          <t>Cancelled</t>
        </is>
      </c>
      <c r="K1865" s="70" t="inlineStr">
        <is>
          <t>Mumbai</t>
        </is>
      </c>
    </row>
    <row r="1866" ht="14.25" customHeight="1" s="56">
      <c r="A1866" s="70" t="inlineStr">
        <is>
          <t>ORD-01865</t>
        </is>
      </c>
      <c r="B1866" s="71" t="n">
        <v>45429</v>
      </c>
      <c r="C1866" s="70" t="inlineStr">
        <is>
          <t>CUST-0255</t>
        </is>
      </c>
      <c r="D1866" s="70" t="inlineStr">
        <is>
          <t>PROD-031</t>
        </is>
      </c>
      <c r="E1866" s="70" t="inlineStr">
        <is>
          <t>R028</t>
        </is>
      </c>
      <c r="F1866" s="72" t="n">
        <v>3</v>
      </c>
      <c r="G1866" s="72" t="n">
        <v>3730</v>
      </c>
      <c r="H1866" s="72" t="n">
        <v>24.8</v>
      </c>
      <c r="I1866" s="72" t="n">
        <v>8414.879999999999</v>
      </c>
      <c r="J1866" s="70" t="inlineStr">
        <is>
          <t>Completed</t>
        </is>
      </c>
      <c r="K1866" s="70" t="inlineStr">
        <is>
          <t>Chennai</t>
        </is>
      </c>
    </row>
    <row r="1867" ht="14.25" customHeight="1" s="56">
      <c r="A1867" s="70" t="inlineStr">
        <is>
          <t>ORD-01866</t>
        </is>
      </c>
      <c r="B1867" s="71" t="n">
        <v>45648</v>
      </c>
      <c r="C1867" s="70" t="inlineStr">
        <is>
          <t>CUST-0076</t>
        </is>
      </c>
      <c r="D1867" s="70" t="inlineStr">
        <is>
          <t>PROD-025</t>
        </is>
      </c>
      <c r="E1867" s="70" t="inlineStr">
        <is>
          <t>R002</t>
        </is>
      </c>
      <c r="F1867" s="72" t="n">
        <v>2</v>
      </c>
      <c r="G1867" s="72" t="n">
        <v>4060</v>
      </c>
      <c r="H1867" s="72" t="n">
        <v>11.3</v>
      </c>
      <c r="I1867" s="72" t="n">
        <v>7202.44</v>
      </c>
      <c r="J1867" s="70" t="inlineStr">
        <is>
          <t>Completed</t>
        </is>
      </c>
      <c r="K1867" s="70" t="inlineStr">
        <is>
          <t>Mumbai</t>
        </is>
      </c>
    </row>
    <row r="1868" ht="14.25" customHeight="1" s="56">
      <c r="A1868" s="70" t="inlineStr">
        <is>
          <t>ORD-01867</t>
        </is>
      </c>
      <c r="B1868" s="71" t="n">
        <v>45295</v>
      </c>
      <c r="C1868" s="70" t="inlineStr">
        <is>
          <t>CUST-0195</t>
        </is>
      </c>
      <c r="D1868" s="70" t="inlineStr">
        <is>
          <t>PROD-042</t>
        </is>
      </c>
      <c r="E1868" s="70" t="inlineStr">
        <is>
          <t>R018</t>
        </is>
      </c>
      <c r="F1868" s="72" t="n">
        <v>6</v>
      </c>
      <c r="G1868" s="72" t="n">
        <v>2290</v>
      </c>
      <c r="H1868" s="72" t="n">
        <v>26.8</v>
      </c>
      <c r="I1868" s="72" t="n">
        <v>10057.68</v>
      </c>
      <c r="J1868" s="70" t="inlineStr">
        <is>
          <t>Refunded</t>
        </is>
      </c>
      <c r="K1868" s="70" t="inlineStr">
        <is>
          <t>Bengaluru</t>
        </is>
      </c>
    </row>
    <row r="1869" ht="14.25" customHeight="1" s="56">
      <c r="A1869" s="70" t="inlineStr">
        <is>
          <t>ORD-01868</t>
        </is>
      </c>
      <c r="B1869" s="71" t="n">
        <v>45418</v>
      </c>
      <c r="C1869" s="70" t="inlineStr">
        <is>
          <t>CUST-0164</t>
        </is>
      </c>
      <c r="D1869" s="70" t="inlineStr">
        <is>
          <t>PROD-056</t>
        </is>
      </c>
      <c r="E1869" s="70" t="inlineStr">
        <is>
          <t>R013</t>
        </is>
      </c>
      <c r="F1869" s="72" t="n">
        <v>1</v>
      </c>
      <c r="G1869" s="72" t="n">
        <v>6940</v>
      </c>
      <c r="H1869" s="72" t="n">
        <v>15.7</v>
      </c>
      <c r="I1869" s="72" t="n">
        <v>5850.42</v>
      </c>
      <c r="J1869" s="70" t="inlineStr">
        <is>
          <t>Completed</t>
        </is>
      </c>
      <c r="K1869" s="70" t="inlineStr">
        <is>
          <t>Chennai</t>
        </is>
      </c>
    </row>
    <row r="1870" ht="14.25" customHeight="1" s="56">
      <c r="A1870" s="70" t="inlineStr">
        <is>
          <t>ORD-01869</t>
        </is>
      </c>
      <c r="B1870" s="71" t="n">
        <v>45623</v>
      </c>
      <c r="C1870" s="70" t="inlineStr">
        <is>
          <t>CUST-0239</t>
        </is>
      </c>
      <c r="D1870" s="70" t="inlineStr">
        <is>
          <t>PROD-031</t>
        </is>
      </c>
      <c r="E1870" s="70" t="inlineStr">
        <is>
          <t>R009</t>
        </is>
      </c>
      <c r="F1870" s="72" t="n">
        <v>3</v>
      </c>
      <c r="G1870" s="72" t="n">
        <v>3730</v>
      </c>
      <c r="H1870" s="72" t="n">
        <v>18.1</v>
      </c>
      <c r="I1870" s="72" t="n">
        <v>9164.610000000001</v>
      </c>
      <c r="J1870" s="70" t="inlineStr">
        <is>
          <t>Completed</t>
        </is>
      </c>
      <c r="K1870" s="70" t="inlineStr">
        <is>
          <t>Mumbai</t>
        </is>
      </c>
    </row>
    <row r="1871" ht="14.25" customHeight="1" s="56">
      <c r="A1871" s="70" t="inlineStr">
        <is>
          <t>ORD-01870</t>
        </is>
      </c>
      <c r="B1871" s="71" t="n">
        <v>45528</v>
      </c>
      <c r="C1871" s="70" t="inlineStr">
        <is>
          <t>CUST-0133</t>
        </is>
      </c>
      <c r="D1871" s="70" t="inlineStr">
        <is>
          <t>PROD-031</t>
        </is>
      </c>
      <c r="E1871" s="70" t="inlineStr">
        <is>
          <t>R002</t>
        </is>
      </c>
      <c r="F1871" s="72" t="n">
        <v>8</v>
      </c>
      <c r="G1871" s="72" t="n">
        <v>3730</v>
      </c>
      <c r="H1871" s="72" t="n">
        <v>12.5</v>
      </c>
      <c r="I1871" s="72" t="n">
        <v>26110</v>
      </c>
      <c r="J1871" s="70" t="inlineStr">
        <is>
          <t>Completed</t>
        </is>
      </c>
      <c r="K1871" s="70" t="inlineStr">
        <is>
          <t>Chennai</t>
        </is>
      </c>
    </row>
    <row r="1872" ht="14.25" customHeight="1" s="56">
      <c r="A1872" s="70" t="inlineStr">
        <is>
          <t>ORD-01871</t>
        </is>
      </c>
      <c r="B1872" s="71" t="n">
        <v>45644</v>
      </c>
      <c r="C1872" s="70" t="inlineStr">
        <is>
          <t>CUST-0286</t>
        </is>
      </c>
      <c r="D1872" s="70" t="inlineStr">
        <is>
          <t>PROD-023</t>
        </is>
      </c>
      <c r="E1872" s="70" t="inlineStr">
        <is>
          <t>R015</t>
        </is>
      </c>
      <c r="F1872" s="72" t="n">
        <v>9</v>
      </c>
      <c r="G1872" s="72" t="n">
        <v>2380</v>
      </c>
      <c r="H1872" s="72" t="n">
        <v>8.1</v>
      </c>
      <c r="I1872" s="72" t="n">
        <v>19684.98</v>
      </c>
      <c r="J1872" s="70" t="inlineStr">
        <is>
          <t>Cancelled</t>
        </is>
      </c>
      <c r="K1872" s="70" t="inlineStr">
        <is>
          <t>Delhi</t>
        </is>
      </c>
    </row>
    <row r="1873" ht="14.25" customHeight="1" s="56">
      <c r="A1873" s="70" t="inlineStr">
        <is>
          <t>ORD-01872</t>
        </is>
      </c>
      <c r="B1873" s="71" t="n">
        <v>45475</v>
      </c>
      <c r="C1873" s="70" t="inlineStr">
        <is>
          <t>CUST-0122</t>
        </is>
      </c>
      <c r="D1873" s="70" t="inlineStr">
        <is>
          <t>PROD-040</t>
        </is>
      </c>
      <c r="E1873" s="70" t="inlineStr">
        <is>
          <t>R002</t>
        </is>
      </c>
      <c r="F1873" s="72" t="n">
        <v>6</v>
      </c>
      <c r="G1873" s="72" t="n">
        <v>1080</v>
      </c>
      <c r="H1873" s="72" t="n">
        <v>8.800000000000001</v>
      </c>
      <c r="I1873" s="72" t="n">
        <v>5909.76</v>
      </c>
      <c r="J1873" s="70" t="inlineStr">
        <is>
          <t>Completed</t>
        </is>
      </c>
      <c r="K1873" s="70" t="inlineStr">
        <is>
          <t>Mumbai</t>
        </is>
      </c>
    </row>
    <row r="1874" ht="14.25" customHeight="1" s="56">
      <c r="A1874" s="70" t="inlineStr">
        <is>
          <t>ORD-01712</t>
        </is>
      </c>
      <c r="B1874" s="71" t="n">
        <v>45401</v>
      </c>
      <c r="C1874" s="70" t="inlineStr">
        <is>
          <t>CUST-0285</t>
        </is>
      </c>
      <c r="D1874" s="70" t="inlineStr">
        <is>
          <t>PROD-053</t>
        </is>
      </c>
      <c r="E1874" s="70" t="inlineStr">
        <is>
          <t>R013</t>
        </is>
      </c>
      <c r="F1874" s="72" t="n">
        <v>5</v>
      </c>
      <c r="G1874" s="72" t="n">
        <v>470</v>
      </c>
      <c r="H1874" s="72" t="n">
        <v>1.3</v>
      </c>
      <c r="I1874" s="72" t="n">
        <v>2319.45</v>
      </c>
      <c r="J1874" s="70" t="inlineStr">
        <is>
          <t>Completed</t>
        </is>
      </c>
      <c r="K1874" s="70" t="inlineStr">
        <is>
          <t>Hyderabad</t>
        </is>
      </c>
    </row>
    <row r="1875" ht="14.25" customHeight="1" s="56">
      <c r="A1875" s="70" t="inlineStr">
        <is>
          <t>ORD-01874</t>
        </is>
      </c>
      <c r="B1875" s="71" t="n">
        <v>45516</v>
      </c>
      <c r="C1875" s="70" t="inlineStr">
        <is>
          <t>CUST-0174</t>
        </is>
      </c>
      <c r="D1875" s="70" t="inlineStr">
        <is>
          <t>PROD-032</t>
        </is>
      </c>
      <c r="E1875" s="70" t="inlineStr">
        <is>
          <t>R026</t>
        </is>
      </c>
      <c r="F1875" s="72" t="n">
        <v>4</v>
      </c>
      <c r="G1875" s="72" t="n">
        <v>370</v>
      </c>
      <c r="H1875" s="72" t="n">
        <v>13.1</v>
      </c>
      <c r="I1875" s="72" t="n">
        <v>1286.12</v>
      </c>
      <c r="J1875" s="70" t="inlineStr">
        <is>
          <t>Completed</t>
        </is>
      </c>
      <c r="K1875" s="70" t="inlineStr">
        <is>
          <t>Pune</t>
        </is>
      </c>
    </row>
    <row r="1876" ht="14.25" customHeight="1" s="56">
      <c r="A1876" s="70" t="inlineStr">
        <is>
          <t>ORD-01875</t>
        </is>
      </c>
      <c r="B1876" s="71" t="n">
        <v>45517</v>
      </c>
      <c r="C1876" s="70" t="inlineStr">
        <is>
          <t>CUST-0115</t>
        </is>
      </c>
      <c r="D1876" s="70" t="inlineStr">
        <is>
          <t>PROD-012</t>
        </is>
      </c>
      <c r="E1876" s="70" t="inlineStr">
        <is>
          <t>R007</t>
        </is>
      </c>
      <c r="F1876" s="72" t="n">
        <v>7</v>
      </c>
      <c r="G1876" s="72" t="n">
        <v>3160</v>
      </c>
      <c r="H1876" s="72" t="n">
        <v>12.3</v>
      </c>
      <c r="I1876" s="72" t="n">
        <v>19399.24</v>
      </c>
      <c r="J1876" s="70" t="inlineStr">
        <is>
          <t>Completed</t>
        </is>
      </c>
      <c r="K1876" s="70" t="inlineStr">
        <is>
          <t>Mumbai</t>
        </is>
      </c>
    </row>
    <row r="1877" ht="14.25" customHeight="1" s="56">
      <c r="A1877" s="70" t="inlineStr">
        <is>
          <t>ORD-01876</t>
        </is>
      </c>
      <c r="B1877" s="71" t="n">
        <v>45645</v>
      </c>
      <c r="C1877" s="70" t="inlineStr">
        <is>
          <t>CUST-0028</t>
        </is>
      </c>
      <c r="D1877" s="70" t="inlineStr">
        <is>
          <t>PROD-018</t>
        </is>
      </c>
      <c r="E1877" s="70" t="inlineStr">
        <is>
          <t>R024</t>
        </is>
      </c>
      <c r="F1877" s="72" t="n">
        <v>5</v>
      </c>
      <c r="G1877" s="72" t="n">
        <v>3560</v>
      </c>
      <c r="H1877" s="72" t="n">
        <v>24</v>
      </c>
      <c r="I1877" s="72" t="n">
        <v>13528</v>
      </c>
      <c r="J1877" s="70" t="inlineStr">
        <is>
          <t>Completed</t>
        </is>
      </c>
      <c r="K1877" s="70" t="inlineStr">
        <is>
          <t>Bengaluru</t>
        </is>
      </c>
    </row>
    <row r="1878" ht="14.25" customHeight="1" s="56">
      <c r="A1878" s="70" t="inlineStr">
        <is>
          <t>ORD-01877</t>
        </is>
      </c>
      <c r="B1878" s="71" t="n">
        <v>45417</v>
      </c>
      <c r="C1878" s="70" t="inlineStr">
        <is>
          <t>CUST-0111</t>
        </is>
      </c>
      <c r="D1878" s="70" t="inlineStr">
        <is>
          <t>PROD-033</t>
        </is>
      </c>
      <c r="E1878" s="70" t="inlineStr">
        <is>
          <t>R021</t>
        </is>
      </c>
      <c r="F1878" s="72" t="n">
        <v>6</v>
      </c>
      <c r="G1878" s="72" t="n">
        <v>2030</v>
      </c>
      <c r="H1878" s="72" t="n">
        <v>20.5</v>
      </c>
      <c r="I1878" s="72" t="n">
        <v>9683.1</v>
      </c>
      <c r="J1878" s="70" t="inlineStr">
        <is>
          <t>Completed</t>
        </is>
      </c>
      <c r="K1878" s="70" t="inlineStr">
        <is>
          <t>Chennai</t>
        </is>
      </c>
    </row>
    <row r="1879" ht="14.25" customHeight="1" s="56">
      <c r="A1879" s="70" t="inlineStr">
        <is>
          <t>ORD-01878</t>
        </is>
      </c>
      <c r="B1879" s="71" t="n">
        <v>45351</v>
      </c>
      <c r="C1879" s="70" t="inlineStr">
        <is>
          <t>CUST-0240</t>
        </is>
      </c>
      <c r="D1879" s="70" t="inlineStr">
        <is>
          <t>PROD-010</t>
        </is>
      </c>
      <c r="E1879" s="70" t="inlineStr">
        <is>
          <t>R018</t>
        </is>
      </c>
      <c r="F1879" s="72" t="n">
        <v>5</v>
      </c>
      <c r="G1879" s="72" t="n">
        <v>2640</v>
      </c>
      <c r="H1879" s="72" t="n">
        <v>21.3</v>
      </c>
      <c r="I1879" s="72" t="n">
        <v>10388.4</v>
      </c>
      <c r="J1879" s="70" t="inlineStr">
        <is>
          <t>Pending</t>
        </is>
      </c>
      <c r="K1879" s="70" t="inlineStr">
        <is>
          <t>Chennai</t>
        </is>
      </c>
    </row>
    <row r="1880" ht="14.25" customHeight="1" s="56">
      <c r="A1880" s="70" t="inlineStr">
        <is>
          <t>ORD-01879</t>
        </is>
      </c>
      <c r="B1880" s="71" t="n">
        <v>45629</v>
      </c>
      <c r="C1880" s="70" t="inlineStr">
        <is>
          <t>CUST-0222</t>
        </is>
      </c>
      <c r="D1880" s="70" t="inlineStr">
        <is>
          <t>PROD-022</t>
        </is>
      </c>
      <c r="E1880" s="70" t="inlineStr">
        <is>
          <t>R002</t>
        </is>
      </c>
      <c r="F1880" s="72" t="n">
        <v>4</v>
      </c>
      <c r="G1880" s="72" t="n">
        <v>2270</v>
      </c>
      <c r="H1880" s="72" t="n">
        <v>15.8</v>
      </c>
      <c r="I1880" s="72" t="n">
        <v>7645.36</v>
      </c>
      <c r="J1880" s="70" t="inlineStr">
        <is>
          <t>Completed</t>
        </is>
      </c>
      <c r="K1880" s="70" t="inlineStr">
        <is>
          <t>Chennai</t>
        </is>
      </c>
    </row>
    <row r="1881" ht="14.25" customHeight="1" s="56">
      <c r="A1881" s="70" t="inlineStr">
        <is>
          <t>ORD-01880</t>
        </is>
      </c>
      <c r="B1881" s="71" t="n">
        <v>45588</v>
      </c>
      <c r="C1881" s="70" t="inlineStr">
        <is>
          <t>CUST-0251</t>
        </is>
      </c>
      <c r="D1881" s="70" t="inlineStr">
        <is>
          <t>PROD-032</t>
        </is>
      </c>
      <c r="E1881" s="70" t="inlineStr">
        <is>
          <t>R002</t>
        </is>
      </c>
      <c r="F1881" s="72" t="n">
        <v>1</v>
      </c>
      <c r="G1881" s="72" t="n">
        <v>370</v>
      </c>
      <c r="H1881" s="72" t="n">
        <v>27</v>
      </c>
      <c r="I1881" s="72" t="n">
        <v>270.1</v>
      </c>
      <c r="J1881" s="70" t="inlineStr">
        <is>
          <t>Pending</t>
        </is>
      </c>
      <c r="K1881" s="70" t="inlineStr">
        <is>
          <t>Mumbai</t>
        </is>
      </c>
    </row>
    <row r="1882" ht="14.25" customHeight="1" s="56">
      <c r="A1882" s="70" t="inlineStr">
        <is>
          <t>ORD-01881</t>
        </is>
      </c>
      <c r="B1882" s="71" t="n">
        <v>45366</v>
      </c>
      <c r="C1882" s="70" t="inlineStr">
        <is>
          <t>CUST-0203</t>
        </is>
      </c>
      <c r="D1882" s="70" t="inlineStr">
        <is>
          <t>PROD-048</t>
        </is>
      </c>
      <c r="E1882" s="70" t="inlineStr">
        <is>
          <t>R017</t>
        </is>
      </c>
      <c r="F1882" s="72" t="n">
        <v>9</v>
      </c>
      <c r="G1882" s="72" t="n">
        <v>5100</v>
      </c>
      <c r="H1882" s="72" t="n">
        <v>2.4</v>
      </c>
      <c r="I1882" s="72" t="n">
        <v>44798.4</v>
      </c>
      <c r="J1882" s="70" t="inlineStr">
        <is>
          <t>Completed</t>
        </is>
      </c>
      <c r="K1882" s="70" t="inlineStr">
        <is>
          <t>Chennai</t>
        </is>
      </c>
    </row>
    <row r="1883" ht="14.25" customHeight="1" s="56">
      <c r="A1883" s="70" t="inlineStr">
        <is>
          <t>ORD-01882</t>
        </is>
      </c>
      <c r="B1883" s="71" t="n">
        <v>45322</v>
      </c>
      <c r="C1883" s="70" t="inlineStr">
        <is>
          <t>CUST-0285</t>
        </is>
      </c>
      <c r="D1883" s="70" t="inlineStr">
        <is>
          <t>PROD-032</t>
        </is>
      </c>
      <c r="E1883" s="70" t="inlineStr">
        <is>
          <t>R023</t>
        </is>
      </c>
      <c r="F1883" s="72" t="n">
        <v>6</v>
      </c>
      <c r="G1883" s="72" t="n">
        <v>370</v>
      </c>
      <c r="H1883" s="72" t="n">
        <v>18.7</v>
      </c>
      <c r="I1883" s="72" t="n">
        <v>1804.86</v>
      </c>
      <c r="J1883" s="70" t="inlineStr">
        <is>
          <t>Cancelled</t>
        </is>
      </c>
      <c r="K1883" s="70" t="inlineStr">
        <is>
          <t>Hyderabad</t>
        </is>
      </c>
    </row>
    <row r="1884" ht="14.25" customHeight="1" s="56">
      <c r="A1884" s="70" t="inlineStr">
        <is>
          <t>ORD-01883</t>
        </is>
      </c>
      <c r="B1884" s="71" t="n">
        <v>45465</v>
      </c>
      <c r="C1884" s="70" t="inlineStr">
        <is>
          <t>CUST-0135</t>
        </is>
      </c>
      <c r="D1884" s="70" t="inlineStr">
        <is>
          <t>PROD-030</t>
        </is>
      </c>
      <c r="E1884" s="70" t="inlineStr">
        <is>
          <t>R004</t>
        </is>
      </c>
      <c r="F1884" s="72" t="n">
        <v>6</v>
      </c>
      <c r="G1884" s="72" t="n">
        <v>970</v>
      </c>
      <c r="H1884" s="72" t="n">
        <v>21.6</v>
      </c>
      <c r="I1884" s="72" t="n">
        <v>4562.88</v>
      </c>
      <c r="J1884" s="70" t="inlineStr">
        <is>
          <t>Completed</t>
        </is>
      </c>
      <c r="K1884" s="70" t="inlineStr">
        <is>
          <t>Pune</t>
        </is>
      </c>
    </row>
    <row r="1885" ht="14.25" customHeight="1" s="56">
      <c r="A1885" s="70" t="inlineStr">
        <is>
          <t>ORD-01884</t>
        </is>
      </c>
      <c r="B1885" s="71" t="n">
        <v>45622</v>
      </c>
      <c r="C1885" s="70" t="inlineStr">
        <is>
          <t>CUST-9967</t>
        </is>
      </c>
      <c r="D1885" s="70" t="inlineStr">
        <is>
          <t>PROD-029</t>
        </is>
      </c>
      <c r="E1885" s="70" t="inlineStr">
        <is>
          <t>R029</t>
        </is>
      </c>
      <c r="F1885" s="72" t="n">
        <v>3</v>
      </c>
      <c r="G1885" s="72" t="n">
        <v>2210</v>
      </c>
      <c r="H1885" s="72" t="n">
        <v>8.5</v>
      </c>
      <c r="I1885" s="72" t="n">
        <v>6066.45</v>
      </c>
      <c r="J1885" s="70" t="inlineStr">
        <is>
          <t>Completed</t>
        </is>
      </c>
      <c r="K1885" s="70" t="inlineStr">
        <is>
          <t>Delhi</t>
        </is>
      </c>
    </row>
    <row r="1886" ht="14.25" customHeight="1" s="56">
      <c r="A1886" s="70" t="inlineStr">
        <is>
          <t>ORD-01885</t>
        </is>
      </c>
      <c r="B1886" s="71" t="n">
        <v>45457</v>
      </c>
      <c r="C1886" s="70" t="inlineStr">
        <is>
          <t>CUST-0096</t>
        </is>
      </c>
      <c r="D1886" s="70" t="inlineStr">
        <is>
          <t>PROD-044</t>
        </is>
      </c>
      <c r="E1886" s="70" t="inlineStr">
        <is>
          <t>R002</t>
        </is>
      </c>
      <c r="F1886" s="72" t="n">
        <v>1</v>
      </c>
      <c r="G1886" s="72" t="n">
        <v>1650</v>
      </c>
      <c r="H1886" s="72" t="n">
        <v>19.7</v>
      </c>
      <c r="I1886" s="72" t="n">
        <v>1324.95</v>
      </c>
      <c r="J1886" s="70" t="inlineStr">
        <is>
          <t>Completed</t>
        </is>
      </c>
      <c r="K1886" s="70" t="inlineStr">
        <is>
          <t>Delhi</t>
        </is>
      </c>
    </row>
    <row r="1887" ht="14.25" customHeight="1" s="56">
      <c r="A1887" s="70" t="inlineStr">
        <is>
          <t>ORD-01886</t>
        </is>
      </c>
      <c r="B1887" s="71" t="n">
        <v>45480</v>
      </c>
      <c r="C1887" s="70" t="inlineStr">
        <is>
          <t>CUST-0266</t>
        </is>
      </c>
      <c r="D1887" s="70" t="inlineStr">
        <is>
          <t>PROD-056</t>
        </is>
      </c>
      <c r="E1887" s="70" t="inlineStr">
        <is>
          <t>R003</t>
        </is>
      </c>
      <c r="F1887" s="72" t="n">
        <v>5</v>
      </c>
      <c r="G1887" s="72" t="n">
        <v>6940</v>
      </c>
      <c r="H1887" s="72" t="n">
        <v>7.7</v>
      </c>
      <c r="I1887" s="72" t="n">
        <v>32028.1</v>
      </c>
      <c r="J1887" s="70" t="inlineStr">
        <is>
          <t>Completed</t>
        </is>
      </c>
      <c r="K1887" s="70" t="inlineStr">
        <is>
          <t>Pune</t>
        </is>
      </c>
    </row>
    <row r="1888" ht="14.25" customHeight="1" s="56">
      <c r="A1888" s="70" t="inlineStr">
        <is>
          <t>ORD-01887</t>
        </is>
      </c>
      <c r="B1888" s="71" t="n">
        <v>45392</v>
      </c>
      <c r="C1888" s="70" t="inlineStr">
        <is>
          <t>CUST-0059</t>
        </is>
      </c>
      <c r="D1888" s="70" t="inlineStr">
        <is>
          <t>PROD-029</t>
        </is>
      </c>
      <c r="E1888" s="70" t="inlineStr">
        <is>
          <t>R022</t>
        </is>
      </c>
      <c r="F1888" s="72" t="n">
        <v>2</v>
      </c>
      <c r="G1888" s="72" t="n">
        <v>2210</v>
      </c>
      <c r="H1888" s="72" t="n">
        <v>5.6</v>
      </c>
      <c r="I1888" s="72" t="n">
        <v>4172.48</v>
      </c>
      <c r="J1888" s="70" t="inlineStr">
        <is>
          <t>Cancelled</t>
        </is>
      </c>
      <c r="K1888" s="70" t="inlineStr">
        <is>
          <t>Pune</t>
        </is>
      </c>
    </row>
    <row r="1889" ht="14.25" customHeight="1" s="56">
      <c r="A1889" s="70" t="inlineStr">
        <is>
          <t>ORD-01888</t>
        </is>
      </c>
      <c r="B1889" s="71" t="n">
        <v>45380</v>
      </c>
      <c r="C1889" s="70" t="inlineStr">
        <is>
          <t>CUST-0094</t>
        </is>
      </c>
      <c r="D1889" s="70" t="inlineStr">
        <is>
          <t>PROD-002</t>
        </is>
      </c>
      <c r="E1889" s="70" t="inlineStr">
        <is>
          <t>R014</t>
        </is>
      </c>
      <c r="F1889" s="72" t="n">
        <v>9</v>
      </c>
      <c r="G1889" s="72" t="n">
        <v>2600</v>
      </c>
      <c r="H1889" s="72" t="n">
        <v>3.1</v>
      </c>
      <c r="I1889" s="72" t="n">
        <v>22674.6</v>
      </c>
      <c r="J1889" s="70" t="inlineStr">
        <is>
          <t>Completed</t>
        </is>
      </c>
      <c r="K1889" s="70" t="inlineStr">
        <is>
          <t>Pune</t>
        </is>
      </c>
    </row>
    <row r="1890" ht="14.25" customHeight="1" s="56">
      <c r="A1890" s="70" t="inlineStr">
        <is>
          <t>ORD-01889</t>
        </is>
      </c>
      <c r="B1890" s="71" t="n">
        <v>45494</v>
      </c>
      <c r="C1890" s="70" t="inlineStr">
        <is>
          <t>CUST-0254</t>
        </is>
      </c>
      <c r="D1890" s="70" t="inlineStr">
        <is>
          <t>PROD-059</t>
        </is>
      </c>
      <c r="E1890" s="70" t="inlineStr">
        <is>
          <t>R003</t>
        </is>
      </c>
      <c r="F1890" s="72" t="n">
        <v>7</v>
      </c>
      <c r="G1890" s="72" t="n">
        <v>3780</v>
      </c>
      <c r="H1890" s="72" t="n">
        <v>13.3</v>
      </c>
      <c r="I1890" s="72" t="n">
        <v>22940.82</v>
      </c>
      <c r="J1890" s="70" t="inlineStr">
        <is>
          <t>Completed</t>
        </is>
      </c>
      <c r="K1890" s="70" t="inlineStr">
        <is>
          <t>Bengaluru</t>
        </is>
      </c>
    </row>
    <row r="1891" ht="14.25" customHeight="1" s="56">
      <c r="A1891" s="70" t="inlineStr">
        <is>
          <t>ORD-01890</t>
        </is>
      </c>
      <c r="B1891" s="71" t="n">
        <v>45621</v>
      </c>
      <c r="C1891" s="70" t="inlineStr">
        <is>
          <t>CUST-0022</t>
        </is>
      </c>
      <c r="D1891" s="70" t="inlineStr">
        <is>
          <t>PROD-058</t>
        </is>
      </c>
      <c r="E1891" s="70" t="inlineStr">
        <is>
          <t>R013</t>
        </is>
      </c>
      <c r="F1891" s="72" t="n">
        <v>4</v>
      </c>
      <c r="G1891" s="72" t="n">
        <v>2400</v>
      </c>
      <c r="H1891" s="72" t="n">
        <v>16.6</v>
      </c>
      <c r="I1891" s="72" t="n">
        <v>8006.4</v>
      </c>
      <c r="J1891" s="70" t="inlineStr">
        <is>
          <t>Pending</t>
        </is>
      </c>
      <c r="K1891" s="70" t="inlineStr">
        <is>
          <t>Bengaluru</t>
        </is>
      </c>
    </row>
    <row r="1892" ht="14.25" customHeight="1" s="56">
      <c r="A1892" s="70" t="inlineStr">
        <is>
          <t>ORD-01891</t>
        </is>
      </c>
      <c r="B1892" s="71" t="n">
        <v>45603</v>
      </c>
      <c r="C1892" s="70" t="inlineStr">
        <is>
          <t>CUST-0168</t>
        </is>
      </c>
      <c r="D1892" s="70" t="inlineStr">
        <is>
          <t>PROD-005</t>
        </is>
      </c>
      <c r="E1892" s="70" t="inlineStr">
        <is>
          <t>R005</t>
        </is>
      </c>
      <c r="F1892" s="72" t="n">
        <v>10</v>
      </c>
      <c r="G1892" s="72" t="n">
        <v>300</v>
      </c>
      <c r="H1892" s="72" t="n">
        <v>23.9</v>
      </c>
      <c r="I1892" s="72" t="n">
        <v>2283</v>
      </c>
      <c r="J1892" s="70" t="inlineStr">
        <is>
          <t>Completed</t>
        </is>
      </c>
      <c r="K1892" s="70" t="inlineStr">
        <is>
          <t>Pune</t>
        </is>
      </c>
    </row>
    <row r="1893" ht="14.25" customHeight="1" s="56">
      <c r="A1893" s="70" t="inlineStr">
        <is>
          <t>ORD-01892</t>
        </is>
      </c>
      <c r="B1893" s="71" t="n">
        <v>45640</v>
      </c>
      <c r="C1893" s="70" t="inlineStr">
        <is>
          <t>CUST-0175</t>
        </is>
      </c>
      <c r="D1893" s="70" t="inlineStr">
        <is>
          <t>PROD-028</t>
        </is>
      </c>
      <c r="E1893" s="70" t="inlineStr">
        <is>
          <t>R010</t>
        </is>
      </c>
      <c r="F1893" s="72" t="n">
        <v>1</v>
      </c>
      <c r="G1893" s="72" t="n">
        <v>3660</v>
      </c>
      <c r="H1893" s="72" t="n">
        <v>1.5</v>
      </c>
      <c r="I1893" s="72" t="n">
        <v>3605.1</v>
      </c>
      <c r="J1893" s="70" t="inlineStr">
        <is>
          <t>Pending</t>
        </is>
      </c>
      <c r="K1893" s="70" t="inlineStr">
        <is>
          <t>Delhi</t>
        </is>
      </c>
    </row>
    <row r="1894" ht="14.25" customHeight="1" s="56">
      <c r="A1894" s="70" t="inlineStr">
        <is>
          <t>ORD-01893</t>
        </is>
      </c>
      <c r="B1894" s="71" t="n">
        <v>45534</v>
      </c>
      <c r="C1894" s="70" t="inlineStr">
        <is>
          <t>CUST-0193</t>
        </is>
      </c>
      <c r="D1894" s="70" t="inlineStr">
        <is>
          <t>PROD-051</t>
        </is>
      </c>
      <c r="E1894" s="70" t="inlineStr">
        <is>
          <t>R011</t>
        </is>
      </c>
      <c r="F1894" s="72" t="n">
        <v>9</v>
      </c>
      <c r="G1894" s="72" t="n">
        <v>3450</v>
      </c>
      <c r="H1894" s="72" t="n">
        <v>21.8</v>
      </c>
      <c r="I1894" s="72" t="n">
        <v>24281.1</v>
      </c>
      <c r="J1894" s="70" t="inlineStr">
        <is>
          <t>Completed</t>
        </is>
      </c>
      <c r="K1894" s="70" t="inlineStr">
        <is>
          <t>Bengaluru</t>
        </is>
      </c>
    </row>
    <row r="1895" ht="14.25" customHeight="1" s="56">
      <c r="A1895" s="70" t="inlineStr">
        <is>
          <t>ORD-01894</t>
        </is>
      </c>
      <c r="B1895" s="71" t="n">
        <v>45410</v>
      </c>
      <c r="C1895" s="70" t="inlineStr">
        <is>
          <t>CUST-0284</t>
        </is>
      </c>
      <c r="D1895" s="70" t="inlineStr">
        <is>
          <t>PROD-011</t>
        </is>
      </c>
      <c r="E1895" s="70" t="inlineStr">
        <is>
          <t>R007</t>
        </is>
      </c>
      <c r="F1895" s="72" t="n">
        <v>10</v>
      </c>
      <c r="G1895" s="72" t="n">
        <v>3450</v>
      </c>
      <c r="H1895" s="72" t="n">
        <v>15.7</v>
      </c>
      <c r="I1895" s="72" t="n">
        <v>29083.5</v>
      </c>
      <c r="J1895" s="70" t="inlineStr">
        <is>
          <t>Cancelled</t>
        </is>
      </c>
      <c r="K1895" s="70" t="inlineStr">
        <is>
          <t>Hyderabad</t>
        </is>
      </c>
    </row>
    <row r="1896" ht="14.25" customHeight="1" s="56">
      <c r="A1896" s="70" t="inlineStr">
        <is>
          <t>ORD-01895</t>
        </is>
      </c>
      <c r="B1896" s="71" t="n">
        <v>45412</v>
      </c>
      <c r="C1896" s="70" t="inlineStr">
        <is>
          <t>CUST-0071</t>
        </is>
      </c>
      <c r="D1896" s="70" t="inlineStr">
        <is>
          <t>PROD-026</t>
        </is>
      </c>
      <c r="E1896" s="70" t="inlineStr">
        <is>
          <t>R008</t>
        </is>
      </c>
      <c r="F1896" s="72" t="n">
        <v>2</v>
      </c>
      <c r="G1896" s="72" t="n">
        <v>4070</v>
      </c>
      <c r="H1896" s="72" t="n">
        <v>10.8</v>
      </c>
      <c r="I1896" s="72" t="n">
        <v>7260.88</v>
      </c>
      <c r="J1896" s="70" t="inlineStr">
        <is>
          <t>Completed</t>
        </is>
      </c>
      <c r="K1896" s="70" t="inlineStr">
        <is>
          <t>Delhi</t>
        </is>
      </c>
    </row>
    <row r="1897" ht="14.25" customHeight="1" s="56">
      <c r="A1897" s="70" t="inlineStr">
        <is>
          <t>ORD-01896</t>
        </is>
      </c>
      <c r="B1897" s="71" t="n">
        <v>45372</v>
      </c>
      <c r="C1897" s="70" t="inlineStr">
        <is>
          <t>CUST-0102</t>
        </is>
      </c>
      <c r="D1897" s="70" t="inlineStr">
        <is>
          <t>PROD-059</t>
        </is>
      </c>
      <c r="E1897" s="70" t="inlineStr">
        <is>
          <t>R023</t>
        </is>
      </c>
      <c r="F1897" s="72" t="n">
        <v>4</v>
      </c>
      <c r="G1897" s="72" t="n">
        <v>3780</v>
      </c>
      <c r="H1897" s="72" t="n">
        <v>17.1</v>
      </c>
      <c r="I1897" s="72" t="n">
        <v>12534.48</v>
      </c>
      <c r="J1897" s="70" t="inlineStr">
        <is>
          <t>Completed</t>
        </is>
      </c>
      <c r="K1897" s="70" t="inlineStr">
        <is>
          <t>Chennai</t>
        </is>
      </c>
    </row>
    <row r="1898" ht="14.25" customHeight="1" s="56">
      <c r="A1898" s="70" t="inlineStr">
        <is>
          <t>ORD-01897</t>
        </is>
      </c>
      <c r="B1898" s="71" t="n">
        <v>45622</v>
      </c>
      <c r="C1898" s="70" t="inlineStr">
        <is>
          <t>CUST-0036</t>
        </is>
      </c>
      <c r="D1898" s="70" t="inlineStr">
        <is>
          <t>PROD-021</t>
        </is>
      </c>
      <c r="E1898" s="70" t="inlineStr">
        <is>
          <t>R004</t>
        </is>
      </c>
      <c r="F1898" s="72" t="n">
        <v>1</v>
      </c>
      <c r="G1898" s="72" t="n">
        <v>2760</v>
      </c>
      <c r="H1898" s="72" t="n">
        <v>2.5</v>
      </c>
      <c r="I1898" s="72" t="n">
        <v>2691</v>
      </c>
      <c r="J1898" s="70" t="inlineStr">
        <is>
          <t>Cancelled</t>
        </is>
      </c>
      <c r="K1898" s="70" t="inlineStr">
        <is>
          <t>Mumbai</t>
        </is>
      </c>
    </row>
    <row r="1899" ht="14.25" customHeight="1" s="56">
      <c r="A1899" s="70" t="inlineStr">
        <is>
          <t>ORD-01898</t>
        </is>
      </c>
      <c r="B1899" s="71" t="n">
        <v>45493</v>
      </c>
      <c r="C1899" s="70" t="inlineStr">
        <is>
          <t>CUST-0273</t>
        </is>
      </c>
      <c r="D1899" s="70" t="inlineStr">
        <is>
          <t>PROD-046</t>
        </is>
      </c>
      <c r="E1899" s="70" t="inlineStr">
        <is>
          <t>R030</t>
        </is>
      </c>
      <c r="F1899" s="72" t="n">
        <v>2</v>
      </c>
      <c r="G1899" s="72" t="n">
        <v>4880</v>
      </c>
      <c r="H1899" s="72" t="n">
        <v>11</v>
      </c>
      <c r="I1899" s="72" t="n">
        <v>8686.4</v>
      </c>
      <c r="J1899" s="70" t="inlineStr">
        <is>
          <t>Completed</t>
        </is>
      </c>
      <c r="K1899" s="70" t="inlineStr">
        <is>
          <t>Hyderabad</t>
        </is>
      </c>
    </row>
    <row r="1900" ht="14.25" customHeight="1" s="56">
      <c r="A1900" s="70" t="inlineStr">
        <is>
          <t>ORD-01899</t>
        </is>
      </c>
      <c r="B1900" s="71" t="n">
        <v>45580</v>
      </c>
      <c r="C1900" s="70" t="inlineStr">
        <is>
          <t>CUST-0262</t>
        </is>
      </c>
      <c r="D1900" s="70" t="inlineStr">
        <is>
          <t>PROD-023</t>
        </is>
      </c>
      <c r="E1900" s="70" t="inlineStr">
        <is>
          <t>R022</t>
        </is>
      </c>
      <c r="F1900" s="72" t="n">
        <v>10</v>
      </c>
      <c r="G1900" s="72" t="n">
        <v>2380</v>
      </c>
      <c r="H1900" s="72" t="n">
        <v>28.3</v>
      </c>
      <c r="I1900" s="72" t="n">
        <v>17064.6</v>
      </c>
      <c r="J1900" s="70" t="inlineStr">
        <is>
          <t>Completed</t>
        </is>
      </c>
      <c r="K1900" s="70" t="inlineStr">
        <is>
          <t>Mumbai</t>
        </is>
      </c>
    </row>
    <row r="1901" ht="14.25" customHeight="1" s="56">
      <c r="A1901" s="70" t="inlineStr">
        <is>
          <t>ORD-01900</t>
        </is>
      </c>
      <c r="B1901" s="71" t="n">
        <v>45449</v>
      </c>
      <c r="C1901" s="70" t="inlineStr">
        <is>
          <t>CUST-0083</t>
        </is>
      </c>
      <c r="D1901" s="70" t="inlineStr">
        <is>
          <t>PROD-042</t>
        </is>
      </c>
      <c r="E1901" s="70" t="inlineStr">
        <is>
          <t>R003</t>
        </is>
      </c>
      <c r="F1901" s="72" t="n">
        <v>3</v>
      </c>
      <c r="G1901" s="72" t="n">
        <v>2290</v>
      </c>
      <c r="H1901" s="72" t="n">
        <v>11.1</v>
      </c>
      <c r="I1901" s="72" t="n">
        <v>6107.43</v>
      </c>
      <c r="J1901" s="70" t="inlineStr">
        <is>
          <t>Cancelled</t>
        </is>
      </c>
      <c r="K1901" s="70" t="inlineStr">
        <is>
          <t>Bengaluru</t>
        </is>
      </c>
    </row>
    <row r="1902" ht="14.25" customHeight="1" s="56">
      <c r="A1902" s="70" t="inlineStr">
        <is>
          <t>ORD-01901</t>
        </is>
      </c>
      <c r="B1902" s="71" t="n">
        <v>45417</v>
      </c>
      <c r="C1902" s="70" t="inlineStr">
        <is>
          <t>CUST-0273</t>
        </is>
      </c>
      <c r="D1902" s="70" t="inlineStr">
        <is>
          <t>PROD-021</t>
        </is>
      </c>
      <c r="E1902" s="70" t="inlineStr">
        <is>
          <t>R004</t>
        </is>
      </c>
      <c r="F1902" s="72" t="n">
        <v>6</v>
      </c>
      <c r="G1902" s="72" t="n">
        <v>2760</v>
      </c>
      <c r="H1902" s="72" t="n">
        <v>16.5</v>
      </c>
      <c r="I1902" s="72" t="n">
        <v>13827.6</v>
      </c>
      <c r="J1902" s="70" t="inlineStr">
        <is>
          <t>Completed</t>
        </is>
      </c>
      <c r="K1902" s="70" t="inlineStr">
        <is>
          <t>Hyderabad</t>
        </is>
      </c>
    </row>
    <row r="1903" ht="14.25" customHeight="1" s="56">
      <c r="A1903" s="70" t="inlineStr">
        <is>
          <t>ORD-01902</t>
        </is>
      </c>
      <c r="B1903" s="71" t="n">
        <v>45523</v>
      </c>
      <c r="C1903" s="70" t="inlineStr">
        <is>
          <t>CUST-0047</t>
        </is>
      </c>
      <c r="D1903" s="70" t="inlineStr">
        <is>
          <t>PROD-025</t>
        </is>
      </c>
      <c r="E1903" s="70" t="inlineStr">
        <is>
          <t>R027</t>
        </is>
      </c>
      <c r="F1903" s="72" t="n">
        <v>5</v>
      </c>
      <c r="G1903" s="72" t="n">
        <v>4060</v>
      </c>
      <c r="H1903" s="72" t="n">
        <v>22.5</v>
      </c>
      <c r="I1903" s="72" t="n">
        <v>15732.5</v>
      </c>
      <c r="J1903" s="70" t="inlineStr">
        <is>
          <t>Completed</t>
        </is>
      </c>
      <c r="K1903" s="70" t="inlineStr">
        <is>
          <t>Pune</t>
        </is>
      </c>
    </row>
    <row r="1904" ht="14.25" customHeight="1" s="56">
      <c r="A1904" s="70" t="inlineStr">
        <is>
          <t>ORD-01903</t>
        </is>
      </c>
      <c r="B1904" s="71" t="n">
        <v>45367</v>
      </c>
      <c r="C1904" s="70" t="inlineStr">
        <is>
          <t>CUST-0084</t>
        </is>
      </c>
      <c r="D1904" s="70" t="inlineStr">
        <is>
          <t>PROD-010</t>
        </is>
      </c>
      <c r="E1904" s="70" t="inlineStr">
        <is>
          <t>R006</t>
        </is>
      </c>
      <c r="F1904" s="72" t="n">
        <v>8</v>
      </c>
      <c r="G1904" s="72" t="n">
        <v>2640</v>
      </c>
      <c r="H1904" s="72" t="n">
        <v>11.8</v>
      </c>
      <c r="I1904" s="72" t="n">
        <v>18627.84</v>
      </c>
      <c r="J1904" s="70" t="inlineStr">
        <is>
          <t>Completed</t>
        </is>
      </c>
      <c r="K1904" s="70" t="inlineStr">
        <is>
          <t>Chennai</t>
        </is>
      </c>
    </row>
    <row r="1905" ht="14.25" customHeight="1" s="56">
      <c r="A1905" s="70" t="inlineStr">
        <is>
          <t>ORD-01904</t>
        </is>
      </c>
      <c r="B1905" s="71" t="n">
        <v>45309</v>
      </c>
      <c r="C1905" s="70" t="inlineStr">
        <is>
          <t>CUST-0093</t>
        </is>
      </c>
      <c r="D1905" s="70" t="inlineStr">
        <is>
          <t>PROD-039</t>
        </is>
      </c>
      <c r="E1905" s="70" t="inlineStr">
        <is>
          <t>R005</t>
        </is>
      </c>
      <c r="F1905" s="72" t="n">
        <v>2</v>
      </c>
      <c r="G1905" s="72" t="n">
        <v>4610</v>
      </c>
      <c r="H1905" s="72" t="n">
        <v>10.4</v>
      </c>
      <c r="I1905" s="72" t="n">
        <v>8261.120000000001</v>
      </c>
      <c r="J1905" s="70" t="inlineStr">
        <is>
          <t>Pending</t>
        </is>
      </c>
      <c r="K1905" s="70" t="inlineStr">
        <is>
          <t>Pune</t>
        </is>
      </c>
    </row>
    <row r="1906" ht="14.25" customHeight="1" s="56">
      <c r="A1906" s="70" t="inlineStr">
        <is>
          <t>ORD-01905</t>
        </is>
      </c>
      <c r="B1906" s="71" t="n">
        <v>45383</v>
      </c>
      <c r="C1906" s="70" t="inlineStr">
        <is>
          <t>CUST-0282</t>
        </is>
      </c>
      <c r="D1906" s="70" t="inlineStr">
        <is>
          <t>PROD-029</t>
        </is>
      </c>
      <c r="E1906" s="70" t="inlineStr">
        <is>
          <t>R028</t>
        </is>
      </c>
      <c r="F1906" s="72" t="n">
        <v>6</v>
      </c>
      <c r="G1906" s="72" t="n">
        <v>2210</v>
      </c>
      <c r="H1906" s="72" t="n">
        <v>22.5</v>
      </c>
      <c r="I1906" s="72" t="n">
        <v>10276.5</v>
      </c>
      <c r="J1906" s="70" t="inlineStr">
        <is>
          <t>Cancelled</t>
        </is>
      </c>
      <c r="K1906" s="70" t="inlineStr">
        <is>
          <t>Hyderabad</t>
        </is>
      </c>
    </row>
    <row r="1907" ht="14.25" customHeight="1" s="56">
      <c r="A1907" s="70" t="inlineStr">
        <is>
          <t>ORD-01906</t>
        </is>
      </c>
      <c r="B1907" s="71" t="n">
        <v>45420</v>
      </c>
      <c r="C1907" s="70" t="inlineStr">
        <is>
          <t>CUST-0246</t>
        </is>
      </c>
      <c r="D1907" s="70" t="inlineStr">
        <is>
          <t>PROD-029</t>
        </is>
      </c>
      <c r="E1907" s="70" t="inlineStr">
        <is>
          <t>R011</t>
        </is>
      </c>
      <c r="F1907" s="72" t="n">
        <v>4</v>
      </c>
      <c r="G1907" s="72" t="n">
        <v>2210</v>
      </c>
      <c r="H1907" s="72" t="n">
        <v>21.5</v>
      </c>
      <c r="I1907" s="72" t="n">
        <v>6939.4</v>
      </c>
      <c r="J1907" s="70" t="inlineStr">
        <is>
          <t>Pending</t>
        </is>
      </c>
      <c r="K1907" s="70" t="inlineStr">
        <is>
          <t>Delhi</t>
        </is>
      </c>
    </row>
    <row r="1908" ht="14.25" customHeight="1" s="56">
      <c r="A1908" s="70" t="inlineStr">
        <is>
          <t>ORD-01907</t>
        </is>
      </c>
      <c r="B1908" s="71" t="n">
        <v>45400</v>
      </c>
      <c r="C1908" s="70" t="inlineStr">
        <is>
          <t>CUST-0243</t>
        </is>
      </c>
      <c r="D1908" s="70" t="inlineStr">
        <is>
          <t>PROD-035</t>
        </is>
      </c>
      <c r="E1908" s="70" t="inlineStr">
        <is>
          <t>R013</t>
        </is>
      </c>
      <c r="F1908" s="72" t="n">
        <v>6</v>
      </c>
      <c r="G1908" s="72" t="n">
        <v>1090</v>
      </c>
      <c r="H1908" s="72" t="n">
        <v>28.3</v>
      </c>
      <c r="I1908" s="72" t="n">
        <v>4689.18</v>
      </c>
      <c r="J1908" s="70" t="inlineStr">
        <is>
          <t>Completed</t>
        </is>
      </c>
      <c r="K1908" s="70" t="inlineStr">
        <is>
          <t>Pune</t>
        </is>
      </c>
    </row>
    <row r="1909" ht="14.25" customHeight="1" s="56">
      <c r="A1909" s="70" t="inlineStr">
        <is>
          <t>ORD-01908</t>
        </is>
      </c>
      <c r="B1909" s="71" t="n">
        <v>45625</v>
      </c>
      <c r="C1909" s="70" t="inlineStr">
        <is>
          <t>CUST-0298</t>
        </is>
      </c>
      <c r="D1909" s="70" t="inlineStr">
        <is>
          <t>PROD-032</t>
        </is>
      </c>
      <c r="E1909" s="70" t="inlineStr">
        <is>
          <t>R003</t>
        </is>
      </c>
      <c r="F1909" s="72" t="n">
        <v>9</v>
      </c>
      <c r="G1909" s="72" t="n">
        <v>370</v>
      </c>
      <c r="H1909" s="72" t="n">
        <v>13.8</v>
      </c>
      <c r="I1909" s="72" t="n">
        <v>2870.46</v>
      </c>
      <c r="J1909" s="70" t="inlineStr">
        <is>
          <t>Completed</t>
        </is>
      </c>
      <c r="K1909" s="70" t="inlineStr">
        <is>
          <t>Delhi</t>
        </is>
      </c>
    </row>
    <row r="1910" ht="14.25" customHeight="1" s="56">
      <c r="A1910" s="70" t="inlineStr">
        <is>
          <t>ORD-01909</t>
        </is>
      </c>
      <c r="B1910" s="71" t="n">
        <v>45555</v>
      </c>
      <c r="C1910" s="70" t="inlineStr">
        <is>
          <t>CUST-0124</t>
        </is>
      </c>
      <c r="D1910" s="70" t="inlineStr">
        <is>
          <t>PROD-003</t>
        </is>
      </c>
      <c r="E1910" s="70" t="inlineStr">
        <is>
          <t>R025</t>
        </is>
      </c>
      <c r="F1910" s="72" t="n">
        <v>10</v>
      </c>
      <c r="G1910" s="72" t="n">
        <v>3570</v>
      </c>
      <c r="H1910" s="72" t="n">
        <v>3</v>
      </c>
      <c r="I1910" s="72" t="n">
        <v>34629</v>
      </c>
      <c r="J1910" s="70" t="inlineStr">
        <is>
          <t>Cancelled</t>
        </is>
      </c>
      <c r="K1910" s="70" t="inlineStr">
        <is>
          <t>Pune</t>
        </is>
      </c>
    </row>
    <row r="1911" ht="14.25" customHeight="1" s="56">
      <c r="A1911" s="70" t="inlineStr">
        <is>
          <t>ORD-01910</t>
        </is>
      </c>
      <c r="B1911" s="71" t="n">
        <v>45509</v>
      </c>
      <c r="C1911" s="70" t="inlineStr">
        <is>
          <t>CUST-0070</t>
        </is>
      </c>
      <c r="D1911" s="70" t="inlineStr">
        <is>
          <t>PROD-036</t>
        </is>
      </c>
      <c r="E1911" s="70" t="inlineStr">
        <is>
          <t>R016</t>
        </is>
      </c>
      <c r="F1911" s="72" t="n">
        <v>10</v>
      </c>
      <c r="G1911" s="72" t="n">
        <v>3250</v>
      </c>
      <c r="H1911" s="72" t="n">
        <v>20.3</v>
      </c>
      <c r="I1911" s="72" t="n">
        <v>25902.5</v>
      </c>
      <c r="J1911" s="70" t="inlineStr">
        <is>
          <t>Completed</t>
        </is>
      </c>
      <c r="K1911" s="70" t="inlineStr">
        <is>
          <t>Mumbai</t>
        </is>
      </c>
    </row>
    <row r="1912" ht="14.25" customHeight="1" s="56">
      <c r="A1912" s="70" t="inlineStr">
        <is>
          <t>ORD-01911</t>
        </is>
      </c>
      <c r="B1912" s="71" t="n">
        <v>45436</v>
      </c>
      <c r="C1912" s="70" t="inlineStr">
        <is>
          <t>CUST-0054</t>
        </is>
      </c>
      <c r="D1912" s="70" t="inlineStr">
        <is>
          <t>PROD-036</t>
        </is>
      </c>
      <c r="E1912" s="70" t="inlineStr">
        <is>
          <t>R028</t>
        </is>
      </c>
      <c r="F1912" s="72" t="n">
        <v>6</v>
      </c>
      <c r="G1912" s="72" t="n">
        <v>3250</v>
      </c>
      <c r="H1912" s="72" t="n">
        <v>25.8</v>
      </c>
      <c r="I1912" s="72" t="n">
        <v>14469</v>
      </c>
      <c r="J1912" s="70" t="inlineStr">
        <is>
          <t>Pending</t>
        </is>
      </c>
      <c r="K1912" s="70" t="inlineStr">
        <is>
          <t>Mumbai</t>
        </is>
      </c>
    </row>
    <row r="1913" ht="14.25" customHeight="1" s="56">
      <c r="A1913" s="70" t="inlineStr">
        <is>
          <t>ORD-01912</t>
        </is>
      </c>
      <c r="B1913" s="71" t="n">
        <v>45610</v>
      </c>
      <c r="C1913" s="70" t="inlineStr">
        <is>
          <t>CUST-0208</t>
        </is>
      </c>
      <c r="D1913" s="70" t="inlineStr">
        <is>
          <t>PROD-057</t>
        </is>
      </c>
      <c r="E1913" s="70" t="inlineStr">
        <is>
          <t>R024</t>
        </is>
      </c>
      <c r="F1913" s="72" t="n">
        <v>9</v>
      </c>
      <c r="G1913" s="72" t="n">
        <v>960</v>
      </c>
      <c r="H1913" s="72" t="n">
        <v>29</v>
      </c>
      <c r="I1913" s="72" t="n">
        <v>6134.4</v>
      </c>
      <c r="J1913" s="70" t="inlineStr">
        <is>
          <t>Completed</t>
        </is>
      </c>
      <c r="K1913" s="70" t="inlineStr">
        <is>
          <t>Mumbai</t>
        </is>
      </c>
    </row>
    <row r="1914" ht="14.25" customHeight="1" s="56">
      <c r="A1914" s="70" t="inlineStr">
        <is>
          <t>ORD-01913</t>
        </is>
      </c>
      <c r="B1914" s="71" t="n">
        <v>45535</v>
      </c>
      <c r="C1914" s="70" t="inlineStr">
        <is>
          <t>CUST-0181</t>
        </is>
      </c>
      <c r="D1914" s="70" t="inlineStr">
        <is>
          <t>PROD-050</t>
        </is>
      </c>
      <c r="E1914" s="70" t="inlineStr">
        <is>
          <t>R015</t>
        </is>
      </c>
      <c r="F1914" s="72" t="n">
        <v>9</v>
      </c>
      <c r="G1914" s="72" t="n">
        <v>6080</v>
      </c>
      <c r="H1914" s="72" t="n">
        <v>21</v>
      </c>
      <c r="I1914" s="72" t="n">
        <v>43228.8</v>
      </c>
      <c r="J1914" s="70" t="inlineStr">
        <is>
          <t>Completed</t>
        </is>
      </c>
      <c r="K1914" s="70" t="inlineStr">
        <is>
          <t>Delhi</t>
        </is>
      </c>
    </row>
    <row r="1915" ht="14.25" customHeight="1" s="56">
      <c r="A1915" s="70" t="inlineStr">
        <is>
          <t>ORD-01914</t>
        </is>
      </c>
      <c r="B1915" s="71" t="n">
        <v>45366</v>
      </c>
      <c r="C1915" s="70" t="inlineStr">
        <is>
          <t>CUST-0259</t>
        </is>
      </c>
      <c r="D1915" s="70" t="inlineStr">
        <is>
          <t>PROD-039</t>
        </is>
      </c>
      <c r="E1915" s="70" t="inlineStr">
        <is>
          <t>R020</t>
        </is>
      </c>
      <c r="F1915" s="72" t="n">
        <v>6</v>
      </c>
      <c r="G1915" s="72" t="n">
        <v>4610</v>
      </c>
      <c r="H1915" s="72" t="n">
        <v>13.5</v>
      </c>
      <c r="I1915" s="72" t="n">
        <v>23925.9</v>
      </c>
      <c r="J1915" s="70" t="inlineStr">
        <is>
          <t>Completed</t>
        </is>
      </c>
      <c r="K1915" s="70" t="inlineStr">
        <is>
          <t>Mumbai</t>
        </is>
      </c>
    </row>
    <row r="1916" ht="14.25" customHeight="1" s="56">
      <c r="A1916" s="70" t="inlineStr">
        <is>
          <t>ORD-01915</t>
        </is>
      </c>
      <c r="B1916" s="71" t="n">
        <v>45446</v>
      </c>
      <c r="C1916" s="70" t="inlineStr">
        <is>
          <t>CUST-0277</t>
        </is>
      </c>
      <c r="D1916" s="70" t="inlineStr">
        <is>
          <t>PROD-034</t>
        </is>
      </c>
      <c r="E1916" s="70" t="inlineStr">
        <is>
          <t>R021</t>
        </is>
      </c>
      <c r="F1916" s="72" t="n">
        <v>7</v>
      </c>
      <c r="G1916" s="72" t="n">
        <v>5080</v>
      </c>
      <c r="H1916" s="72" t="n">
        <v>25.4</v>
      </c>
      <c r="I1916" s="72" t="n">
        <v>26527.76</v>
      </c>
      <c r="J1916" s="70" t="inlineStr">
        <is>
          <t>Completed</t>
        </is>
      </c>
      <c r="K1916" s="70" t="inlineStr">
        <is>
          <t>Chennai</t>
        </is>
      </c>
    </row>
    <row r="1917" ht="14.25" customHeight="1" s="56">
      <c r="A1917" s="70" t="inlineStr">
        <is>
          <t>ORD-01916</t>
        </is>
      </c>
      <c r="B1917" s="71" t="n">
        <v>45550</v>
      </c>
      <c r="C1917" s="70" t="inlineStr">
        <is>
          <t>CUST-0173</t>
        </is>
      </c>
      <c r="D1917" s="70" t="inlineStr">
        <is>
          <t>PROD-043</t>
        </is>
      </c>
      <c r="E1917" s="70" t="inlineStr">
        <is>
          <t>R017</t>
        </is>
      </c>
      <c r="F1917" s="72" t="n">
        <v>5</v>
      </c>
      <c r="G1917" s="72" t="n">
        <v>3350</v>
      </c>
      <c r="H1917" s="72" t="n">
        <v>2.2</v>
      </c>
      <c r="I1917" s="72" t="n">
        <v>16381.5</v>
      </c>
      <c r="J1917" s="70" t="inlineStr">
        <is>
          <t>Completed</t>
        </is>
      </c>
      <c r="K1917" s="70" t="inlineStr">
        <is>
          <t>Mumbai</t>
        </is>
      </c>
    </row>
    <row r="1918" ht="14.25" customHeight="1" s="56">
      <c r="A1918" s="70" t="inlineStr">
        <is>
          <t>ORD-01917</t>
        </is>
      </c>
      <c r="B1918" s="71" t="n">
        <v>45600</v>
      </c>
      <c r="C1918" s="70" t="inlineStr">
        <is>
          <t>CUST-0091</t>
        </is>
      </c>
      <c r="D1918" s="70" t="inlineStr">
        <is>
          <t>PROD-027</t>
        </is>
      </c>
      <c r="E1918" s="70" t="inlineStr">
        <is>
          <t>R014</t>
        </is>
      </c>
      <c r="F1918" s="72" t="n">
        <v>1</v>
      </c>
      <c r="G1918" s="72" t="n">
        <v>3780</v>
      </c>
      <c r="H1918" s="72" t="n">
        <v>13.7</v>
      </c>
      <c r="I1918" s="72" t="n">
        <v>3262.14</v>
      </c>
      <c r="J1918" s="70" t="inlineStr">
        <is>
          <t>Completed</t>
        </is>
      </c>
      <c r="K1918" s="70" t="inlineStr">
        <is>
          <t>Delhi</t>
        </is>
      </c>
    </row>
    <row r="1919" ht="14.25" customHeight="1" s="56">
      <c r="A1919" s="70" t="inlineStr">
        <is>
          <t>ORD-01918</t>
        </is>
      </c>
      <c r="B1919" s="71" t="n">
        <v>45352</v>
      </c>
      <c r="C1919" s="70" t="inlineStr">
        <is>
          <t>CUST-0142</t>
        </is>
      </c>
      <c r="D1919" s="70" t="inlineStr">
        <is>
          <t>PROD-046</t>
        </is>
      </c>
      <c r="E1919" s="70" t="inlineStr">
        <is>
          <t>R020</t>
        </is>
      </c>
      <c r="F1919" s="72" t="n">
        <v>4</v>
      </c>
      <c r="G1919" s="72" t="n">
        <v>4880</v>
      </c>
      <c r="H1919" s="72" t="n">
        <v>11.6</v>
      </c>
      <c r="I1919" s="72" t="n">
        <v>17255.68</v>
      </c>
      <c r="J1919" s="70" t="inlineStr">
        <is>
          <t>Completed</t>
        </is>
      </c>
      <c r="K1919" s="70" t="inlineStr">
        <is>
          <t>Chennai</t>
        </is>
      </c>
    </row>
    <row r="1920" ht="14.25" customHeight="1" s="56">
      <c r="A1920" s="70" t="inlineStr">
        <is>
          <t>ORD-01919</t>
        </is>
      </c>
      <c r="B1920" s="71" t="n">
        <v>45385</v>
      </c>
      <c r="C1920" s="70" t="inlineStr">
        <is>
          <t>CUST-0011</t>
        </is>
      </c>
      <c r="D1920" s="70" t="inlineStr">
        <is>
          <t>PROD-048</t>
        </is>
      </c>
      <c r="E1920" s="70" t="inlineStr">
        <is>
          <t>R029</t>
        </is>
      </c>
      <c r="F1920" s="72" t="n">
        <v>3</v>
      </c>
      <c r="G1920" s="72" t="n">
        <v>5100</v>
      </c>
      <c r="H1920" s="72" t="n">
        <v>24.2</v>
      </c>
      <c r="I1920" s="72" t="n">
        <v>11597.4</v>
      </c>
      <c r="J1920" s="70" t="inlineStr">
        <is>
          <t>Completed</t>
        </is>
      </c>
      <c r="K1920" s="70" t="inlineStr">
        <is>
          <t xml:space="preserve"> Chennai </t>
        </is>
      </c>
    </row>
    <row r="1921" ht="14.25" customHeight="1" s="56">
      <c r="A1921" s="70" t="inlineStr">
        <is>
          <t>ORD-01920</t>
        </is>
      </c>
      <c r="B1921" s="71" t="n">
        <v>45634</v>
      </c>
      <c r="C1921" s="70" t="inlineStr">
        <is>
          <t>CUST-0074</t>
        </is>
      </c>
      <c r="D1921" s="70" t="inlineStr">
        <is>
          <t>PROD-008</t>
        </is>
      </c>
      <c r="E1921" s="70" t="inlineStr">
        <is>
          <t>R023</t>
        </is>
      </c>
      <c r="F1921" s="72" t="n">
        <v>5</v>
      </c>
      <c r="G1921" s="72" t="n">
        <v>2660</v>
      </c>
      <c r="H1921" s="72" t="n">
        <v>4.7</v>
      </c>
      <c r="I1921" s="72" t="n">
        <v>12674.9</v>
      </c>
      <c r="J1921" s="70" t="inlineStr">
        <is>
          <t>Completed</t>
        </is>
      </c>
      <c r="K1921" s="70" t="inlineStr">
        <is>
          <t>Bengaluru</t>
        </is>
      </c>
    </row>
    <row r="1922" ht="14.25" customHeight="1" s="56">
      <c r="A1922" s="70" t="inlineStr">
        <is>
          <t>ORD-01921</t>
        </is>
      </c>
      <c r="B1922" s="71" t="n">
        <v>45444</v>
      </c>
      <c r="C1922" s="70" t="inlineStr">
        <is>
          <t>CUST-0131</t>
        </is>
      </c>
      <c r="D1922" s="70" t="inlineStr">
        <is>
          <t>PROD-023</t>
        </is>
      </c>
      <c r="E1922" s="70" t="inlineStr">
        <is>
          <t>R017</t>
        </is>
      </c>
      <c r="F1922" s="72" t="n">
        <v>10</v>
      </c>
      <c r="G1922" s="72" t="n">
        <v>2380</v>
      </c>
      <c r="H1922" s="72" t="n">
        <v>1</v>
      </c>
      <c r="I1922" s="72" t="n">
        <v>23562</v>
      </c>
      <c r="J1922" s="70" t="inlineStr">
        <is>
          <t>Completed</t>
        </is>
      </c>
      <c r="K1922" s="70" t="inlineStr">
        <is>
          <t>Delhi</t>
        </is>
      </c>
    </row>
    <row r="1923" ht="14.25" customHeight="1" s="56">
      <c r="A1923" s="70" t="inlineStr">
        <is>
          <t>ORD-01922</t>
        </is>
      </c>
      <c r="B1923" s="71" t="n">
        <v>45553</v>
      </c>
      <c r="C1923" s="70" t="inlineStr">
        <is>
          <t>CUST-0093</t>
        </is>
      </c>
      <c r="D1923" s="70" t="inlineStr">
        <is>
          <t>PROD-046</t>
        </is>
      </c>
      <c r="E1923" s="70" t="inlineStr">
        <is>
          <t>R002</t>
        </is>
      </c>
      <c r="F1923" s="72" t="n">
        <v>9</v>
      </c>
      <c r="G1923" s="72" t="n">
        <v>4880</v>
      </c>
      <c r="H1923" s="72" t="n">
        <v>7.2</v>
      </c>
      <c r="I1923" s="72" t="n">
        <v>40757.76</v>
      </c>
      <c r="J1923" s="70" t="inlineStr">
        <is>
          <t>Completed</t>
        </is>
      </c>
      <c r="K1923" s="70" t="inlineStr">
        <is>
          <t>Pune</t>
        </is>
      </c>
    </row>
    <row r="1924" ht="14.25" customHeight="1" s="56">
      <c r="A1924" s="70" t="inlineStr">
        <is>
          <t>ORD-01923</t>
        </is>
      </c>
      <c r="B1924" s="71" t="n">
        <v>45411</v>
      </c>
      <c r="C1924" s="70" t="inlineStr">
        <is>
          <t>CUST-0229</t>
        </is>
      </c>
      <c r="D1924" s="70" t="inlineStr">
        <is>
          <t>PROD-031</t>
        </is>
      </c>
      <c r="E1924" s="70" t="inlineStr">
        <is>
          <t>R014</t>
        </is>
      </c>
      <c r="F1924" s="72" t="n">
        <v>1</v>
      </c>
      <c r="G1924" s="72" t="n">
        <v>3730</v>
      </c>
      <c r="H1924" s="72" t="n">
        <v>15.3</v>
      </c>
      <c r="I1924" s="72" t="n">
        <v>3159.31</v>
      </c>
      <c r="J1924" s="70" t="inlineStr">
        <is>
          <t>Completed</t>
        </is>
      </c>
      <c r="K1924" s="70" t="inlineStr">
        <is>
          <t>Hyderabad</t>
        </is>
      </c>
    </row>
    <row r="1925" ht="14.25" customHeight="1" s="56">
      <c r="A1925" s="70" t="inlineStr">
        <is>
          <t>ORD-01924</t>
        </is>
      </c>
      <c r="B1925" s="71" t="n">
        <v>45442</v>
      </c>
      <c r="C1925" s="70" t="inlineStr">
        <is>
          <t>CUST-0293</t>
        </is>
      </c>
      <c r="D1925" s="70" t="inlineStr">
        <is>
          <t>PROD-059</t>
        </is>
      </c>
      <c r="E1925" s="70" t="inlineStr">
        <is>
          <t>R003</t>
        </is>
      </c>
      <c r="F1925" s="72" t="n">
        <v>10</v>
      </c>
      <c r="G1925" s="72" t="n">
        <v>3780</v>
      </c>
      <c r="H1925" s="72" t="n">
        <v>2.7</v>
      </c>
      <c r="I1925" s="72" t="n">
        <v>36779.4</v>
      </c>
      <c r="J1925" s="70" t="inlineStr">
        <is>
          <t>Completed</t>
        </is>
      </c>
      <c r="K1925" s="70" t="inlineStr">
        <is>
          <t>Bengaluru</t>
        </is>
      </c>
    </row>
    <row r="1926" ht="14.25" customHeight="1" s="56">
      <c r="A1926" s="70" t="inlineStr">
        <is>
          <t>ORD-01925</t>
        </is>
      </c>
      <c r="B1926" s="71" t="n">
        <v>45381</v>
      </c>
      <c r="C1926" s="70" t="inlineStr">
        <is>
          <t>CUST-0105</t>
        </is>
      </c>
      <c r="D1926" s="70" t="inlineStr">
        <is>
          <t>PROD-014</t>
        </is>
      </c>
      <c r="E1926" s="70" t="inlineStr">
        <is>
          <t>R023</t>
        </is>
      </c>
      <c r="F1926" s="72" t="n">
        <v>2</v>
      </c>
      <c r="G1926" s="72" t="n">
        <v>3620</v>
      </c>
      <c r="H1926" s="72" t="n">
        <v>23</v>
      </c>
      <c r="I1926" s="72" t="n">
        <v>5574.8</v>
      </c>
      <c r="J1926" s="70" t="inlineStr">
        <is>
          <t>Completed</t>
        </is>
      </c>
      <c r="K1926" s="70" t="inlineStr">
        <is>
          <t>Chennai</t>
        </is>
      </c>
    </row>
    <row r="1927" ht="14.25" customHeight="1" s="56">
      <c r="A1927" s="70" t="inlineStr">
        <is>
          <t>ORD-01926</t>
        </is>
      </c>
      <c r="B1927" s="71" t="n">
        <v>45536</v>
      </c>
      <c r="C1927" s="70" t="inlineStr">
        <is>
          <t>CUST-0003</t>
        </is>
      </c>
      <c r="D1927" s="70" t="inlineStr">
        <is>
          <t>PROD-034</t>
        </is>
      </c>
      <c r="E1927" s="70" t="inlineStr">
        <is>
          <t>R021</t>
        </is>
      </c>
      <c r="F1927" s="72" t="n">
        <v>9</v>
      </c>
      <c r="G1927" s="72" t="n">
        <v>5080</v>
      </c>
      <c r="H1927" s="72" t="n">
        <v>19.9</v>
      </c>
      <c r="I1927" s="72" t="n">
        <v>36621.72</v>
      </c>
      <c r="J1927" s="70" t="inlineStr">
        <is>
          <t>Completed</t>
        </is>
      </c>
      <c r="K1927" s="70" t="inlineStr">
        <is>
          <t>Mumbai</t>
        </is>
      </c>
    </row>
    <row r="1928" ht="14.25" customHeight="1" s="56">
      <c r="A1928" s="70" t="inlineStr">
        <is>
          <t>ORD-01927</t>
        </is>
      </c>
      <c r="B1928" s="71" t="n">
        <v>45561</v>
      </c>
      <c r="C1928" s="70" t="inlineStr">
        <is>
          <t>CUST-0092</t>
        </is>
      </c>
      <c r="D1928" s="70" t="inlineStr">
        <is>
          <t>PROD-018</t>
        </is>
      </c>
      <c r="E1928" s="70" t="inlineStr">
        <is>
          <t>R024</t>
        </is>
      </c>
      <c r="F1928" s="72" t="n">
        <v>2</v>
      </c>
      <c r="G1928" s="72" t="n">
        <v>3560</v>
      </c>
      <c r="H1928" s="72" t="n">
        <v>5.5</v>
      </c>
      <c r="I1928" s="72" t="n">
        <v>6728.4</v>
      </c>
      <c r="J1928" s="70" t="inlineStr">
        <is>
          <t>Completed</t>
        </is>
      </c>
      <c r="K1928" s="70" t="inlineStr">
        <is>
          <t>Bengaluru</t>
        </is>
      </c>
    </row>
    <row r="1929" ht="14.25" customHeight="1" s="56">
      <c r="A1929" s="70" t="inlineStr">
        <is>
          <t>ORD-01928</t>
        </is>
      </c>
      <c r="B1929" s="71" t="n">
        <v>45349</v>
      </c>
      <c r="C1929" s="70" t="inlineStr">
        <is>
          <t>CUST-0050</t>
        </is>
      </c>
      <c r="D1929" s="70" t="inlineStr">
        <is>
          <t>PROD-030</t>
        </is>
      </c>
      <c r="E1929" s="70" t="inlineStr">
        <is>
          <t>R001</t>
        </is>
      </c>
      <c r="F1929" s="72" t="n">
        <v>6</v>
      </c>
      <c r="G1929" s="72" t="n">
        <v>970</v>
      </c>
      <c r="H1929" s="72" t="n">
        <v>22.5</v>
      </c>
      <c r="I1929" s="72" t="n">
        <v>4510.5</v>
      </c>
      <c r="J1929" s="70" t="inlineStr">
        <is>
          <t>Refunded</t>
        </is>
      </c>
      <c r="K1929" s="70" t="inlineStr">
        <is>
          <t>Mumbai</t>
        </is>
      </c>
    </row>
    <row r="1930" ht="14.25" customHeight="1" s="56">
      <c r="A1930" s="70" t="inlineStr">
        <is>
          <t>ORD-01929</t>
        </is>
      </c>
      <c r="B1930" s="71" t="n">
        <v>45650</v>
      </c>
      <c r="C1930" s="70" t="inlineStr">
        <is>
          <t>CUST-0237</t>
        </is>
      </c>
      <c r="D1930" s="70" t="inlineStr">
        <is>
          <t>PROD-043</t>
        </is>
      </c>
      <c r="E1930" s="70" t="inlineStr">
        <is>
          <t>R014</t>
        </is>
      </c>
      <c r="F1930" s="72" t="n">
        <v>9</v>
      </c>
      <c r="G1930" s="72" t="n">
        <v>3350</v>
      </c>
      <c r="H1930" s="72" t="n">
        <v>5.1</v>
      </c>
      <c r="I1930" s="72" t="n">
        <v>28612.35</v>
      </c>
      <c r="J1930" s="70" t="inlineStr">
        <is>
          <t>Completed</t>
        </is>
      </c>
      <c r="K1930" s="70" t="inlineStr">
        <is>
          <t>Mumbai</t>
        </is>
      </c>
    </row>
    <row r="1931" ht="14.25" customHeight="1" s="56">
      <c r="A1931" s="70" t="inlineStr">
        <is>
          <t>ORD-01930</t>
        </is>
      </c>
      <c r="B1931" s="71" t="n">
        <v>45525</v>
      </c>
      <c r="C1931" s="70" t="inlineStr">
        <is>
          <t>CUST-9905</t>
        </is>
      </c>
      <c r="D1931" s="70" t="inlineStr">
        <is>
          <t>PROD-032</t>
        </is>
      </c>
      <c r="E1931" s="70" t="inlineStr">
        <is>
          <t>R011</t>
        </is>
      </c>
      <c r="F1931" s="72" t="n">
        <v>6</v>
      </c>
      <c r="G1931" s="72" t="n">
        <v>370</v>
      </c>
      <c r="H1931" s="72" t="n">
        <v>17.8</v>
      </c>
      <c r="I1931" s="72" t="n">
        <v>1824.84</v>
      </c>
      <c r="J1931" s="70" t="inlineStr">
        <is>
          <t>Completed</t>
        </is>
      </c>
      <c r="K1931" s="70" t="inlineStr">
        <is>
          <t>Mumbai</t>
        </is>
      </c>
    </row>
    <row r="1932" ht="14.25" customHeight="1" s="56">
      <c r="A1932" s="70" t="inlineStr">
        <is>
          <t>ORD-01931</t>
        </is>
      </c>
      <c r="B1932" s="71" t="n">
        <v>45365</v>
      </c>
      <c r="C1932" s="70" t="inlineStr">
        <is>
          <t>CUST-0175</t>
        </is>
      </c>
      <c r="D1932" s="70" t="inlineStr">
        <is>
          <t>PROD-024</t>
        </is>
      </c>
      <c r="E1932" s="70" t="inlineStr">
        <is>
          <t>R011</t>
        </is>
      </c>
      <c r="F1932" s="72" t="n">
        <v>3</v>
      </c>
      <c r="G1932" s="72" t="n">
        <v>2270</v>
      </c>
      <c r="H1932" s="72" t="n">
        <v>8.4</v>
      </c>
      <c r="I1932" s="72" t="n">
        <v>6237.96</v>
      </c>
      <c r="J1932" s="70" t="inlineStr">
        <is>
          <t>Pending</t>
        </is>
      </c>
      <c r="K1932" s="70" t="inlineStr">
        <is>
          <t>Delhi</t>
        </is>
      </c>
    </row>
    <row r="1933" ht="14.25" customHeight="1" s="56">
      <c r="A1933" s="70" t="inlineStr">
        <is>
          <t>ORD-01932</t>
        </is>
      </c>
      <c r="B1933" s="71" t="n">
        <v>45464</v>
      </c>
      <c r="C1933" s="70" t="inlineStr">
        <is>
          <t>CUST-0271</t>
        </is>
      </c>
      <c r="D1933" s="70" t="inlineStr">
        <is>
          <t>PROD-051</t>
        </is>
      </c>
      <c r="E1933" s="70" t="inlineStr">
        <is>
          <t>R021</t>
        </is>
      </c>
      <c r="F1933" s="72" t="n">
        <v>3</v>
      </c>
      <c r="G1933" s="72" t="n">
        <v>3450</v>
      </c>
      <c r="H1933" s="72" t="n">
        <v>7.2</v>
      </c>
      <c r="I1933" s="72" t="n">
        <v>9604.799999999999</v>
      </c>
      <c r="J1933" s="70" t="inlineStr">
        <is>
          <t>Completed</t>
        </is>
      </c>
      <c r="K1933" s="70" t="inlineStr">
        <is>
          <t>Bengaluru</t>
        </is>
      </c>
    </row>
    <row r="1934" ht="14.25" customHeight="1" s="56">
      <c r="A1934" s="70" t="inlineStr">
        <is>
          <t>ORD-01933</t>
        </is>
      </c>
      <c r="B1934" s="71" t="n">
        <v>45633</v>
      </c>
      <c r="C1934" s="70" t="inlineStr">
        <is>
          <t>CUST-0129</t>
        </is>
      </c>
      <c r="D1934" s="70" t="inlineStr">
        <is>
          <t>PROD-054</t>
        </is>
      </c>
      <c r="E1934" s="70" t="inlineStr">
        <is>
          <t>R008</t>
        </is>
      </c>
      <c r="F1934" s="72" t="n">
        <v>9</v>
      </c>
      <c r="G1934" s="72" t="n">
        <v>1010</v>
      </c>
      <c r="H1934" s="72" t="n">
        <v>17.8</v>
      </c>
      <c r="I1934" s="72" t="n">
        <v>7471.98</v>
      </c>
      <c r="J1934" s="70" t="inlineStr">
        <is>
          <t>Completed</t>
        </is>
      </c>
      <c r="K1934" s="70" t="inlineStr">
        <is>
          <t>Hyderabad</t>
        </is>
      </c>
    </row>
    <row r="1935" ht="14.25" customHeight="1" s="56">
      <c r="A1935" s="70" t="inlineStr">
        <is>
          <t>ORD-01934</t>
        </is>
      </c>
      <c r="B1935" s="71" t="n">
        <v>45373</v>
      </c>
      <c r="C1935" s="70" t="inlineStr">
        <is>
          <t>CUST-0156</t>
        </is>
      </c>
      <c r="D1935" s="70" t="inlineStr">
        <is>
          <t>PROD-039</t>
        </is>
      </c>
      <c r="E1935" s="70" t="inlineStr">
        <is>
          <t>R003</t>
        </is>
      </c>
      <c r="F1935" s="72" t="n">
        <v>5</v>
      </c>
      <c r="G1935" s="72" t="n">
        <v>4610</v>
      </c>
      <c r="H1935" s="72" t="n">
        <v>29.8</v>
      </c>
      <c r="I1935" s="72" t="n">
        <v>16181.1</v>
      </c>
      <c r="J1935" s="70" t="inlineStr">
        <is>
          <t>Cancelled</t>
        </is>
      </c>
      <c r="K1935" s="70" t="inlineStr">
        <is>
          <t>Mumbai</t>
        </is>
      </c>
    </row>
    <row r="1936" ht="14.25" customHeight="1" s="56">
      <c r="A1936" s="70" t="inlineStr">
        <is>
          <t>ORD-01935</t>
        </is>
      </c>
      <c r="B1936" s="71" t="n">
        <v>45497</v>
      </c>
      <c r="C1936" s="70" t="inlineStr">
        <is>
          <t>CUST-0048</t>
        </is>
      </c>
      <c r="D1936" s="70" t="inlineStr">
        <is>
          <t>PROD-032</t>
        </is>
      </c>
      <c r="E1936" s="70" t="inlineStr">
        <is>
          <t>R003</t>
        </is>
      </c>
      <c r="F1936" s="72" t="n">
        <v>6</v>
      </c>
      <c r="G1936" s="72" t="n">
        <v>370</v>
      </c>
      <c r="H1936" s="72" t="n">
        <v>17.9</v>
      </c>
      <c r="I1936" s="72" t="n">
        <v>1822.62</v>
      </c>
      <c r="J1936" s="70" t="inlineStr">
        <is>
          <t>Completed</t>
        </is>
      </c>
      <c r="K1936" s="70" t="inlineStr">
        <is>
          <t>Delhi</t>
        </is>
      </c>
    </row>
    <row r="1937" ht="14.25" customHeight="1" s="56">
      <c r="A1937" s="70" t="inlineStr">
        <is>
          <t>ORD-01936</t>
        </is>
      </c>
      <c r="B1937" s="71" t="n">
        <v>45352</v>
      </c>
      <c r="C1937" s="70" t="inlineStr">
        <is>
          <t>CUST-0224</t>
        </is>
      </c>
      <c r="D1937" s="70" t="inlineStr">
        <is>
          <t>PROD-023</t>
        </is>
      </c>
      <c r="E1937" s="70" t="inlineStr">
        <is>
          <t>R026</t>
        </is>
      </c>
      <c r="F1937" s="72" t="n">
        <v>6</v>
      </c>
      <c r="G1937" s="72" t="n">
        <v>2380</v>
      </c>
      <c r="H1937" s="72" t="n">
        <v>13.6</v>
      </c>
      <c r="I1937" s="72" t="n">
        <v>12337.92</v>
      </c>
      <c r="J1937" s="70" t="inlineStr">
        <is>
          <t>Cancelled</t>
        </is>
      </c>
      <c r="K1937" s="70" t="inlineStr">
        <is>
          <t>Chennai</t>
        </is>
      </c>
    </row>
    <row r="1938" ht="14.25" customHeight="1" s="56">
      <c r="A1938" s="70" t="inlineStr">
        <is>
          <t>ORD-01937</t>
        </is>
      </c>
      <c r="B1938" s="71" t="n">
        <v>45379</v>
      </c>
      <c r="C1938" s="70" t="inlineStr">
        <is>
          <t>CUST-0101</t>
        </is>
      </c>
      <c r="D1938" s="70" t="inlineStr">
        <is>
          <t>PROD-049</t>
        </is>
      </c>
      <c r="E1938" s="70" t="inlineStr">
        <is>
          <t>R023</t>
        </is>
      </c>
      <c r="F1938" s="72" t="n">
        <v>6</v>
      </c>
      <c r="G1938" s="72" t="n">
        <v>960</v>
      </c>
      <c r="H1938" s="72" t="n">
        <v>15</v>
      </c>
      <c r="I1938" s="72" t="n">
        <v>4896</v>
      </c>
      <c r="J1938" s="70" t="inlineStr">
        <is>
          <t>Pending</t>
        </is>
      </c>
      <c r="K1938" s="70" t="inlineStr">
        <is>
          <t>Hyderabad</t>
        </is>
      </c>
    </row>
    <row r="1939" ht="14.25" customHeight="1" s="56">
      <c r="A1939" s="70" t="inlineStr">
        <is>
          <t>ORD-01938</t>
        </is>
      </c>
      <c r="B1939" s="71" t="n">
        <v>45422</v>
      </c>
      <c r="C1939" s="70" t="inlineStr">
        <is>
          <t>CUST-0269</t>
        </is>
      </c>
      <c r="D1939" s="70" t="inlineStr">
        <is>
          <t>PROD-057</t>
        </is>
      </c>
      <c r="E1939" s="70" t="inlineStr">
        <is>
          <t>R002</t>
        </is>
      </c>
      <c r="F1939" s="72" t="n">
        <v>3</v>
      </c>
      <c r="G1939" s="72" t="n">
        <v>960</v>
      </c>
      <c r="H1939" s="72" t="n">
        <v>12.3</v>
      </c>
      <c r="I1939" s="72" t="n">
        <v>2525.76</v>
      </c>
      <c r="J1939" s="70" t="inlineStr">
        <is>
          <t>Completed</t>
        </is>
      </c>
      <c r="K1939" s="70" t="inlineStr">
        <is>
          <t>Pune</t>
        </is>
      </c>
    </row>
    <row r="1940" ht="14.25" customHeight="1" s="56">
      <c r="A1940" s="70" t="inlineStr">
        <is>
          <t>ORD-01939</t>
        </is>
      </c>
      <c r="B1940" s="71" t="n">
        <v>45413</v>
      </c>
      <c r="C1940" s="70" t="inlineStr">
        <is>
          <t>CUST-0097</t>
        </is>
      </c>
      <c r="D1940" s="70" t="inlineStr">
        <is>
          <t>PROD-016</t>
        </is>
      </c>
      <c r="E1940" s="70" t="inlineStr">
        <is>
          <t>R029</t>
        </is>
      </c>
      <c r="F1940" s="72" t="n">
        <v>7</v>
      </c>
      <c r="G1940" s="72" t="n">
        <v>620</v>
      </c>
      <c r="H1940" s="72" t="n">
        <v>5.8</v>
      </c>
      <c r="I1940" s="72" t="n">
        <v>4088.28</v>
      </c>
      <c r="J1940" s="70" t="inlineStr">
        <is>
          <t>Completed</t>
        </is>
      </c>
      <c r="K1940" s="70" t="inlineStr">
        <is>
          <t>Mumbai</t>
        </is>
      </c>
    </row>
    <row r="1941" ht="14.25" customHeight="1" s="56">
      <c r="A1941" s="70" t="inlineStr">
        <is>
          <t>ORD-01940</t>
        </is>
      </c>
      <c r="B1941" s="71" t="n">
        <v>45467</v>
      </c>
      <c r="C1941" s="70" t="inlineStr">
        <is>
          <t>CUST-0062</t>
        </is>
      </c>
      <c r="D1941" s="70" t="inlineStr">
        <is>
          <t>PROD-057</t>
        </is>
      </c>
      <c r="E1941" s="70" t="inlineStr">
        <is>
          <t>R020</t>
        </is>
      </c>
      <c r="F1941" s="72" t="n">
        <v>1</v>
      </c>
      <c r="G1941" s="72" t="n">
        <v>960</v>
      </c>
      <c r="H1941" s="72" t="n">
        <v>4.6</v>
      </c>
      <c r="I1941" s="72" t="n">
        <v>915.84</v>
      </c>
      <c r="J1941" s="70" t="inlineStr">
        <is>
          <t>Completed</t>
        </is>
      </c>
      <c r="K1941" s="70" t="inlineStr">
        <is>
          <t>Pune</t>
        </is>
      </c>
    </row>
    <row r="1942" ht="14.25" customHeight="1" s="56">
      <c r="A1942" s="70" t="inlineStr">
        <is>
          <t>ORD-01941</t>
        </is>
      </c>
      <c r="B1942" s="71" t="n">
        <v>45520</v>
      </c>
      <c r="C1942" s="70" t="inlineStr">
        <is>
          <t>CUST-0124</t>
        </is>
      </c>
      <c r="D1942" s="70" t="inlineStr">
        <is>
          <t>PROD-047</t>
        </is>
      </c>
      <c r="E1942" s="70" t="inlineStr">
        <is>
          <t>R028</t>
        </is>
      </c>
      <c r="F1942" s="72" t="n">
        <v>4</v>
      </c>
      <c r="G1942" s="72" t="n">
        <v>3450</v>
      </c>
      <c r="H1942" s="72" t="n">
        <v>13.3</v>
      </c>
      <c r="I1942" s="72" t="n">
        <v>11964.6</v>
      </c>
      <c r="J1942" s="70" t="inlineStr">
        <is>
          <t>Completed</t>
        </is>
      </c>
      <c r="K1942" s="70" t="inlineStr">
        <is>
          <t>Pune</t>
        </is>
      </c>
    </row>
    <row r="1943" ht="14.25" customHeight="1" s="56">
      <c r="A1943" s="70" t="inlineStr">
        <is>
          <t>ORD-01942</t>
        </is>
      </c>
      <c r="B1943" s="71" t="n">
        <v>45626</v>
      </c>
      <c r="C1943" s="70" t="inlineStr">
        <is>
          <t>CUST-0185</t>
        </is>
      </c>
      <c r="D1943" s="70" t="inlineStr">
        <is>
          <t>PROD-015</t>
        </is>
      </c>
      <c r="E1943" s="70" t="inlineStr">
        <is>
          <t>R019</t>
        </is>
      </c>
      <c r="F1943" s="72" t="n">
        <v>10</v>
      </c>
      <c r="G1943" s="72" t="n">
        <v>2720</v>
      </c>
      <c r="H1943" s="72" t="n">
        <v>3.4</v>
      </c>
      <c r="I1943" s="72" t="n">
        <v>26275.2</v>
      </c>
      <c r="J1943" s="70" t="inlineStr">
        <is>
          <t>Completed</t>
        </is>
      </c>
      <c r="K1943" s="70" t="inlineStr">
        <is>
          <t>Hyderabad</t>
        </is>
      </c>
    </row>
    <row r="1944" ht="14.25" customHeight="1" s="56">
      <c r="A1944" s="70" t="inlineStr">
        <is>
          <t>ORD-01943</t>
        </is>
      </c>
      <c r="B1944" s="71" t="n">
        <v>45452</v>
      </c>
      <c r="C1944" s="70" t="inlineStr">
        <is>
          <t>CUST-0115</t>
        </is>
      </c>
      <c r="D1944" s="70" t="inlineStr">
        <is>
          <t>PROD-047</t>
        </is>
      </c>
      <c r="E1944" s="70" t="inlineStr">
        <is>
          <t>R019</t>
        </is>
      </c>
      <c r="F1944" s="72" t="n">
        <v>1</v>
      </c>
      <c r="G1944" s="72" t="n">
        <v>3450</v>
      </c>
      <c r="H1944" s="72" t="n">
        <v>29.4</v>
      </c>
      <c r="I1944" s="72" t="n">
        <v>2435.7</v>
      </c>
      <c r="J1944" s="70" t="inlineStr">
        <is>
          <t>Completed</t>
        </is>
      </c>
      <c r="K1944" s="70" t="inlineStr">
        <is>
          <t>Mumbai</t>
        </is>
      </c>
    </row>
    <row r="1945" ht="14.25" customHeight="1" s="56">
      <c r="A1945" s="70" t="inlineStr">
        <is>
          <t>ORD-01944</t>
        </is>
      </c>
      <c r="B1945" s="71" t="n">
        <v>45529</v>
      </c>
      <c r="C1945" s="70" t="inlineStr">
        <is>
          <t>CUST-0097</t>
        </is>
      </c>
      <c r="D1945" s="70" t="inlineStr">
        <is>
          <t>PROD-044</t>
        </is>
      </c>
      <c r="E1945" s="70" t="inlineStr">
        <is>
          <t>R024</t>
        </is>
      </c>
      <c r="F1945" s="72" t="n">
        <v>5</v>
      </c>
      <c r="G1945" s="72" t="n">
        <v>1650</v>
      </c>
      <c r="H1945" s="72" t="n">
        <v>29.4</v>
      </c>
      <c r="I1945" s="72" t="n">
        <v>5824.5</v>
      </c>
      <c r="J1945" s="70" t="inlineStr">
        <is>
          <t>Completed</t>
        </is>
      </c>
      <c r="K1945" s="70" t="inlineStr">
        <is>
          <t>Mumbai</t>
        </is>
      </c>
    </row>
    <row r="1946" ht="14.25" customHeight="1" s="56">
      <c r="A1946" s="70" t="inlineStr">
        <is>
          <t>ORD-01945</t>
        </is>
      </c>
      <c r="B1946" s="71" t="n">
        <v>45639</v>
      </c>
      <c r="C1946" s="70" t="inlineStr">
        <is>
          <t>CUST-0221</t>
        </is>
      </c>
      <c r="D1946" s="70" t="inlineStr">
        <is>
          <t>PROD-014</t>
        </is>
      </c>
      <c r="E1946" s="70" t="inlineStr">
        <is>
          <t>R009</t>
        </is>
      </c>
      <c r="F1946" s="72" t="n">
        <v>2</v>
      </c>
      <c r="G1946" s="72" t="n">
        <v>3620</v>
      </c>
      <c r="H1946" s="72" t="n">
        <v>15.6</v>
      </c>
      <c r="I1946" s="72" t="n">
        <v>6110.56</v>
      </c>
      <c r="J1946" s="70" t="inlineStr">
        <is>
          <t>Completed</t>
        </is>
      </c>
      <c r="K1946" s="70" t="inlineStr">
        <is>
          <t>Delhi</t>
        </is>
      </c>
    </row>
    <row r="1947" ht="14.25" customHeight="1" s="56">
      <c r="A1947" s="70" t="inlineStr">
        <is>
          <t>ORD-01946</t>
        </is>
      </c>
      <c r="B1947" s="71" t="n">
        <v>45592</v>
      </c>
      <c r="C1947" s="70" t="inlineStr">
        <is>
          <t>CUST-0098</t>
        </is>
      </c>
      <c r="D1947" s="70" t="inlineStr">
        <is>
          <t>PROD-005</t>
        </is>
      </c>
      <c r="E1947" s="70" t="inlineStr">
        <is>
          <t>R012</t>
        </is>
      </c>
      <c r="F1947" s="72" t="n">
        <v>3</v>
      </c>
      <c r="G1947" s="72" t="n">
        <v>300</v>
      </c>
      <c r="H1947" s="72" t="n">
        <v>24.8</v>
      </c>
      <c r="I1947" s="72" t="n">
        <v>676.8</v>
      </c>
      <c r="J1947" s="70" t="inlineStr">
        <is>
          <t>Completed</t>
        </is>
      </c>
      <c r="K1947" s="70" t="inlineStr">
        <is>
          <t>Delhi</t>
        </is>
      </c>
    </row>
    <row r="1948" ht="14.25" customHeight="1" s="56">
      <c r="A1948" s="70" t="inlineStr">
        <is>
          <t>ORD-01947</t>
        </is>
      </c>
      <c r="B1948" s="71" t="n">
        <v>45338</v>
      </c>
      <c r="C1948" s="70" t="inlineStr">
        <is>
          <t>CUST-0203</t>
        </is>
      </c>
      <c r="D1948" s="70" t="inlineStr">
        <is>
          <t>PROD-041</t>
        </is>
      </c>
      <c r="E1948" s="70" t="inlineStr">
        <is>
          <t>R001</t>
        </is>
      </c>
      <c r="F1948" s="72" t="n">
        <v>3</v>
      </c>
      <c r="G1948" s="72" t="n">
        <v>1540</v>
      </c>
      <c r="H1948" s="72" t="n">
        <v>29.5</v>
      </c>
      <c r="I1948" s="72" t="n">
        <v>3257.1</v>
      </c>
      <c r="J1948" s="70" t="inlineStr">
        <is>
          <t>Completed</t>
        </is>
      </c>
      <c r="K1948" s="70" t="inlineStr">
        <is>
          <t>Chennai</t>
        </is>
      </c>
    </row>
    <row r="1949" ht="14.25" customHeight="1" s="56">
      <c r="A1949" s="70" t="inlineStr">
        <is>
          <t>ORD-01948</t>
        </is>
      </c>
      <c r="B1949" s="71" t="n">
        <v>45551</v>
      </c>
      <c r="C1949" s="70" t="inlineStr">
        <is>
          <t>CUST-0074</t>
        </is>
      </c>
      <c r="D1949" s="70" t="inlineStr">
        <is>
          <t>PROD-024</t>
        </is>
      </c>
      <c r="E1949" s="70" t="inlineStr">
        <is>
          <t>R019</t>
        </is>
      </c>
      <c r="F1949" s="72" t="n">
        <v>10</v>
      </c>
      <c r="G1949" s="72" t="n">
        <v>2270</v>
      </c>
      <c r="H1949" s="72" t="n">
        <v>5.5</v>
      </c>
      <c r="I1949" s="72" t="n">
        <v>21451.5</v>
      </c>
      <c r="J1949" s="70" t="inlineStr">
        <is>
          <t>Cancelled</t>
        </is>
      </c>
      <c r="K1949" s="70" t="inlineStr">
        <is>
          <t>Bengaluru</t>
        </is>
      </c>
    </row>
    <row r="1950" ht="14.25" customHeight="1" s="56">
      <c r="A1950" s="70" t="inlineStr">
        <is>
          <t>ORD-01949</t>
        </is>
      </c>
      <c r="B1950" s="71" t="n">
        <v>45350</v>
      </c>
      <c r="C1950" s="70" t="inlineStr">
        <is>
          <t>CUST-0217</t>
        </is>
      </c>
      <c r="D1950" s="70" t="inlineStr">
        <is>
          <t>PROD-010</t>
        </is>
      </c>
      <c r="E1950" s="70" t="inlineStr">
        <is>
          <t>R008</t>
        </is>
      </c>
      <c r="F1950" s="72" t="n">
        <v>3</v>
      </c>
      <c r="G1950" s="72" t="n">
        <v>2640</v>
      </c>
      <c r="H1950" s="72" t="n">
        <v>28.2</v>
      </c>
      <c r="I1950" s="72" t="n">
        <v>5686.56</v>
      </c>
      <c r="J1950" s="70" t="inlineStr">
        <is>
          <t>Refunded</t>
        </is>
      </c>
      <c r="K1950" s="70" t="inlineStr">
        <is>
          <t>Pune</t>
        </is>
      </c>
    </row>
    <row r="1951" ht="14.25" customHeight="1" s="56">
      <c r="A1951" s="70" t="inlineStr">
        <is>
          <t>ORD-01950</t>
        </is>
      </c>
      <c r="B1951" s="71" t="n">
        <v>45507</v>
      </c>
      <c r="C1951" s="70" t="inlineStr">
        <is>
          <t>CUST-0021</t>
        </is>
      </c>
      <c r="D1951" s="70" t="inlineStr">
        <is>
          <t>PROD-010</t>
        </is>
      </c>
      <c r="E1951" s="70" t="inlineStr">
        <is>
          <t>R015</t>
        </is>
      </c>
      <c r="F1951" s="72" t="n">
        <v>10</v>
      </c>
      <c r="G1951" s="72" t="n">
        <v>2640</v>
      </c>
      <c r="H1951" s="72" t="n">
        <v>25.9</v>
      </c>
      <c r="I1951" s="72" t="n">
        <v>19562.4</v>
      </c>
      <c r="J1951" s="70" t="inlineStr">
        <is>
          <t>Completed</t>
        </is>
      </c>
      <c r="K1951" s="70" t="inlineStr">
        <is>
          <t>Pune</t>
        </is>
      </c>
    </row>
    <row r="1952" ht="14.25" customHeight="1" s="56">
      <c r="A1952" s="70" t="inlineStr">
        <is>
          <t>ORD-01951</t>
        </is>
      </c>
      <c r="B1952" s="71" t="n">
        <v>45538</v>
      </c>
      <c r="C1952" s="70" t="inlineStr">
        <is>
          <t>CUST-0004</t>
        </is>
      </c>
      <c r="D1952" s="70" t="inlineStr">
        <is>
          <t>PROD-007</t>
        </is>
      </c>
      <c r="E1952" s="70" t="inlineStr">
        <is>
          <t>R030</t>
        </is>
      </c>
      <c r="F1952" s="72" t="n">
        <v>2</v>
      </c>
      <c r="G1952" s="72" t="n">
        <v>1430</v>
      </c>
      <c r="H1952" s="72" t="n">
        <v>5</v>
      </c>
      <c r="I1952" s="72" t="n">
        <v>2717</v>
      </c>
      <c r="J1952" s="70" t="inlineStr">
        <is>
          <t>Cancelled</t>
        </is>
      </c>
      <c r="K1952" s="70" t="inlineStr">
        <is>
          <t>Delhi</t>
        </is>
      </c>
    </row>
    <row r="1953" ht="14.25" customHeight="1" s="56">
      <c r="A1953" s="70" t="inlineStr">
        <is>
          <t>ORD-01952</t>
        </is>
      </c>
      <c r="B1953" s="71" t="n">
        <v>45618</v>
      </c>
      <c r="C1953" s="70" t="inlineStr">
        <is>
          <t>CUST-0080</t>
        </is>
      </c>
      <c r="D1953" s="70" t="inlineStr">
        <is>
          <t>PROD-003</t>
        </is>
      </c>
      <c r="E1953" s="70" t="inlineStr">
        <is>
          <t>R020</t>
        </is>
      </c>
      <c r="F1953" s="72" t="n">
        <v>6</v>
      </c>
      <c r="G1953" s="72" t="n">
        <v>3570</v>
      </c>
      <c r="H1953" s="72" t="n">
        <v>28.5</v>
      </c>
      <c r="I1953" s="72" t="n">
        <v>15315.3</v>
      </c>
      <c r="J1953" s="70" t="inlineStr">
        <is>
          <t>Cancelled</t>
        </is>
      </c>
      <c r="K1953" s="70" t="inlineStr">
        <is>
          <t>Pune</t>
        </is>
      </c>
    </row>
    <row r="1954" ht="14.25" customHeight="1" s="56">
      <c r="A1954" s="70" t="inlineStr">
        <is>
          <t>ORD-01953</t>
        </is>
      </c>
      <c r="B1954" s="71" t="n">
        <v>45444</v>
      </c>
      <c r="C1954" s="70" t="inlineStr">
        <is>
          <t>CUST-0113</t>
        </is>
      </c>
      <c r="D1954" s="70" t="inlineStr">
        <is>
          <t>PROD-003</t>
        </is>
      </c>
      <c r="E1954" s="70" t="inlineStr">
        <is>
          <t>R024</t>
        </is>
      </c>
      <c r="F1954" s="72" t="n">
        <v>1</v>
      </c>
      <c r="G1954" s="72" t="n">
        <v>3570</v>
      </c>
      <c r="H1954" s="72" t="n">
        <v>7.7</v>
      </c>
      <c r="I1954" s="72" t="n">
        <v>3295.11</v>
      </c>
      <c r="J1954" s="70" t="inlineStr">
        <is>
          <t>Completed</t>
        </is>
      </c>
      <c r="K1954" s="70" t="inlineStr">
        <is>
          <t>Delhi</t>
        </is>
      </c>
    </row>
    <row r="1955" ht="14.25" customHeight="1" s="56">
      <c r="A1955" s="70" t="inlineStr">
        <is>
          <t>ORD-01954</t>
        </is>
      </c>
      <c r="B1955" s="71" t="n">
        <v>45377</v>
      </c>
      <c r="C1955" s="70" t="inlineStr">
        <is>
          <t>CUST-0023</t>
        </is>
      </c>
      <c r="D1955" s="70" t="inlineStr">
        <is>
          <t>PROD-004</t>
        </is>
      </c>
      <c r="E1955" s="70" t="inlineStr">
        <is>
          <t>R030</t>
        </is>
      </c>
      <c r="F1955" s="72" t="n">
        <v>9</v>
      </c>
      <c r="G1955" s="72" t="n">
        <v>3870</v>
      </c>
      <c r="H1955" s="72" t="n">
        <v>11.9</v>
      </c>
      <c r="I1955" s="72" t="n">
        <v>30685.23</v>
      </c>
      <c r="J1955" s="70" t="inlineStr">
        <is>
          <t>Cancelled</t>
        </is>
      </c>
      <c r="K1955" s="70" t="inlineStr">
        <is>
          <t>Chennai</t>
        </is>
      </c>
    </row>
    <row r="1956" ht="14.25" customHeight="1" s="56">
      <c r="A1956" s="70" t="inlineStr">
        <is>
          <t>ORD-01955</t>
        </is>
      </c>
      <c r="B1956" s="71" t="n">
        <v>45515</v>
      </c>
      <c r="C1956" s="70" t="inlineStr">
        <is>
          <t>CUST-0136</t>
        </is>
      </c>
      <c r="D1956" s="70" t="inlineStr">
        <is>
          <t>PROD-056</t>
        </is>
      </c>
      <c r="E1956" s="70" t="inlineStr">
        <is>
          <t>R014</t>
        </is>
      </c>
      <c r="F1956" s="72" t="n">
        <v>5</v>
      </c>
      <c r="G1956" s="72" t="n">
        <v>6940</v>
      </c>
      <c r="H1956" s="72" t="n">
        <v>17.4</v>
      </c>
      <c r="I1956" s="72" t="n">
        <v>28662.2</v>
      </c>
      <c r="J1956" s="70" t="inlineStr">
        <is>
          <t>Completed</t>
        </is>
      </c>
      <c r="K1956" s="70" t="inlineStr">
        <is>
          <t>Chennai</t>
        </is>
      </c>
    </row>
    <row r="1957" ht="14.25" customHeight="1" s="56">
      <c r="A1957" s="70" t="inlineStr">
        <is>
          <t>ORD-01956</t>
        </is>
      </c>
      <c r="B1957" s="71" t="n">
        <v>45312</v>
      </c>
      <c r="C1957" s="70" t="inlineStr">
        <is>
          <t>CUST-0031</t>
        </is>
      </c>
      <c r="D1957" s="70" t="inlineStr">
        <is>
          <t>PROD-032</t>
        </is>
      </c>
      <c r="E1957" s="70" t="inlineStr">
        <is>
          <t>R026</t>
        </is>
      </c>
      <c r="F1957" s="72" t="n">
        <v>6</v>
      </c>
      <c r="G1957" s="72" t="n">
        <v>370</v>
      </c>
      <c r="H1957" s="72" t="n">
        <v>8.1</v>
      </c>
      <c r="I1957" s="72" t="n">
        <v>2040.18</v>
      </c>
      <c r="J1957" s="70" t="inlineStr">
        <is>
          <t>Cancelled</t>
        </is>
      </c>
      <c r="K1957" s="70" t="inlineStr">
        <is>
          <t>Hyderabad</t>
        </is>
      </c>
    </row>
    <row r="1958" ht="14.25" customHeight="1" s="56">
      <c r="A1958" s="70" t="inlineStr">
        <is>
          <t>ORD-01957</t>
        </is>
      </c>
      <c r="B1958" s="71" t="n">
        <v>45549</v>
      </c>
      <c r="C1958" s="70" t="inlineStr">
        <is>
          <t>CUST-0175</t>
        </is>
      </c>
      <c r="D1958" s="70" t="inlineStr">
        <is>
          <t>PROD-018</t>
        </is>
      </c>
      <c r="E1958" s="70" t="inlineStr">
        <is>
          <t>R027</t>
        </is>
      </c>
      <c r="F1958" s="72" t="n">
        <v>8</v>
      </c>
      <c r="G1958" s="72" t="n">
        <v>3560</v>
      </c>
      <c r="H1958" s="72" t="n">
        <v>23.3</v>
      </c>
      <c r="I1958" s="72" t="n">
        <v>21844.16</v>
      </c>
      <c r="J1958" s="70" t="inlineStr">
        <is>
          <t>Completed</t>
        </is>
      </c>
      <c r="K1958" s="70" t="inlineStr">
        <is>
          <t>Delhi</t>
        </is>
      </c>
    </row>
    <row r="1959" ht="14.25" customHeight="1" s="56">
      <c r="A1959" s="70" t="inlineStr">
        <is>
          <t>ORD-01958</t>
        </is>
      </c>
      <c r="B1959" s="71" t="n">
        <v>45633</v>
      </c>
      <c r="C1959" s="70" t="inlineStr">
        <is>
          <t>CUST-0249</t>
        </is>
      </c>
      <c r="D1959" s="70" t="inlineStr">
        <is>
          <t>PROD-009</t>
        </is>
      </c>
      <c r="E1959" s="70" t="inlineStr">
        <is>
          <t>R028</t>
        </is>
      </c>
      <c r="F1959" s="72" t="n">
        <v>4</v>
      </c>
      <c r="G1959" s="72" t="n">
        <v>1220</v>
      </c>
      <c r="H1959" s="72" t="n">
        <v>2.7</v>
      </c>
      <c r="I1959" s="72" t="n">
        <v>4748.24</v>
      </c>
      <c r="J1959" s="70" t="inlineStr">
        <is>
          <t>Completed</t>
        </is>
      </c>
      <c r="K1959" s="70" t="inlineStr">
        <is>
          <t>Mumbai</t>
        </is>
      </c>
    </row>
    <row r="1960" ht="14.25" customHeight="1" s="56">
      <c r="A1960" s="70" t="inlineStr">
        <is>
          <t>ORD-01959</t>
        </is>
      </c>
      <c r="B1960" s="71" t="n">
        <v>45598</v>
      </c>
      <c r="C1960" s="70" t="inlineStr">
        <is>
          <t>CUST-0138</t>
        </is>
      </c>
      <c r="D1960" s="70" t="inlineStr">
        <is>
          <t>PROD-026</t>
        </is>
      </c>
      <c r="E1960" s="70" t="inlineStr">
        <is>
          <t>R020</t>
        </is>
      </c>
      <c r="F1960" s="72" t="n">
        <v>10</v>
      </c>
      <c r="G1960" s="72" t="n">
        <v>4070</v>
      </c>
      <c r="H1960" s="72" t="n">
        <v>11.6</v>
      </c>
      <c r="I1960" s="72" t="n">
        <v>35978.8</v>
      </c>
      <c r="J1960" s="70" t="inlineStr">
        <is>
          <t>Completed</t>
        </is>
      </c>
      <c r="K1960" s="70" t="inlineStr">
        <is>
          <t>Chennai</t>
        </is>
      </c>
    </row>
    <row r="1961" ht="14.25" customHeight="1" s="56">
      <c r="A1961" s="70" t="inlineStr">
        <is>
          <t>ORD-01960</t>
        </is>
      </c>
      <c r="B1961" s="71" t="n">
        <v>45336</v>
      </c>
      <c r="C1961" s="70" t="inlineStr">
        <is>
          <t>CUST-0290</t>
        </is>
      </c>
      <c r="D1961" s="70" t="inlineStr">
        <is>
          <t>PROD-028</t>
        </is>
      </c>
      <c r="E1961" s="70" t="inlineStr">
        <is>
          <t>R019</t>
        </is>
      </c>
      <c r="F1961" s="72" t="n">
        <v>10</v>
      </c>
      <c r="G1961" s="72" t="n">
        <v>3660</v>
      </c>
      <c r="H1961" s="72" t="n">
        <v>28.8</v>
      </c>
      <c r="I1961" s="72" t="n">
        <v>26059.2</v>
      </c>
      <c r="J1961" s="70" t="inlineStr">
        <is>
          <t>Completed</t>
        </is>
      </c>
      <c r="K1961" s="70" t="inlineStr">
        <is>
          <t>Delhi</t>
        </is>
      </c>
    </row>
    <row r="1962" ht="14.25" customHeight="1" s="56">
      <c r="A1962" s="70" t="inlineStr">
        <is>
          <t>ORD-01961</t>
        </is>
      </c>
      <c r="B1962" s="71" t="n">
        <v>45449</v>
      </c>
      <c r="C1962" s="70" t="inlineStr">
        <is>
          <t>CUST-0151</t>
        </is>
      </c>
      <c r="D1962" s="70" t="inlineStr">
        <is>
          <t>PROD-034</t>
        </is>
      </c>
      <c r="E1962" s="70" t="inlineStr">
        <is>
          <t>R018</t>
        </is>
      </c>
      <c r="F1962" s="72" t="n">
        <v>5</v>
      </c>
      <c r="G1962" s="72" t="n">
        <v>5080</v>
      </c>
      <c r="H1962" s="72" t="n">
        <v>12.1</v>
      </c>
      <c r="I1962" s="72" t="n">
        <v>22326.6</v>
      </c>
      <c r="J1962" s="70" t="inlineStr">
        <is>
          <t>Completed</t>
        </is>
      </c>
      <c r="K1962" s="70" t="inlineStr">
        <is>
          <t>Mumbai</t>
        </is>
      </c>
    </row>
    <row r="1963" ht="14.25" customHeight="1" s="56">
      <c r="A1963" s="70" t="inlineStr">
        <is>
          <t>ORD-01962</t>
        </is>
      </c>
      <c r="B1963" s="71" t="n">
        <v>45338</v>
      </c>
      <c r="C1963" s="70" t="inlineStr">
        <is>
          <t>CUST-0290</t>
        </is>
      </c>
      <c r="D1963" s="70" t="inlineStr">
        <is>
          <t>PROD-039</t>
        </is>
      </c>
      <c r="E1963" s="70" t="inlineStr">
        <is>
          <t>R013</t>
        </is>
      </c>
      <c r="F1963" s="72" t="n">
        <v>10</v>
      </c>
      <c r="G1963" s="72" t="n">
        <v>4610</v>
      </c>
      <c r="H1963" s="72" t="n">
        <v>22.5</v>
      </c>
      <c r="I1963" s="72" t="n">
        <v>35727.5</v>
      </c>
      <c r="J1963" s="70" t="inlineStr">
        <is>
          <t>Completed</t>
        </is>
      </c>
      <c r="K1963" s="70" t="inlineStr">
        <is>
          <t>Delhi</t>
        </is>
      </c>
    </row>
    <row r="1964" ht="14.25" customHeight="1" s="56">
      <c r="A1964" s="70" t="inlineStr">
        <is>
          <t>ORD-01963</t>
        </is>
      </c>
      <c r="B1964" s="71" t="n">
        <v>45317</v>
      </c>
      <c r="C1964" s="70" t="inlineStr">
        <is>
          <t>CUST-0074</t>
        </is>
      </c>
      <c r="D1964" s="70" t="inlineStr">
        <is>
          <t>PROD-008</t>
        </is>
      </c>
      <c r="E1964" s="70" t="inlineStr">
        <is>
          <t>R007</t>
        </is>
      </c>
      <c r="F1964" s="72" t="n">
        <v>3</v>
      </c>
      <c r="G1964" s="72" t="n">
        <v>2660</v>
      </c>
      <c r="H1964" s="72" t="n">
        <v>15</v>
      </c>
      <c r="I1964" s="72" t="n">
        <v>6783</v>
      </c>
      <c r="J1964" s="70" t="inlineStr">
        <is>
          <t>Completed</t>
        </is>
      </c>
      <c r="K1964" s="70" t="inlineStr">
        <is>
          <t>Bengaluru</t>
        </is>
      </c>
    </row>
    <row r="1965" ht="14.25" customHeight="1" s="56">
      <c r="A1965" s="70" t="inlineStr">
        <is>
          <t>ORD-01964</t>
        </is>
      </c>
      <c r="B1965" s="71" t="n">
        <v>45384</v>
      </c>
      <c r="C1965" s="70" t="inlineStr">
        <is>
          <t>CUST-0295</t>
        </is>
      </c>
      <c r="D1965" s="70" t="inlineStr">
        <is>
          <t>PROD-012</t>
        </is>
      </c>
      <c r="E1965" s="70" t="inlineStr">
        <is>
          <t>R006</t>
        </is>
      </c>
      <c r="F1965" s="72" t="n">
        <v>5</v>
      </c>
      <c r="G1965" s="72" t="n">
        <v>3160</v>
      </c>
      <c r="H1965" s="72" t="n">
        <v>1.3</v>
      </c>
      <c r="I1965" s="72" t="n">
        <v>15594.6</v>
      </c>
      <c r="J1965" s="70" t="inlineStr">
        <is>
          <t>Completed</t>
        </is>
      </c>
      <c r="K1965" s="70" t="inlineStr">
        <is>
          <t>Delhi</t>
        </is>
      </c>
    </row>
    <row r="1966" ht="14.25" customHeight="1" s="56">
      <c r="A1966" s="70" t="inlineStr">
        <is>
          <t>ORD-01965</t>
        </is>
      </c>
      <c r="B1966" s="71" t="n">
        <v>45325</v>
      </c>
      <c r="C1966" s="70" t="inlineStr">
        <is>
          <t>CUST-0132</t>
        </is>
      </c>
      <c r="D1966" s="70" t="inlineStr">
        <is>
          <t>PROD-032</t>
        </is>
      </c>
      <c r="E1966" s="70" t="inlineStr">
        <is>
          <t>R004</t>
        </is>
      </c>
      <c r="F1966" s="72" t="n">
        <v>10</v>
      </c>
      <c r="G1966" s="72" t="n">
        <v>370</v>
      </c>
      <c r="H1966" s="72" t="n">
        <v>29</v>
      </c>
      <c r="I1966" s="72" t="n">
        <v>2627</v>
      </c>
      <c r="J1966" s="70" t="inlineStr">
        <is>
          <t>Completed</t>
        </is>
      </c>
      <c r="K1966" s="70" t="inlineStr">
        <is>
          <t>Delhi</t>
        </is>
      </c>
    </row>
    <row r="1967" ht="14.25" customHeight="1" s="56">
      <c r="A1967" s="70" t="inlineStr">
        <is>
          <t>ORD-01966</t>
        </is>
      </c>
      <c r="B1967" s="71" t="n">
        <v>45358</v>
      </c>
      <c r="C1967" s="70" t="inlineStr">
        <is>
          <t>CUST-0289</t>
        </is>
      </c>
      <c r="D1967" s="70" t="inlineStr">
        <is>
          <t>PROD-054</t>
        </is>
      </c>
      <c r="E1967" s="70" t="inlineStr">
        <is>
          <t>R008</t>
        </is>
      </c>
      <c r="F1967" s="72" t="n">
        <v>10</v>
      </c>
      <c r="G1967" s="72" t="n">
        <v>1010</v>
      </c>
      <c r="H1967" s="72" t="n">
        <v>14.1</v>
      </c>
      <c r="I1967" s="72" t="n">
        <v>8675.9</v>
      </c>
      <c r="J1967" s="70" t="inlineStr">
        <is>
          <t>Refunded</t>
        </is>
      </c>
      <c r="K1967" s="70" t="inlineStr">
        <is>
          <t>Mumbai</t>
        </is>
      </c>
    </row>
    <row r="1968" ht="14.25" customHeight="1" s="56">
      <c r="A1968" s="70" t="inlineStr">
        <is>
          <t>ORD-01967</t>
        </is>
      </c>
      <c r="B1968" s="71" t="n">
        <v>45586</v>
      </c>
      <c r="C1968" s="70" t="inlineStr">
        <is>
          <t>CUST-0139</t>
        </is>
      </c>
      <c r="D1968" s="70" t="inlineStr">
        <is>
          <t>PROD-018</t>
        </is>
      </c>
      <c r="E1968" s="70" t="inlineStr">
        <is>
          <t>R030</t>
        </is>
      </c>
      <c r="F1968" s="72" t="n">
        <v>3</v>
      </c>
      <c r="G1968" s="72" t="n">
        <v>3560</v>
      </c>
      <c r="H1968" s="72" t="n">
        <v>23.6</v>
      </c>
      <c r="I1968" s="72" t="n">
        <v>8159.52</v>
      </c>
      <c r="J1968" s="70" t="inlineStr">
        <is>
          <t>Completed</t>
        </is>
      </c>
      <c r="K1968" s="70" t="inlineStr">
        <is>
          <t>Hyderabad</t>
        </is>
      </c>
    </row>
    <row r="1969" ht="14.25" customHeight="1" s="56">
      <c r="A1969" s="70" t="inlineStr">
        <is>
          <t>ORD-01968</t>
        </is>
      </c>
      <c r="B1969" s="71" t="n">
        <v>45340</v>
      </c>
      <c r="C1969" s="70" t="inlineStr">
        <is>
          <t>CUST-0032</t>
        </is>
      </c>
      <c r="D1969" s="70" t="inlineStr">
        <is>
          <t>PROD-009</t>
        </is>
      </c>
      <c r="E1969" s="70" t="inlineStr">
        <is>
          <t>R028</t>
        </is>
      </c>
      <c r="F1969" s="72" t="n">
        <v>9</v>
      </c>
      <c r="G1969" s="72" t="n">
        <v>1220</v>
      </c>
      <c r="H1969" s="72" t="n">
        <v>16.6</v>
      </c>
      <c r="I1969" s="72" t="n">
        <v>9157.32</v>
      </c>
      <c r="J1969" s="70" t="inlineStr">
        <is>
          <t>Completed</t>
        </is>
      </c>
      <c r="K1969" s="70" t="inlineStr">
        <is>
          <t>Hyderabad</t>
        </is>
      </c>
    </row>
    <row r="1970" ht="14.25" customHeight="1" s="56">
      <c r="A1970" s="70" t="inlineStr">
        <is>
          <t>ORD-01969</t>
        </is>
      </c>
      <c r="B1970" s="71" t="n">
        <v>45343</v>
      </c>
      <c r="C1970" s="70" t="inlineStr">
        <is>
          <t>CUST-0109</t>
        </is>
      </c>
      <c r="D1970" s="70" t="inlineStr">
        <is>
          <t>PROD-060</t>
        </is>
      </c>
      <c r="E1970" s="70" t="inlineStr">
        <is>
          <t>R008</t>
        </is>
      </c>
      <c r="F1970" s="72" t="n">
        <v>8</v>
      </c>
      <c r="G1970" s="72" t="n">
        <v>190</v>
      </c>
      <c r="H1970" s="72" t="n">
        <v>22.3</v>
      </c>
      <c r="I1970" s="72" t="n">
        <v>1181.04</v>
      </c>
      <c r="J1970" s="70" t="inlineStr">
        <is>
          <t>Completed</t>
        </is>
      </c>
      <c r="K1970" s="70" t="inlineStr">
        <is>
          <t>Pune</t>
        </is>
      </c>
    </row>
    <row r="1971" ht="14.25" customHeight="1" s="56">
      <c r="A1971" s="70" t="inlineStr">
        <is>
          <t>ORD-01970</t>
        </is>
      </c>
      <c r="B1971" s="71" t="n">
        <v>45468</v>
      </c>
      <c r="C1971" s="70" t="inlineStr">
        <is>
          <t>CUST-0224</t>
        </is>
      </c>
      <c r="D1971" s="70" t="inlineStr">
        <is>
          <t>PROD-054</t>
        </is>
      </c>
      <c r="E1971" s="70" t="inlineStr">
        <is>
          <t>R002</t>
        </is>
      </c>
      <c r="F1971" s="72" t="n">
        <v>2</v>
      </c>
      <c r="G1971" s="72" t="n">
        <v>1010</v>
      </c>
      <c r="H1971" s="72" t="n">
        <v>3.8</v>
      </c>
      <c r="I1971" s="72" t="n">
        <v>1943.24</v>
      </c>
      <c r="J1971" s="70" t="inlineStr">
        <is>
          <t>Completed</t>
        </is>
      </c>
      <c r="K1971" s="70" t="inlineStr">
        <is>
          <t>Chennai</t>
        </is>
      </c>
    </row>
    <row r="1972" ht="14.25" customHeight="1" s="56">
      <c r="A1972" s="70" t="inlineStr">
        <is>
          <t>ORD-01971</t>
        </is>
      </c>
      <c r="B1972" s="71" t="n">
        <v>45439</v>
      </c>
      <c r="C1972" s="70" t="inlineStr">
        <is>
          <t>CUST-0038</t>
        </is>
      </c>
      <c r="D1972" s="70" t="inlineStr">
        <is>
          <t>PROD-002</t>
        </is>
      </c>
      <c r="E1972" s="70" t="inlineStr">
        <is>
          <t>R009</t>
        </is>
      </c>
      <c r="F1972" s="72" t="n">
        <v>4</v>
      </c>
      <c r="G1972" s="72" t="n">
        <v>2600</v>
      </c>
      <c r="H1972" s="72" t="n">
        <v>29.1</v>
      </c>
      <c r="I1972" s="72" t="n">
        <v>7373.6</v>
      </c>
      <c r="J1972" s="70" t="inlineStr">
        <is>
          <t>Completed</t>
        </is>
      </c>
      <c r="K1972" s="70" t="inlineStr">
        <is>
          <t>Mumbai</t>
        </is>
      </c>
    </row>
    <row r="1973" ht="14.25" customHeight="1" s="56">
      <c r="A1973" s="70" t="inlineStr">
        <is>
          <t>ORD-01972</t>
        </is>
      </c>
      <c r="B1973" s="71" t="n">
        <v>45517</v>
      </c>
      <c r="C1973" s="70" t="inlineStr">
        <is>
          <t>CUST-0132</t>
        </is>
      </c>
      <c r="D1973" s="70" t="inlineStr">
        <is>
          <t>PROD-011</t>
        </is>
      </c>
      <c r="E1973" s="70" t="inlineStr">
        <is>
          <t>R029</t>
        </is>
      </c>
      <c r="F1973" s="72" t="n">
        <v>7</v>
      </c>
      <c r="G1973" s="72" t="n">
        <v>3450</v>
      </c>
      <c r="H1973" s="72" t="n">
        <v>4</v>
      </c>
      <c r="I1973" s="72" t="n">
        <v>23184</v>
      </c>
      <c r="J1973" s="70" t="inlineStr">
        <is>
          <t>Completed</t>
        </is>
      </c>
      <c r="K1973" s="70" t="inlineStr">
        <is>
          <t>Delhi</t>
        </is>
      </c>
    </row>
    <row r="1974" ht="14.25" customHeight="1" s="56">
      <c r="A1974" s="70" t="inlineStr">
        <is>
          <t>ORD-01973</t>
        </is>
      </c>
      <c r="B1974" s="71" t="n">
        <v>45311</v>
      </c>
      <c r="C1974" s="70" t="inlineStr">
        <is>
          <t>CUST-0226</t>
        </is>
      </c>
      <c r="D1974" s="70" t="inlineStr">
        <is>
          <t>PROD-017</t>
        </is>
      </c>
      <c r="E1974" s="70" t="inlineStr">
        <is>
          <t>R019</t>
        </is>
      </c>
      <c r="F1974" s="72" t="n">
        <v>6</v>
      </c>
      <c r="G1974" s="72" t="n">
        <v>2510</v>
      </c>
      <c r="H1974" s="72" t="n">
        <v>12.7</v>
      </c>
      <c r="I1974" s="72" t="n">
        <v>13147.38</v>
      </c>
      <c r="J1974" s="70" t="inlineStr">
        <is>
          <t>Completed</t>
        </is>
      </c>
      <c r="K1974" s="70" t="inlineStr">
        <is>
          <t>Chennai</t>
        </is>
      </c>
    </row>
    <row r="1975" ht="14.25" customHeight="1" s="56">
      <c r="A1975" s="70" t="inlineStr">
        <is>
          <t>ORD-01974</t>
        </is>
      </c>
      <c r="B1975" s="71" t="n">
        <v>45560</v>
      </c>
      <c r="C1975" s="70" t="inlineStr">
        <is>
          <t>CUST-0275</t>
        </is>
      </c>
      <c r="D1975" s="70" t="inlineStr">
        <is>
          <t>PROD-060</t>
        </is>
      </c>
      <c r="E1975" s="70" t="inlineStr">
        <is>
          <t>R027</t>
        </is>
      </c>
      <c r="F1975" s="72" t="n">
        <v>6</v>
      </c>
      <c r="G1975" s="72" t="n">
        <v>190</v>
      </c>
      <c r="H1975" s="72" t="n">
        <v>20</v>
      </c>
      <c r="I1975" s="72" t="n">
        <v>912</v>
      </c>
      <c r="J1975" s="70" t="inlineStr">
        <is>
          <t>Cancelled</t>
        </is>
      </c>
      <c r="K1975" s="70" t="inlineStr">
        <is>
          <t>Mumbai</t>
        </is>
      </c>
    </row>
    <row r="1976" ht="14.25" customHeight="1" s="56">
      <c r="A1976" s="70" t="inlineStr">
        <is>
          <t>ORD-01975</t>
        </is>
      </c>
      <c r="B1976" s="71" t="n">
        <v>45529</v>
      </c>
      <c r="C1976" s="70" t="inlineStr">
        <is>
          <t>CUST-0109</t>
        </is>
      </c>
      <c r="D1976" s="70" t="inlineStr">
        <is>
          <t>PROD-044</t>
        </is>
      </c>
      <c r="E1976" s="70" t="inlineStr">
        <is>
          <t>R029</t>
        </is>
      </c>
      <c r="F1976" s="72" t="n">
        <v>10</v>
      </c>
      <c r="G1976" s="72" t="n">
        <v>1650</v>
      </c>
      <c r="H1976" s="72" t="n">
        <v>21.5</v>
      </c>
      <c r="I1976" s="72" t="n">
        <v>12952.5</v>
      </c>
      <c r="J1976" s="70" t="inlineStr">
        <is>
          <t>Completed</t>
        </is>
      </c>
      <c r="K1976" s="70" t="inlineStr">
        <is>
          <t>Pune</t>
        </is>
      </c>
    </row>
    <row r="1977" ht="14.25" customHeight="1" s="56">
      <c r="A1977" s="70" t="inlineStr">
        <is>
          <t>ORD-01976</t>
        </is>
      </c>
      <c r="B1977" s="71" t="n">
        <v>45344</v>
      </c>
      <c r="C1977" s="70" t="inlineStr">
        <is>
          <t>CUST-0281</t>
        </is>
      </c>
      <c r="D1977" s="70" t="inlineStr">
        <is>
          <t>PROD-055</t>
        </is>
      </c>
      <c r="E1977" s="70" t="inlineStr">
        <is>
          <t>R009</t>
        </is>
      </c>
      <c r="F1977" s="72" t="n">
        <v>4</v>
      </c>
      <c r="G1977" s="72" t="n">
        <v>2860</v>
      </c>
      <c r="H1977" s="72" t="n">
        <v>15.2</v>
      </c>
      <c r="I1977" s="72" t="n">
        <v>9701.120000000001</v>
      </c>
      <c r="J1977" s="70" t="inlineStr">
        <is>
          <t>Completed</t>
        </is>
      </c>
      <c r="K1977" s="70" t="inlineStr">
        <is>
          <t>Bengaluru</t>
        </is>
      </c>
    </row>
    <row r="1978" ht="14.25" customHeight="1" s="56">
      <c r="A1978" s="70" t="inlineStr">
        <is>
          <t>ORD-01977</t>
        </is>
      </c>
      <c r="B1978" s="71" t="n">
        <v>45589</v>
      </c>
      <c r="C1978" s="70" t="inlineStr">
        <is>
          <t>CUST-0174</t>
        </is>
      </c>
      <c r="D1978" s="70" t="inlineStr">
        <is>
          <t>PROD-053</t>
        </is>
      </c>
      <c r="E1978" s="70" t="inlineStr">
        <is>
          <t>R028</t>
        </is>
      </c>
      <c r="F1978" s="72" t="n">
        <v>3</v>
      </c>
      <c r="G1978" s="72" t="n">
        <v>470</v>
      </c>
      <c r="H1978" s="72" t="n">
        <v>14.2</v>
      </c>
      <c r="I1978" s="72" t="n">
        <v>1209.78</v>
      </c>
      <c r="J1978" s="70" t="inlineStr">
        <is>
          <t>Completed</t>
        </is>
      </c>
      <c r="K1978" s="70" t="inlineStr">
        <is>
          <t>Pune</t>
        </is>
      </c>
    </row>
    <row r="1979" ht="14.25" customHeight="1" s="56">
      <c r="A1979" s="70" t="inlineStr">
        <is>
          <t>ORD-01978</t>
        </is>
      </c>
      <c r="B1979" s="71" t="n">
        <v>45469</v>
      </c>
      <c r="C1979" s="70" t="inlineStr">
        <is>
          <t>CUST-0103</t>
        </is>
      </c>
      <c r="D1979" s="70" t="inlineStr">
        <is>
          <t>PROD-055</t>
        </is>
      </c>
      <c r="E1979" s="70" t="inlineStr">
        <is>
          <t>R030</t>
        </is>
      </c>
      <c r="F1979" s="72" t="n">
        <v>2</v>
      </c>
      <c r="G1979" s="72" t="n">
        <v>2860</v>
      </c>
      <c r="H1979" s="72" t="n">
        <v>17.9</v>
      </c>
      <c r="I1979" s="72" t="n">
        <v>4696.12</v>
      </c>
      <c r="J1979" s="70" t="inlineStr">
        <is>
          <t>Completed</t>
        </is>
      </c>
      <c r="K1979" s="70" t="inlineStr">
        <is>
          <t>Hyderabad</t>
        </is>
      </c>
    </row>
    <row r="1980" ht="14.25" customHeight="1" s="56">
      <c r="A1980" s="70" t="inlineStr">
        <is>
          <t>ORD-01979</t>
        </is>
      </c>
      <c r="B1980" s="71" t="n">
        <v>45407</v>
      </c>
      <c r="C1980" s="70" t="inlineStr">
        <is>
          <t>CUST-0076</t>
        </is>
      </c>
      <c r="D1980" s="70" t="inlineStr">
        <is>
          <t>PROD-019</t>
        </is>
      </c>
      <c r="E1980" s="70" t="inlineStr">
        <is>
          <t>R018</t>
        </is>
      </c>
      <c r="F1980" s="72" t="n">
        <v>2</v>
      </c>
      <c r="G1980" s="72" t="n">
        <v>2480</v>
      </c>
      <c r="H1980" s="72" t="n">
        <v>11.5</v>
      </c>
      <c r="I1980" s="72" t="n">
        <v>4389.6</v>
      </c>
      <c r="J1980" s="70" t="inlineStr">
        <is>
          <t>Cancelled</t>
        </is>
      </c>
      <c r="K1980" s="70" t="inlineStr">
        <is>
          <t>Mumbai</t>
        </is>
      </c>
    </row>
    <row r="1981" ht="14.25" customHeight="1" s="56">
      <c r="A1981" s="70" t="inlineStr">
        <is>
          <t>ORD-01980</t>
        </is>
      </c>
      <c r="B1981" s="71" t="n">
        <v>45635</v>
      </c>
      <c r="C1981" s="70" t="inlineStr">
        <is>
          <t>CUST-0227</t>
        </is>
      </c>
      <c r="D1981" s="70" t="inlineStr">
        <is>
          <t>PROD-033</t>
        </is>
      </c>
      <c r="E1981" s="70" t="inlineStr">
        <is>
          <t>R006</t>
        </is>
      </c>
      <c r="F1981" s="72" t="n">
        <v>10</v>
      </c>
      <c r="G1981" s="72" t="n">
        <v>2030</v>
      </c>
      <c r="H1981" s="72" t="n">
        <v>29.2</v>
      </c>
      <c r="I1981" s="72" t="n">
        <v>14372.4</v>
      </c>
      <c r="J1981" s="70" t="inlineStr">
        <is>
          <t>Completed</t>
        </is>
      </c>
      <c r="K1981" s="70" t="inlineStr">
        <is>
          <t>Bengaluru</t>
        </is>
      </c>
    </row>
    <row r="1982" ht="14.25" customHeight="1" s="56">
      <c r="A1982" s="70" t="inlineStr">
        <is>
          <t>ORD-01981</t>
        </is>
      </c>
      <c r="B1982" s="71" t="n">
        <v>45489</v>
      </c>
      <c r="C1982" s="70" t="inlineStr">
        <is>
          <t>CUST-0006</t>
        </is>
      </c>
      <c r="D1982" s="70" t="inlineStr">
        <is>
          <t>PROD-047</t>
        </is>
      </c>
      <c r="E1982" s="70" t="inlineStr">
        <is>
          <t>R012</t>
        </is>
      </c>
      <c r="F1982" s="72" t="n">
        <v>6</v>
      </c>
      <c r="G1982" s="72" t="n">
        <v>3450</v>
      </c>
      <c r="H1982" s="72" t="n">
        <v>3.5</v>
      </c>
      <c r="I1982" s="72" t="n">
        <v>19975.5</v>
      </c>
      <c r="J1982" s="70" t="inlineStr">
        <is>
          <t>Refunded</t>
        </is>
      </c>
      <c r="K1982" s="70" t="inlineStr">
        <is>
          <t>Pune</t>
        </is>
      </c>
    </row>
    <row r="1983" ht="14.25" customHeight="1" s="56">
      <c r="A1983" s="70" t="inlineStr">
        <is>
          <t>ORD-01982</t>
        </is>
      </c>
      <c r="B1983" s="71" t="n">
        <v>45356</v>
      </c>
      <c r="C1983" s="70" t="inlineStr">
        <is>
          <t>CUST-0231</t>
        </is>
      </c>
      <c r="D1983" s="70" t="inlineStr">
        <is>
          <t>PROD-007</t>
        </is>
      </c>
      <c r="E1983" s="70" t="inlineStr">
        <is>
          <t>R011</t>
        </is>
      </c>
      <c r="F1983" s="72" t="n">
        <v>10</v>
      </c>
      <c r="G1983" s="72" t="n">
        <v>1430</v>
      </c>
      <c r="H1983" s="72" t="n">
        <v>3.5</v>
      </c>
      <c r="I1983" s="72" t="n">
        <v>13799.5</v>
      </c>
      <c r="J1983" s="70" t="inlineStr">
        <is>
          <t>Completed</t>
        </is>
      </c>
      <c r="K1983" s="70" t="inlineStr">
        <is>
          <t>Chennai</t>
        </is>
      </c>
    </row>
    <row r="1984" ht="14.25" customHeight="1" s="56">
      <c r="A1984" s="70" t="inlineStr">
        <is>
          <t>ORD-01983</t>
        </is>
      </c>
      <c r="B1984" s="71" t="n">
        <v>45422</v>
      </c>
      <c r="C1984" s="70" t="inlineStr">
        <is>
          <t>CUST-0085</t>
        </is>
      </c>
      <c r="D1984" s="70" t="inlineStr">
        <is>
          <t>PROD-020</t>
        </is>
      </c>
      <c r="E1984" s="70" t="inlineStr">
        <is>
          <t>R017</t>
        </is>
      </c>
      <c r="F1984" s="72" t="n">
        <v>1</v>
      </c>
      <c r="G1984" s="72" t="n">
        <v>820</v>
      </c>
      <c r="H1984" s="72" t="n">
        <v>14.5</v>
      </c>
      <c r="I1984" s="72" t="n">
        <v>701.1</v>
      </c>
      <c r="J1984" s="70" t="inlineStr">
        <is>
          <t>Cancelled</t>
        </is>
      </c>
      <c r="K1984" s="70" t="inlineStr">
        <is>
          <t>Chennai</t>
        </is>
      </c>
    </row>
    <row r="1985" ht="14.25" customHeight="1" s="56">
      <c r="A1985" s="70" t="inlineStr">
        <is>
          <t>ORD-01984</t>
        </is>
      </c>
      <c r="B1985" s="71" t="n">
        <v>45333</v>
      </c>
      <c r="C1985" s="70" t="inlineStr">
        <is>
          <t>CUST-0022</t>
        </is>
      </c>
      <c r="D1985" s="70" t="inlineStr">
        <is>
          <t>PROD-046</t>
        </is>
      </c>
      <c r="E1985" s="70" t="inlineStr">
        <is>
          <t>R023</t>
        </is>
      </c>
      <c r="F1985" s="72" t="n">
        <v>5</v>
      </c>
      <c r="G1985" s="72" t="n">
        <v>4880</v>
      </c>
      <c r="H1985" s="72" t="n">
        <v>1.8</v>
      </c>
      <c r="I1985" s="72" t="n">
        <v>23960.8</v>
      </c>
      <c r="J1985" s="70" t="inlineStr">
        <is>
          <t>Completed</t>
        </is>
      </c>
      <c r="K1985" s="70" t="inlineStr">
        <is>
          <t>Bengaluru</t>
        </is>
      </c>
    </row>
    <row r="1986" ht="14.25" customHeight="1" s="56">
      <c r="A1986" s="70" t="inlineStr">
        <is>
          <t>ORD-01985</t>
        </is>
      </c>
      <c r="B1986" s="71" t="n">
        <v>45385</v>
      </c>
      <c r="C1986" s="70" t="inlineStr">
        <is>
          <t>CUST-0275</t>
        </is>
      </c>
      <c r="D1986" s="70" t="inlineStr">
        <is>
          <t>PROD-043</t>
        </is>
      </c>
      <c r="E1986" s="70" t="inlineStr">
        <is>
          <t>R016</t>
        </is>
      </c>
      <c r="F1986" s="72" t="n">
        <v>8</v>
      </c>
      <c r="G1986" s="72" t="n">
        <v>3350</v>
      </c>
      <c r="H1986" s="72" t="n">
        <v>26.3</v>
      </c>
      <c r="I1986" s="72" t="n">
        <v>19751.6</v>
      </c>
      <c r="J1986" s="70" t="inlineStr">
        <is>
          <t>Cancelled</t>
        </is>
      </c>
      <c r="K1986" s="70" t="inlineStr">
        <is>
          <t>Mumbai</t>
        </is>
      </c>
    </row>
    <row r="1987" ht="14.25" customHeight="1" s="56">
      <c r="A1987" s="70" t="inlineStr">
        <is>
          <t>ORD-01986</t>
        </is>
      </c>
      <c r="B1987" s="71" t="n">
        <v>45298</v>
      </c>
      <c r="C1987" s="70" t="inlineStr">
        <is>
          <t>CUST-0159</t>
        </is>
      </c>
      <c r="D1987" s="70" t="inlineStr">
        <is>
          <t>PROD-019</t>
        </is>
      </c>
      <c r="E1987" s="70" t="inlineStr">
        <is>
          <t>R022</t>
        </is>
      </c>
      <c r="F1987" s="72" t="n">
        <v>9</v>
      </c>
      <c r="G1987" s="72" t="n">
        <v>2480</v>
      </c>
      <c r="H1987" s="72" t="n">
        <v>24.3</v>
      </c>
      <c r="I1987" s="72" t="n">
        <v>16896.24</v>
      </c>
      <c r="J1987" s="70" t="inlineStr">
        <is>
          <t>Completed</t>
        </is>
      </c>
      <c r="K1987" s="70" t="inlineStr">
        <is>
          <t>Hyderabad</t>
        </is>
      </c>
    </row>
    <row r="1988" ht="14.25" customHeight="1" s="56">
      <c r="A1988" s="70" t="inlineStr">
        <is>
          <t>ORD-01987</t>
        </is>
      </c>
      <c r="B1988" s="71" t="n">
        <v>45500</v>
      </c>
      <c r="C1988" s="70" t="inlineStr">
        <is>
          <t>CUST-0152</t>
        </is>
      </c>
      <c r="D1988" s="70" t="inlineStr">
        <is>
          <t>PROD-039</t>
        </is>
      </c>
      <c r="E1988" s="70" t="inlineStr">
        <is>
          <t>R024</t>
        </is>
      </c>
      <c r="F1988" s="72" t="n">
        <v>9</v>
      </c>
      <c r="G1988" s="72" t="n">
        <v>4610</v>
      </c>
      <c r="H1988" s="72" t="n">
        <v>10</v>
      </c>
      <c r="I1988" s="72" t="n">
        <v>37341</v>
      </c>
      <c r="J1988" s="70" t="inlineStr">
        <is>
          <t>Completed</t>
        </is>
      </c>
      <c r="K1988" s="70" t="inlineStr">
        <is>
          <t>Bengaluru</t>
        </is>
      </c>
    </row>
    <row r="1989" ht="14.25" customHeight="1" s="56">
      <c r="A1989" s="70" t="inlineStr">
        <is>
          <t>ORD-01988</t>
        </is>
      </c>
      <c r="B1989" s="71" t="n">
        <v>45409</v>
      </c>
      <c r="C1989" s="70" t="inlineStr">
        <is>
          <t>CUST-0289</t>
        </is>
      </c>
      <c r="D1989" s="70" t="inlineStr">
        <is>
          <t>PROD-027</t>
        </is>
      </c>
      <c r="E1989" s="70" t="inlineStr">
        <is>
          <t>R004</t>
        </is>
      </c>
      <c r="F1989" s="72" t="n">
        <v>1</v>
      </c>
      <c r="G1989" s="72" t="n">
        <v>3780</v>
      </c>
      <c r="H1989" s="72" t="n">
        <v>2.2</v>
      </c>
      <c r="I1989" s="72" t="n">
        <v>3696.84</v>
      </c>
      <c r="J1989" s="70" t="inlineStr">
        <is>
          <t>Completed</t>
        </is>
      </c>
      <c r="K1989" s="70" t="inlineStr">
        <is>
          <t>Mumbai</t>
        </is>
      </c>
    </row>
    <row r="1990" ht="14.25" customHeight="1" s="56">
      <c r="A1990" s="70" t="inlineStr">
        <is>
          <t>ORD-01989</t>
        </is>
      </c>
      <c r="B1990" s="71" t="n">
        <v>45401</v>
      </c>
      <c r="C1990" s="70" t="inlineStr">
        <is>
          <t>CUST-0004</t>
        </is>
      </c>
      <c r="D1990" s="70" t="inlineStr">
        <is>
          <t>PROD-045</t>
        </is>
      </c>
      <c r="E1990" s="70" t="inlineStr">
        <is>
          <t>R026</t>
        </is>
      </c>
      <c r="F1990" s="72" t="n">
        <v>3</v>
      </c>
      <c r="G1990" s="72" t="n">
        <v>3020</v>
      </c>
      <c r="H1990" s="72" t="n">
        <v>21.4</v>
      </c>
      <c r="I1990" s="72" t="n">
        <v>7121.16</v>
      </c>
      <c r="J1990" s="70" t="inlineStr">
        <is>
          <t>Cancelled</t>
        </is>
      </c>
      <c r="K1990" s="70" t="inlineStr">
        <is>
          <t>Delhi</t>
        </is>
      </c>
    </row>
    <row r="1991" ht="14.25" customHeight="1" s="56">
      <c r="A1991" s="70" t="inlineStr">
        <is>
          <t>ORD-01990</t>
        </is>
      </c>
      <c r="B1991" s="71" t="n">
        <v>45645</v>
      </c>
      <c r="C1991" s="70" t="inlineStr">
        <is>
          <t>CUST-0159</t>
        </is>
      </c>
      <c r="D1991" s="70" t="inlineStr">
        <is>
          <t>PROD-035</t>
        </is>
      </c>
      <c r="E1991" s="70" t="inlineStr">
        <is>
          <t>R006</t>
        </is>
      </c>
      <c r="F1991" s="72" t="n">
        <v>10</v>
      </c>
      <c r="G1991" s="72" t="n">
        <v>1090</v>
      </c>
      <c r="H1991" s="72" t="n">
        <v>29.2</v>
      </c>
      <c r="I1991" s="72" t="n">
        <v>7717.2</v>
      </c>
      <c r="J1991" s="70" t="inlineStr">
        <is>
          <t>Cancelled</t>
        </is>
      </c>
      <c r="K1991" s="70" t="inlineStr">
        <is>
          <t>Hyderabad</t>
        </is>
      </c>
    </row>
    <row r="1992" ht="14.25" customHeight="1" s="56">
      <c r="A1992" s="70" t="inlineStr">
        <is>
          <t>ORD-01991</t>
        </is>
      </c>
      <c r="B1992" s="71" t="n">
        <v>45616</v>
      </c>
      <c r="C1992" s="70" t="inlineStr">
        <is>
          <t>CUST-0083</t>
        </is>
      </c>
      <c r="D1992" s="70" t="inlineStr">
        <is>
          <t>PROD-048</t>
        </is>
      </c>
      <c r="E1992" s="70" t="inlineStr">
        <is>
          <t>R013</t>
        </is>
      </c>
      <c r="F1992" s="72" t="n">
        <v>5</v>
      </c>
      <c r="G1992" s="72" t="n">
        <v>5100</v>
      </c>
      <c r="H1992" s="72" t="n">
        <v>28.4</v>
      </c>
      <c r="I1992" s="72" t="n">
        <v>18258</v>
      </c>
      <c r="J1992" s="70" t="inlineStr">
        <is>
          <t>Completed</t>
        </is>
      </c>
      <c r="K1992" s="70" t="inlineStr">
        <is>
          <t>Bengaluru</t>
        </is>
      </c>
    </row>
    <row r="1993" ht="14.25" customHeight="1" s="56">
      <c r="A1993" s="70" t="inlineStr">
        <is>
          <t>ORD-01992</t>
        </is>
      </c>
      <c r="B1993" s="71" t="n">
        <v>45352</v>
      </c>
      <c r="C1993" s="70" t="inlineStr">
        <is>
          <t>CUST-0242</t>
        </is>
      </c>
      <c r="D1993" s="70" t="inlineStr">
        <is>
          <t>PROD-046</t>
        </is>
      </c>
      <c r="E1993" s="70" t="inlineStr">
        <is>
          <t>R008</t>
        </is>
      </c>
      <c r="F1993" s="72" t="n">
        <v>6</v>
      </c>
      <c r="G1993" s="72" t="n">
        <v>4880</v>
      </c>
      <c r="H1993" s="72" t="n">
        <v>16.8</v>
      </c>
      <c r="I1993" s="72" t="n">
        <v>24360.96</v>
      </c>
      <c r="J1993" s="70" t="inlineStr">
        <is>
          <t>Completed</t>
        </is>
      </c>
      <c r="K1993" s="70" t="inlineStr">
        <is>
          <t>Chennai</t>
        </is>
      </c>
    </row>
    <row r="1994" ht="14.25" customHeight="1" s="56">
      <c r="A1994" s="70" t="inlineStr">
        <is>
          <t>ORD-01993</t>
        </is>
      </c>
      <c r="B1994" s="71" t="n">
        <v>45451</v>
      </c>
      <c r="C1994" s="70" t="inlineStr">
        <is>
          <t>CUST-0245</t>
        </is>
      </c>
      <c r="D1994" s="70" t="inlineStr">
        <is>
          <t>PROD-001</t>
        </is>
      </c>
      <c r="E1994" s="70" t="inlineStr">
        <is>
          <t>R027</t>
        </is>
      </c>
      <c r="F1994" s="72" t="n">
        <v>1</v>
      </c>
      <c r="G1994" s="72" t="n">
        <v>5330</v>
      </c>
      <c r="H1994" s="72" t="n">
        <v>27.5</v>
      </c>
      <c r="I1994" s="72" t="n">
        <v>3864.25</v>
      </c>
      <c r="J1994" s="70" t="inlineStr">
        <is>
          <t>Completed</t>
        </is>
      </c>
      <c r="K1994" s="70" t="inlineStr">
        <is>
          <t>Hyderabad</t>
        </is>
      </c>
    </row>
    <row r="1995" ht="14.25" customHeight="1" s="56">
      <c r="A1995" s="70" t="inlineStr">
        <is>
          <t>ORD-01994</t>
        </is>
      </c>
      <c r="B1995" s="71" t="n">
        <v>45477</v>
      </c>
      <c r="C1995" s="70" t="inlineStr">
        <is>
          <t>CUST-0008</t>
        </is>
      </c>
      <c r="D1995" s="70" t="inlineStr">
        <is>
          <t>PROD-033</t>
        </is>
      </c>
      <c r="E1995" s="70" t="inlineStr">
        <is>
          <t>R029</t>
        </is>
      </c>
      <c r="F1995" s="72" t="n">
        <v>7</v>
      </c>
      <c r="G1995" s="72" t="n">
        <v>2030</v>
      </c>
      <c r="H1995" s="72" t="n">
        <v>5.3</v>
      </c>
      <c r="I1995" s="72" t="n">
        <v>13456.87</v>
      </c>
      <c r="J1995" s="70" t="inlineStr">
        <is>
          <t>Cancelled</t>
        </is>
      </c>
      <c r="K1995" s="70" t="inlineStr">
        <is>
          <t>Pune</t>
        </is>
      </c>
    </row>
    <row r="1996" ht="14.25" customHeight="1" s="56">
      <c r="A1996" s="70" t="inlineStr">
        <is>
          <t>ORD-01995</t>
        </is>
      </c>
      <c r="B1996" s="71" t="n">
        <v>45360</v>
      </c>
      <c r="C1996" s="70" t="inlineStr">
        <is>
          <t>CUST-0260</t>
        </is>
      </c>
      <c r="D1996" s="70" t="inlineStr">
        <is>
          <t>PROD-043</t>
        </is>
      </c>
      <c r="E1996" s="70" t="inlineStr">
        <is>
          <t>R024</t>
        </is>
      </c>
      <c r="F1996" s="72" t="n">
        <v>7</v>
      </c>
      <c r="G1996" s="72" t="n">
        <v>3350</v>
      </c>
      <c r="H1996" s="72" t="n">
        <v>0.4</v>
      </c>
      <c r="I1996" s="72" t="n">
        <v>23356.2</v>
      </c>
      <c r="J1996" s="70" t="inlineStr">
        <is>
          <t>Completed</t>
        </is>
      </c>
      <c r="K1996" s="70" t="inlineStr">
        <is>
          <t>Bengaluru</t>
        </is>
      </c>
    </row>
    <row r="1997" ht="14.25" customHeight="1" s="56">
      <c r="A1997" s="70" t="inlineStr">
        <is>
          <t>ORD-01996</t>
        </is>
      </c>
      <c r="B1997" s="71" t="n">
        <v>45292</v>
      </c>
      <c r="C1997" s="70" t="inlineStr">
        <is>
          <t>CUST-0265</t>
        </is>
      </c>
      <c r="D1997" s="70" t="inlineStr">
        <is>
          <t>PROD-031</t>
        </is>
      </c>
      <c r="E1997" s="70" t="inlineStr">
        <is>
          <t>R015</t>
        </is>
      </c>
      <c r="F1997" s="72" t="n">
        <v>6</v>
      </c>
      <c r="G1997" s="72" t="n">
        <v>3730</v>
      </c>
      <c r="H1997" s="72" t="n">
        <v>13.8</v>
      </c>
      <c r="I1997" s="72" t="n">
        <v>19291.56</v>
      </c>
      <c r="J1997" s="70" t="inlineStr">
        <is>
          <t>Completed</t>
        </is>
      </c>
      <c r="K1997" s="70" t="inlineStr">
        <is>
          <t>Chennai</t>
        </is>
      </c>
    </row>
    <row r="1998" ht="14.25" customHeight="1" s="56">
      <c r="A1998" s="70" t="inlineStr">
        <is>
          <t>ORD-01997</t>
        </is>
      </c>
      <c r="B1998" s="71" t="n">
        <v>45585</v>
      </c>
      <c r="C1998" s="70" t="inlineStr">
        <is>
          <t>CUST-0135</t>
        </is>
      </c>
      <c r="D1998" s="70" t="inlineStr">
        <is>
          <t>PROD-006</t>
        </is>
      </c>
      <c r="E1998" s="70" t="inlineStr">
        <is>
          <t>R017</t>
        </is>
      </c>
      <c r="F1998" s="72" t="n">
        <v>6</v>
      </c>
      <c r="G1998" s="72" t="n">
        <v>3970</v>
      </c>
      <c r="H1998" s="72" t="n">
        <v>5.8</v>
      </c>
      <c r="I1998" s="72" t="n">
        <v>22438.44</v>
      </c>
      <c r="J1998" s="70" t="inlineStr">
        <is>
          <t>Pending</t>
        </is>
      </c>
      <c r="K1998" s="70" t="inlineStr">
        <is>
          <t>Pune</t>
        </is>
      </c>
    </row>
    <row r="1999" ht="14.25" customHeight="1" s="56">
      <c r="A1999" s="70" t="inlineStr">
        <is>
          <t>ORD-01998</t>
        </is>
      </c>
      <c r="B1999" s="71" t="n">
        <v>45592</v>
      </c>
      <c r="C1999" s="70" t="inlineStr">
        <is>
          <t>CUST-0030</t>
        </is>
      </c>
      <c r="D1999" s="70" t="inlineStr">
        <is>
          <t>PROD-029</t>
        </is>
      </c>
      <c r="E1999" s="70" t="inlineStr">
        <is>
          <t>R011</t>
        </is>
      </c>
      <c r="F1999" s="72" t="n">
        <v>4</v>
      </c>
      <c r="G1999" s="72" t="n">
        <v>2210</v>
      </c>
      <c r="H1999" s="72" t="n">
        <v>18.2</v>
      </c>
      <c r="I1999" s="72" t="n">
        <v>7231.12</v>
      </c>
      <c r="J1999" s="70" t="inlineStr">
        <is>
          <t>Pending</t>
        </is>
      </c>
      <c r="K1999" s="70" t="inlineStr">
        <is>
          <t>Bengaluru</t>
        </is>
      </c>
    </row>
    <row r="2000" ht="14.25" customHeight="1" s="56">
      <c r="A2000" s="70" t="inlineStr">
        <is>
          <t>ORD-01999</t>
        </is>
      </c>
      <c r="B2000" s="71" t="n">
        <v>45370</v>
      </c>
      <c r="C2000" s="70" t="inlineStr">
        <is>
          <t>CUST-0167</t>
        </is>
      </c>
      <c r="D2000" s="70" t="inlineStr">
        <is>
          <t>PROD-052</t>
        </is>
      </c>
      <c r="E2000" s="70" t="inlineStr">
        <is>
          <t>R008</t>
        </is>
      </c>
      <c r="F2000" s="72" t="n">
        <v>6</v>
      </c>
      <c r="G2000" s="72" t="n">
        <v>5410</v>
      </c>
      <c r="H2000" s="72" t="n">
        <v>15.5</v>
      </c>
      <c r="I2000" s="72" t="n">
        <v>27428.7</v>
      </c>
      <c r="J2000" s="70" t="inlineStr">
        <is>
          <t>Completed</t>
        </is>
      </c>
      <c r="K2000" s="70" t="inlineStr">
        <is>
          <t>Delhi</t>
        </is>
      </c>
    </row>
    <row r="2001" ht="14.25" customHeight="1" s="56">
      <c r="A2001" s="70" t="inlineStr">
        <is>
          <t>ORD-02000</t>
        </is>
      </c>
      <c r="B2001" s="71" t="n">
        <v>45325</v>
      </c>
      <c r="C2001" s="70" t="inlineStr">
        <is>
          <t>CUST-0238</t>
        </is>
      </c>
      <c r="D2001" s="70" t="inlineStr">
        <is>
          <t>PROD-034</t>
        </is>
      </c>
      <c r="E2001" s="70" t="inlineStr">
        <is>
          <t>R023</t>
        </is>
      </c>
      <c r="F2001" s="72" t="n">
        <v>6</v>
      </c>
      <c r="G2001" s="72" t="n">
        <v>5080</v>
      </c>
      <c r="H2001" s="72" t="n">
        <v>28.1</v>
      </c>
      <c r="I2001" s="72" t="n">
        <v>21915.12</v>
      </c>
      <c r="J2001" s="70" t="inlineStr">
        <is>
          <t>Completed</t>
        </is>
      </c>
      <c r="K2001" s="70" t="inlineStr">
        <is>
          <t>Delhi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4472C4"/>
    <outlinePr summaryBelow="1" summaryRight="1"/>
    <pageSetUpPr fitToPage="1"/>
  </sheetPr>
  <dimension ref="A1:F30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4.25" customHeight="1" zeroHeight="0" outlineLevelRow="0"/>
  <cols>
    <col width="13" customWidth="1" style="55" min="1" max="1"/>
    <col width="19" customWidth="1" style="55" min="2" max="2"/>
    <col width="5" customWidth="1" style="55" min="3" max="3"/>
    <col width="11" customWidth="1" style="55" min="4" max="5"/>
    <col width="13" customWidth="1" style="55" min="6" max="6"/>
  </cols>
  <sheetData>
    <row r="1" ht="14.25" customHeight="1" s="56">
      <c r="A1" s="62" t="inlineStr">
        <is>
          <t>customer_id</t>
        </is>
      </c>
      <c r="B1" s="62" t="inlineStr">
        <is>
          <t>customer_name</t>
        </is>
      </c>
      <c r="C1" s="62" t="inlineStr">
        <is>
          <t>age</t>
        </is>
      </c>
      <c r="D1" s="62" t="inlineStr">
        <is>
          <t>city</t>
        </is>
      </c>
      <c r="E1" s="62" t="inlineStr">
        <is>
          <t>segment</t>
        </is>
      </c>
      <c r="F1" s="62" t="inlineStr">
        <is>
          <t>signup_date</t>
        </is>
      </c>
    </row>
    <row r="2" ht="14.25" customHeight="1" s="56">
      <c r="A2" s="70" t="inlineStr">
        <is>
          <t>CUST-0001</t>
        </is>
      </c>
      <c r="B2" s="70" t="inlineStr">
        <is>
          <t>Amit Agarwal</t>
        </is>
      </c>
      <c r="C2" s="72" t="n">
        <v>36</v>
      </c>
      <c r="D2" s="70" t="inlineStr">
        <is>
          <t>Pune</t>
        </is>
      </c>
      <c r="E2" s="70" t="inlineStr">
        <is>
          <t>Retail</t>
        </is>
      </c>
      <c r="F2" s="71" t="n">
        <v>44819</v>
      </c>
    </row>
    <row r="3" ht="14.25" customHeight="1" s="56">
      <c r="A3" s="70" t="inlineStr">
        <is>
          <t>CUST-0002</t>
        </is>
      </c>
      <c r="B3" s="70" t="inlineStr">
        <is>
          <t>Vihaan Malhotra</t>
        </is>
      </c>
      <c r="C3" s="72" t="n">
        <v>42</v>
      </c>
      <c r="D3" s="70" t="inlineStr">
        <is>
          <t>Pune</t>
        </is>
      </c>
      <c r="E3" s="70" t="inlineStr">
        <is>
          <t>Corporate</t>
        </is>
      </c>
      <c r="F3" s="71" t="n">
        <v>44984</v>
      </c>
    </row>
    <row r="4" ht="14.25" customHeight="1" s="56">
      <c r="A4" s="70" t="inlineStr">
        <is>
          <t>CUST-0003</t>
        </is>
      </c>
      <c r="B4" s="70" t="inlineStr">
        <is>
          <t>Navya Malhotra</t>
        </is>
      </c>
      <c r="C4" s="72" t="n">
        <v>33</v>
      </c>
      <c r="D4" s="70" t="inlineStr">
        <is>
          <t>Mumbai</t>
        </is>
      </c>
      <c r="E4" s="70" t="inlineStr">
        <is>
          <t>Retail</t>
        </is>
      </c>
      <c r="F4" s="71" t="n">
        <v>44059</v>
      </c>
    </row>
    <row r="5" ht="14.25" customHeight="1" s="56">
      <c r="A5" s="70" t="inlineStr">
        <is>
          <t>CUST-0004</t>
        </is>
      </c>
      <c r="B5" s="70" t="inlineStr">
        <is>
          <t>Aaradhya Mehta</t>
        </is>
      </c>
      <c r="C5" s="72" t="n">
        <v>53</v>
      </c>
      <c r="D5" s="70" t="inlineStr">
        <is>
          <t>delhi</t>
        </is>
      </c>
      <c r="E5" s="70" t="inlineStr">
        <is>
          <t>Retail</t>
        </is>
      </c>
      <c r="F5" s="71" t="n">
        <v>44054</v>
      </c>
    </row>
    <row r="6" ht="14.25" customHeight="1" s="56">
      <c r="A6" s="70" t="inlineStr">
        <is>
          <t>CUST-0005</t>
        </is>
      </c>
      <c r="B6" s="70" t="inlineStr">
        <is>
          <t>Myra Malhotra</t>
        </is>
      </c>
      <c r="C6" s="72" t="n">
        <v>52</v>
      </c>
      <c r="D6" s="70" t="inlineStr">
        <is>
          <t>Chennai</t>
        </is>
      </c>
      <c r="E6" s="70" t="inlineStr">
        <is>
          <t>Corporate</t>
        </is>
      </c>
      <c r="F6" s="71" t="n">
        <v>45037</v>
      </c>
    </row>
    <row r="7" ht="14.25" customHeight="1" s="56">
      <c r="A7" s="70" t="inlineStr">
        <is>
          <t>CUST-0006</t>
        </is>
      </c>
      <c r="B7" s="70" t="inlineStr">
        <is>
          <t>Shaurya Iyer</t>
        </is>
      </c>
      <c r="C7" s="72" t="n">
        <v>44</v>
      </c>
      <c r="D7" s="70" t="inlineStr">
        <is>
          <t>Pune</t>
        </is>
      </c>
      <c r="E7" s="70" t="inlineStr">
        <is>
          <t>SMB</t>
        </is>
      </c>
      <c r="F7" s="71" t="n">
        <v>44302</v>
      </c>
    </row>
    <row r="8" ht="14.25" customHeight="1" s="56">
      <c r="A8" s="70" t="inlineStr">
        <is>
          <t>CUST-0007</t>
        </is>
      </c>
      <c r="B8" s="70" t="inlineStr">
        <is>
          <t>Dhruv Joshi</t>
        </is>
      </c>
      <c r="C8" s="72" t="n">
        <v>47</v>
      </c>
      <c r="D8" s="70" t="inlineStr">
        <is>
          <t>Bengaluru</t>
        </is>
      </c>
      <c r="E8" s="70" t="inlineStr">
        <is>
          <t>Retail</t>
        </is>
      </c>
      <c r="F8" s="71" t="n">
        <v>44498</v>
      </c>
    </row>
    <row r="9" ht="14.25" customHeight="1" s="56">
      <c r="A9" s="70" t="inlineStr">
        <is>
          <t>CUST-0008</t>
        </is>
      </c>
      <c r="B9" s="70" t="inlineStr">
        <is>
          <t>Kavita Malhotra</t>
        </is>
      </c>
      <c r="C9" s="72" t="n">
        <v>39</v>
      </c>
      <c r="D9" s="70" t="inlineStr">
        <is>
          <t>Pune</t>
        </is>
      </c>
      <c r="E9" s="70" t="inlineStr">
        <is>
          <t>SMB</t>
        </is>
      </c>
      <c r="F9" s="71" t="n">
        <v>45162</v>
      </c>
    </row>
    <row r="10" ht="14.25" customHeight="1" s="56">
      <c r="A10" s="70" t="inlineStr">
        <is>
          <t>CUST-0009</t>
        </is>
      </c>
      <c r="B10" s="70" t="inlineStr">
        <is>
          <t>Neha Malhotra</t>
        </is>
      </c>
      <c r="C10" s="72" t="n">
        <v>61</v>
      </c>
      <c r="D10" s="70" t="inlineStr">
        <is>
          <t>Mumbai</t>
        </is>
      </c>
      <c r="E10" s="70" t="inlineStr">
        <is>
          <t>Retail</t>
        </is>
      </c>
      <c r="F10" s="71" t="n">
        <v>44343</v>
      </c>
    </row>
    <row r="11" ht="14.25" customHeight="1" s="56">
      <c r="A11" s="70" t="inlineStr">
        <is>
          <t>CUST-0010</t>
        </is>
      </c>
      <c r="B11" s="70" t="inlineStr">
        <is>
          <t>Aaradhya Gupta</t>
        </is>
      </c>
      <c r="C11" s="72" t="n">
        <v>61</v>
      </c>
      <c r="D11" s="70" t="inlineStr">
        <is>
          <t>Mumbai</t>
        </is>
      </c>
      <c r="E11" s="70" t="inlineStr">
        <is>
          <t>SMB</t>
        </is>
      </c>
      <c r="F11" s="71" t="n">
        <v>44975</v>
      </c>
    </row>
    <row r="12" ht="14.25" customHeight="1" s="56">
      <c r="A12" s="70" t="inlineStr">
        <is>
          <t>CUST-0011</t>
        </is>
      </c>
      <c r="B12" s="70" t="inlineStr">
        <is>
          <t>Diya Menon</t>
        </is>
      </c>
      <c r="C12" s="72" t="n">
        <v>41</v>
      </c>
      <c r="D12" s="70" t="inlineStr">
        <is>
          <t>Chennai</t>
        </is>
      </c>
      <c r="E12" s="70" t="inlineStr">
        <is>
          <t>Corporate</t>
        </is>
      </c>
      <c r="F12" s="71" t="n">
        <v>44821</v>
      </c>
    </row>
    <row r="13" ht="14.25" customHeight="1" s="56">
      <c r="A13" s="70" t="inlineStr">
        <is>
          <t>CUST-0012</t>
        </is>
      </c>
      <c r="B13" s="70" t="inlineStr">
        <is>
          <t>Prisha Desai</t>
        </is>
      </c>
      <c r="C13" s="72" t="n">
        <v>43</v>
      </c>
      <c r="D13" s="70" t="inlineStr">
        <is>
          <t>Pune</t>
        </is>
      </c>
      <c r="E13" s="70" t="inlineStr">
        <is>
          <t>Retail</t>
        </is>
      </c>
      <c r="F13" s="71" t="n">
        <v>44718</v>
      </c>
    </row>
    <row r="14" ht="14.25" customHeight="1" s="56">
      <c r="A14" s="70" t="inlineStr">
        <is>
          <t>CUST-0013</t>
        </is>
      </c>
      <c r="B14" s="70" t="inlineStr">
        <is>
          <t>Aryan Chopra</t>
        </is>
      </c>
      <c r="C14" s="72" t="n">
        <v>41</v>
      </c>
      <c r="D14" s="70" t="inlineStr">
        <is>
          <t>Delhi</t>
        </is>
      </c>
      <c r="E14" s="70" t="inlineStr">
        <is>
          <t>Retail</t>
        </is>
      </c>
      <c r="F14" s="71" t="n">
        <v>45018</v>
      </c>
    </row>
    <row r="15" ht="14.25" customHeight="1" s="56">
      <c r="A15" s="70" t="inlineStr">
        <is>
          <t>CUST-0014</t>
        </is>
      </c>
      <c r="B15" s="70" t="inlineStr">
        <is>
          <t>Priya Malhotra</t>
        </is>
      </c>
      <c r="C15" s="72" t="n">
        <v>48</v>
      </c>
      <c r="D15" s="70" t="inlineStr">
        <is>
          <t>Bengaluru</t>
        </is>
      </c>
      <c r="E15" s="70" t="inlineStr">
        <is>
          <t>Retail</t>
        </is>
      </c>
      <c r="F15" s="71" t="n">
        <v>45225</v>
      </c>
    </row>
    <row r="16" ht="14.25" customHeight="1" s="56">
      <c r="A16" s="70" t="inlineStr">
        <is>
          <t>CUST-0015</t>
        </is>
      </c>
      <c r="B16" s="70" t="inlineStr">
        <is>
          <t>Aadhya Bhatt</t>
        </is>
      </c>
      <c r="C16" s="72" t="n">
        <v>31</v>
      </c>
      <c r="D16" s="70" t="inlineStr">
        <is>
          <t>Chennai</t>
        </is>
      </c>
      <c r="E16" s="70" t="inlineStr">
        <is>
          <t>Retail</t>
        </is>
      </c>
      <c r="F16" s="71" t="n">
        <v>44654</v>
      </c>
    </row>
    <row r="17" ht="14.25" customHeight="1" s="56">
      <c r="A17" s="70" t="inlineStr">
        <is>
          <t>CUST-0016</t>
        </is>
      </c>
      <c r="B17" s="70" t="inlineStr">
        <is>
          <t>Vivaan Nair</t>
        </is>
      </c>
      <c r="C17" s="72" t="n">
        <v>26</v>
      </c>
      <c r="D17" s="70" t="inlineStr">
        <is>
          <t>Delhi</t>
        </is>
      </c>
      <c r="E17" s="70" t="inlineStr">
        <is>
          <t>SMB</t>
        </is>
      </c>
      <c r="F17" s="71" t="n">
        <v>45196</v>
      </c>
    </row>
    <row r="18" ht="14.25" customHeight="1" s="56">
      <c r="A18" s="70" t="inlineStr">
        <is>
          <t>CUST-0017</t>
        </is>
      </c>
      <c r="B18" s="70" t="inlineStr">
        <is>
          <t>Pranav Reddy</t>
        </is>
      </c>
      <c r="C18" s="72" t="n">
        <v>38</v>
      </c>
      <c r="D18" s="70" t="inlineStr">
        <is>
          <t>Delhi</t>
        </is>
      </c>
      <c r="E18" s="70" t="inlineStr">
        <is>
          <t>SMB</t>
        </is>
      </c>
      <c r="F18" s="71" t="n">
        <v>44752</v>
      </c>
    </row>
    <row r="19" ht="14.25" customHeight="1" s="56">
      <c r="A19" s="70" t="inlineStr">
        <is>
          <t>CUST-0018</t>
        </is>
      </c>
      <c r="B19" s="70" t="inlineStr">
        <is>
          <t>Ahana Agarwal</t>
        </is>
      </c>
      <c r="C19" s="72" t="n">
        <v>54</v>
      </c>
      <c r="D19" s="70" t="inlineStr">
        <is>
          <t>Pune</t>
        </is>
      </c>
      <c r="E19" s="70" t="inlineStr">
        <is>
          <t>SMB</t>
        </is>
      </c>
      <c r="F19" s="71" t="n">
        <v>43968</v>
      </c>
    </row>
    <row r="20" ht="14.25" customHeight="1" s="56">
      <c r="A20" s="70" t="inlineStr">
        <is>
          <t>CUST-0019</t>
        </is>
      </c>
      <c r="B20" s="70" t="inlineStr">
        <is>
          <t>Myra Shah</t>
        </is>
      </c>
      <c r="C20" s="72" t="n">
        <v>22</v>
      </c>
      <c r="D20" s="70" t="inlineStr">
        <is>
          <t>Chennai</t>
        </is>
      </c>
      <c r="E20" s="70" t="inlineStr">
        <is>
          <t>Retail</t>
        </is>
      </c>
      <c r="F20" s="71" t="n">
        <v>44375</v>
      </c>
    </row>
    <row r="21" ht="14.25" customHeight="1" s="56">
      <c r="A21" s="70" t="inlineStr">
        <is>
          <t>CUST-0020</t>
        </is>
      </c>
      <c r="B21" s="70" t="inlineStr">
        <is>
          <t>Dhruv Iyer</t>
        </is>
      </c>
      <c r="C21" s="72" t="n">
        <v>46</v>
      </c>
      <c r="D21" s="70" t="inlineStr">
        <is>
          <t>Hyderabad</t>
        </is>
      </c>
      <c r="E21" s="70" t="inlineStr">
        <is>
          <t>Retail</t>
        </is>
      </c>
      <c r="F21" s="71" t="n">
        <v>43835</v>
      </c>
    </row>
    <row r="22" ht="14.25" customHeight="1" s="56">
      <c r="A22" s="70" t="inlineStr">
        <is>
          <t>CUST-0021</t>
        </is>
      </c>
      <c r="B22" s="70" t="inlineStr">
        <is>
          <t>Myra Malhotra</t>
        </is>
      </c>
      <c r="C22" s="72" t="n">
        <v>44</v>
      </c>
      <c r="D22" s="70" t="inlineStr">
        <is>
          <t>Pune</t>
        </is>
      </c>
      <c r="E22" s="70" t="inlineStr">
        <is>
          <t>Retail</t>
        </is>
      </c>
      <c r="F22" s="71" t="n">
        <v>44130</v>
      </c>
    </row>
    <row r="23" ht="14.25" customHeight="1" s="56">
      <c r="A23" s="70" t="inlineStr">
        <is>
          <t>CUST-0022</t>
        </is>
      </c>
      <c r="B23" s="70" t="inlineStr">
        <is>
          <t>Aditya Shah</t>
        </is>
      </c>
      <c r="C23" s="72" t="n">
        <v>55</v>
      </c>
      <c r="D23" s="70" t="inlineStr">
        <is>
          <t>Bengaluru</t>
        </is>
      </c>
      <c r="E23" s="70" t="inlineStr">
        <is>
          <t>Corporate</t>
        </is>
      </c>
      <c r="F23" s="71" t="n">
        <v>44787</v>
      </c>
    </row>
    <row r="24" ht="14.25" customHeight="1" s="56">
      <c r="A24" s="70" t="inlineStr">
        <is>
          <t>CUST-0023</t>
        </is>
      </c>
      <c r="B24" s="70" t="inlineStr">
        <is>
          <t>Kavya Sharma</t>
        </is>
      </c>
      <c r="C24" s="72" t="n">
        <v>43</v>
      </c>
      <c r="D24" s="70" t="inlineStr">
        <is>
          <t>Chennai</t>
        </is>
      </c>
      <c r="E24" s="70" t="inlineStr">
        <is>
          <t>SMB</t>
        </is>
      </c>
      <c r="F24" s="71" t="n">
        <v>44403</v>
      </c>
    </row>
    <row r="25" ht="14.25" customHeight="1" s="56">
      <c r="A25" s="70" t="inlineStr">
        <is>
          <t>CUST-0024</t>
        </is>
      </c>
      <c r="B25" s="70" t="inlineStr">
        <is>
          <t>Rohan Kapoor</t>
        </is>
      </c>
      <c r="C25" s="72" t="n">
        <v>64</v>
      </c>
      <c r="D25" s="70" t="inlineStr">
        <is>
          <t>CHENNAI</t>
        </is>
      </c>
      <c r="E25" s="70" t="inlineStr">
        <is>
          <t>SMB</t>
        </is>
      </c>
      <c r="F25" s="71" t="n">
        <v>44495</v>
      </c>
    </row>
    <row r="26" ht="14.25" customHeight="1" s="56">
      <c r="A26" s="70" t="inlineStr">
        <is>
          <t>CUST-0025</t>
        </is>
      </c>
      <c r="B26" s="70" t="inlineStr">
        <is>
          <t>Angel Gupta</t>
        </is>
      </c>
      <c r="C26" s="72" t="n">
        <v>23</v>
      </c>
      <c r="D26" s="70" t="inlineStr">
        <is>
          <t>Bengaluru</t>
        </is>
      </c>
      <c r="E26" s="70" t="inlineStr">
        <is>
          <t>Retail</t>
        </is>
      </c>
      <c r="F26" s="71" t="n">
        <v>44536</v>
      </c>
    </row>
    <row r="27" ht="14.25" customHeight="1" s="56">
      <c r="A27" s="70" t="inlineStr">
        <is>
          <t>CUST-0026</t>
        </is>
      </c>
      <c r="B27" s="70" t="inlineStr">
        <is>
          <t>Anika Menon</t>
        </is>
      </c>
      <c r="C27" s="72" t="n">
        <v>62</v>
      </c>
      <c r="D27" s="70" t="inlineStr">
        <is>
          <t>Pune</t>
        </is>
      </c>
      <c r="E27" s="70" t="inlineStr">
        <is>
          <t>Retail</t>
        </is>
      </c>
      <c r="F27" s="71" t="n">
        <v>43898</v>
      </c>
    </row>
    <row r="28" ht="14.25" customHeight="1" s="56">
      <c r="A28" s="70" t="inlineStr">
        <is>
          <t>CUST-0027</t>
        </is>
      </c>
      <c r="B28" s="70" t="inlineStr">
        <is>
          <t xml:space="preserve">Diya Sharma   </t>
        </is>
      </c>
      <c r="C28" s="72" t="n">
        <v>52</v>
      </c>
      <c r="D28" s="70" t="inlineStr">
        <is>
          <t>Hyderabad</t>
        </is>
      </c>
      <c r="E28" s="70" t="inlineStr">
        <is>
          <t>Corporate</t>
        </is>
      </c>
      <c r="F28" s="71" t="n">
        <v>45201</v>
      </c>
    </row>
    <row r="29" ht="14.25" customHeight="1" s="56">
      <c r="A29" s="70" t="inlineStr">
        <is>
          <t>CUST-0028</t>
        </is>
      </c>
      <c r="B29" s="70" t="inlineStr">
        <is>
          <t>Navya Reddy</t>
        </is>
      </c>
      <c r="C29" s="72" t="n">
        <v>59</v>
      </c>
      <c r="D29" s="70" t="inlineStr">
        <is>
          <t>Bengaluru</t>
        </is>
      </c>
      <c r="E29" s="70" t="inlineStr">
        <is>
          <t>Retail</t>
        </is>
      </c>
      <c r="F29" s="71" t="n">
        <v>44686</v>
      </c>
    </row>
    <row r="30" ht="14.25" customHeight="1" s="56">
      <c r="A30" s="70" t="inlineStr">
        <is>
          <t>CUST-0029</t>
        </is>
      </c>
      <c r="B30" s="70" t="inlineStr">
        <is>
          <t>Aarav Chopra</t>
        </is>
      </c>
      <c r="C30" s="72" t="n">
        <v>54</v>
      </c>
      <c r="D30" s="70" t="inlineStr">
        <is>
          <t>Chennai</t>
        </is>
      </c>
      <c r="E30" s="70" t="inlineStr">
        <is>
          <t>Corporate</t>
        </is>
      </c>
      <c r="F30" s="71" t="n">
        <v>44930</v>
      </c>
    </row>
    <row r="31" ht="14.25" customHeight="1" s="56">
      <c r="A31" s="70" t="inlineStr">
        <is>
          <t>CUST-0030</t>
        </is>
      </c>
      <c r="B31" s="70" t="inlineStr">
        <is>
          <t>Ananya Agarwal</t>
        </is>
      </c>
      <c r="C31" s="72" t="n">
        <v>43</v>
      </c>
      <c r="D31" s="70" t="inlineStr">
        <is>
          <t>Bengaluru</t>
        </is>
      </c>
      <c r="E31" s="70" t="inlineStr">
        <is>
          <t>Corporate</t>
        </is>
      </c>
      <c r="F31" s="71" t="n">
        <v>44151</v>
      </c>
    </row>
    <row r="32" ht="14.25" customHeight="1" s="56">
      <c r="A32" s="70" t="inlineStr">
        <is>
          <t>CUST-0031</t>
        </is>
      </c>
      <c r="B32" s="70" t="inlineStr">
        <is>
          <t>Advik Joshi</t>
        </is>
      </c>
      <c r="C32" s="72" t="n">
        <v>53</v>
      </c>
      <c r="D32" s="70" t="inlineStr">
        <is>
          <t>Hyderabad</t>
        </is>
      </c>
      <c r="E32" s="70" t="inlineStr">
        <is>
          <t>Retail</t>
        </is>
      </c>
      <c r="F32" s="71" t="n">
        <v>44599</v>
      </c>
    </row>
    <row r="33" ht="14.25" customHeight="1" s="56">
      <c r="A33" s="70" t="inlineStr">
        <is>
          <t>CUST-0032</t>
        </is>
      </c>
      <c r="B33" s="70" t="inlineStr">
        <is>
          <t>Vijay Kumar</t>
        </is>
      </c>
      <c r="C33" s="72" t="n">
        <v>28</v>
      </c>
      <c r="D33" s="70" t="inlineStr">
        <is>
          <t>Hyderabad</t>
        </is>
      </c>
      <c r="E33" s="70" t="inlineStr">
        <is>
          <t>Retail</t>
        </is>
      </c>
      <c r="F33" s="71" t="n">
        <v>43908</v>
      </c>
    </row>
    <row r="34" ht="14.25" customHeight="1" s="56">
      <c r="A34" s="70" t="inlineStr">
        <is>
          <t>CUST-0033</t>
        </is>
      </c>
      <c r="B34" s="70" t="inlineStr">
        <is>
          <t>Rohit Kumar</t>
        </is>
      </c>
      <c r="C34" s="72" t="n">
        <v>35</v>
      </c>
      <c r="D34" s="70" t="inlineStr">
        <is>
          <t>Delhi</t>
        </is>
      </c>
      <c r="E34" s="70" t="inlineStr">
        <is>
          <t>Retail</t>
        </is>
      </c>
      <c r="F34" s="71" t="n">
        <v>44830</v>
      </c>
    </row>
    <row r="35" ht="14.25" customHeight="1" s="56">
      <c r="A35" s="70" t="inlineStr">
        <is>
          <t>CUST-0034</t>
        </is>
      </c>
      <c r="B35" s="70" t="inlineStr">
        <is>
          <t>Pari Shah</t>
        </is>
      </c>
      <c r="C35" s="72" t="n">
        <v>47</v>
      </c>
      <c r="D35" s="70" t="inlineStr">
        <is>
          <t>Delhi</t>
        </is>
      </c>
      <c r="E35" s="70" t="inlineStr">
        <is>
          <t>Retail</t>
        </is>
      </c>
      <c r="F35" s="71" t="n">
        <v>44182</v>
      </c>
    </row>
    <row r="36" ht="14.25" customHeight="1" s="56">
      <c r="A36" s="70" t="inlineStr">
        <is>
          <t>CUST-0035</t>
        </is>
      </c>
      <c r="B36" s="70" t="inlineStr">
        <is>
          <t>Rahul Rao</t>
        </is>
      </c>
      <c r="C36" s="72" t="n">
        <v>53</v>
      </c>
      <c r="D36" s="70" t="inlineStr">
        <is>
          <t>Hyderabad</t>
        </is>
      </c>
      <c r="E36" s="70" t="inlineStr">
        <is>
          <t>Retail</t>
        </is>
      </c>
      <c r="F36" s="71" t="n">
        <v>44532</v>
      </c>
    </row>
    <row r="37" ht="14.25" customHeight="1" s="56">
      <c r="A37" s="70" t="inlineStr">
        <is>
          <t>CUST-0036</t>
        </is>
      </c>
      <c r="B37" s="70" t="inlineStr">
        <is>
          <t>Aaradhya Desai</t>
        </is>
      </c>
      <c r="C37" s="72" t="n">
        <v>35</v>
      </c>
      <c r="D37" s="70" t="inlineStr">
        <is>
          <t>Mumbai</t>
        </is>
      </c>
      <c r="E37" s="70" t="inlineStr">
        <is>
          <t>Retail</t>
        </is>
      </c>
      <c r="F37" s="71" t="n">
        <v>44617</v>
      </c>
    </row>
    <row r="38" ht="14.25" customHeight="1" s="56">
      <c r="A38" s="70" t="inlineStr">
        <is>
          <t>CUST-0037</t>
        </is>
      </c>
      <c r="B38" s="70" t="inlineStr">
        <is>
          <t>Rohit Singh</t>
        </is>
      </c>
      <c r="C38" s="72" t="n">
        <v>52</v>
      </c>
      <c r="D38" s="70" t="inlineStr">
        <is>
          <t>Bengaluru</t>
        </is>
      </c>
      <c r="E38" s="70" t="inlineStr">
        <is>
          <t>Retail</t>
        </is>
      </c>
      <c r="F38" s="71" t="n">
        <v>44468</v>
      </c>
    </row>
    <row r="39" ht="14.25" customHeight="1" s="56">
      <c r="A39" s="70" t="inlineStr">
        <is>
          <t>CUST-0038</t>
        </is>
      </c>
      <c r="B39" s="70" t="inlineStr">
        <is>
          <t>Iraa Mehta</t>
        </is>
      </c>
      <c r="C39" s="72" t="n">
        <v>57</v>
      </c>
      <c r="D39" s="70" t="inlineStr">
        <is>
          <t>Mumbai</t>
        </is>
      </c>
      <c r="E39" s="70" t="inlineStr">
        <is>
          <t>Retail</t>
        </is>
      </c>
      <c r="F39" s="71" t="n">
        <v>43843</v>
      </c>
    </row>
    <row r="40" ht="14.25" customHeight="1" s="56">
      <c r="A40" s="70" t="inlineStr">
        <is>
          <t>CUST-0039</t>
        </is>
      </c>
      <c r="B40" s="70" t="inlineStr">
        <is>
          <t>Rudra Verma</t>
        </is>
      </c>
      <c r="C40" s="72" t="n">
        <v>37</v>
      </c>
      <c r="D40" s="70" t="inlineStr">
        <is>
          <t>Bengaluru</t>
        </is>
      </c>
      <c r="E40" s="70" t="inlineStr">
        <is>
          <t>Retail</t>
        </is>
      </c>
      <c r="F40" s="71" t="n">
        <v>43989</v>
      </c>
    </row>
    <row r="41" ht="14.25" customHeight="1" s="56">
      <c r="A41" s="70" t="inlineStr">
        <is>
          <t>CUST-0040</t>
        </is>
      </c>
      <c r="B41" s="70" t="inlineStr">
        <is>
          <t>Shaurya Menon</t>
        </is>
      </c>
      <c r="C41" s="72" t="n">
        <v>28</v>
      </c>
      <c r="D41" s="70" t="inlineStr">
        <is>
          <t>Chennai</t>
        </is>
      </c>
      <c r="E41" s="70" t="inlineStr">
        <is>
          <t>Retail</t>
        </is>
      </c>
      <c r="F41" s="71" t="n">
        <v>44625</v>
      </c>
    </row>
    <row r="42" ht="14.25" customHeight="1" s="56">
      <c r="A42" s="70" t="inlineStr">
        <is>
          <t>CUST-0041</t>
        </is>
      </c>
      <c r="B42" s="70" t="inlineStr">
        <is>
          <t>Aarav Nair</t>
        </is>
      </c>
      <c r="C42" s="72" t="n">
        <v>26</v>
      </c>
      <c r="D42" s="70" t="inlineStr">
        <is>
          <t>Bengaluru</t>
        </is>
      </c>
      <c r="E42" s="70" t="inlineStr">
        <is>
          <t>SMB</t>
        </is>
      </c>
      <c r="F42" s="71" t="n">
        <v>43895</v>
      </c>
    </row>
    <row r="43" ht="14.25" customHeight="1" s="56">
      <c r="A43" s="70" t="inlineStr">
        <is>
          <t>CUST-0042</t>
        </is>
      </c>
      <c r="B43" s="70" t="inlineStr">
        <is>
          <t>Pranav Gupta</t>
        </is>
      </c>
      <c r="C43" s="72" t="n">
        <v>25</v>
      </c>
      <c r="D43" s="70" t="inlineStr">
        <is>
          <t>Pune</t>
        </is>
      </c>
      <c r="E43" s="70" t="inlineStr">
        <is>
          <t>Retail</t>
        </is>
      </c>
      <c r="F43" s="71" t="n">
        <v>43843</v>
      </c>
    </row>
    <row r="44" ht="14.25" customHeight="1" s="56">
      <c r="A44" s="70" t="inlineStr">
        <is>
          <t>CUST-0043</t>
        </is>
      </c>
      <c r="B44" s="70" t="inlineStr">
        <is>
          <t xml:space="preserve">Rohan Reddy   </t>
        </is>
      </c>
      <c r="C44" s="72" t="n">
        <v>61</v>
      </c>
      <c r="D44" s="70" t="inlineStr">
        <is>
          <t>Hyderabad</t>
        </is>
      </c>
      <c r="E44" s="70" t="inlineStr">
        <is>
          <t>Retail</t>
        </is>
      </c>
      <c r="F44" s="71" t="n">
        <v>44553</v>
      </c>
    </row>
    <row r="45" ht="14.25" customHeight="1" s="56">
      <c r="A45" s="70" t="inlineStr">
        <is>
          <t>CUST-0044</t>
        </is>
      </c>
      <c r="B45" s="70" t="inlineStr">
        <is>
          <t>Advik Kumar</t>
        </is>
      </c>
      <c r="C45" s="72" t="n">
        <v>29</v>
      </c>
      <c r="D45" s="70" t="inlineStr">
        <is>
          <t>Hyderabad</t>
        </is>
      </c>
      <c r="E45" s="70" t="inlineStr">
        <is>
          <t>SMB</t>
        </is>
      </c>
      <c r="F45" s="71" t="n">
        <v>45084</v>
      </c>
    </row>
    <row r="46" ht="14.25" customHeight="1" s="56">
      <c r="A46" s="70" t="inlineStr">
        <is>
          <t>CUST-0045</t>
        </is>
      </c>
      <c r="B46" s="70" t="inlineStr">
        <is>
          <t>Myra Reddy</t>
        </is>
      </c>
      <c r="C46" s="72" t="n">
        <v>39</v>
      </c>
      <c r="D46" s="70" t="inlineStr">
        <is>
          <t>Chennai</t>
        </is>
      </c>
      <c r="E46" s="70" t="inlineStr">
        <is>
          <t>SMB</t>
        </is>
      </c>
      <c r="F46" s="71" t="n">
        <v>45156</v>
      </c>
    </row>
    <row r="47" ht="14.25" customHeight="1" s="56">
      <c r="A47" s="70" t="inlineStr">
        <is>
          <t>CUST-0046</t>
        </is>
      </c>
      <c r="B47" s="70" t="inlineStr">
        <is>
          <t>Rohan Bhatt</t>
        </is>
      </c>
      <c r="C47" s="72" t="n">
        <v>45</v>
      </c>
      <c r="D47" s="70" t="inlineStr">
        <is>
          <t>Delhi</t>
        </is>
      </c>
      <c r="E47" s="70" t="inlineStr">
        <is>
          <t>SMB</t>
        </is>
      </c>
      <c r="F47" s="71" t="n">
        <v>45144</v>
      </c>
    </row>
    <row r="48" ht="14.25" customHeight="1" s="56">
      <c r="A48" s="70" t="inlineStr">
        <is>
          <t>CUST-0047</t>
        </is>
      </c>
      <c r="B48" s="70" t="inlineStr">
        <is>
          <t>Rudra Agarwal</t>
        </is>
      </c>
      <c r="C48" s="72" t="n">
        <v>49</v>
      </c>
      <c r="D48" s="70" t="inlineStr">
        <is>
          <t>Pune</t>
        </is>
      </c>
      <c r="E48" s="70" t="inlineStr">
        <is>
          <t>Retail</t>
        </is>
      </c>
      <c r="F48" s="71" t="n">
        <v>44066</v>
      </c>
    </row>
    <row r="49" ht="14.25" customHeight="1" s="56">
      <c r="A49" s="70" t="inlineStr">
        <is>
          <t>CUST-0048</t>
        </is>
      </c>
      <c r="B49" s="70" t="inlineStr">
        <is>
          <t>Prisha Kumar</t>
        </is>
      </c>
      <c r="C49" s="72" t="n">
        <v>59</v>
      </c>
      <c r="D49" s="70" t="inlineStr">
        <is>
          <t>Delhi</t>
        </is>
      </c>
      <c r="E49" s="70" t="inlineStr">
        <is>
          <t>Retail</t>
        </is>
      </c>
      <c r="F49" s="71" t="n">
        <v>44479</v>
      </c>
    </row>
    <row r="50" ht="14.25" customHeight="1" s="56">
      <c r="A50" s="70" t="inlineStr">
        <is>
          <t>CUST-0049</t>
        </is>
      </c>
      <c r="B50" s="70" t="inlineStr">
        <is>
          <t>Prisha Chopra</t>
        </is>
      </c>
      <c r="C50" s="72" t="n">
        <v>42</v>
      </c>
      <c r="D50" s="70" t="inlineStr">
        <is>
          <t>Mumbai</t>
        </is>
      </c>
      <c r="E50" s="70" t="inlineStr">
        <is>
          <t>Corporate</t>
        </is>
      </c>
      <c r="F50" s="71" t="n">
        <v>45116</v>
      </c>
    </row>
    <row r="51" ht="14.25" customHeight="1" s="56">
      <c r="A51" s="70" t="inlineStr">
        <is>
          <t>CUST-0050</t>
        </is>
      </c>
      <c r="B51" s="70" t="inlineStr">
        <is>
          <t>Aadhya Reddy</t>
        </is>
      </c>
      <c r="C51" s="72" t="n">
        <v>37</v>
      </c>
      <c r="D51" s="70" t="inlineStr">
        <is>
          <t>Mumbai</t>
        </is>
      </c>
      <c r="E51" s="70" t="inlineStr">
        <is>
          <t>Retail</t>
        </is>
      </c>
      <c r="F51" s="71" t="n">
        <v>43967</v>
      </c>
    </row>
    <row r="52" ht="14.25" customHeight="1" s="56">
      <c r="A52" s="70" t="inlineStr">
        <is>
          <t>CUST-0051</t>
        </is>
      </c>
      <c r="B52" s="70" t="inlineStr">
        <is>
          <t>Myra Singh</t>
        </is>
      </c>
      <c r="C52" s="72" t="n">
        <v>54</v>
      </c>
      <c r="D52" s="70" t="inlineStr">
        <is>
          <t>Pune</t>
        </is>
      </c>
      <c r="E52" s="70" t="inlineStr">
        <is>
          <t>SMB</t>
        </is>
      </c>
      <c r="F52" s="71" t="n">
        <v>44613</v>
      </c>
    </row>
    <row r="53" ht="14.25" customHeight="1" s="56">
      <c r="A53" s="70" t="inlineStr">
        <is>
          <t>CUST-0052</t>
        </is>
      </c>
      <c r="B53" s="70" t="inlineStr">
        <is>
          <t>Rahul Kumar</t>
        </is>
      </c>
      <c r="C53" s="72" t="n">
        <v>38</v>
      </c>
      <c r="D53" s="70" t="inlineStr">
        <is>
          <t>Pune</t>
        </is>
      </c>
      <c r="E53" s="70" t="inlineStr">
        <is>
          <t>Retail</t>
        </is>
      </c>
      <c r="F53" s="71" t="n">
        <v>44209</v>
      </c>
    </row>
    <row r="54" ht="14.25" customHeight="1" s="56">
      <c r="A54" s="70" t="inlineStr">
        <is>
          <t>CUST-0053</t>
        </is>
      </c>
      <c r="B54" s="70" t="inlineStr">
        <is>
          <t>Pari Kumar</t>
        </is>
      </c>
      <c r="C54" s="72" t="n">
        <v>53</v>
      </c>
      <c r="D54" s="70" t="inlineStr">
        <is>
          <t>Delhi</t>
        </is>
      </c>
      <c r="E54" s="70" t="inlineStr">
        <is>
          <t>Retail</t>
        </is>
      </c>
      <c r="F54" s="71" t="n">
        <v>44288</v>
      </c>
    </row>
    <row r="55" ht="14.25" customHeight="1" s="56">
      <c r="A55" s="70" t="inlineStr">
        <is>
          <t>CUST-0054</t>
        </is>
      </c>
      <c r="B55" s="70" t="inlineStr">
        <is>
          <t>Vivaan Shah</t>
        </is>
      </c>
      <c r="C55" s="72" t="n">
        <v>62</v>
      </c>
      <c r="D55" s="70" t="inlineStr">
        <is>
          <t>Mumbai</t>
        </is>
      </c>
      <c r="E55" s="70" t="inlineStr">
        <is>
          <t>Corporate</t>
        </is>
      </c>
      <c r="F55" s="71" t="n">
        <v>44482</v>
      </c>
    </row>
    <row r="56" ht="14.25" customHeight="1" s="56">
      <c r="A56" s="70" t="inlineStr">
        <is>
          <t>CUST-0055</t>
        </is>
      </c>
      <c r="B56" s="70" t="inlineStr">
        <is>
          <t>Aarohi Patel</t>
        </is>
      </c>
      <c r="C56" s="72" t="n">
        <v>34</v>
      </c>
      <c r="D56" s="70" t="inlineStr">
        <is>
          <t>Bengaluru</t>
        </is>
      </c>
      <c r="E56" s="70" t="inlineStr">
        <is>
          <t>Retail</t>
        </is>
      </c>
      <c r="F56" s="71" t="n">
        <v>44753</v>
      </c>
    </row>
    <row r="57" ht="14.25" customHeight="1" s="56">
      <c r="A57" s="70" t="inlineStr">
        <is>
          <t>CUST-0056</t>
        </is>
      </c>
      <c r="B57" s="70" t="inlineStr">
        <is>
          <t>Amit Agarwal</t>
        </is>
      </c>
      <c r="C57" s="72" t="n">
        <v>46</v>
      </c>
      <c r="D57" s="70" t="inlineStr">
        <is>
          <t>Bengaluru</t>
        </is>
      </c>
      <c r="E57" s="70" t="inlineStr">
        <is>
          <t>SMB</t>
        </is>
      </c>
      <c r="F57" s="71" t="n">
        <v>45202</v>
      </c>
    </row>
    <row r="58" ht="14.25" customHeight="1" s="56">
      <c r="A58" s="70" t="inlineStr">
        <is>
          <t>CUST-0057</t>
        </is>
      </c>
      <c r="B58" s="70" t="inlineStr">
        <is>
          <t>Vivaan Verma</t>
        </is>
      </c>
      <c r="C58" s="72" t="n">
        <v>35</v>
      </c>
      <c r="D58" s="70" t="inlineStr">
        <is>
          <t>Pune</t>
        </is>
      </c>
      <c r="E58" s="70" t="inlineStr">
        <is>
          <t>Retail</t>
        </is>
      </c>
      <c r="F58" s="71" t="n">
        <v>43917</v>
      </c>
    </row>
    <row r="59" ht="14.25" customHeight="1" s="56">
      <c r="A59" s="70" t="inlineStr">
        <is>
          <t>CUST-0058</t>
        </is>
      </c>
      <c r="B59" s="70" t="inlineStr">
        <is>
          <t>Kavya Iyer</t>
        </is>
      </c>
      <c r="C59" s="72" t="n">
        <v>49</v>
      </c>
      <c r="D59" s="70" t="inlineStr">
        <is>
          <t>Bengaluru</t>
        </is>
      </c>
      <c r="E59" s="70" t="inlineStr">
        <is>
          <t>SMB</t>
        </is>
      </c>
      <c r="F59" s="71" t="n">
        <v>44471</v>
      </c>
    </row>
    <row r="60" ht="14.25" customHeight="1" s="56">
      <c r="A60" s="70" t="inlineStr">
        <is>
          <t>CUST-0059</t>
        </is>
      </c>
      <c r="B60" s="70" t="inlineStr">
        <is>
          <t>Riya Mehta</t>
        </is>
      </c>
      <c r="C60" s="72" t="n">
        <v>29</v>
      </c>
      <c r="D60" s="70" t="inlineStr">
        <is>
          <t>Pune</t>
        </is>
      </c>
      <c r="E60" s="70" t="inlineStr">
        <is>
          <t>Corporate</t>
        </is>
      </c>
      <c r="F60" s="71" t="n">
        <v>44796</v>
      </c>
    </row>
    <row r="61" ht="14.25" customHeight="1" s="56">
      <c r="A61" s="70" t="inlineStr">
        <is>
          <t>CUST-0060</t>
        </is>
      </c>
      <c r="B61" s="70" t="inlineStr">
        <is>
          <t>Priya Mehta</t>
        </is>
      </c>
      <c r="C61" s="72" t="n">
        <v>39</v>
      </c>
      <c r="D61" s="70" t="inlineStr">
        <is>
          <t>Pune</t>
        </is>
      </c>
      <c r="E61" s="70" t="inlineStr">
        <is>
          <t>Retail</t>
        </is>
      </c>
      <c r="F61" s="71" t="n">
        <v>43897</v>
      </c>
    </row>
    <row r="62" ht="14.25" customHeight="1" s="56">
      <c r="A62" s="70" t="inlineStr">
        <is>
          <t>CUST-0061</t>
        </is>
      </c>
      <c r="B62" s="70" t="inlineStr">
        <is>
          <t>Rahul Joshi</t>
        </is>
      </c>
      <c r="C62" s="72" t="n">
        <v>64</v>
      </c>
      <c r="D62" s="70" t="inlineStr">
        <is>
          <t>Hyderabad</t>
        </is>
      </c>
      <c r="E62" s="70" t="inlineStr">
        <is>
          <t>Retail</t>
        </is>
      </c>
      <c r="F62" s="71" t="n">
        <v>43971</v>
      </c>
    </row>
    <row r="63" ht="14.25" customHeight="1" s="56">
      <c r="A63" s="70" t="inlineStr">
        <is>
          <t>CUST-0062</t>
        </is>
      </c>
      <c r="B63" s="70" t="inlineStr">
        <is>
          <t>Prisha Malhotra</t>
        </is>
      </c>
      <c r="C63" s="72" t="n">
        <v>54</v>
      </c>
      <c r="D63" s="70" t="inlineStr">
        <is>
          <t>Pune</t>
        </is>
      </c>
      <c r="E63" s="70" t="inlineStr">
        <is>
          <t>Retail</t>
        </is>
      </c>
      <c r="F63" s="71" t="n">
        <v>45016</v>
      </c>
    </row>
    <row r="64" ht="14.25" customHeight="1" s="56">
      <c r="A64" s="70" t="inlineStr">
        <is>
          <t>CUST-0063</t>
        </is>
      </c>
      <c r="B64" s="70" t="inlineStr">
        <is>
          <t>Kartik Chopra</t>
        </is>
      </c>
      <c r="C64" s="72" t="n">
        <v>53</v>
      </c>
      <c r="D64" s="70" t="inlineStr">
        <is>
          <t>Mumbai</t>
        </is>
      </c>
      <c r="E64" s="70" t="inlineStr">
        <is>
          <t>SMB</t>
        </is>
      </c>
      <c r="F64" s="71" t="n">
        <v>44008</v>
      </c>
    </row>
    <row r="65" ht="14.25" customHeight="1" s="56">
      <c r="A65" s="70" t="inlineStr">
        <is>
          <t>CUST-0064</t>
        </is>
      </c>
      <c r="B65" s="70" t="inlineStr">
        <is>
          <t>Rudra Singh</t>
        </is>
      </c>
      <c r="C65" s="72" t="n">
        <v>40</v>
      </c>
      <c r="D65" s="70" t="inlineStr">
        <is>
          <t>Hyderabad</t>
        </is>
      </c>
      <c r="E65" s="70" t="inlineStr">
        <is>
          <t>SMB</t>
        </is>
      </c>
      <c r="F65" s="71" t="n">
        <v>45070</v>
      </c>
    </row>
    <row r="66" ht="14.25" customHeight="1" s="56">
      <c r="A66" s="70" t="inlineStr">
        <is>
          <t>CUST-0065</t>
        </is>
      </c>
      <c r="B66" s="70" t="inlineStr">
        <is>
          <t>Kabir Singh</t>
        </is>
      </c>
      <c r="C66" s="72" t="n">
        <v>49</v>
      </c>
      <c r="D66" s="70" t="inlineStr">
        <is>
          <t>Chennai</t>
        </is>
      </c>
      <c r="E66" s="70" t="inlineStr">
        <is>
          <t>Corporate</t>
        </is>
      </c>
      <c r="F66" s="71" t="n">
        <v>44543</v>
      </c>
    </row>
    <row r="67" ht="14.25" customHeight="1" s="56">
      <c r="A67" s="70" t="inlineStr">
        <is>
          <t>CUST-0066</t>
        </is>
      </c>
      <c r="B67" s="70" t="inlineStr">
        <is>
          <t>Aaradhya Bhatt</t>
        </is>
      </c>
      <c r="C67" s="72" t="n">
        <v>24</v>
      </c>
      <c r="D67" s="70" t="inlineStr">
        <is>
          <t>Delhi</t>
        </is>
      </c>
      <c r="E67" s="70" t="inlineStr">
        <is>
          <t>Retail</t>
        </is>
      </c>
      <c r="F67" s="71" t="n">
        <v>44851</v>
      </c>
    </row>
    <row r="68" ht="14.25" customHeight="1" s="56">
      <c r="A68" s="70" t="inlineStr">
        <is>
          <t>CUST-0067</t>
        </is>
      </c>
      <c r="B68" s="70" t="inlineStr">
        <is>
          <t>Kiara Rao</t>
        </is>
      </c>
      <c r="C68" s="72" t="n">
        <v>59</v>
      </c>
      <c r="D68" s="70" t="inlineStr">
        <is>
          <t>Delhi</t>
        </is>
      </c>
      <c r="E68" s="70" t="inlineStr">
        <is>
          <t>SMB</t>
        </is>
      </c>
      <c r="F68" s="71" t="n">
        <v>44020</v>
      </c>
    </row>
    <row r="69" ht="14.25" customHeight="1" s="56">
      <c r="A69" s="70" t="inlineStr">
        <is>
          <t>CUST-0068</t>
        </is>
      </c>
      <c r="B69" s="70" t="inlineStr">
        <is>
          <t>Kavya Chopra</t>
        </is>
      </c>
      <c r="C69" s="72" t="n">
        <v>48</v>
      </c>
      <c r="D69" s="70" t="inlineStr">
        <is>
          <t>Delhi</t>
        </is>
      </c>
      <c r="E69" s="70" t="inlineStr">
        <is>
          <t>SMB</t>
        </is>
      </c>
      <c r="F69" s="71" t="n">
        <v>44553</v>
      </c>
    </row>
    <row r="70" ht="14.25" customHeight="1" s="56">
      <c r="A70" s="70" t="inlineStr">
        <is>
          <t>CUST-0069</t>
        </is>
      </c>
      <c r="B70" s="70" t="inlineStr">
        <is>
          <t>Kavita Menon</t>
        </is>
      </c>
      <c r="C70" s="72" t="n">
        <v>51</v>
      </c>
      <c r="D70" s="70" t="inlineStr">
        <is>
          <t>Chennai</t>
        </is>
      </c>
      <c r="E70" s="70" t="inlineStr">
        <is>
          <t>Retail</t>
        </is>
      </c>
      <c r="F70" s="71" t="n">
        <v>43906</v>
      </c>
    </row>
    <row r="71" ht="14.25" customHeight="1" s="56">
      <c r="A71" s="70" t="inlineStr">
        <is>
          <t>CUST-0070</t>
        </is>
      </c>
      <c r="B71" s="70" t="inlineStr">
        <is>
          <t>Diya Shah</t>
        </is>
      </c>
      <c r="C71" s="72" t="n">
        <v>42</v>
      </c>
      <c r="D71" s="70" t="inlineStr">
        <is>
          <t>Mumbai</t>
        </is>
      </c>
      <c r="E71" s="70" t="inlineStr">
        <is>
          <t>Retail</t>
        </is>
      </c>
      <c r="F71" s="71" t="n">
        <v>44568</v>
      </c>
    </row>
    <row r="72" ht="14.25" customHeight="1" s="56">
      <c r="A72" s="70" t="inlineStr">
        <is>
          <t>CUST-0071</t>
        </is>
      </c>
      <c r="B72" s="70" t="inlineStr">
        <is>
          <t>Neha Menon</t>
        </is>
      </c>
      <c r="C72" s="72" t="n">
        <v>46</v>
      </c>
      <c r="D72" s="70" t="inlineStr">
        <is>
          <t>Delhi</t>
        </is>
      </c>
      <c r="E72" s="70" t="inlineStr">
        <is>
          <t>Corporate</t>
        </is>
      </c>
      <c r="F72" s="71" t="n">
        <v>44574</v>
      </c>
    </row>
    <row r="73" ht="14.25" customHeight="1" s="56">
      <c r="A73" s="70" t="inlineStr">
        <is>
          <t>CUST-0072</t>
        </is>
      </c>
      <c r="B73" s="70" t="inlineStr">
        <is>
          <t xml:space="preserve"> Anvi Kumar </t>
        </is>
      </c>
      <c r="C73" s="72" t="n">
        <v>62</v>
      </c>
      <c r="D73" s="70" t="inlineStr">
        <is>
          <t>Mumbai</t>
        </is>
      </c>
      <c r="E73" s="70" t="inlineStr">
        <is>
          <t>Corporate</t>
        </is>
      </c>
      <c r="F73" s="71" t="n">
        <v>44301</v>
      </c>
    </row>
    <row r="74" ht="14.25" customHeight="1" s="56">
      <c r="A74" s="70" t="inlineStr">
        <is>
          <t>CUST-0073</t>
        </is>
      </c>
      <c r="B74" s="70" t="inlineStr">
        <is>
          <t>Pranav Malhotra</t>
        </is>
      </c>
      <c r="C74" s="72" t="n">
        <v>40</v>
      </c>
      <c r="D74" s="70" t="inlineStr">
        <is>
          <t>Pune</t>
        </is>
      </c>
      <c r="E74" s="70" t="inlineStr">
        <is>
          <t>Corporate</t>
        </is>
      </c>
      <c r="F74" s="71" t="n">
        <v>45190</v>
      </c>
    </row>
    <row r="75" ht="14.25" customHeight="1" s="56">
      <c r="A75" s="70" t="inlineStr">
        <is>
          <t>CUST-0074</t>
        </is>
      </c>
      <c r="B75" s="70" t="inlineStr">
        <is>
          <t>Kabir Nair</t>
        </is>
      </c>
      <c r="C75" s="72" t="n">
        <v>27</v>
      </c>
      <c r="D75" s="70" t="inlineStr">
        <is>
          <t>Bengaluru</t>
        </is>
      </c>
      <c r="E75" s="70" t="inlineStr">
        <is>
          <t>Retail</t>
        </is>
      </c>
      <c r="F75" s="71" t="n">
        <v>45100</v>
      </c>
    </row>
    <row r="76" ht="14.25" customHeight="1" s="56">
      <c r="A76" s="70" t="inlineStr">
        <is>
          <t>CUST-0075</t>
        </is>
      </c>
      <c r="B76" s="70" t="inlineStr">
        <is>
          <t>Vihaan Bhatt</t>
        </is>
      </c>
      <c r="C76" s="72" t="n">
        <v>55</v>
      </c>
      <c r="D76" s="70" t="inlineStr">
        <is>
          <t>Mumbai</t>
        </is>
      </c>
      <c r="E76" s="70" t="inlineStr">
        <is>
          <t>Corporate</t>
        </is>
      </c>
      <c r="F76" s="71" t="n">
        <v>43973</v>
      </c>
    </row>
    <row r="77" ht="14.25" customHeight="1" s="56">
      <c r="A77" s="70" t="inlineStr">
        <is>
          <t>CUST-0076</t>
        </is>
      </c>
      <c r="B77" s="70" t="inlineStr">
        <is>
          <t>Rudra Desai</t>
        </is>
      </c>
      <c r="C77" s="72" t="n">
        <v>38</v>
      </c>
      <c r="D77" s="70" t="inlineStr">
        <is>
          <t>Mumbai</t>
        </is>
      </c>
      <c r="E77" s="70" t="inlineStr">
        <is>
          <t>Retail</t>
        </is>
      </c>
      <c r="F77" s="71" t="n">
        <v>43964</v>
      </c>
    </row>
    <row r="78" ht="14.25" customHeight="1" s="56">
      <c r="A78" s="70" t="inlineStr">
        <is>
          <t>CUST-0077</t>
        </is>
      </c>
      <c r="B78" s="70" t="inlineStr">
        <is>
          <t>Diya Patel</t>
        </is>
      </c>
      <c r="C78" s="72" t="n">
        <v>48</v>
      </c>
      <c r="D78" s="70" t="inlineStr">
        <is>
          <t>Hyderabad</t>
        </is>
      </c>
      <c r="E78" s="70" t="inlineStr">
        <is>
          <t>SMB</t>
        </is>
      </c>
      <c r="F78" s="71" t="n">
        <v>44443</v>
      </c>
    </row>
    <row r="79" ht="14.25" customHeight="1" s="56">
      <c r="A79" s="70" t="inlineStr">
        <is>
          <t>CUST-0078</t>
        </is>
      </c>
      <c r="B79" s="70" t="inlineStr">
        <is>
          <t xml:space="preserve">Myra Gupta   </t>
        </is>
      </c>
      <c r="C79" s="72" t="n">
        <v>31</v>
      </c>
      <c r="D79" s="70" t="inlineStr">
        <is>
          <t>Delhi</t>
        </is>
      </c>
      <c r="E79" s="70" t="inlineStr">
        <is>
          <t>Retail</t>
        </is>
      </c>
      <c r="F79" s="71" t="n">
        <v>45133</v>
      </c>
    </row>
    <row r="80" ht="14.25" customHeight="1" s="56">
      <c r="A80" s="70" t="inlineStr">
        <is>
          <t>CUST-0079</t>
        </is>
      </c>
      <c r="B80" s="70" t="inlineStr">
        <is>
          <t>Kiara Chopra</t>
        </is>
      </c>
      <c r="C80" s="72" t="n">
        <v>60</v>
      </c>
      <c r="D80" s="70" t="inlineStr">
        <is>
          <t>Mumbai</t>
        </is>
      </c>
      <c r="E80" s="70" t="inlineStr">
        <is>
          <t>Corporate</t>
        </is>
      </c>
      <c r="F80" s="71" t="n">
        <v>44271</v>
      </c>
    </row>
    <row r="81" ht="14.25" customHeight="1" s="56">
      <c r="A81" s="70" t="inlineStr">
        <is>
          <t>CUST-0080</t>
        </is>
      </c>
      <c r="B81" s="70" t="inlineStr">
        <is>
          <t>Amit Iyer</t>
        </is>
      </c>
      <c r="C81" s="72" t="n">
        <v>30</v>
      </c>
      <c r="D81" s="70" t="inlineStr">
        <is>
          <t>Pune</t>
        </is>
      </c>
      <c r="E81" s="70" t="inlineStr">
        <is>
          <t>SMB</t>
        </is>
      </c>
      <c r="F81" s="71" t="n">
        <v>43901</v>
      </c>
    </row>
    <row r="82" ht="14.25" customHeight="1" s="56">
      <c r="A82" s="70" t="inlineStr">
        <is>
          <t>CUST-0081</t>
        </is>
      </c>
      <c r="B82" s="70" t="inlineStr">
        <is>
          <t>Amit Kumar</t>
        </is>
      </c>
      <c r="C82" s="72" t="n">
        <v>25</v>
      </c>
      <c r="D82" s="70" t="inlineStr">
        <is>
          <t>Mumbai</t>
        </is>
      </c>
      <c r="E82" s="70" t="inlineStr">
        <is>
          <t>Retail</t>
        </is>
      </c>
      <c r="F82" s="71" t="n">
        <v>44331</v>
      </c>
    </row>
    <row r="83" ht="14.25" customHeight="1" s="56">
      <c r="A83" s="70" t="inlineStr">
        <is>
          <t>CUST-0082</t>
        </is>
      </c>
      <c r="B83" s="70" t="inlineStr">
        <is>
          <t>Aditya Bhatt</t>
        </is>
      </c>
      <c r="C83" s="72" t="n">
        <v>36</v>
      </c>
      <c r="D83" s="70" t="inlineStr">
        <is>
          <t>Hyderabad</t>
        </is>
      </c>
      <c r="E83" s="70" t="inlineStr">
        <is>
          <t>SMB</t>
        </is>
      </c>
      <c r="F83" s="71" t="n">
        <v>44152</v>
      </c>
    </row>
    <row r="84" ht="14.25" customHeight="1" s="56">
      <c r="A84" s="70" t="inlineStr">
        <is>
          <t>CUST-0083</t>
        </is>
      </c>
      <c r="B84" s="70" t="inlineStr">
        <is>
          <t>Meera Reddy</t>
        </is>
      </c>
      <c r="C84" s="72" t="n">
        <v>31</v>
      </c>
      <c r="D84" s="70" t="inlineStr">
        <is>
          <t>Bengaluru</t>
        </is>
      </c>
      <c r="E84" s="70" t="inlineStr">
        <is>
          <t>Corporate</t>
        </is>
      </c>
      <c r="F84" s="71" t="n">
        <v>44248</v>
      </c>
    </row>
    <row r="85" ht="14.25" customHeight="1" s="56">
      <c r="A85" s="70" t="inlineStr">
        <is>
          <t>CUST-0084</t>
        </is>
      </c>
      <c r="B85" s="70" t="inlineStr">
        <is>
          <t>Shaurya Bhatt</t>
        </is>
      </c>
      <c r="C85" s="72" t="n">
        <v>28</v>
      </c>
      <c r="D85" s="70" t="inlineStr">
        <is>
          <t>Chennai</t>
        </is>
      </c>
      <c r="E85" s="70" t="inlineStr">
        <is>
          <t>Retail</t>
        </is>
      </c>
      <c r="F85" s="71" t="n">
        <v>44116</v>
      </c>
    </row>
    <row r="86" ht="14.25" customHeight="1" s="56">
      <c r="A86" s="70" t="inlineStr">
        <is>
          <t>CUST-0085</t>
        </is>
      </c>
      <c r="B86" s="70" t="inlineStr">
        <is>
          <t>Riya Patel</t>
        </is>
      </c>
      <c r="C86" s="72" t="n">
        <v>26</v>
      </c>
      <c r="D86" s="70" t="inlineStr">
        <is>
          <t>Chennai</t>
        </is>
      </c>
      <c r="E86" s="70" t="inlineStr">
        <is>
          <t>Retail</t>
        </is>
      </c>
      <c r="F86" s="71" t="n">
        <v>45149</v>
      </c>
    </row>
    <row r="87" ht="14.25" customHeight="1" s="56">
      <c r="A87" s="70" t="inlineStr">
        <is>
          <t>CUST-0086</t>
        </is>
      </c>
      <c r="B87" s="70" t="inlineStr">
        <is>
          <t>Shaurya Reddy</t>
        </is>
      </c>
      <c r="C87" s="72" t="n">
        <v>56</v>
      </c>
      <c r="D87" s="70" t="inlineStr">
        <is>
          <t>Hyderabad</t>
        </is>
      </c>
      <c r="E87" s="70" t="inlineStr">
        <is>
          <t>Corporate</t>
        </is>
      </c>
      <c r="F87" s="71" t="n">
        <v>45039</v>
      </c>
    </row>
    <row r="88" ht="14.25" customHeight="1" s="56">
      <c r="A88" s="70" t="inlineStr">
        <is>
          <t>CUST-0087</t>
        </is>
      </c>
      <c r="B88" s="70" t="inlineStr">
        <is>
          <t>Aditya Kumar</t>
        </is>
      </c>
      <c r="C88" s="72" t="n">
        <v>49</v>
      </c>
      <c r="D88" s="70" t="inlineStr">
        <is>
          <t>Pune</t>
        </is>
      </c>
      <c r="E88" s="70" t="inlineStr">
        <is>
          <t>SMB</t>
        </is>
      </c>
      <c r="F88" s="71" t="n">
        <v>44621</v>
      </c>
    </row>
    <row r="89" ht="14.25" customHeight="1" s="56">
      <c r="A89" s="70" t="inlineStr">
        <is>
          <t>CUST-0088</t>
        </is>
      </c>
      <c r="B89" s="70" t="inlineStr">
        <is>
          <t>Ishaan Chopra</t>
        </is>
      </c>
      <c r="C89" s="72" t="n">
        <v>24</v>
      </c>
      <c r="D89" s="70" t="inlineStr">
        <is>
          <t>Chennai</t>
        </is>
      </c>
      <c r="E89" s="70" t="inlineStr">
        <is>
          <t>Retail</t>
        </is>
      </c>
      <c r="F89" s="71" t="n">
        <v>44693</v>
      </c>
    </row>
    <row r="90" ht="14.25" customHeight="1" s="56">
      <c r="A90" s="70" t="inlineStr">
        <is>
          <t>CUST-0089</t>
        </is>
      </c>
      <c r="B90" s="70" t="inlineStr">
        <is>
          <t>Vijay Reddy</t>
        </is>
      </c>
      <c r="C90" s="72" t="n">
        <v>43</v>
      </c>
      <c r="D90" s="70" t="inlineStr">
        <is>
          <t>Mumbai</t>
        </is>
      </c>
      <c r="E90" s="70" t="inlineStr">
        <is>
          <t>SMB</t>
        </is>
      </c>
      <c r="F90" s="71" t="n">
        <v>44513</v>
      </c>
    </row>
    <row r="91" ht="14.25" customHeight="1" s="56">
      <c r="A91" s="70" t="inlineStr">
        <is>
          <t>CUST-0090</t>
        </is>
      </c>
      <c r="B91" s="70" t="inlineStr">
        <is>
          <t>Ahana Singh</t>
        </is>
      </c>
      <c r="C91" s="72" t="n">
        <v>26</v>
      </c>
      <c r="D91" s="70" t="inlineStr">
        <is>
          <t>Bengaluru</t>
        </is>
      </c>
      <c r="E91" s="70" t="inlineStr">
        <is>
          <t>Corporate</t>
        </is>
      </c>
      <c r="F91" s="71" t="n">
        <v>44137</v>
      </c>
    </row>
    <row r="92" ht="14.25" customHeight="1" s="56">
      <c r="A92" s="70" t="inlineStr">
        <is>
          <t>CUST-0091</t>
        </is>
      </c>
      <c r="B92" s="70" t="inlineStr">
        <is>
          <t>Kabir Chopra</t>
        </is>
      </c>
      <c r="C92" s="72" t="n">
        <v>55</v>
      </c>
      <c r="D92" s="70" t="inlineStr">
        <is>
          <t>Delhi</t>
        </is>
      </c>
      <c r="E92" s="70" t="inlineStr">
        <is>
          <t>Retail</t>
        </is>
      </c>
      <c r="F92" s="71" t="n">
        <v>45178</v>
      </c>
    </row>
    <row r="93" ht="14.25" customHeight="1" s="56">
      <c r="A93" s="70" t="inlineStr">
        <is>
          <t>CUST-0092</t>
        </is>
      </c>
      <c r="B93" s="70" t="inlineStr">
        <is>
          <t>Dhruv Nair</t>
        </is>
      </c>
      <c r="C93" s="72" t="n">
        <v>28</v>
      </c>
      <c r="D93" s="70" t="inlineStr">
        <is>
          <t>Bengaluru</t>
        </is>
      </c>
      <c r="E93" s="70" t="inlineStr">
        <is>
          <t>SMB</t>
        </is>
      </c>
      <c r="F93" s="71" t="n">
        <v>44731</v>
      </c>
    </row>
    <row r="94" ht="14.25" customHeight="1" s="56">
      <c r="A94" s="70" t="inlineStr">
        <is>
          <t>CUST-0093</t>
        </is>
      </c>
      <c r="B94" s="70" t="inlineStr">
        <is>
          <t>Suresh Mehta</t>
        </is>
      </c>
      <c r="C94" s="72" t="n">
        <v>36</v>
      </c>
      <c r="D94" s="70" t="inlineStr">
        <is>
          <t>Pune</t>
        </is>
      </c>
      <c r="E94" s="70" t="inlineStr">
        <is>
          <t>Retail</t>
        </is>
      </c>
      <c r="F94" s="71" t="n">
        <v>44743</v>
      </c>
    </row>
    <row r="95" ht="14.25" customHeight="1" s="56">
      <c r="A95" s="70" t="inlineStr">
        <is>
          <t>CUST-0094</t>
        </is>
      </c>
      <c r="B95" s="70" t="inlineStr">
        <is>
          <t>Kabir Shah</t>
        </is>
      </c>
      <c r="C95" s="72" t="n">
        <v>60</v>
      </c>
      <c r="D95" s="70" t="inlineStr">
        <is>
          <t>Pune</t>
        </is>
      </c>
      <c r="E95" s="70" t="inlineStr">
        <is>
          <t>SMB</t>
        </is>
      </c>
      <c r="F95" s="71" t="n">
        <v>44915</v>
      </c>
    </row>
    <row r="96" ht="14.25" customHeight="1" s="56">
      <c r="A96" s="70" t="inlineStr">
        <is>
          <t>CUST-0095</t>
        </is>
      </c>
      <c r="B96" s="70" t="inlineStr">
        <is>
          <t xml:space="preserve">  Pari Malhotra</t>
        </is>
      </c>
      <c r="C96" s="72" t="n">
        <v>54</v>
      </c>
      <c r="D96" s="70" t="inlineStr">
        <is>
          <t>Mumbai</t>
        </is>
      </c>
      <c r="E96" s="70" t="inlineStr">
        <is>
          <t>SMB</t>
        </is>
      </c>
      <c r="F96" s="71" t="n">
        <v>44622</v>
      </c>
    </row>
    <row r="97" ht="14.25" customHeight="1" s="56">
      <c r="A97" s="70" t="inlineStr">
        <is>
          <t>CUST-0096</t>
        </is>
      </c>
      <c r="B97" s="70" t="inlineStr">
        <is>
          <t>Riya Singh</t>
        </is>
      </c>
      <c r="C97" s="72" t="n">
        <v>27</v>
      </c>
      <c r="D97" s="70" t="inlineStr">
        <is>
          <t>Delhi</t>
        </is>
      </c>
      <c r="E97" s="70" t="inlineStr">
        <is>
          <t>Corporate</t>
        </is>
      </c>
      <c r="F97" s="71" t="n">
        <v>44445</v>
      </c>
    </row>
    <row r="98" ht="14.25" customHeight="1" s="56">
      <c r="A98" s="70" t="inlineStr">
        <is>
          <t>CUST-0097</t>
        </is>
      </c>
      <c r="B98" s="70" t="inlineStr">
        <is>
          <t>Iraa Kapoor</t>
        </is>
      </c>
      <c r="C98" s="72" t="n">
        <v>65</v>
      </c>
      <c r="D98" s="70" t="inlineStr">
        <is>
          <t>Mumbai</t>
        </is>
      </c>
      <c r="E98" s="70" t="inlineStr">
        <is>
          <t>Retail</t>
        </is>
      </c>
      <c r="F98" s="71" t="n">
        <v>43899</v>
      </c>
    </row>
    <row r="99" ht="14.25" customHeight="1" s="56">
      <c r="A99" s="70" t="inlineStr">
        <is>
          <t>CUST-0098</t>
        </is>
      </c>
      <c r="B99" s="70" t="inlineStr">
        <is>
          <t>Anika Malhotra</t>
        </is>
      </c>
      <c r="C99" s="72" t="n">
        <v>52</v>
      </c>
      <c r="D99" s="70" t="inlineStr">
        <is>
          <t>Delhi</t>
        </is>
      </c>
      <c r="E99" s="70" t="inlineStr">
        <is>
          <t>Retail</t>
        </is>
      </c>
      <c r="F99" s="71" t="n">
        <v>44406</v>
      </c>
    </row>
    <row r="100" ht="14.25" customHeight="1" s="56">
      <c r="A100" s="70" t="inlineStr">
        <is>
          <t>CUST-0099</t>
        </is>
      </c>
      <c r="B100" s="70" t="inlineStr">
        <is>
          <t>Angel Sharma</t>
        </is>
      </c>
      <c r="C100" s="72" t="n">
        <v>54</v>
      </c>
      <c r="D100" s="70" t="inlineStr">
        <is>
          <t>Bengaluru</t>
        </is>
      </c>
      <c r="E100" s="70" t="inlineStr">
        <is>
          <t>SMB</t>
        </is>
      </c>
      <c r="F100" s="71" t="n">
        <v>44938</v>
      </c>
    </row>
    <row r="101" ht="14.25" customHeight="1" s="56">
      <c r="A101" s="70" t="inlineStr">
        <is>
          <t>CUST-0100</t>
        </is>
      </c>
      <c r="B101" s="70" t="inlineStr">
        <is>
          <t>Myra Gupta</t>
        </is>
      </c>
      <c r="C101" s="72" t="n">
        <v>60</v>
      </c>
      <c r="D101" s="70" t="inlineStr">
        <is>
          <t>Hyderabad</t>
        </is>
      </c>
      <c r="E101" s="70" t="inlineStr">
        <is>
          <t>Corporate</t>
        </is>
      </c>
      <c r="F101" s="71" t="n">
        <v>45072</v>
      </c>
    </row>
    <row r="102" ht="14.25" customHeight="1" s="56">
      <c r="A102" s="70" t="inlineStr">
        <is>
          <t>CUST-0101</t>
        </is>
      </c>
      <c r="B102" s="70" t="inlineStr">
        <is>
          <t>Rudra Kapoor</t>
        </is>
      </c>
      <c r="C102" s="72" t="n">
        <v>40</v>
      </c>
      <c r="D102" s="70" t="inlineStr">
        <is>
          <t>Hyderabad</t>
        </is>
      </c>
      <c r="E102" s="70" t="inlineStr">
        <is>
          <t>SMB</t>
        </is>
      </c>
      <c r="F102" s="71" t="n">
        <v>44021</v>
      </c>
    </row>
    <row r="103" ht="14.25" customHeight="1" s="56">
      <c r="A103" s="70" t="inlineStr">
        <is>
          <t>CUST-0102</t>
        </is>
      </c>
      <c r="B103" s="70" t="inlineStr">
        <is>
          <t>Advik Nair</t>
        </is>
      </c>
      <c r="C103" s="72" t="n">
        <v>62</v>
      </c>
      <c r="D103" s="70" t="inlineStr">
        <is>
          <t>Chennai</t>
        </is>
      </c>
      <c r="E103" s="70" t="inlineStr">
        <is>
          <t>SMB</t>
        </is>
      </c>
      <c r="F103" s="71" t="n">
        <v>45092</v>
      </c>
    </row>
    <row r="104" ht="14.25" customHeight="1" s="56">
      <c r="A104" s="70" t="inlineStr">
        <is>
          <t>CUST-0103</t>
        </is>
      </c>
      <c r="B104" s="70" t="inlineStr">
        <is>
          <t>Pooja Singh</t>
        </is>
      </c>
      <c r="C104" s="72" t="n">
        <v>54</v>
      </c>
      <c r="D104" s="70" t="inlineStr">
        <is>
          <t>Hyderabad</t>
        </is>
      </c>
      <c r="E104" s="70" t="inlineStr">
        <is>
          <t>Corporate</t>
        </is>
      </c>
      <c r="F104" s="71" t="n">
        <v>45080</v>
      </c>
    </row>
    <row r="105" ht="14.25" customHeight="1" s="56">
      <c r="A105" s="70" t="inlineStr">
        <is>
          <t>CUST-0104</t>
        </is>
      </c>
      <c r="B105" s="70" t="inlineStr">
        <is>
          <t>Kiara Shah</t>
        </is>
      </c>
      <c r="C105" s="72" t="n">
        <v>43</v>
      </c>
      <c r="D105" s="70" t="inlineStr">
        <is>
          <t>Hyderabad</t>
        </is>
      </c>
      <c r="E105" s="70" t="inlineStr">
        <is>
          <t>Corporate</t>
        </is>
      </c>
      <c r="F105" s="71" t="n">
        <v>44018</v>
      </c>
    </row>
    <row r="106" ht="14.25" customHeight="1" s="56">
      <c r="A106" s="70" t="inlineStr">
        <is>
          <t>CUST-0105</t>
        </is>
      </c>
      <c r="B106" s="70" t="inlineStr">
        <is>
          <t>Aryan Agarwal</t>
        </is>
      </c>
      <c r="C106" s="72" t="n">
        <v>51</v>
      </c>
      <c r="D106" s="70" t="inlineStr">
        <is>
          <t>Chennai</t>
        </is>
      </c>
      <c r="E106" s="70" t="inlineStr">
        <is>
          <t>SMB</t>
        </is>
      </c>
      <c r="F106" s="71" t="n">
        <v>44060</v>
      </c>
    </row>
    <row r="107" ht="14.25" customHeight="1" s="56">
      <c r="A107" s="70" t="inlineStr">
        <is>
          <t>CUST-0106</t>
        </is>
      </c>
      <c r="B107" s="70" t="inlineStr">
        <is>
          <t>Navya Mehta</t>
        </is>
      </c>
      <c r="C107" s="72" t="n">
        <v>22</v>
      </c>
      <c r="D107" s="70" t="inlineStr">
        <is>
          <t>Pune</t>
        </is>
      </c>
      <c r="E107" s="70" t="inlineStr">
        <is>
          <t>Retail</t>
        </is>
      </c>
      <c r="F107" s="71" t="n">
        <v>45192</v>
      </c>
    </row>
    <row r="108" ht="14.25" customHeight="1" s="56">
      <c r="A108" s="70" t="inlineStr">
        <is>
          <t>CUST-0107</t>
        </is>
      </c>
      <c r="B108" s="70" t="inlineStr">
        <is>
          <t xml:space="preserve">Ishaan Kapoor   </t>
        </is>
      </c>
      <c r="C108" s="72" t="n">
        <v>50</v>
      </c>
      <c r="D108" s="70" t="inlineStr">
        <is>
          <t>Pune</t>
        </is>
      </c>
      <c r="E108" s="70" t="inlineStr">
        <is>
          <t>Retail</t>
        </is>
      </c>
      <c r="F108" s="71" t="n">
        <v>44007</v>
      </c>
    </row>
    <row r="109" ht="14.25" customHeight="1" s="56">
      <c r="A109" s="70" t="inlineStr">
        <is>
          <t>CUST-0108</t>
        </is>
      </c>
      <c r="B109" s="70" t="inlineStr">
        <is>
          <t>Angel Shah</t>
        </is>
      </c>
      <c r="C109" s="72" t="n">
        <v>59</v>
      </c>
      <c r="D109" s="70" t="inlineStr">
        <is>
          <t>Bengaluru</t>
        </is>
      </c>
      <c r="E109" s="70" t="inlineStr">
        <is>
          <t>Corporate</t>
        </is>
      </c>
      <c r="F109" s="71" t="n">
        <v>44382</v>
      </c>
    </row>
    <row r="110" ht="14.25" customHeight="1" s="56">
      <c r="A110" s="70" t="inlineStr">
        <is>
          <t>CUST-0109</t>
        </is>
      </c>
      <c r="B110" s="70" t="inlineStr">
        <is>
          <t>Dhruv Gupta</t>
        </is>
      </c>
      <c r="C110" s="72" t="n">
        <v>42</v>
      </c>
      <c r="D110" s="70" t="inlineStr">
        <is>
          <t>Pune</t>
        </is>
      </c>
      <c r="E110" s="70" t="inlineStr">
        <is>
          <t>Retail</t>
        </is>
      </c>
      <c r="F110" s="71" t="n">
        <v>44698</v>
      </c>
    </row>
    <row r="111" ht="14.25" customHeight="1" s="56">
      <c r="A111" s="70" t="inlineStr">
        <is>
          <t>CUST-0110</t>
        </is>
      </c>
      <c r="B111" s="70" t="inlineStr">
        <is>
          <t>Aarav Chopra</t>
        </is>
      </c>
      <c r="C111" s="72" t="n">
        <v>31</v>
      </c>
      <c r="D111" s="70" t="inlineStr">
        <is>
          <t>Pune</t>
        </is>
      </c>
      <c r="E111" s="70" t="inlineStr">
        <is>
          <t>Corporate</t>
        </is>
      </c>
      <c r="F111" s="71" t="n">
        <v>44346</v>
      </c>
    </row>
    <row r="112" ht="14.25" customHeight="1" s="56">
      <c r="A112" s="70" t="inlineStr">
        <is>
          <t>CUST-0111</t>
        </is>
      </c>
      <c r="B112" s="70" t="inlineStr">
        <is>
          <t>Ayaan Reddy</t>
        </is>
      </c>
      <c r="C112" s="72" t="n">
        <v>64</v>
      </c>
      <c r="D112" s="70" t="inlineStr">
        <is>
          <t>Chennai</t>
        </is>
      </c>
      <c r="E112" s="70" t="inlineStr">
        <is>
          <t>SMB</t>
        </is>
      </c>
      <c r="F112" s="71" t="n">
        <v>44309</v>
      </c>
    </row>
    <row r="113" ht="14.25" customHeight="1" s="56">
      <c r="A113" s="70" t="inlineStr">
        <is>
          <t>CUST-0112</t>
        </is>
      </c>
      <c r="B113" s="70" t="inlineStr">
        <is>
          <t>Anika Shah</t>
        </is>
      </c>
      <c r="C113" s="72" t="n">
        <v>64</v>
      </c>
      <c r="D113" s="70" t="inlineStr">
        <is>
          <t>Hyderabad</t>
        </is>
      </c>
      <c r="E113" s="70" t="inlineStr">
        <is>
          <t>Retail</t>
        </is>
      </c>
      <c r="F113" s="71" t="n">
        <v>44015</v>
      </c>
    </row>
    <row r="114" ht="14.25" customHeight="1" s="56">
      <c r="A114" s="70" t="inlineStr">
        <is>
          <t>CUST-0113</t>
        </is>
      </c>
      <c r="B114" s="70" t="inlineStr">
        <is>
          <t>Anvi Reddy</t>
        </is>
      </c>
      <c r="C114" s="72" t="n">
        <v>30</v>
      </c>
      <c r="D114" s="70" t="inlineStr">
        <is>
          <t>Delhi</t>
        </is>
      </c>
      <c r="E114" s="70" t="inlineStr">
        <is>
          <t>Retail</t>
        </is>
      </c>
      <c r="F114" s="71" t="n">
        <v>44490</v>
      </c>
    </row>
    <row r="115" ht="14.25" customHeight="1" s="56">
      <c r="A115" s="70" t="inlineStr">
        <is>
          <t>CUST-0114</t>
        </is>
      </c>
      <c r="B115" s="70" t="inlineStr">
        <is>
          <t>Reyansh Patel</t>
        </is>
      </c>
      <c r="C115" s="72" t="n">
        <v>42</v>
      </c>
      <c r="D115" s="70" t="inlineStr">
        <is>
          <t>Bengaluru</t>
        </is>
      </c>
      <c r="E115" s="70" t="inlineStr">
        <is>
          <t>Corporate</t>
        </is>
      </c>
      <c r="F115" s="71" t="n">
        <v>44907</v>
      </c>
    </row>
    <row r="116" ht="14.25" customHeight="1" s="56">
      <c r="A116" s="70" t="inlineStr">
        <is>
          <t>CUST-0115</t>
        </is>
      </c>
      <c r="B116" s="70" t="inlineStr">
        <is>
          <t>Rahul Rao</t>
        </is>
      </c>
      <c r="C116" s="72" t="n">
        <v>65</v>
      </c>
      <c r="D116" s="70" t="inlineStr">
        <is>
          <t>Mumbai</t>
        </is>
      </c>
      <c r="E116" s="70" t="inlineStr">
        <is>
          <t>SMB</t>
        </is>
      </c>
      <c r="F116" s="71" t="n">
        <v>44381</v>
      </c>
    </row>
    <row r="117" ht="14.25" customHeight="1" s="56">
      <c r="A117" s="70" t="inlineStr">
        <is>
          <t>CUST-0116</t>
        </is>
      </c>
      <c r="B117" s="70" t="inlineStr">
        <is>
          <t>Ritvik Kapoor</t>
        </is>
      </c>
      <c r="C117" s="72" t="n">
        <v>53</v>
      </c>
      <c r="D117" s="70" t="inlineStr">
        <is>
          <t>BENGALURU</t>
        </is>
      </c>
      <c r="E117" s="70" t="inlineStr">
        <is>
          <t>Retail</t>
        </is>
      </c>
      <c r="F117" s="71" t="n">
        <v>44050</v>
      </c>
    </row>
    <row r="118" ht="14.25" customHeight="1" s="56">
      <c r="A118" s="70" t="inlineStr">
        <is>
          <t>CUST-0117</t>
        </is>
      </c>
      <c r="B118" s="70" t="inlineStr">
        <is>
          <t>Rohan Rao</t>
        </is>
      </c>
      <c r="C118" s="72" t="n">
        <v>34</v>
      </c>
      <c r="D118" s="70" t="inlineStr">
        <is>
          <t>Delhi</t>
        </is>
      </c>
      <c r="E118" s="70" t="inlineStr">
        <is>
          <t>SMB</t>
        </is>
      </c>
      <c r="F118" s="71" t="n">
        <v>44581</v>
      </c>
    </row>
    <row r="119" ht="14.25" customHeight="1" s="56">
      <c r="A119" s="70" t="inlineStr">
        <is>
          <t>CUST-0118</t>
        </is>
      </c>
      <c r="B119" s="70" t="inlineStr">
        <is>
          <t>Myra Patel</t>
        </is>
      </c>
      <c r="C119" s="72" t="n">
        <v>26</v>
      </c>
      <c r="D119" s="70" t="inlineStr">
        <is>
          <t>Hyderabad</t>
        </is>
      </c>
      <c r="E119" s="70" t="inlineStr">
        <is>
          <t>Retail</t>
        </is>
      </c>
      <c r="F119" s="71" t="n">
        <v>44916</v>
      </c>
    </row>
    <row r="120" ht="14.25" customHeight="1" s="56">
      <c r="A120" s="70" t="inlineStr">
        <is>
          <t>CUST-0119</t>
        </is>
      </c>
      <c r="B120" s="70" t="inlineStr">
        <is>
          <t>Aaradhya Joshi</t>
        </is>
      </c>
      <c r="C120" s="72" t="n">
        <v>43</v>
      </c>
      <c r="D120" s="70" t="inlineStr">
        <is>
          <t>Bengaluru</t>
        </is>
      </c>
      <c r="E120" s="70" t="inlineStr">
        <is>
          <t>SMB</t>
        </is>
      </c>
      <c r="F120" s="71" t="n">
        <v>44360</v>
      </c>
    </row>
    <row r="121" ht="14.25" customHeight="1" s="56">
      <c r="A121" s="70" t="inlineStr">
        <is>
          <t>CUST-0120</t>
        </is>
      </c>
      <c r="B121" s="70" t="inlineStr">
        <is>
          <t>Vihaan Chopra</t>
        </is>
      </c>
      <c r="C121" s="72" t="n">
        <v>29</v>
      </c>
      <c r="D121" s="70" t="inlineStr">
        <is>
          <t>Mumbai</t>
        </is>
      </c>
      <c r="E121" s="70" t="inlineStr">
        <is>
          <t>Retail</t>
        </is>
      </c>
      <c r="F121" s="71" t="n">
        <v>44871</v>
      </c>
    </row>
    <row r="122" ht="14.25" customHeight="1" s="56">
      <c r="A122" s="70" t="inlineStr">
        <is>
          <t>CUST-0121</t>
        </is>
      </c>
      <c r="B122" s="70" t="inlineStr">
        <is>
          <t>Rohit Shah</t>
        </is>
      </c>
      <c r="C122" s="72" t="n">
        <v>55</v>
      </c>
      <c r="D122" s="70" t="inlineStr">
        <is>
          <t>Delhi</t>
        </is>
      </c>
      <c r="E122" s="70" t="inlineStr">
        <is>
          <t>SMB</t>
        </is>
      </c>
      <c r="F122" s="71" t="n">
        <v>45119</v>
      </c>
    </row>
    <row r="123" ht="14.25" customHeight="1" s="56">
      <c r="A123" s="70" t="inlineStr">
        <is>
          <t>CUST-0122</t>
        </is>
      </c>
      <c r="B123" s="70" t="inlineStr">
        <is>
          <t xml:space="preserve"> Priya Kumar </t>
        </is>
      </c>
      <c r="C123" s="72" t="n">
        <v>44</v>
      </c>
      <c r="D123" s="70" t="inlineStr">
        <is>
          <t>Mumbai</t>
        </is>
      </c>
      <c r="E123" s="70" t="inlineStr">
        <is>
          <t>Retail</t>
        </is>
      </c>
      <c r="F123" s="71" t="n">
        <v>44686</v>
      </c>
    </row>
    <row r="124" ht="14.25" customHeight="1" s="56">
      <c r="A124" s="70" t="inlineStr">
        <is>
          <t>CUST-0123</t>
        </is>
      </c>
      <c r="B124" s="70" t="inlineStr">
        <is>
          <t>Pari Joshi</t>
        </is>
      </c>
      <c r="C124" s="72" t="n">
        <v>44</v>
      </c>
      <c r="D124" s="70" t="inlineStr">
        <is>
          <t>Chennai</t>
        </is>
      </c>
      <c r="E124" s="70" t="inlineStr">
        <is>
          <t>Corporate</t>
        </is>
      </c>
      <c r="F124" s="71" t="n">
        <v>44589</v>
      </c>
    </row>
    <row r="125" ht="14.25" customHeight="1" s="56">
      <c r="A125" s="70" t="inlineStr">
        <is>
          <t>CUST-0124</t>
        </is>
      </c>
      <c r="B125" s="70" t="inlineStr">
        <is>
          <t>Shaurya Agarwal</t>
        </is>
      </c>
      <c r="C125" s="72" t="n">
        <v>57</v>
      </c>
      <c r="D125" s="70" t="inlineStr">
        <is>
          <t>Pune</t>
        </is>
      </c>
      <c r="E125" s="70" t="inlineStr">
        <is>
          <t>Retail</t>
        </is>
      </c>
      <c r="F125" s="71" t="n">
        <v>44818</v>
      </c>
    </row>
    <row r="126" ht="14.25" customHeight="1" s="56">
      <c r="A126" s="70" t="inlineStr">
        <is>
          <t>CUST-0125</t>
        </is>
      </c>
      <c r="B126" s="70" t="inlineStr">
        <is>
          <t>Aryan Desai</t>
        </is>
      </c>
      <c r="C126" s="72" t="n">
        <v>45</v>
      </c>
      <c r="D126" s="70" t="inlineStr">
        <is>
          <t>Delhi</t>
        </is>
      </c>
      <c r="E126" s="70" t="inlineStr">
        <is>
          <t>Retail</t>
        </is>
      </c>
      <c r="F126" s="71" t="n">
        <v>44263</v>
      </c>
    </row>
    <row r="127" ht="14.25" customHeight="1" s="56">
      <c r="A127" s="70" t="inlineStr">
        <is>
          <t>CUST-0126</t>
        </is>
      </c>
      <c r="B127" s="70" t="inlineStr">
        <is>
          <t>Neha Agarwal</t>
        </is>
      </c>
      <c r="C127" s="72" t="n">
        <v>37</v>
      </c>
      <c r="D127" s="70" t="inlineStr">
        <is>
          <t>Mumbai</t>
        </is>
      </c>
      <c r="E127" s="70" t="inlineStr">
        <is>
          <t>Retail</t>
        </is>
      </c>
      <c r="F127" s="71" t="n">
        <v>44561</v>
      </c>
    </row>
    <row r="128" ht="14.25" customHeight="1" s="56">
      <c r="A128" s="70" t="inlineStr">
        <is>
          <t>CUST-0127</t>
        </is>
      </c>
      <c r="B128" s="70" t="inlineStr">
        <is>
          <t>Ananya Agarwal</t>
        </is>
      </c>
      <c r="C128" s="72" t="n">
        <v>36</v>
      </c>
      <c r="D128" s="70" t="inlineStr">
        <is>
          <t>Bengaluru</t>
        </is>
      </c>
      <c r="E128" s="70" t="inlineStr">
        <is>
          <t>SMB</t>
        </is>
      </c>
      <c r="F128" s="71" t="n">
        <v>45036</v>
      </c>
    </row>
    <row r="129" ht="14.25" customHeight="1" s="56">
      <c r="A129" s="70" t="inlineStr">
        <is>
          <t>CUST-0128</t>
        </is>
      </c>
      <c r="B129" s="70" t="inlineStr">
        <is>
          <t>Angel Joshi</t>
        </is>
      </c>
      <c r="C129" s="72" t="n">
        <v>35</v>
      </c>
      <c r="D129" s="70" t="inlineStr">
        <is>
          <t>Hyderabad</t>
        </is>
      </c>
      <c r="E129" s="70" t="inlineStr">
        <is>
          <t>Retail</t>
        </is>
      </c>
      <c r="F129" s="71" t="n">
        <v>44602</v>
      </c>
    </row>
    <row r="130" ht="14.25" customHeight="1" s="56">
      <c r="A130" s="70" t="inlineStr">
        <is>
          <t>CUST-0129</t>
        </is>
      </c>
      <c r="B130" s="70" t="inlineStr">
        <is>
          <t>Rohit Iyer</t>
        </is>
      </c>
      <c r="C130" s="72" t="n">
        <v>29</v>
      </c>
      <c r="D130" s="70" t="inlineStr">
        <is>
          <t>hyderabad</t>
        </is>
      </c>
      <c r="E130" s="70" t="inlineStr">
        <is>
          <t>Retail</t>
        </is>
      </c>
      <c r="F130" s="71" t="n">
        <v>44930</v>
      </c>
    </row>
    <row r="131" ht="14.25" customHeight="1" s="56">
      <c r="A131" s="70" t="inlineStr">
        <is>
          <t>CUST-0130</t>
        </is>
      </c>
      <c r="B131" s="70" t="inlineStr">
        <is>
          <t>Kabir Kapoor</t>
        </is>
      </c>
      <c r="C131" s="72" t="n">
        <v>41</v>
      </c>
      <c r="D131" s="70" t="inlineStr">
        <is>
          <t>Bengaluru</t>
        </is>
      </c>
      <c r="E131" s="70" t="inlineStr">
        <is>
          <t>Corporate</t>
        </is>
      </c>
      <c r="F131" s="71" t="n">
        <v>44897</v>
      </c>
    </row>
    <row r="132" ht="14.25" customHeight="1" s="56">
      <c r="A132" s="70" t="inlineStr">
        <is>
          <t>CUST-0131</t>
        </is>
      </c>
      <c r="B132" s="70" t="inlineStr">
        <is>
          <t>Krishna Kapoor</t>
        </is>
      </c>
      <c r="C132" s="72" t="n">
        <v>28</v>
      </c>
      <c r="D132" s="70" t="inlineStr">
        <is>
          <t>delhi</t>
        </is>
      </c>
      <c r="E132" s="70" t="inlineStr">
        <is>
          <t>SMB</t>
        </is>
      </c>
      <c r="F132" s="71" t="n">
        <v>44158</v>
      </c>
    </row>
    <row r="133" ht="14.25" customHeight="1" s="56">
      <c r="A133" s="70" t="inlineStr">
        <is>
          <t>CUST-0132</t>
        </is>
      </c>
      <c r="B133" s="70" t="inlineStr">
        <is>
          <t xml:space="preserve">  Ishaan Joshi</t>
        </is>
      </c>
      <c r="C133" s="72" t="n">
        <v>41</v>
      </c>
      <c r="D133" s="70" t="inlineStr">
        <is>
          <t>Delhi</t>
        </is>
      </c>
      <c r="E133" s="70" t="inlineStr">
        <is>
          <t>Retail</t>
        </is>
      </c>
      <c r="F133" s="71" t="n">
        <v>44754</v>
      </c>
    </row>
    <row r="134" ht="14.25" customHeight="1" s="56">
      <c r="A134" s="70" t="inlineStr">
        <is>
          <t>CUST-0133</t>
        </is>
      </c>
      <c r="B134" s="70" t="inlineStr">
        <is>
          <t>Iraa Kumar</t>
        </is>
      </c>
      <c r="C134" s="72" t="n">
        <v>26</v>
      </c>
      <c r="D134" s="70" t="inlineStr">
        <is>
          <t>Chennai</t>
        </is>
      </c>
      <c r="E134" s="70" t="inlineStr">
        <is>
          <t>Retail</t>
        </is>
      </c>
      <c r="F134" s="71" t="n">
        <v>43837</v>
      </c>
    </row>
    <row r="135" ht="14.25" customHeight="1" s="56">
      <c r="A135" s="70" t="inlineStr">
        <is>
          <t>CUST-0134</t>
        </is>
      </c>
      <c r="B135" s="70" t="inlineStr">
        <is>
          <t>Ritvik Shah</t>
        </is>
      </c>
      <c r="C135" s="72" t="n">
        <v>40</v>
      </c>
      <c r="D135" s="70" t="inlineStr">
        <is>
          <t>Delhi</t>
        </is>
      </c>
      <c r="E135" s="70" t="inlineStr">
        <is>
          <t>Retail</t>
        </is>
      </c>
      <c r="F135" s="71" t="n">
        <v>45111</v>
      </c>
    </row>
    <row r="136" ht="14.25" customHeight="1" s="56">
      <c r="A136" s="70" t="inlineStr">
        <is>
          <t>CUST-0135</t>
        </is>
      </c>
      <c r="B136" s="70" t="inlineStr">
        <is>
          <t>Aarohi Mehta</t>
        </is>
      </c>
      <c r="C136" s="72" t="n">
        <v>24</v>
      </c>
      <c r="D136" s="70" t="inlineStr">
        <is>
          <t>Pune</t>
        </is>
      </c>
      <c r="E136" s="70" t="inlineStr">
        <is>
          <t>SMB</t>
        </is>
      </c>
      <c r="F136" s="71" t="n">
        <v>44673</v>
      </c>
    </row>
    <row r="137" ht="14.25" customHeight="1" s="56">
      <c r="A137" s="70" t="inlineStr">
        <is>
          <t>CUST-0136</t>
        </is>
      </c>
      <c r="B137" s="70" t="inlineStr">
        <is>
          <t>Arjun Shah</t>
        </is>
      </c>
      <c r="C137" s="72" t="n">
        <v>26</v>
      </c>
      <c r="D137" s="70" t="inlineStr">
        <is>
          <t>Chennai</t>
        </is>
      </c>
      <c r="E137" s="70" t="inlineStr">
        <is>
          <t>SMB</t>
        </is>
      </c>
      <c r="F137" s="71" t="n">
        <v>44122</v>
      </c>
    </row>
    <row r="138" ht="14.25" customHeight="1" s="56">
      <c r="A138" s="70" t="inlineStr">
        <is>
          <t>CUST-0137</t>
        </is>
      </c>
      <c r="B138" s="70" t="inlineStr">
        <is>
          <t>Kabir Shah</t>
        </is>
      </c>
      <c r="C138" s="72" t="n">
        <v>41</v>
      </c>
      <c r="D138" s="70" t="inlineStr">
        <is>
          <t>Mumbai</t>
        </is>
      </c>
      <c r="E138" s="70" t="inlineStr">
        <is>
          <t>Retail</t>
        </is>
      </c>
      <c r="F138" s="71" t="n">
        <v>44946</v>
      </c>
    </row>
    <row r="139" ht="14.25" customHeight="1" s="56">
      <c r="A139" s="70" t="inlineStr">
        <is>
          <t>CUST-0138</t>
        </is>
      </c>
      <c r="B139" s="70" t="inlineStr">
        <is>
          <t>Riya Desai</t>
        </is>
      </c>
      <c r="C139" s="72" t="n">
        <v>24</v>
      </c>
      <c r="D139" s="70" t="inlineStr">
        <is>
          <t>Chennai</t>
        </is>
      </c>
      <c r="E139" s="70" t="inlineStr">
        <is>
          <t>Retail</t>
        </is>
      </c>
      <c r="F139" s="71" t="n">
        <v>43955</v>
      </c>
    </row>
    <row r="140" ht="14.25" customHeight="1" s="56">
      <c r="A140" s="70" t="inlineStr">
        <is>
          <t>CUST-0139</t>
        </is>
      </c>
      <c r="B140" s="70" t="inlineStr">
        <is>
          <t>Aadhya Kumar</t>
        </is>
      </c>
      <c r="C140" s="72" t="n">
        <v>65</v>
      </c>
      <c r="D140" s="70" t="inlineStr">
        <is>
          <t>Hyderabad</t>
        </is>
      </c>
      <c r="E140" s="70" t="inlineStr">
        <is>
          <t>SMB</t>
        </is>
      </c>
      <c r="F140" s="71" t="n">
        <v>43997</v>
      </c>
    </row>
    <row r="141" ht="14.25" customHeight="1" s="56">
      <c r="A141" s="70" t="inlineStr">
        <is>
          <t>CUST-0140</t>
        </is>
      </c>
      <c r="B141" s="70" t="inlineStr">
        <is>
          <t>Kavya Kumar</t>
        </is>
      </c>
      <c r="C141" s="72" t="n">
        <v>39</v>
      </c>
      <c r="D141" s="70" t="inlineStr">
        <is>
          <t>Hyderabad</t>
        </is>
      </c>
      <c r="E141" s="70" t="inlineStr">
        <is>
          <t>SMB</t>
        </is>
      </c>
      <c r="F141" s="71" t="n">
        <v>43854</v>
      </c>
    </row>
    <row r="142" ht="14.25" customHeight="1" s="56">
      <c r="A142" s="70" t="inlineStr">
        <is>
          <t>CUST-0141</t>
        </is>
      </c>
      <c r="B142" s="70" t="inlineStr">
        <is>
          <t>Ishaan Verma</t>
        </is>
      </c>
      <c r="C142" s="72" t="n">
        <v>22</v>
      </c>
      <c r="D142" s="70" t="inlineStr">
        <is>
          <t>Hyderabad</t>
        </is>
      </c>
      <c r="E142" s="70" t="inlineStr">
        <is>
          <t>Corporate</t>
        </is>
      </c>
      <c r="F142" s="71" t="n">
        <v>45069</v>
      </c>
    </row>
    <row r="143" ht="14.25" customHeight="1" s="56">
      <c r="A143" s="70" t="inlineStr">
        <is>
          <t>CUST-0142</t>
        </is>
      </c>
      <c r="B143" s="70" t="inlineStr">
        <is>
          <t>Aditya Bhatt</t>
        </is>
      </c>
      <c r="C143" s="72" t="n">
        <v>55</v>
      </c>
      <c r="D143" s="70" t="inlineStr">
        <is>
          <t>chennai</t>
        </is>
      </c>
      <c r="E143" s="70" t="inlineStr">
        <is>
          <t>Corporate</t>
        </is>
      </c>
      <c r="F143" s="71" t="n">
        <v>44597</v>
      </c>
    </row>
    <row r="144" ht="14.25" customHeight="1" s="56">
      <c r="A144" s="70" t="inlineStr">
        <is>
          <t>CUST-0143</t>
        </is>
      </c>
      <c r="B144" s="70" t="inlineStr">
        <is>
          <t>Karan Gupta</t>
        </is>
      </c>
      <c r="C144" s="72" t="n">
        <v>52</v>
      </c>
      <c r="D144" s="70" t="inlineStr">
        <is>
          <t>Chennai</t>
        </is>
      </c>
      <c r="E144" s="70" t="inlineStr">
        <is>
          <t>SMB</t>
        </is>
      </c>
      <c r="F144" s="71" t="n">
        <v>44194</v>
      </c>
    </row>
    <row r="145" ht="14.25" customHeight="1" s="56">
      <c r="A145" s="70" t="inlineStr">
        <is>
          <t>CUST-0144</t>
        </is>
      </c>
      <c r="B145" s="70" t="inlineStr">
        <is>
          <t xml:space="preserve">  Kavita Shah</t>
        </is>
      </c>
      <c r="C145" s="72" t="n">
        <v>49</v>
      </c>
      <c r="D145" s="70" t="inlineStr">
        <is>
          <t>Chennai</t>
        </is>
      </c>
      <c r="E145" s="70" t="inlineStr">
        <is>
          <t>Retail</t>
        </is>
      </c>
      <c r="F145" s="71" t="n">
        <v>44931</v>
      </c>
    </row>
    <row r="146" ht="14.25" customHeight="1" s="56">
      <c r="A146" s="70" t="inlineStr">
        <is>
          <t>CUST-0145</t>
        </is>
      </c>
      <c r="B146" s="70" t="inlineStr">
        <is>
          <t>Anika Bhatt</t>
        </is>
      </c>
      <c r="C146" s="72" t="n">
        <v>44</v>
      </c>
      <c r="D146" s="70" t="inlineStr">
        <is>
          <t>Bengaluru</t>
        </is>
      </c>
      <c r="E146" s="70" t="inlineStr">
        <is>
          <t>SMB</t>
        </is>
      </c>
      <c r="F146" s="71" t="n">
        <v>44009</v>
      </c>
    </row>
    <row r="147" ht="14.25" customHeight="1" s="56">
      <c r="A147" s="70" t="inlineStr">
        <is>
          <t>CUST-0146</t>
        </is>
      </c>
      <c r="B147" s="70" t="inlineStr">
        <is>
          <t xml:space="preserve">Riya Kapoor   </t>
        </is>
      </c>
      <c r="C147" s="72" t="n">
        <v>22</v>
      </c>
      <c r="D147" s="70" t="inlineStr">
        <is>
          <t>Hyderabad</t>
        </is>
      </c>
      <c r="E147" s="70" t="inlineStr">
        <is>
          <t>Retail</t>
        </is>
      </c>
      <c r="F147" s="71" t="n">
        <v>44681</v>
      </c>
    </row>
    <row r="148" ht="14.25" customHeight="1" s="56">
      <c r="A148" s="70" t="inlineStr">
        <is>
          <t>CUST-0147</t>
        </is>
      </c>
      <c r="B148" s="70" t="inlineStr">
        <is>
          <t>Aarohi Iyer</t>
        </is>
      </c>
      <c r="C148" s="72" t="n">
        <v>56</v>
      </c>
      <c r="D148" s="70" t="inlineStr">
        <is>
          <t>Pune</t>
        </is>
      </c>
      <c r="E148" s="70" t="inlineStr">
        <is>
          <t>Retail</t>
        </is>
      </c>
      <c r="F148" s="71" t="n">
        <v>44644</v>
      </c>
    </row>
    <row r="149" ht="14.25" customHeight="1" s="56">
      <c r="A149" s="70" t="inlineStr">
        <is>
          <t>CUST-0148</t>
        </is>
      </c>
      <c r="B149" s="70" t="inlineStr">
        <is>
          <t>Advik Menon</t>
        </is>
      </c>
      <c r="C149" s="72" t="n">
        <v>32</v>
      </c>
      <c r="D149" s="70" t="inlineStr">
        <is>
          <t>Chennai</t>
        </is>
      </c>
      <c r="E149" s="70" t="inlineStr">
        <is>
          <t>Retail</t>
        </is>
      </c>
      <c r="F149" s="71" t="n">
        <v>44014</v>
      </c>
    </row>
    <row r="150" ht="14.25" customHeight="1" s="56">
      <c r="A150" s="70" t="inlineStr">
        <is>
          <t>CUST-0149</t>
        </is>
      </c>
      <c r="B150" s="70" t="inlineStr">
        <is>
          <t>Sanvi Menon</t>
        </is>
      </c>
      <c r="C150" s="72" t="n">
        <v>44</v>
      </c>
      <c r="D150" s="70" t="inlineStr">
        <is>
          <t>HYDERABAD</t>
        </is>
      </c>
      <c r="E150" s="70" t="inlineStr">
        <is>
          <t>Retail</t>
        </is>
      </c>
      <c r="F150" s="71" t="n">
        <v>44390</v>
      </c>
    </row>
    <row r="151" ht="14.25" customHeight="1" s="56">
      <c r="A151" s="70" t="inlineStr">
        <is>
          <t>CUST-0150</t>
        </is>
      </c>
      <c r="B151" s="70" t="inlineStr">
        <is>
          <t>Aadhya Kumar</t>
        </is>
      </c>
      <c r="C151" s="72" t="n">
        <v>53</v>
      </c>
      <c r="D151" s="70" t="inlineStr">
        <is>
          <t>Pune</t>
        </is>
      </c>
      <c r="E151" s="70" t="inlineStr">
        <is>
          <t>SMB</t>
        </is>
      </c>
      <c r="F151" s="71" t="n">
        <v>45208</v>
      </c>
    </row>
    <row r="152" ht="14.25" customHeight="1" s="56">
      <c r="A152" s="70" t="inlineStr">
        <is>
          <t>CUST-0151</t>
        </is>
      </c>
      <c r="B152" s="70" t="inlineStr">
        <is>
          <t>Suresh Bhatt</t>
        </is>
      </c>
      <c r="C152" s="72" t="n">
        <v>53</v>
      </c>
      <c r="D152" s="70" t="inlineStr">
        <is>
          <t>Mumbai</t>
        </is>
      </c>
      <c r="E152" s="70" t="inlineStr">
        <is>
          <t>Retail</t>
        </is>
      </c>
      <c r="F152" s="71" t="n">
        <v>43999</v>
      </c>
    </row>
    <row r="153" ht="14.25" customHeight="1" s="56">
      <c r="A153" s="70" t="inlineStr">
        <is>
          <t>CUST-0152</t>
        </is>
      </c>
      <c r="B153" s="70" t="inlineStr">
        <is>
          <t>Aaradhya Verma</t>
        </is>
      </c>
      <c r="C153" s="72" t="n">
        <v>64</v>
      </c>
      <c r="D153" s="70" t="inlineStr">
        <is>
          <t>Bengaluru</t>
        </is>
      </c>
      <c r="E153" s="70" t="inlineStr">
        <is>
          <t>SMB</t>
        </is>
      </c>
      <c r="F153" s="71" t="n">
        <v>44209</v>
      </c>
    </row>
    <row r="154" ht="14.25" customHeight="1" s="56">
      <c r="A154" s="70" t="inlineStr">
        <is>
          <t>CUST-0153</t>
        </is>
      </c>
      <c r="B154" s="70" t="inlineStr">
        <is>
          <t>Ayaan Chopra</t>
        </is>
      </c>
      <c r="C154" s="72" t="n">
        <v>35</v>
      </c>
      <c r="D154" s="70" t="inlineStr">
        <is>
          <t>Mumbai</t>
        </is>
      </c>
      <c r="E154" s="70" t="inlineStr">
        <is>
          <t>Retail</t>
        </is>
      </c>
      <c r="F154" s="71" t="n">
        <v>44787</v>
      </c>
    </row>
    <row r="155" ht="14.25" customHeight="1" s="56">
      <c r="A155" s="70" t="inlineStr">
        <is>
          <t>CUST-0154</t>
        </is>
      </c>
      <c r="B155" s="70" t="inlineStr">
        <is>
          <t>Pari Desai</t>
        </is>
      </c>
      <c r="C155" s="72" t="n">
        <v>36</v>
      </c>
      <c r="D155" s="70" t="inlineStr">
        <is>
          <t>Pune</t>
        </is>
      </c>
      <c r="E155" s="70" t="inlineStr">
        <is>
          <t>Retail</t>
        </is>
      </c>
      <c r="F155" s="71" t="n">
        <v>44370</v>
      </c>
    </row>
    <row r="156" ht="14.25" customHeight="1" s="56">
      <c r="A156" s="70" t="inlineStr">
        <is>
          <t>CUST-0155</t>
        </is>
      </c>
      <c r="B156" s="70" t="inlineStr">
        <is>
          <t>Anvi Patel</t>
        </is>
      </c>
      <c r="C156" s="72" t="n">
        <v>40</v>
      </c>
      <c r="D156" s="70" t="inlineStr">
        <is>
          <t>Pune</t>
        </is>
      </c>
      <c r="E156" s="70" t="inlineStr">
        <is>
          <t>Corporate</t>
        </is>
      </c>
      <c r="F156" s="71" t="n">
        <v>44693</v>
      </c>
    </row>
    <row r="157" ht="14.25" customHeight="1" s="56">
      <c r="A157" s="70" t="inlineStr">
        <is>
          <t>CUST-0156</t>
        </is>
      </c>
      <c r="B157" s="70" t="inlineStr">
        <is>
          <t>Vihaan Kapoor</t>
        </is>
      </c>
      <c r="C157" s="72" t="n">
        <v>33</v>
      </c>
      <c r="D157" s="70" t="inlineStr">
        <is>
          <t>Mumbai</t>
        </is>
      </c>
      <c r="E157" s="70" t="inlineStr">
        <is>
          <t>Retail</t>
        </is>
      </c>
      <c r="F157" s="71" t="n">
        <v>45229</v>
      </c>
    </row>
    <row r="158" ht="14.25" customHeight="1" s="56">
      <c r="A158" s="70" t="inlineStr">
        <is>
          <t>CUST-0157</t>
        </is>
      </c>
      <c r="B158" s="70" t="inlineStr">
        <is>
          <t xml:space="preserve">Dhruv Kumar   </t>
        </is>
      </c>
      <c r="C158" s="72" t="n">
        <v>52</v>
      </c>
      <c r="D158" s="70" t="inlineStr">
        <is>
          <t>Pune</t>
        </is>
      </c>
      <c r="E158" s="70" t="inlineStr">
        <is>
          <t>Corporate</t>
        </is>
      </c>
      <c r="F158" s="71" t="n">
        <v>44896</v>
      </c>
    </row>
    <row r="159" ht="14.25" customHeight="1" s="56">
      <c r="A159" s="70" t="inlineStr">
        <is>
          <t>CUST-0158</t>
        </is>
      </c>
      <c r="B159" s="70" t="inlineStr">
        <is>
          <t>Pooja Reddy</t>
        </is>
      </c>
      <c r="C159" s="72" t="n">
        <v>42</v>
      </c>
      <c r="D159" s="70" t="inlineStr">
        <is>
          <t>Pune</t>
        </is>
      </c>
      <c r="E159" s="70" t="inlineStr">
        <is>
          <t>Corporate</t>
        </is>
      </c>
      <c r="F159" s="71" t="n">
        <v>44617</v>
      </c>
    </row>
    <row r="160" ht="14.25" customHeight="1" s="56">
      <c r="A160" s="70" t="inlineStr">
        <is>
          <t>CUST-0159</t>
        </is>
      </c>
      <c r="B160" s="70" t="inlineStr">
        <is>
          <t>Anaya Chopra</t>
        </is>
      </c>
      <c r="C160" s="72" t="n">
        <v>32</v>
      </c>
      <c r="D160" s="70" t="inlineStr">
        <is>
          <t>hyderabad</t>
        </is>
      </c>
      <c r="E160" s="70" t="inlineStr">
        <is>
          <t>Retail</t>
        </is>
      </c>
      <c r="F160" s="71" t="n">
        <v>44432</v>
      </c>
    </row>
    <row r="161" ht="14.25" customHeight="1" s="56">
      <c r="A161" s="70" t="inlineStr">
        <is>
          <t>CUST-0160</t>
        </is>
      </c>
      <c r="B161" s="70" t="inlineStr">
        <is>
          <t>Priya Joshi</t>
        </is>
      </c>
      <c r="C161" s="72" t="n">
        <v>27</v>
      </c>
      <c r="D161" s="70" t="inlineStr">
        <is>
          <t>Hyderabad</t>
        </is>
      </c>
      <c r="E161" s="70" t="inlineStr">
        <is>
          <t>Retail</t>
        </is>
      </c>
      <c r="F161" s="71" t="n">
        <v>44481</v>
      </c>
    </row>
    <row r="162" ht="14.25" customHeight="1" s="56">
      <c r="A162" s="70" t="inlineStr">
        <is>
          <t>CUST-0161</t>
        </is>
      </c>
      <c r="B162" s="70" t="inlineStr">
        <is>
          <t>Krishna Reddy</t>
        </is>
      </c>
      <c r="C162" s="72" t="n">
        <v>38</v>
      </c>
      <c r="D162" s="70" t="inlineStr">
        <is>
          <t>Chennai</t>
        </is>
      </c>
      <c r="E162" s="70" t="inlineStr">
        <is>
          <t>Retail</t>
        </is>
      </c>
      <c r="F162" s="71" t="n">
        <v>43880</v>
      </c>
    </row>
    <row r="163" ht="14.25" customHeight="1" s="56">
      <c r="A163" s="70" t="inlineStr">
        <is>
          <t>CUST-0162</t>
        </is>
      </c>
      <c r="B163" s="70" t="inlineStr">
        <is>
          <t>Meera Malhotra</t>
        </is>
      </c>
      <c r="C163" s="72" t="n">
        <v>35</v>
      </c>
      <c r="D163" s="70" t="inlineStr">
        <is>
          <t>Mumbai</t>
        </is>
      </c>
      <c r="E163" s="70" t="inlineStr">
        <is>
          <t>Corporate</t>
        </is>
      </c>
      <c r="F163" s="71" t="n">
        <v>44741</v>
      </c>
    </row>
    <row r="164" ht="14.25" customHeight="1" s="56">
      <c r="A164" s="70" t="inlineStr">
        <is>
          <t>CUST-0163</t>
        </is>
      </c>
      <c r="B164" s="70" t="inlineStr">
        <is>
          <t>Angel Gupta</t>
        </is>
      </c>
      <c r="C164" s="72" t="n">
        <v>49</v>
      </c>
      <c r="D164" s="70" t="inlineStr">
        <is>
          <t>Pune</t>
        </is>
      </c>
      <c r="E164" s="70" t="inlineStr">
        <is>
          <t>Retail</t>
        </is>
      </c>
      <c r="F164" s="71" t="n">
        <v>44971</v>
      </c>
    </row>
    <row r="165" ht="14.25" customHeight="1" s="56">
      <c r="A165" s="70" t="inlineStr">
        <is>
          <t>CUST-0164</t>
        </is>
      </c>
      <c r="B165" s="70" t="inlineStr">
        <is>
          <t>Neha Malhotra</t>
        </is>
      </c>
      <c r="C165" s="72" t="n">
        <v>60</v>
      </c>
      <c r="D165" s="70" t="inlineStr">
        <is>
          <t>Chennai</t>
        </is>
      </c>
      <c r="E165" s="70" t="inlineStr">
        <is>
          <t>Retail</t>
        </is>
      </c>
      <c r="F165" s="71" t="n">
        <v>44739</v>
      </c>
    </row>
    <row r="166" ht="14.25" customHeight="1" s="56">
      <c r="A166" s="70" t="inlineStr">
        <is>
          <t>CUST-0165</t>
        </is>
      </c>
      <c r="B166" s="70" t="inlineStr">
        <is>
          <t>Advik Kumar</t>
        </is>
      </c>
      <c r="C166" s="72" t="n">
        <v>29</v>
      </c>
      <c r="D166" s="70" t="inlineStr">
        <is>
          <t>Pune</t>
        </is>
      </c>
      <c r="E166" s="70" t="inlineStr">
        <is>
          <t>Retail</t>
        </is>
      </c>
      <c r="F166" s="71" t="n">
        <v>44046</v>
      </c>
    </row>
    <row r="167" ht="14.25" customHeight="1" s="56">
      <c r="A167" s="70" t="inlineStr">
        <is>
          <t>CUST-0166</t>
        </is>
      </c>
      <c r="B167" s="70" t="inlineStr">
        <is>
          <t>Neha Kumar</t>
        </is>
      </c>
      <c r="C167" s="72" t="n">
        <v>31</v>
      </c>
      <c r="D167" s="70" t="inlineStr">
        <is>
          <t>Hyderabad</t>
        </is>
      </c>
      <c r="E167" s="70" t="inlineStr">
        <is>
          <t>Retail</t>
        </is>
      </c>
      <c r="F167" s="71" t="n">
        <v>44331</v>
      </c>
    </row>
    <row r="168" ht="14.25" customHeight="1" s="56">
      <c r="A168" s="70" t="inlineStr">
        <is>
          <t>CUST-0167</t>
        </is>
      </c>
      <c r="B168" s="70" t="inlineStr">
        <is>
          <t>Kartik Patel</t>
        </is>
      </c>
      <c r="C168" s="72" t="n">
        <v>43</v>
      </c>
      <c r="D168" s="70" t="inlineStr">
        <is>
          <t>Delhi</t>
        </is>
      </c>
      <c r="E168" s="70" t="inlineStr">
        <is>
          <t>Retail</t>
        </is>
      </c>
      <c r="F168" s="71" t="n">
        <v>44891</v>
      </c>
    </row>
    <row r="169" ht="14.25" customHeight="1" s="56">
      <c r="A169" s="70" t="inlineStr">
        <is>
          <t>CUST-0168</t>
        </is>
      </c>
      <c r="B169" s="70" t="inlineStr">
        <is>
          <t>Vivaan Kumar</t>
        </is>
      </c>
      <c r="C169" s="72" t="n">
        <v>25</v>
      </c>
      <c r="D169" s="70" t="inlineStr">
        <is>
          <t>Pune</t>
        </is>
      </c>
      <c r="E169" s="70" t="inlineStr">
        <is>
          <t>Retail</t>
        </is>
      </c>
      <c r="F169" s="71" t="n">
        <v>44406</v>
      </c>
    </row>
    <row r="170" ht="14.25" customHeight="1" s="56">
      <c r="A170" s="70" t="inlineStr">
        <is>
          <t>CUST-0169</t>
        </is>
      </c>
      <c r="B170" s="70" t="inlineStr">
        <is>
          <t>Reyansh Verma</t>
        </is>
      </c>
      <c r="C170" s="72" t="n">
        <v>42</v>
      </c>
      <c r="D170" s="70" t="inlineStr">
        <is>
          <t>Bengaluru</t>
        </is>
      </c>
      <c r="E170" s="70" t="inlineStr">
        <is>
          <t>SMB</t>
        </is>
      </c>
      <c r="F170" s="71" t="n">
        <v>45072</v>
      </c>
    </row>
    <row r="171" ht="14.25" customHeight="1" s="56">
      <c r="A171" s="70" t="inlineStr">
        <is>
          <t>CUST-0170</t>
        </is>
      </c>
      <c r="B171" s="70" t="inlineStr">
        <is>
          <t>Vihaan Gupta</t>
        </is>
      </c>
      <c r="C171" s="72" t="n">
        <v>22</v>
      </c>
      <c r="D171" s="70" t="inlineStr">
        <is>
          <t>Mumbai</t>
        </is>
      </c>
      <c r="E171" s="70" t="inlineStr">
        <is>
          <t>SMB</t>
        </is>
      </c>
      <c r="F171" s="71" t="n">
        <v>45110</v>
      </c>
    </row>
    <row r="172" ht="14.25" customHeight="1" s="56">
      <c r="A172" s="70" t="inlineStr">
        <is>
          <t>CUST-0171</t>
        </is>
      </c>
      <c r="B172" s="70" t="inlineStr">
        <is>
          <t>Aarav Iyer</t>
        </is>
      </c>
      <c r="C172" s="72" t="n">
        <v>30</v>
      </c>
      <c r="D172" s="70" t="inlineStr">
        <is>
          <t>Chennai</t>
        </is>
      </c>
      <c r="E172" s="70" t="inlineStr">
        <is>
          <t>Corporate</t>
        </is>
      </c>
      <c r="F172" s="71" t="n">
        <v>44540</v>
      </c>
    </row>
    <row r="173" ht="14.25" customHeight="1" s="56">
      <c r="A173" s="70" t="inlineStr">
        <is>
          <t>CUST-0172</t>
        </is>
      </c>
      <c r="B173" s="70" t="inlineStr">
        <is>
          <t>Aarav Singh</t>
        </is>
      </c>
      <c r="C173" s="72" t="n">
        <v>65</v>
      </c>
      <c r="D173" s="70" t="inlineStr">
        <is>
          <t>Pune</t>
        </is>
      </c>
      <c r="E173" s="70" t="inlineStr">
        <is>
          <t>Retail</t>
        </is>
      </c>
      <c r="F173" s="71" t="n">
        <v>44918</v>
      </c>
    </row>
    <row r="174" ht="14.25" customHeight="1" s="56">
      <c r="A174" s="70" t="inlineStr">
        <is>
          <t>CUST-0173</t>
        </is>
      </c>
      <c r="B174" s="70" t="inlineStr">
        <is>
          <t>Aditya Chopra</t>
        </is>
      </c>
      <c r="C174" s="72" t="n">
        <v>65</v>
      </c>
      <c r="D174" s="70" t="inlineStr">
        <is>
          <t>Mumbai</t>
        </is>
      </c>
      <c r="E174" s="70" t="inlineStr">
        <is>
          <t>Retail</t>
        </is>
      </c>
      <c r="F174" s="71" t="n">
        <v>44342</v>
      </c>
    </row>
    <row r="175" ht="14.25" customHeight="1" s="56">
      <c r="A175" s="70" t="inlineStr">
        <is>
          <t>CUST-0174</t>
        </is>
      </c>
      <c r="B175" s="70" t="inlineStr">
        <is>
          <t>Kiara Singh</t>
        </is>
      </c>
      <c r="C175" s="72" t="n">
        <v>54</v>
      </c>
      <c r="D175" s="70" t="inlineStr">
        <is>
          <t>Pune</t>
        </is>
      </c>
      <c r="E175" s="70" t="inlineStr">
        <is>
          <t>Retail</t>
        </is>
      </c>
      <c r="F175" s="71" t="n">
        <v>44609</v>
      </c>
    </row>
    <row r="176" ht="14.25" customHeight="1" s="56">
      <c r="A176" s="70" t="inlineStr">
        <is>
          <t>CUST-0175</t>
        </is>
      </c>
      <c r="B176" s="70" t="inlineStr">
        <is>
          <t>Sanvi Agarwal</t>
        </is>
      </c>
      <c r="C176" s="72" t="n">
        <v>55</v>
      </c>
      <c r="D176" s="70" t="inlineStr">
        <is>
          <t>Delhi</t>
        </is>
      </c>
      <c r="E176" s="70" t="inlineStr">
        <is>
          <t>Corporate</t>
        </is>
      </c>
      <c r="F176" s="71" t="n">
        <v>44423</v>
      </c>
    </row>
    <row r="177" ht="14.25" customHeight="1" s="56">
      <c r="A177" s="70" t="inlineStr">
        <is>
          <t>CUST-0176</t>
        </is>
      </c>
      <c r="B177" s="70" t="inlineStr">
        <is>
          <t>Suresh Nair</t>
        </is>
      </c>
      <c r="C177" s="72" t="n">
        <v>34</v>
      </c>
      <c r="D177" s="70" t="inlineStr">
        <is>
          <t>Bengaluru</t>
        </is>
      </c>
      <c r="E177" s="70" t="inlineStr">
        <is>
          <t>SMB</t>
        </is>
      </c>
      <c r="F177" s="71" t="n">
        <v>44091</v>
      </c>
    </row>
    <row r="178" ht="14.25" customHeight="1" s="56">
      <c r="A178" s="70" t="inlineStr">
        <is>
          <t>CUST-0177</t>
        </is>
      </c>
      <c r="B178" s="70" t="inlineStr">
        <is>
          <t>Iraa Kapoor</t>
        </is>
      </c>
      <c r="C178" s="72" t="n">
        <v>36</v>
      </c>
      <c r="D178" s="70" t="inlineStr">
        <is>
          <t>Mumbai</t>
        </is>
      </c>
      <c r="E178" s="70" t="inlineStr">
        <is>
          <t>SMB</t>
        </is>
      </c>
      <c r="F178" s="71" t="n">
        <v>44589</v>
      </c>
    </row>
    <row r="179" ht="14.25" customHeight="1" s="56">
      <c r="A179" s="70" t="inlineStr">
        <is>
          <t>CUST-0178</t>
        </is>
      </c>
      <c r="B179" s="70" t="inlineStr">
        <is>
          <t>Sara Desai</t>
        </is>
      </c>
      <c r="C179" s="72" t="n">
        <v>25</v>
      </c>
      <c r="D179" s="70" t="inlineStr">
        <is>
          <t>Hyderabad</t>
        </is>
      </c>
      <c r="E179" s="70" t="inlineStr">
        <is>
          <t>Retail</t>
        </is>
      </c>
      <c r="F179" s="71" t="n">
        <v>45164</v>
      </c>
    </row>
    <row r="180" ht="14.25" customHeight="1" s="56">
      <c r="A180" s="70" t="inlineStr">
        <is>
          <t>CUST-0179</t>
        </is>
      </c>
      <c r="B180" s="70" t="inlineStr">
        <is>
          <t>Vivaan Gupta</t>
        </is>
      </c>
      <c r="C180" s="72" t="n">
        <v>54</v>
      </c>
      <c r="D180" s="70" t="inlineStr">
        <is>
          <t>Mumbai</t>
        </is>
      </c>
      <c r="E180" s="70" t="inlineStr">
        <is>
          <t>SMB</t>
        </is>
      </c>
      <c r="F180" s="71" t="n">
        <v>44959</v>
      </c>
    </row>
    <row r="181" ht="14.25" customHeight="1" s="56">
      <c r="A181" s="70" t="inlineStr">
        <is>
          <t>CUST-0180</t>
        </is>
      </c>
      <c r="B181" s="70" t="inlineStr">
        <is>
          <t>Amit Chopra</t>
        </is>
      </c>
      <c r="C181" s="72" t="n">
        <v>36</v>
      </c>
      <c r="D181" s="70" t="inlineStr">
        <is>
          <t>Chennai</t>
        </is>
      </c>
      <c r="E181" s="70" t="inlineStr">
        <is>
          <t>Retail</t>
        </is>
      </c>
      <c r="F181" s="71" t="n">
        <v>45172</v>
      </c>
    </row>
    <row r="182" ht="14.25" customHeight="1" s="56">
      <c r="A182" s="70" t="inlineStr">
        <is>
          <t>CUST-0181</t>
        </is>
      </c>
      <c r="B182" s="70" t="inlineStr">
        <is>
          <t>Kabir Desai</t>
        </is>
      </c>
      <c r="C182" s="72" t="n">
        <v>38</v>
      </c>
      <c r="D182" s="70" t="inlineStr">
        <is>
          <t>Delhi</t>
        </is>
      </c>
      <c r="E182" s="70" t="inlineStr">
        <is>
          <t>SMB</t>
        </is>
      </c>
      <c r="F182" s="71" t="n">
        <v>44245</v>
      </c>
    </row>
    <row r="183" ht="14.25" customHeight="1" s="56">
      <c r="A183" s="70" t="inlineStr">
        <is>
          <t>CUST-0182</t>
        </is>
      </c>
      <c r="B183" s="70" t="inlineStr">
        <is>
          <t>Aaradhya Malhotra</t>
        </is>
      </c>
      <c r="C183" s="72" t="n">
        <v>54</v>
      </c>
      <c r="D183" s="70" t="inlineStr">
        <is>
          <t>Mumbai</t>
        </is>
      </c>
      <c r="E183" s="70" t="inlineStr">
        <is>
          <t>Retail</t>
        </is>
      </c>
      <c r="F183" s="71" t="n">
        <v>43942</v>
      </c>
    </row>
    <row r="184" ht="14.25" customHeight="1" s="56">
      <c r="A184" s="70" t="inlineStr">
        <is>
          <t>CUST-0183</t>
        </is>
      </c>
      <c r="B184" s="70" t="inlineStr">
        <is>
          <t>Anika Mehta</t>
        </is>
      </c>
      <c r="C184" s="72" t="n">
        <v>27</v>
      </c>
      <c r="D184" s="70" t="inlineStr">
        <is>
          <t>Mumbai</t>
        </is>
      </c>
      <c r="E184" s="70" t="inlineStr">
        <is>
          <t>SMB</t>
        </is>
      </c>
      <c r="F184" s="71" t="n">
        <v>43936</v>
      </c>
    </row>
    <row r="185" ht="14.25" customHeight="1" s="56">
      <c r="A185" s="70" t="inlineStr">
        <is>
          <t>CUST-0184</t>
        </is>
      </c>
      <c r="B185" s="70" t="inlineStr">
        <is>
          <t>Aadhya Kapoor</t>
        </is>
      </c>
      <c r="C185" s="72" t="n">
        <v>63</v>
      </c>
      <c r="D185" s="70" t="inlineStr">
        <is>
          <t>Pune</t>
        </is>
      </c>
      <c r="E185" s="70" t="inlineStr">
        <is>
          <t>Retail</t>
        </is>
      </c>
      <c r="F185" s="71" t="n">
        <v>44642</v>
      </c>
    </row>
    <row r="186" ht="14.25" customHeight="1" s="56">
      <c r="A186" s="70" t="inlineStr">
        <is>
          <t>CUST-0185</t>
        </is>
      </c>
      <c r="B186" s="70" t="inlineStr">
        <is>
          <t>Advik Agarwal</t>
        </is>
      </c>
      <c r="C186" s="72" t="n">
        <v>43</v>
      </c>
      <c r="D186" s="70" t="inlineStr">
        <is>
          <t>Hyderabad</t>
        </is>
      </c>
      <c r="E186" s="70" t="inlineStr">
        <is>
          <t>SMB</t>
        </is>
      </c>
      <c r="F186" s="71" t="n">
        <v>44140</v>
      </c>
    </row>
    <row r="187" ht="14.25" customHeight="1" s="56">
      <c r="A187" s="70" t="inlineStr">
        <is>
          <t>CUST-0186</t>
        </is>
      </c>
      <c r="B187" s="70" t="inlineStr">
        <is>
          <t>Aditya Chopra</t>
        </is>
      </c>
      <c r="C187" s="72" t="n">
        <v>42</v>
      </c>
      <c r="D187" s="70" t="inlineStr">
        <is>
          <t>Bengaluru</t>
        </is>
      </c>
      <c r="E187" s="70" t="inlineStr">
        <is>
          <t>Retail</t>
        </is>
      </c>
      <c r="F187" s="71" t="n">
        <v>45162</v>
      </c>
    </row>
    <row r="188" ht="14.25" customHeight="1" s="56">
      <c r="A188" s="70" t="inlineStr">
        <is>
          <t>CUST-0187</t>
        </is>
      </c>
      <c r="B188" s="70" t="inlineStr">
        <is>
          <t>Navya Rao</t>
        </is>
      </c>
      <c r="C188" s="72" t="n">
        <v>51</v>
      </c>
      <c r="D188" s="70" t="inlineStr">
        <is>
          <t>Chennai</t>
        </is>
      </c>
      <c r="E188" s="70" t="inlineStr">
        <is>
          <t>SMB</t>
        </is>
      </c>
      <c r="F188" s="71" t="n">
        <v>43918</v>
      </c>
    </row>
    <row r="189" ht="14.25" customHeight="1" s="56">
      <c r="A189" s="70" t="inlineStr">
        <is>
          <t>CUST-0188</t>
        </is>
      </c>
      <c r="B189" s="70" t="inlineStr">
        <is>
          <t>Rohit Chopra</t>
        </is>
      </c>
      <c r="C189" s="72" t="n">
        <v>54</v>
      </c>
      <c r="D189" s="70" t="inlineStr">
        <is>
          <t>Bengaluru</t>
        </is>
      </c>
      <c r="E189" s="70" t="inlineStr">
        <is>
          <t>Retail</t>
        </is>
      </c>
      <c r="F189" s="71" t="n">
        <v>44476</v>
      </c>
    </row>
    <row r="190" ht="14.25" customHeight="1" s="56">
      <c r="A190" s="70" t="inlineStr">
        <is>
          <t>CUST-0189</t>
        </is>
      </c>
      <c r="B190" s="70" t="inlineStr">
        <is>
          <t>Kabir Joshi</t>
        </is>
      </c>
      <c r="C190" s="72" t="n">
        <v>41</v>
      </c>
      <c r="D190" s="70" t="inlineStr">
        <is>
          <t>Chennai</t>
        </is>
      </c>
      <c r="E190" s="70" t="inlineStr">
        <is>
          <t>Retail</t>
        </is>
      </c>
      <c r="F190" s="71" t="n">
        <v>44392</v>
      </c>
    </row>
    <row r="191" ht="14.25" customHeight="1" s="56">
      <c r="A191" s="70" t="inlineStr">
        <is>
          <t>CUST-0190</t>
        </is>
      </c>
      <c r="B191" s="70" t="inlineStr">
        <is>
          <t>Kartik Kumar</t>
        </is>
      </c>
      <c r="C191" s="72" t="n">
        <v>52</v>
      </c>
      <c r="D191" s="70" t="inlineStr">
        <is>
          <t>Hyderabad</t>
        </is>
      </c>
      <c r="E191" s="70" t="inlineStr">
        <is>
          <t>Retail</t>
        </is>
      </c>
      <c r="F191" s="71" t="n">
        <v>44668</v>
      </c>
    </row>
    <row r="192" ht="14.25" customHeight="1" s="56">
      <c r="A192" s="70" t="inlineStr">
        <is>
          <t>CUST-0191</t>
        </is>
      </c>
      <c r="B192" s="70" t="inlineStr">
        <is>
          <t>Riya Verma</t>
        </is>
      </c>
      <c r="C192" s="72" t="n">
        <v>43</v>
      </c>
      <c r="D192" s="70" t="inlineStr">
        <is>
          <t>Hyderabad</t>
        </is>
      </c>
      <c r="E192" s="70" t="inlineStr">
        <is>
          <t>SMB</t>
        </is>
      </c>
      <c r="F192" s="71" t="n">
        <v>44080</v>
      </c>
    </row>
    <row r="193" ht="14.25" customHeight="1" s="56">
      <c r="A193" s="70" t="inlineStr">
        <is>
          <t>CUST-0192</t>
        </is>
      </c>
      <c r="B193" s="70" t="inlineStr">
        <is>
          <t>Anaya Sharma</t>
        </is>
      </c>
      <c r="C193" s="72" t="n">
        <v>55</v>
      </c>
      <c r="D193" s="70" t="inlineStr">
        <is>
          <t>Bengaluru</t>
        </is>
      </c>
      <c r="E193" s="70" t="inlineStr">
        <is>
          <t>Retail</t>
        </is>
      </c>
      <c r="F193" s="71" t="n">
        <v>44663</v>
      </c>
    </row>
    <row r="194" ht="14.25" customHeight="1" s="56">
      <c r="A194" s="70" t="inlineStr">
        <is>
          <t>CUST-0193</t>
        </is>
      </c>
      <c r="B194" s="70" t="inlineStr">
        <is>
          <t>Aryan Menon</t>
        </is>
      </c>
      <c r="C194" s="72" t="n">
        <v>42</v>
      </c>
      <c r="D194" s="70" t="inlineStr">
        <is>
          <t>Bengaluru</t>
        </is>
      </c>
      <c r="E194" s="70" t="inlineStr">
        <is>
          <t>Retail</t>
        </is>
      </c>
      <c r="F194" s="71" t="n">
        <v>43886</v>
      </c>
    </row>
    <row r="195" ht="14.25" customHeight="1" s="56">
      <c r="A195" s="70" t="inlineStr">
        <is>
          <t>CUST-0194</t>
        </is>
      </c>
      <c r="B195" s="70" t="inlineStr">
        <is>
          <t>Rahul Rao</t>
        </is>
      </c>
      <c r="C195" s="72" t="n">
        <v>55</v>
      </c>
      <c r="D195" s="70" t="inlineStr">
        <is>
          <t>Delhi</t>
        </is>
      </c>
      <c r="E195" s="70" t="inlineStr">
        <is>
          <t>SMB</t>
        </is>
      </c>
      <c r="F195" s="71" t="n">
        <v>43869</v>
      </c>
    </row>
    <row r="196" ht="14.25" customHeight="1" s="56">
      <c r="A196" s="70" t="inlineStr">
        <is>
          <t>CUST-0195</t>
        </is>
      </c>
      <c r="B196" s="70" t="inlineStr">
        <is>
          <t xml:space="preserve"> Shaurya Rao </t>
        </is>
      </c>
      <c r="C196" s="72" t="n">
        <v>28</v>
      </c>
      <c r="D196" s="70" t="inlineStr">
        <is>
          <t>Bengaluru</t>
        </is>
      </c>
      <c r="E196" s="70" t="inlineStr">
        <is>
          <t>Retail</t>
        </is>
      </c>
      <c r="F196" s="71" t="n">
        <v>44056</v>
      </c>
    </row>
    <row r="197" ht="14.25" customHeight="1" s="56">
      <c r="A197" s="70" t="inlineStr">
        <is>
          <t>CUST-0196</t>
        </is>
      </c>
      <c r="B197" s="70" t="inlineStr">
        <is>
          <t>Rahul Singh</t>
        </is>
      </c>
      <c r="C197" s="72" t="n">
        <v>26</v>
      </c>
      <c r="D197" s="70" t="inlineStr">
        <is>
          <t>Chennai</t>
        </is>
      </c>
      <c r="E197" s="70" t="inlineStr">
        <is>
          <t>Retail</t>
        </is>
      </c>
      <c r="F197" s="71" t="n">
        <v>44738</v>
      </c>
    </row>
    <row r="198" ht="14.25" customHeight="1" s="56">
      <c r="A198" s="70" t="inlineStr">
        <is>
          <t>CUST-0197</t>
        </is>
      </c>
      <c r="B198" s="70" t="inlineStr">
        <is>
          <t>Vijay Shah</t>
        </is>
      </c>
      <c r="C198" s="72" t="n">
        <v>55</v>
      </c>
      <c r="D198" s="70" t="inlineStr">
        <is>
          <t>Bengaluru</t>
        </is>
      </c>
      <c r="E198" s="70" t="inlineStr">
        <is>
          <t>Retail</t>
        </is>
      </c>
      <c r="F198" s="71" t="n">
        <v>44715</v>
      </c>
    </row>
    <row r="199" ht="14.25" customHeight="1" s="56">
      <c r="A199" s="70" t="inlineStr">
        <is>
          <t>CUST-0198</t>
        </is>
      </c>
      <c r="B199" s="70" t="inlineStr">
        <is>
          <t>Karan Agarwal</t>
        </is>
      </c>
      <c r="C199" s="72" t="n">
        <v>22</v>
      </c>
      <c r="D199" s="70" t="inlineStr">
        <is>
          <t>Chennai</t>
        </is>
      </c>
      <c r="E199" s="70" t="inlineStr">
        <is>
          <t>Corporate</t>
        </is>
      </c>
      <c r="F199" s="71" t="n">
        <v>44907</v>
      </c>
    </row>
    <row r="200" ht="14.25" customHeight="1" s="56">
      <c r="A200" s="70" t="inlineStr">
        <is>
          <t>CUST-0199</t>
        </is>
      </c>
      <c r="B200" s="70" t="inlineStr">
        <is>
          <t>Sara Malhotra</t>
        </is>
      </c>
      <c r="C200" s="72" t="n">
        <v>31</v>
      </c>
      <c r="D200" s="70" t="inlineStr">
        <is>
          <t>Hyderabad</t>
        </is>
      </c>
      <c r="E200" s="70" t="inlineStr">
        <is>
          <t>SMB</t>
        </is>
      </c>
      <c r="F200" s="71" t="n">
        <v>44821</v>
      </c>
    </row>
    <row r="201" ht="14.25" customHeight="1" s="56">
      <c r="A201" s="70" t="inlineStr">
        <is>
          <t>CUST-0200</t>
        </is>
      </c>
      <c r="B201" s="70" t="inlineStr">
        <is>
          <t>Aarohi Mehta</t>
        </is>
      </c>
      <c r="C201" s="72" t="n">
        <v>46</v>
      </c>
      <c r="D201" s="70" t="inlineStr">
        <is>
          <t>hyderabad</t>
        </is>
      </c>
      <c r="E201" s="70" t="inlineStr">
        <is>
          <t>Corporate</t>
        </is>
      </c>
      <c r="F201" s="71" t="n">
        <v>44396</v>
      </c>
    </row>
    <row r="202" ht="14.25" customHeight="1" s="56">
      <c r="A202" s="70" t="inlineStr">
        <is>
          <t>CUST-0201</t>
        </is>
      </c>
      <c r="B202" s="70" t="inlineStr">
        <is>
          <t>Myra Kapoor</t>
        </is>
      </c>
      <c r="C202" s="72" t="n">
        <v>31</v>
      </c>
      <c r="D202" s="70" t="inlineStr">
        <is>
          <t>Hyderabad</t>
        </is>
      </c>
      <c r="E202" s="70" t="inlineStr">
        <is>
          <t>Retail</t>
        </is>
      </c>
      <c r="F202" s="71" t="n">
        <v>44629</v>
      </c>
    </row>
    <row r="203" ht="14.25" customHeight="1" s="56">
      <c r="A203" s="70" t="inlineStr">
        <is>
          <t>CUST-0202</t>
        </is>
      </c>
      <c r="B203" s="70" t="inlineStr">
        <is>
          <t>Kavya Mehta</t>
        </is>
      </c>
      <c r="C203" s="72" t="n">
        <v>39</v>
      </c>
      <c r="D203" s="70" t="inlineStr">
        <is>
          <t>Chennai</t>
        </is>
      </c>
      <c r="E203" s="70" t="inlineStr">
        <is>
          <t>Retail</t>
        </is>
      </c>
      <c r="F203" s="71" t="n">
        <v>44149</v>
      </c>
    </row>
    <row r="204" ht="14.25" customHeight="1" s="56">
      <c r="A204" s="70" t="inlineStr">
        <is>
          <t>CUST-0203</t>
        </is>
      </c>
      <c r="B204" s="70" t="inlineStr">
        <is>
          <t>Reyansh Gupta</t>
        </is>
      </c>
      <c r="C204" s="72" t="n">
        <v>55</v>
      </c>
      <c r="D204" s="70" t="inlineStr">
        <is>
          <t>Chennai</t>
        </is>
      </c>
      <c r="E204" s="70" t="inlineStr">
        <is>
          <t>SMB</t>
        </is>
      </c>
      <c r="F204" s="71" t="n">
        <v>44912</v>
      </c>
    </row>
    <row r="205" ht="14.25" customHeight="1" s="56">
      <c r="A205" s="70" t="inlineStr">
        <is>
          <t>CUST-0204</t>
        </is>
      </c>
      <c r="B205" s="70" t="inlineStr">
        <is>
          <t>Ishaan Mehta</t>
        </is>
      </c>
      <c r="C205" s="72" t="n">
        <v>60</v>
      </c>
      <c r="D205" s="70" t="inlineStr">
        <is>
          <t>Hyderabad</t>
        </is>
      </c>
      <c r="E205" s="70" t="inlineStr">
        <is>
          <t>Retail</t>
        </is>
      </c>
      <c r="F205" s="71" t="n">
        <v>44738</v>
      </c>
    </row>
    <row r="206" ht="14.25" customHeight="1" s="56">
      <c r="A206" s="70" t="inlineStr">
        <is>
          <t>CUST-0205</t>
        </is>
      </c>
      <c r="B206" s="70" t="inlineStr">
        <is>
          <t>Rudra Verma</t>
        </is>
      </c>
      <c r="C206" s="72" t="n">
        <v>29</v>
      </c>
      <c r="D206" s="70" t="inlineStr">
        <is>
          <t>Pune</t>
        </is>
      </c>
      <c r="E206" s="70" t="inlineStr">
        <is>
          <t>Corporate</t>
        </is>
      </c>
      <c r="F206" s="71" t="n">
        <v>45075</v>
      </c>
    </row>
    <row r="207" ht="14.25" customHeight="1" s="56">
      <c r="A207" s="70" t="inlineStr">
        <is>
          <t>CUST-0206</t>
        </is>
      </c>
      <c r="B207" s="70" t="inlineStr">
        <is>
          <t>Diya Patel</t>
        </is>
      </c>
      <c r="C207" s="72" t="n">
        <v>40</v>
      </c>
      <c r="D207" s="70" t="inlineStr">
        <is>
          <t>Mumbai</t>
        </is>
      </c>
      <c r="E207" s="70" t="inlineStr">
        <is>
          <t>Retail</t>
        </is>
      </c>
      <c r="F207" s="71" t="n">
        <v>45127</v>
      </c>
    </row>
    <row r="208" ht="14.25" customHeight="1" s="56">
      <c r="A208" s="70" t="inlineStr">
        <is>
          <t>CUST-0207</t>
        </is>
      </c>
      <c r="B208" s="70" t="inlineStr">
        <is>
          <t>Krishna Mehta</t>
        </is>
      </c>
      <c r="C208" s="72" t="n">
        <v>34</v>
      </c>
      <c r="D208" s="70" t="inlineStr">
        <is>
          <t>Hyderabad</t>
        </is>
      </c>
      <c r="E208" s="70" t="inlineStr">
        <is>
          <t>SMB</t>
        </is>
      </c>
      <c r="F208" s="71" t="n">
        <v>43954</v>
      </c>
    </row>
    <row r="209" ht="14.25" customHeight="1" s="56">
      <c r="A209" s="70" t="inlineStr">
        <is>
          <t>CUST-0208</t>
        </is>
      </c>
      <c r="B209" s="70" t="inlineStr">
        <is>
          <t>Aadhya Shah</t>
        </is>
      </c>
      <c r="C209" s="72" t="n">
        <v>49</v>
      </c>
      <c r="D209" s="70" t="inlineStr">
        <is>
          <t>Mumbai</t>
        </is>
      </c>
      <c r="E209" s="70" t="inlineStr">
        <is>
          <t>Retail</t>
        </is>
      </c>
      <c r="F209" s="71" t="n">
        <v>45082</v>
      </c>
    </row>
    <row r="210" ht="14.25" customHeight="1" s="56">
      <c r="A210" s="70" t="inlineStr">
        <is>
          <t>CUST-0209</t>
        </is>
      </c>
      <c r="B210" s="70" t="inlineStr">
        <is>
          <t>Ritvik Agarwal</t>
        </is>
      </c>
      <c r="C210" s="72" t="n">
        <v>31</v>
      </c>
      <c r="D210" s="70" t="inlineStr">
        <is>
          <t>Pune</t>
        </is>
      </c>
      <c r="E210" s="70" t="inlineStr">
        <is>
          <t>Retail</t>
        </is>
      </c>
      <c r="F210" s="71" t="n">
        <v>44258</v>
      </c>
    </row>
    <row r="211" ht="14.25" customHeight="1" s="56">
      <c r="A211" s="70" t="inlineStr">
        <is>
          <t>CUST-0210</t>
        </is>
      </c>
      <c r="B211" s="70" t="inlineStr">
        <is>
          <t>Aryan Singh</t>
        </is>
      </c>
      <c r="C211" s="72" t="n">
        <v>48</v>
      </c>
      <c r="D211" s="70" t="inlineStr">
        <is>
          <t>Pune</t>
        </is>
      </c>
      <c r="E211" s="70" t="inlineStr">
        <is>
          <t>Corporate</t>
        </is>
      </c>
      <c r="F211" s="71" t="n">
        <v>44968</v>
      </c>
    </row>
    <row r="212" ht="14.25" customHeight="1" s="56">
      <c r="A212" s="70" t="inlineStr">
        <is>
          <t>CUST-0211</t>
        </is>
      </c>
      <c r="B212" s="70" t="inlineStr">
        <is>
          <t>Ayaan Joshi</t>
        </is>
      </c>
      <c r="C212" s="72" t="n">
        <v>36</v>
      </c>
      <c r="D212" s="70" t="inlineStr">
        <is>
          <t>Bengaluru</t>
        </is>
      </c>
      <c r="E212" s="70" t="inlineStr">
        <is>
          <t>Retail</t>
        </is>
      </c>
      <c r="F212" s="71" t="n">
        <v>44251</v>
      </c>
    </row>
    <row r="213" ht="14.25" customHeight="1" s="56">
      <c r="A213" s="70" t="inlineStr">
        <is>
          <t>CUST-0212</t>
        </is>
      </c>
      <c r="B213" s="70" t="inlineStr">
        <is>
          <t>Ayaan Singh</t>
        </is>
      </c>
      <c r="C213" s="72" t="n">
        <v>46</v>
      </c>
      <c r="D213" s="70" t="inlineStr">
        <is>
          <t>Chennai</t>
        </is>
      </c>
      <c r="E213" s="70" t="inlineStr">
        <is>
          <t>SMB</t>
        </is>
      </c>
      <c r="F213" s="71" t="n">
        <v>44594</v>
      </c>
    </row>
    <row r="214" ht="14.25" customHeight="1" s="56">
      <c r="A214" s="70" t="inlineStr">
        <is>
          <t>CUST-0213</t>
        </is>
      </c>
      <c r="B214" s="70" t="inlineStr">
        <is>
          <t>Rahul Rao</t>
        </is>
      </c>
      <c r="C214" s="72" t="n">
        <v>37</v>
      </c>
      <c r="D214" s="70" t="inlineStr">
        <is>
          <t>Mumbai</t>
        </is>
      </c>
      <c r="E214" s="70" t="inlineStr">
        <is>
          <t>Retail</t>
        </is>
      </c>
      <c r="F214" s="71" t="n">
        <v>44431</v>
      </c>
    </row>
    <row r="215" ht="14.25" customHeight="1" s="56">
      <c r="A215" s="70" t="inlineStr">
        <is>
          <t>CUST-0214</t>
        </is>
      </c>
      <c r="B215" s="70" t="inlineStr">
        <is>
          <t>Anika Rao</t>
        </is>
      </c>
      <c r="C215" s="72" t="n">
        <v>22</v>
      </c>
      <c r="D215" s="70" t="inlineStr">
        <is>
          <t>Mumbai</t>
        </is>
      </c>
      <c r="E215" s="70" t="inlineStr">
        <is>
          <t>Retail</t>
        </is>
      </c>
      <c r="F215" s="71" t="n">
        <v>44453</v>
      </c>
    </row>
    <row r="216" ht="14.25" customHeight="1" s="56">
      <c r="A216" s="70" t="inlineStr">
        <is>
          <t>CUST-0215</t>
        </is>
      </c>
      <c r="B216" s="70" t="inlineStr">
        <is>
          <t>Shaurya Kumar</t>
        </is>
      </c>
      <c r="C216" s="72" t="n">
        <v>52</v>
      </c>
      <c r="D216" s="70" t="inlineStr">
        <is>
          <t>Hyderabad</t>
        </is>
      </c>
      <c r="E216" s="70" t="inlineStr">
        <is>
          <t>Retail</t>
        </is>
      </c>
      <c r="F216" s="71" t="n">
        <v>45105</v>
      </c>
    </row>
    <row r="217" ht="14.25" customHeight="1" s="56">
      <c r="A217" s="70" t="inlineStr">
        <is>
          <t>CUST-0216</t>
        </is>
      </c>
      <c r="B217" s="70" t="inlineStr">
        <is>
          <t>Priya Chopra</t>
        </is>
      </c>
      <c r="C217" s="72" t="n">
        <v>50</v>
      </c>
      <c r="D217" s="70" t="inlineStr">
        <is>
          <t>Mumbai</t>
        </is>
      </c>
      <c r="E217" s="70" t="inlineStr">
        <is>
          <t>Retail</t>
        </is>
      </c>
      <c r="F217" s="71" t="n">
        <v>44204</v>
      </c>
    </row>
    <row r="218" ht="14.25" customHeight="1" s="56">
      <c r="A218" s="70" t="inlineStr">
        <is>
          <t>CUST-0217</t>
        </is>
      </c>
      <c r="B218" s="70" t="inlineStr">
        <is>
          <t>Pari Verma</t>
        </is>
      </c>
      <c r="C218" s="72" t="n">
        <v>59</v>
      </c>
      <c r="D218" s="70" t="inlineStr">
        <is>
          <t>Pune</t>
        </is>
      </c>
      <c r="E218" s="70" t="inlineStr">
        <is>
          <t>SMB</t>
        </is>
      </c>
      <c r="F218" s="71" t="n">
        <v>44877</v>
      </c>
    </row>
    <row r="219" ht="14.25" customHeight="1" s="56">
      <c r="A219" s="70" t="inlineStr">
        <is>
          <t>CUST-0218</t>
        </is>
      </c>
      <c r="B219" s="70" t="inlineStr">
        <is>
          <t>Anvi Malhotra</t>
        </is>
      </c>
      <c r="C219" s="72" t="n">
        <v>39</v>
      </c>
      <c r="D219" s="70" t="inlineStr">
        <is>
          <t>Mumbai</t>
        </is>
      </c>
      <c r="E219" s="70" t="inlineStr">
        <is>
          <t>Retail</t>
        </is>
      </c>
      <c r="F219" s="71" t="n">
        <v>44849</v>
      </c>
    </row>
    <row r="220" ht="14.25" customHeight="1" s="56">
      <c r="A220" s="70" t="inlineStr">
        <is>
          <t>CUST-0219</t>
        </is>
      </c>
      <c r="B220" s="70" t="inlineStr">
        <is>
          <t>Kavita Bhatt</t>
        </is>
      </c>
      <c r="C220" s="72" t="n">
        <v>38</v>
      </c>
      <c r="D220" s="70" t="inlineStr">
        <is>
          <t>Chennai</t>
        </is>
      </c>
      <c r="E220" s="70" t="inlineStr">
        <is>
          <t>Corporate</t>
        </is>
      </c>
      <c r="F220" s="71" t="n">
        <v>44321</v>
      </c>
    </row>
    <row r="221" ht="14.25" customHeight="1" s="56">
      <c r="A221" s="70" t="inlineStr">
        <is>
          <t>CUST-0220</t>
        </is>
      </c>
      <c r="B221" s="70" t="inlineStr">
        <is>
          <t>Krishna Menon</t>
        </is>
      </c>
      <c r="C221" s="72" t="n">
        <v>34</v>
      </c>
      <c r="D221" s="70" t="inlineStr">
        <is>
          <t>Chennai</t>
        </is>
      </c>
      <c r="E221" s="70" t="inlineStr">
        <is>
          <t>Retail</t>
        </is>
      </c>
      <c r="F221" s="71" t="n">
        <v>43978</v>
      </c>
    </row>
    <row r="222" ht="14.25" customHeight="1" s="56">
      <c r="A222" s="70" t="inlineStr">
        <is>
          <t>CUST-0221</t>
        </is>
      </c>
      <c r="B222" s="70" t="inlineStr">
        <is>
          <t>Pooja Kumar</t>
        </is>
      </c>
      <c r="C222" s="72" t="n">
        <v>29</v>
      </c>
      <c r="D222" s="70" t="inlineStr">
        <is>
          <t>Delhi</t>
        </is>
      </c>
      <c r="E222" s="70" t="inlineStr">
        <is>
          <t>SMB</t>
        </is>
      </c>
      <c r="F222" s="71" t="n">
        <v>44061</v>
      </c>
    </row>
    <row r="223" ht="14.25" customHeight="1" s="56">
      <c r="A223" s="70" t="inlineStr">
        <is>
          <t>CUST-0222</t>
        </is>
      </c>
      <c r="B223" s="70" t="inlineStr">
        <is>
          <t xml:space="preserve">Anika Singh   </t>
        </is>
      </c>
      <c r="C223" s="72" t="n">
        <v>37</v>
      </c>
      <c r="D223" s="70" t="inlineStr">
        <is>
          <t>Chennai</t>
        </is>
      </c>
      <c r="E223" s="70" t="inlineStr">
        <is>
          <t>Retail</t>
        </is>
      </c>
      <c r="F223" s="71" t="n">
        <v>43877</v>
      </c>
    </row>
    <row r="224" ht="14.25" customHeight="1" s="56">
      <c r="A224" s="70" t="inlineStr">
        <is>
          <t>CUST-0223</t>
        </is>
      </c>
      <c r="B224" s="70" t="inlineStr">
        <is>
          <t>Kavita Sharma</t>
        </is>
      </c>
      <c r="C224" s="72" t="n">
        <v>46</v>
      </c>
      <c r="D224" s="70" t="inlineStr">
        <is>
          <t>Bengaluru</t>
        </is>
      </c>
      <c r="E224" s="70" t="inlineStr">
        <is>
          <t>Retail</t>
        </is>
      </c>
      <c r="F224" s="71" t="n">
        <v>44743</v>
      </c>
    </row>
    <row r="225" ht="14.25" customHeight="1" s="56">
      <c r="A225" s="70" t="inlineStr">
        <is>
          <t>CUST-0224</t>
        </is>
      </c>
      <c r="B225" s="70" t="inlineStr">
        <is>
          <t>Suresh Kumar</t>
        </is>
      </c>
      <c r="C225" s="72" t="n">
        <v>24</v>
      </c>
      <c r="D225" s="70" t="inlineStr">
        <is>
          <t>Chennai</t>
        </is>
      </c>
      <c r="E225" s="70" t="inlineStr">
        <is>
          <t>Corporate</t>
        </is>
      </c>
      <c r="F225" s="71" t="n">
        <v>44558</v>
      </c>
    </row>
    <row r="226" ht="14.25" customHeight="1" s="56">
      <c r="A226" s="70" t="inlineStr">
        <is>
          <t>CUST-0225</t>
        </is>
      </c>
      <c r="B226" s="70" t="inlineStr">
        <is>
          <t>Rudra Singh</t>
        </is>
      </c>
      <c r="C226" s="72" t="n">
        <v>26</v>
      </c>
      <c r="D226" s="70" t="inlineStr">
        <is>
          <t>Chennai</t>
        </is>
      </c>
      <c r="E226" s="70" t="inlineStr">
        <is>
          <t>SMB</t>
        </is>
      </c>
      <c r="F226" s="71" t="n">
        <v>44213</v>
      </c>
    </row>
    <row r="227" ht="14.25" customHeight="1" s="56">
      <c r="A227" s="70" t="inlineStr">
        <is>
          <t>CUST-0226</t>
        </is>
      </c>
      <c r="B227" s="70" t="inlineStr">
        <is>
          <t>Aarav Mehta</t>
        </is>
      </c>
      <c r="C227" s="72" t="n">
        <v>52</v>
      </c>
      <c r="D227" s="70" t="inlineStr">
        <is>
          <t>Chennai</t>
        </is>
      </c>
      <c r="E227" s="70" t="inlineStr">
        <is>
          <t>Corporate</t>
        </is>
      </c>
      <c r="F227" s="71" t="n">
        <v>44650</v>
      </c>
    </row>
    <row r="228" ht="14.25" customHeight="1" s="56">
      <c r="A228" s="70" t="inlineStr">
        <is>
          <t>CUST-0227</t>
        </is>
      </c>
      <c r="B228" s="70" t="inlineStr">
        <is>
          <t>Riya Singh</t>
        </is>
      </c>
      <c r="C228" s="72" t="n">
        <v>44</v>
      </c>
      <c r="D228" s="70" t="inlineStr">
        <is>
          <t>Bengaluru</t>
        </is>
      </c>
      <c r="E228" s="70" t="inlineStr">
        <is>
          <t>SMB</t>
        </is>
      </c>
      <c r="F228" s="71" t="n">
        <v>44121</v>
      </c>
    </row>
    <row r="229" ht="14.25" customHeight="1" s="56">
      <c r="A229" s="70" t="inlineStr">
        <is>
          <t>CUST-0228</t>
        </is>
      </c>
      <c r="B229" s="70" t="inlineStr">
        <is>
          <t>Aaradhya Iyer</t>
        </is>
      </c>
      <c r="C229" s="72" t="n">
        <v>37</v>
      </c>
      <c r="D229" s="70" t="inlineStr">
        <is>
          <t>Pune</t>
        </is>
      </c>
      <c r="E229" s="70" t="inlineStr">
        <is>
          <t>Corporate</t>
        </is>
      </c>
      <c r="F229" s="71" t="n">
        <v>43952</v>
      </c>
    </row>
    <row r="230" ht="14.25" customHeight="1" s="56">
      <c r="A230" s="70" t="inlineStr">
        <is>
          <t>CUST-0229</t>
        </is>
      </c>
      <c r="B230" s="70" t="inlineStr">
        <is>
          <t>Karan Singh</t>
        </is>
      </c>
      <c r="C230" s="72" t="n">
        <v>25</v>
      </c>
      <c r="D230" s="70" t="inlineStr">
        <is>
          <t>Hyderabad</t>
        </is>
      </c>
      <c r="E230" s="70" t="inlineStr">
        <is>
          <t>SMB</t>
        </is>
      </c>
      <c r="F230" s="71" t="n">
        <v>44453</v>
      </c>
    </row>
    <row r="231" ht="14.25" customHeight="1" s="56">
      <c r="A231" s="70" t="inlineStr">
        <is>
          <t>CUST-0230</t>
        </is>
      </c>
      <c r="B231" s="70" t="inlineStr">
        <is>
          <t>Aadhya Singh</t>
        </is>
      </c>
      <c r="C231" s="72" t="n">
        <v>33</v>
      </c>
      <c r="D231" s="70" t="inlineStr">
        <is>
          <t>Pune</t>
        </is>
      </c>
      <c r="E231" s="70" t="inlineStr">
        <is>
          <t>Corporate</t>
        </is>
      </c>
      <c r="F231" s="71" t="n">
        <v>43963</v>
      </c>
    </row>
    <row r="232" ht="14.25" customHeight="1" s="56">
      <c r="A232" s="70" t="inlineStr">
        <is>
          <t>CUST-0231</t>
        </is>
      </c>
      <c r="B232" s="70" t="inlineStr">
        <is>
          <t>Aarav Menon</t>
        </is>
      </c>
      <c r="C232" s="72" t="n">
        <v>61</v>
      </c>
      <c r="D232" s="70" t="inlineStr">
        <is>
          <t>Chennai</t>
        </is>
      </c>
      <c r="E232" s="70" t="inlineStr">
        <is>
          <t>Retail</t>
        </is>
      </c>
      <c r="F232" s="71" t="n">
        <v>45030</v>
      </c>
    </row>
    <row r="233" ht="14.25" customHeight="1" s="56">
      <c r="A233" s="70" t="inlineStr">
        <is>
          <t>CUST-0232</t>
        </is>
      </c>
      <c r="B233" s="70" t="inlineStr">
        <is>
          <t>Kiara Agarwal</t>
        </is>
      </c>
      <c r="C233" s="72" t="n">
        <v>38</v>
      </c>
      <c r="D233" s="70" t="inlineStr">
        <is>
          <t>Hyderabad</t>
        </is>
      </c>
      <c r="E233" s="70" t="inlineStr">
        <is>
          <t>Retail</t>
        </is>
      </c>
      <c r="F233" s="71" t="n">
        <v>44364</v>
      </c>
    </row>
    <row r="234" ht="14.25" customHeight="1" s="56">
      <c r="A234" s="70" t="inlineStr">
        <is>
          <t>CUST-0233</t>
        </is>
      </c>
      <c r="B234" s="70" t="inlineStr">
        <is>
          <t>Kartik Kumar</t>
        </is>
      </c>
      <c r="C234" s="72" t="n">
        <v>65</v>
      </c>
      <c r="D234" s="70" t="inlineStr">
        <is>
          <t>Mumbai</t>
        </is>
      </c>
      <c r="E234" s="70" t="inlineStr">
        <is>
          <t>SMB</t>
        </is>
      </c>
      <c r="F234" s="71" t="n">
        <v>43850</v>
      </c>
    </row>
    <row r="235" ht="14.25" customHeight="1" s="56">
      <c r="A235" s="70" t="inlineStr">
        <is>
          <t>CUST-0234</t>
        </is>
      </c>
      <c r="B235" s="70" t="inlineStr">
        <is>
          <t>Ahana Patel</t>
        </is>
      </c>
      <c r="C235" s="72" t="n">
        <v>34</v>
      </c>
      <c r="D235" s="70" t="inlineStr">
        <is>
          <t>Bengaluru</t>
        </is>
      </c>
      <c r="E235" s="70" t="inlineStr">
        <is>
          <t>Retail</t>
        </is>
      </c>
      <c r="F235" s="71" t="n">
        <v>44175</v>
      </c>
    </row>
    <row r="236" ht="14.25" customHeight="1" s="56">
      <c r="A236" s="70" t="inlineStr">
        <is>
          <t>CUST-0235</t>
        </is>
      </c>
      <c r="B236" s="70" t="inlineStr">
        <is>
          <t>Advik Nair</t>
        </is>
      </c>
      <c r="C236" s="72" t="n">
        <v>31</v>
      </c>
      <c r="D236" s="70" t="inlineStr">
        <is>
          <t>Chennai</t>
        </is>
      </c>
      <c r="E236" s="70" t="inlineStr">
        <is>
          <t>Retail</t>
        </is>
      </c>
      <c r="F236" s="71" t="n">
        <v>43903</v>
      </c>
    </row>
    <row r="237" ht="14.25" customHeight="1" s="56">
      <c r="A237" s="70" t="inlineStr">
        <is>
          <t>CUST-0236</t>
        </is>
      </c>
      <c r="B237" s="70" t="inlineStr">
        <is>
          <t>Iraa Shah</t>
        </is>
      </c>
      <c r="C237" s="72" t="n">
        <v>28</v>
      </c>
      <c r="D237" s="70" t="inlineStr">
        <is>
          <t>Hyderabad</t>
        </is>
      </c>
      <c r="E237" s="70" t="inlineStr">
        <is>
          <t>SMB</t>
        </is>
      </c>
      <c r="F237" s="71" t="n">
        <v>43949</v>
      </c>
    </row>
    <row r="238" ht="14.25" customHeight="1" s="56">
      <c r="A238" s="70" t="inlineStr">
        <is>
          <t>CUST-0237</t>
        </is>
      </c>
      <c r="B238" s="70" t="inlineStr">
        <is>
          <t>Rohit Kapoor</t>
        </is>
      </c>
      <c r="C238" s="72" t="n">
        <v>49</v>
      </c>
      <c r="D238" s="70" t="inlineStr">
        <is>
          <t>Mumbai</t>
        </is>
      </c>
      <c r="E238" s="70" t="inlineStr">
        <is>
          <t>Retail</t>
        </is>
      </c>
      <c r="F238" s="71" t="n">
        <v>44068</v>
      </c>
    </row>
    <row r="239" ht="14.25" customHeight="1" s="56">
      <c r="A239" s="70" t="inlineStr">
        <is>
          <t>CUST-0238</t>
        </is>
      </c>
      <c r="B239" s="70" t="inlineStr">
        <is>
          <t>Aarohi Patel</t>
        </is>
      </c>
      <c r="C239" s="72" t="n">
        <v>49</v>
      </c>
      <c r="D239" s="70" t="inlineStr">
        <is>
          <t>Delhi</t>
        </is>
      </c>
      <c r="E239" s="70" t="inlineStr">
        <is>
          <t>Retail</t>
        </is>
      </c>
      <c r="F239" s="71" t="n">
        <v>44377</v>
      </c>
    </row>
    <row r="240" ht="14.25" customHeight="1" s="56">
      <c r="A240" s="70" t="inlineStr">
        <is>
          <t>CUST-0239</t>
        </is>
      </c>
      <c r="B240" s="70" t="inlineStr">
        <is>
          <t>Kavita Agarwal</t>
        </is>
      </c>
      <c r="C240" s="72" t="n">
        <v>61</v>
      </c>
      <c r="D240" s="70" t="inlineStr">
        <is>
          <t>Mumbai</t>
        </is>
      </c>
      <c r="E240" s="70" t="inlineStr">
        <is>
          <t>Retail</t>
        </is>
      </c>
      <c r="F240" s="71" t="n">
        <v>43981</v>
      </c>
    </row>
    <row r="241" ht="14.25" customHeight="1" s="56">
      <c r="A241" s="70" t="inlineStr">
        <is>
          <t>CUST-0240</t>
        </is>
      </c>
      <c r="B241" s="70" t="inlineStr">
        <is>
          <t>Rudra Gupta</t>
        </is>
      </c>
      <c r="C241" s="72" t="n">
        <v>35</v>
      </c>
      <c r="D241" s="70" t="inlineStr">
        <is>
          <t>Chennai</t>
        </is>
      </c>
      <c r="E241" s="70" t="inlineStr">
        <is>
          <t>Corporate</t>
        </is>
      </c>
      <c r="F241" s="71" t="n">
        <v>44337</v>
      </c>
    </row>
    <row r="242" ht="14.25" customHeight="1" s="56">
      <c r="A242" s="70" t="inlineStr">
        <is>
          <t>CUST-0241</t>
        </is>
      </c>
      <c r="B242" s="70" t="inlineStr">
        <is>
          <t>Dhruv Verma</t>
        </is>
      </c>
      <c r="C242" s="72" t="n">
        <v>47</v>
      </c>
      <c r="D242" s="70" t="inlineStr">
        <is>
          <t>Pune</t>
        </is>
      </c>
      <c r="E242" s="70" t="inlineStr">
        <is>
          <t>Corporate</t>
        </is>
      </c>
      <c r="F242" s="71" t="n">
        <v>44195</v>
      </c>
    </row>
    <row r="243" ht="14.25" customHeight="1" s="56">
      <c r="A243" s="70" t="inlineStr">
        <is>
          <t>CUST-0242</t>
        </is>
      </c>
      <c r="B243" s="70" t="inlineStr">
        <is>
          <t>Pari Joshi</t>
        </is>
      </c>
      <c r="C243" s="72" t="n">
        <v>59</v>
      </c>
      <c r="D243" s="70" t="inlineStr">
        <is>
          <t>Chennai</t>
        </is>
      </c>
      <c r="E243" s="70" t="inlineStr">
        <is>
          <t>SMB</t>
        </is>
      </c>
      <c r="F243" s="71" t="n">
        <v>44474</v>
      </c>
    </row>
    <row r="244" ht="14.25" customHeight="1" s="56">
      <c r="A244" s="70" t="inlineStr">
        <is>
          <t>CUST-0243</t>
        </is>
      </c>
      <c r="B244" s="70" t="inlineStr">
        <is>
          <t>Reyansh Verma</t>
        </is>
      </c>
      <c r="C244" s="72" t="n">
        <v>44</v>
      </c>
      <c r="D244" s="70" t="inlineStr">
        <is>
          <t>Pune</t>
        </is>
      </c>
      <c r="E244" s="70" t="inlineStr">
        <is>
          <t>SMB</t>
        </is>
      </c>
      <c r="F244" s="71" t="n">
        <v>43861</v>
      </c>
    </row>
    <row r="245" ht="14.25" customHeight="1" s="56">
      <c r="A245" s="70" t="inlineStr">
        <is>
          <t>CUST-0244</t>
        </is>
      </c>
      <c r="B245" s="70" t="inlineStr">
        <is>
          <t>Ananya Verma</t>
        </is>
      </c>
      <c r="C245" s="72" t="n">
        <v>61</v>
      </c>
      <c r="D245" s="70" t="inlineStr">
        <is>
          <t>Bengaluru</t>
        </is>
      </c>
      <c r="E245" s="70" t="inlineStr">
        <is>
          <t>Retail</t>
        </is>
      </c>
      <c r="F245" s="71" t="n">
        <v>44483</v>
      </c>
    </row>
    <row r="246" ht="14.25" customHeight="1" s="56">
      <c r="A246" s="70" t="inlineStr">
        <is>
          <t>CUST-0245</t>
        </is>
      </c>
      <c r="B246" s="70" t="inlineStr">
        <is>
          <t>Aditya Nair</t>
        </is>
      </c>
      <c r="C246" s="72" t="n">
        <v>65</v>
      </c>
      <c r="D246" s="70" t="inlineStr">
        <is>
          <t>Hyderabad</t>
        </is>
      </c>
      <c r="E246" s="70" t="inlineStr">
        <is>
          <t>Retail</t>
        </is>
      </c>
      <c r="F246" s="71" t="n">
        <v>44851</v>
      </c>
    </row>
    <row r="247" ht="14.25" customHeight="1" s="56">
      <c r="A247" s="70" t="inlineStr">
        <is>
          <t>CUST-0246</t>
        </is>
      </c>
      <c r="B247" s="70" t="inlineStr">
        <is>
          <t>Pari Kapoor</t>
        </is>
      </c>
      <c r="C247" s="72" t="n">
        <v>29</v>
      </c>
      <c r="D247" s="70" t="inlineStr">
        <is>
          <t>Delhi</t>
        </is>
      </c>
      <c r="E247" s="70" t="inlineStr">
        <is>
          <t>SMB</t>
        </is>
      </c>
      <c r="F247" s="71" t="n">
        <v>44477</v>
      </c>
    </row>
    <row r="248" ht="14.25" customHeight="1" s="56">
      <c r="A248" s="70" t="inlineStr">
        <is>
          <t>CUST-0247</t>
        </is>
      </c>
      <c r="B248" s="70" t="inlineStr">
        <is>
          <t>Prisha Patel</t>
        </is>
      </c>
      <c r="C248" s="72" t="n">
        <v>35</v>
      </c>
      <c r="D248" s="70" t="inlineStr">
        <is>
          <t>Pune</t>
        </is>
      </c>
      <c r="E248" s="70" t="inlineStr">
        <is>
          <t>SMB</t>
        </is>
      </c>
      <c r="F248" s="71" t="n">
        <v>43966</v>
      </c>
    </row>
    <row r="249" ht="14.25" customHeight="1" s="56">
      <c r="A249" s="70" t="inlineStr">
        <is>
          <t>CUST-0248</t>
        </is>
      </c>
      <c r="B249" s="70" t="inlineStr">
        <is>
          <t>Aryan Iyer</t>
        </is>
      </c>
      <c r="C249" s="72" t="n">
        <v>57</v>
      </c>
      <c r="D249" s="70" t="inlineStr">
        <is>
          <t>Chennai</t>
        </is>
      </c>
      <c r="E249" s="70" t="inlineStr">
        <is>
          <t>SMB</t>
        </is>
      </c>
      <c r="F249" s="71" t="n">
        <v>44557</v>
      </c>
    </row>
    <row r="250" ht="14.25" customHeight="1" s="56">
      <c r="A250" s="70" t="inlineStr">
        <is>
          <t>CUST-0249</t>
        </is>
      </c>
      <c r="B250" s="70" t="inlineStr">
        <is>
          <t xml:space="preserve">Kavita Shah   </t>
        </is>
      </c>
      <c r="C250" s="72" t="n">
        <v>44</v>
      </c>
      <c r="D250" s="70" t="inlineStr">
        <is>
          <t>Mumbai</t>
        </is>
      </c>
      <c r="E250" s="70" t="inlineStr">
        <is>
          <t>Retail</t>
        </is>
      </c>
      <c r="F250" s="71" t="n">
        <v>43866</v>
      </c>
    </row>
    <row r="251" ht="14.25" customHeight="1" s="56">
      <c r="A251" s="70" t="inlineStr">
        <is>
          <t>CUST-0250</t>
        </is>
      </c>
      <c r="B251" s="70" t="inlineStr">
        <is>
          <t>Pari Patel</t>
        </is>
      </c>
      <c r="C251" s="72" t="n">
        <v>31</v>
      </c>
      <c r="D251" s="70" t="inlineStr">
        <is>
          <t>Delhi</t>
        </is>
      </c>
      <c r="E251" s="70" t="inlineStr">
        <is>
          <t>Retail</t>
        </is>
      </c>
      <c r="F251" s="71" t="n">
        <v>44575</v>
      </c>
    </row>
    <row r="252" ht="14.25" customHeight="1" s="56">
      <c r="A252" s="70" t="inlineStr">
        <is>
          <t>CUST-0251</t>
        </is>
      </c>
      <c r="B252" s="70" t="inlineStr">
        <is>
          <t>Aadhya Mehta</t>
        </is>
      </c>
      <c r="C252" s="72" t="n">
        <v>44</v>
      </c>
      <c r="D252" s="70" t="inlineStr">
        <is>
          <t>Mumbai</t>
        </is>
      </c>
      <c r="E252" s="70" t="inlineStr">
        <is>
          <t>Retail</t>
        </is>
      </c>
      <c r="F252" s="71" t="n">
        <v>45121</v>
      </c>
    </row>
    <row r="253" ht="14.25" customHeight="1" s="56">
      <c r="A253" s="70" t="inlineStr">
        <is>
          <t>CUST-0252</t>
        </is>
      </c>
      <c r="B253" s="70" t="inlineStr">
        <is>
          <t>Ananya Malhotra</t>
        </is>
      </c>
      <c r="C253" s="72" t="n">
        <v>27</v>
      </c>
      <c r="D253" s="70" t="inlineStr">
        <is>
          <t>Bengaluru</t>
        </is>
      </c>
      <c r="E253" s="70" t="inlineStr">
        <is>
          <t>Retail</t>
        </is>
      </c>
      <c r="F253" s="71" t="n">
        <v>45004</v>
      </c>
    </row>
    <row r="254" ht="14.25" customHeight="1" s="56">
      <c r="A254" s="70" t="inlineStr">
        <is>
          <t>CUST-0253</t>
        </is>
      </c>
      <c r="B254" s="70" t="inlineStr">
        <is>
          <t>Anika Joshi</t>
        </is>
      </c>
      <c r="C254" s="72" t="n">
        <v>53</v>
      </c>
      <c r="D254" s="70" t="inlineStr">
        <is>
          <t>Delhi</t>
        </is>
      </c>
      <c r="E254" s="70" t="inlineStr">
        <is>
          <t>SMB</t>
        </is>
      </c>
      <c r="F254" s="71" t="n">
        <v>43892</v>
      </c>
    </row>
    <row r="255" ht="14.25" customHeight="1" s="56">
      <c r="A255" s="70" t="inlineStr">
        <is>
          <t>CUST-0254</t>
        </is>
      </c>
      <c r="B255" s="70" t="inlineStr">
        <is>
          <t>Neha Patel</t>
        </is>
      </c>
      <c r="C255" s="72" t="n">
        <v>35</v>
      </c>
      <c r="D255" s="70" t="inlineStr">
        <is>
          <t>Bengaluru</t>
        </is>
      </c>
      <c r="E255" s="70" t="inlineStr">
        <is>
          <t>Retail</t>
        </is>
      </c>
      <c r="F255" s="71" t="n">
        <v>44000</v>
      </c>
    </row>
    <row r="256" ht="14.25" customHeight="1" s="56">
      <c r="A256" s="70" t="inlineStr">
        <is>
          <t>CUST-0255</t>
        </is>
      </c>
      <c r="B256" s="70" t="inlineStr">
        <is>
          <t>Myra Shah</t>
        </is>
      </c>
      <c r="C256" s="72" t="n">
        <v>51</v>
      </c>
      <c r="D256" s="70" t="inlineStr">
        <is>
          <t>Chennai</t>
        </is>
      </c>
      <c r="E256" s="70" t="inlineStr">
        <is>
          <t>Corporate</t>
        </is>
      </c>
      <c r="F256" s="71" t="n">
        <v>44458</v>
      </c>
    </row>
    <row r="257" ht="14.25" customHeight="1" s="56">
      <c r="A257" s="70" t="inlineStr">
        <is>
          <t>CUST-0256</t>
        </is>
      </c>
      <c r="B257" s="70" t="inlineStr">
        <is>
          <t>Sanvi Shah</t>
        </is>
      </c>
      <c r="C257" s="72" t="n">
        <v>28</v>
      </c>
      <c r="D257" s="70" t="inlineStr">
        <is>
          <t>Hyderabad</t>
        </is>
      </c>
      <c r="E257" s="70" t="inlineStr">
        <is>
          <t>Retail</t>
        </is>
      </c>
      <c r="F257" s="71" t="n">
        <v>44694</v>
      </c>
    </row>
    <row r="258" ht="14.25" customHeight="1" s="56">
      <c r="A258" s="70" t="inlineStr">
        <is>
          <t>CUST-0257</t>
        </is>
      </c>
      <c r="B258" s="70" t="inlineStr">
        <is>
          <t>Navya Menon</t>
        </is>
      </c>
      <c r="C258" s="72" t="n">
        <v>46</v>
      </c>
      <c r="D258" s="70" t="inlineStr">
        <is>
          <t>Mumbai</t>
        </is>
      </c>
      <c r="E258" s="70" t="inlineStr">
        <is>
          <t>Corporate</t>
        </is>
      </c>
      <c r="F258" s="71" t="n">
        <v>43849</v>
      </c>
    </row>
    <row r="259" ht="14.25" customHeight="1" s="56">
      <c r="A259" s="70" t="inlineStr">
        <is>
          <t>CUST-0258</t>
        </is>
      </c>
      <c r="B259" s="70" t="inlineStr">
        <is>
          <t>Neha Mehta</t>
        </is>
      </c>
      <c r="C259" s="72" t="n">
        <v>44</v>
      </c>
      <c r="D259" s="70" t="inlineStr">
        <is>
          <t>Pune</t>
        </is>
      </c>
      <c r="E259" s="70" t="inlineStr">
        <is>
          <t>Retail</t>
        </is>
      </c>
      <c r="F259" s="71" t="n">
        <v>43874</v>
      </c>
    </row>
    <row r="260" ht="14.25" customHeight="1" s="56">
      <c r="A260" s="70" t="inlineStr">
        <is>
          <t>CUST-0259</t>
        </is>
      </c>
      <c r="B260" s="70" t="inlineStr">
        <is>
          <t>Sara Joshi</t>
        </is>
      </c>
      <c r="C260" s="72" t="n">
        <v>34</v>
      </c>
      <c r="D260" s="70" t="inlineStr">
        <is>
          <t>Mumbai</t>
        </is>
      </c>
      <c r="E260" s="70" t="inlineStr">
        <is>
          <t>Retail</t>
        </is>
      </c>
      <c r="F260" s="71" t="n">
        <v>44086</v>
      </c>
    </row>
    <row r="261" ht="14.25" customHeight="1" s="56">
      <c r="A261" s="70" t="inlineStr">
        <is>
          <t>CUST-0260</t>
        </is>
      </c>
      <c r="B261" s="70" t="inlineStr">
        <is>
          <t>Diya Reddy</t>
        </is>
      </c>
      <c r="C261" s="72" t="n">
        <v>42</v>
      </c>
      <c r="D261" s="70" t="inlineStr">
        <is>
          <t>Bengaluru</t>
        </is>
      </c>
      <c r="E261" s="70" t="inlineStr">
        <is>
          <t>Retail</t>
        </is>
      </c>
      <c r="F261" s="71" t="n">
        <v>44866</v>
      </c>
    </row>
    <row r="262" ht="14.25" customHeight="1" s="56">
      <c r="A262" s="70" t="inlineStr">
        <is>
          <t>CUST-0261</t>
        </is>
      </c>
      <c r="B262" s="70" t="inlineStr">
        <is>
          <t>Kabir Menon</t>
        </is>
      </c>
      <c r="C262" s="72" t="n">
        <v>54</v>
      </c>
      <c r="D262" s="70" t="inlineStr">
        <is>
          <t>Delhi</t>
        </is>
      </c>
      <c r="E262" s="70" t="inlineStr">
        <is>
          <t>Retail</t>
        </is>
      </c>
      <c r="F262" s="71" t="n">
        <v>43845</v>
      </c>
    </row>
    <row r="263" ht="14.25" customHeight="1" s="56">
      <c r="A263" s="70" t="inlineStr">
        <is>
          <t>CUST-0262</t>
        </is>
      </c>
      <c r="B263" s="70" t="inlineStr">
        <is>
          <t>Rahul Desai</t>
        </is>
      </c>
      <c r="C263" s="72" t="n">
        <v>52</v>
      </c>
      <c r="D263" s="70" t="inlineStr">
        <is>
          <t>Mumbai</t>
        </is>
      </c>
      <c r="E263" s="70" t="inlineStr">
        <is>
          <t>Retail</t>
        </is>
      </c>
      <c r="F263" s="71" t="n">
        <v>44636</v>
      </c>
    </row>
    <row r="264" ht="14.25" customHeight="1" s="56">
      <c r="A264" s="70" t="inlineStr">
        <is>
          <t>CUST-0263</t>
        </is>
      </c>
      <c r="B264" s="70" t="inlineStr">
        <is>
          <t>Arjun Kapoor</t>
        </is>
      </c>
      <c r="C264" s="72" t="n">
        <v>40</v>
      </c>
      <c r="D264" s="70" t="inlineStr">
        <is>
          <t>Mumbai</t>
        </is>
      </c>
      <c r="E264" s="70" t="inlineStr">
        <is>
          <t>Retail</t>
        </is>
      </c>
      <c r="F264" s="71" t="n">
        <v>44758</v>
      </c>
    </row>
    <row r="265" ht="14.25" customHeight="1" s="56">
      <c r="A265" s="70" t="inlineStr">
        <is>
          <t>CUST-0264</t>
        </is>
      </c>
      <c r="B265" s="70" t="inlineStr">
        <is>
          <t>Riya Kapoor</t>
        </is>
      </c>
      <c r="C265" s="72" t="n">
        <v>59</v>
      </c>
      <c r="D265" s="70" t="inlineStr">
        <is>
          <t>Pune</t>
        </is>
      </c>
      <c r="E265" s="70" t="inlineStr">
        <is>
          <t>Retail</t>
        </is>
      </c>
      <c r="F265" s="71" t="n">
        <v>45042</v>
      </c>
    </row>
    <row r="266" ht="14.25" customHeight="1" s="56">
      <c r="A266" s="70" t="inlineStr">
        <is>
          <t>CUST-0265</t>
        </is>
      </c>
      <c r="B266" s="70" t="inlineStr">
        <is>
          <t xml:space="preserve">  Ishaan Kumar</t>
        </is>
      </c>
      <c r="C266" s="72" t="n">
        <v>49</v>
      </c>
      <c r="D266" s="70" t="inlineStr">
        <is>
          <t>Chennai</t>
        </is>
      </c>
      <c r="E266" s="70" t="inlineStr">
        <is>
          <t>Retail</t>
        </is>
      </c>
      <c r="F266" s="71" t="n">
        <v>44555</v>
      </c>
    </row>
    <row r="267" ht="14.25" customHeight="1" s="56">
      <c r="A267" s="70" t="inlineStr">
        <is>
          <t>CUST-0266</t>
        </is>
      </c>
      <c r="B267" s="70" t="inlineStr">
        <is>
          <t>Ishaan Kumar</t>
        </is>
      </c>
      <c r="C267" s="72" t="n">
        <v>65</v>
      </c>
      <c r="D267" s="70" t="inlineStr">
        <is>
          <t>Pune</t>
        </is>
      </c>
      <c r="E267" s="70" t="inlineStr">
        <is>
          <t>Retail</t>
        </is>
      </c>
      <c r="F267" s="71" t="n">
        <v>44469</v>
      </c>
    </row>
    <row r="268" ht="14.25" customHeight="1" s="56">
      <c r="A268" s="70" t="inlineStr">
        <is>
          <t>CUST-0267</t>
        </is>
      </c>
      <c r="B268" s="70" t="inlineStr">
        <is>
          <t>Aarohi Gupta</t>
        </is>
      </c>
      <c r="C268" s="72" t="n">
        <v>27</v>
      </c>
      <c r="D268" s="70" t="inlineStr">
        <is>
          <t>Hyderabad</t>
        </is>
      </c>
      <c r="E268" s="70" t="inlineStr">
        <is>
          <t>Retail</t>
        </is>
      </c>
      <c r="F268" s="71" t="n">
        <v>44352</v>
      </c>
    </row>
    <row r="269" ht="14.25" customHeight="1" s="56">
      <c r="A269" s="70" t="inlineStr">
        <is>
          <t>CUST-0268</t>
        </is>
      </c>
      <c r="B269" s="70" t="inlineStr">
        <is>
          <t>Aditya Patel</t>
        </is>
      </c>
      <c r="C269" s="72" t="n">
        <v>35</v>
      </c>
      <c r="D269" s="70" t="inlineStr">
        <is>
          <t>Chennai</t>
        </is>
      </c>
      <c r="E269" s="70" t="inlineStr">
        <is>
          <t>Retail</t>
        </is>
      </c>
      <c r="F269" s="71" t="n">
        <v>44991</v>
      </c>
    </row>
    <row r="270" ht="14.25" customHeight="1" s="56">
      <c r="A270" s="70" t="inlineStr">
        <is>
          <t>CUST-0269</t>
        </is>
      </c>
      <c r="B270" s="70" t="inlineStr">
        <is>
          <t>Ananya Menon</t>
        </is>
      </c>
      <c r="C270" s="72" t="n">
        <v>48</v>
      </c>
      <c r="D270" s="70" t="inlineStr">
        <is>
          <t>Pune</t>
        </is>
      </c>
      <c r="E270" s="70" t="inlineStr">
        <is>
          <t>Retail</t>
        </is>
      </c>
      <c r="F270" s="71" t="n">
        <v>44429</v>
      </c>
    </row>
    <row r="271" ht="14.25" customHeight="1" s="56">
      <c r="A271" s="70" t="inlineStr">
        <is>
          <t>CUST-0270</t>
        </is>
      </c>
      <c r="B271" s="70" t="inlineStr">
        <is>
          <t>Myra Bhatt</t>
        </is>
      </c>
      <c r="C271" s="72" t="n">
        <v>29</v>
      </c>
      <c r="D271" s="70" t="inlineStr">
        <is>
          <t>Bengaluru</t>
        </is>
      </c>
      <c r="E271" s="70" t="inlineStr">
        <is>
          <t>Retail</t>
        </is>
      </c>
      <c r="F271" s="71" t="n">
        <v>44410</v>
      </c>
    </row>
    <row r="272" ht="14.25" customHeight="1" s="56">
      <c r="A272" s="70" t="inlineStr">
        <is>
          <t>CUST-0271</t>
        </is>
      </c>
      <c r="B272" s="70" t="inlineStr">
        <is>
          <t>Kabir Shah</t>
        </is>
      </c>
      <c r="C272" s="72" t="n">
        <v>41</v>
      </c>
      <c r="D272" s="70" t="inlineStr">
        <is>
          <t>Bengaluru</t>
        </is>
      </c>
      <c r="E272" s="70" t="inlineStr">
        <is>
          <t>Corporate</t>
        </is>
      </c>
      <c r="F272" s="71" t="n">
        <v>44441</v>
      </c>
    </row>
    <row r="273" ht="14.25" customHeight="1" s="56">
      <c r="A273" s="70" t="inlineStr">
        <is>
          <t>CUST-0272</t>
        </is>
      </c>
      <c r="B273" s="70" t="inlineStr">
        <is>
          <t>Pranav Bhatt</t>
        </is>
      </c>
      <c r="C273" s="72" t="n">
        <v>47</v>
      </c>
      <c r="D273" s="70" t="inlineStr">
        <is>
          <t>Mumbai</t>
        </is>
      </c>
      <c r="E273" s="70" t="inlineStr">
        <is>
          <t>SMB</t>
        </is>
      </c>
      <c r="F273" s="71" t="n">
        <v>44634</v>
      </c>
    </row>
    <row r="274" ht="14.25" customHeight="1" s="56">
      <c r="A274" s="70" t="inlineStr">
        <is>
          <t>CUST-0273</t>
        </is>
      </c>
      <c r="B274" s="70" t="inlineStr">
        <is>
          <t>Kavita Mehta</t>
        </is>
      </c>
      <c r="C274" s="72" t="n">
        <v>32</v>
      </c>
      <c r="D274" s="70" t="inlineStr">
        <is>
          <t>Hyderabad</t>
        </is>
      </c>
      <c r="E274" s="70" t="inlineStr">
        <is>
          <t>Corporate</t>
        </is>
      </c>
      <c r="F274" s="71" t="n">
        <v>44221</v>
      </c>
    </row>
    <row r="275" ht="14.25" customHeight="1" s="56">
      <c r="A275" s="70" t="inlineStr">
        <is>
          <t>CUST-0274</t>
        </is>
      </c>
      <c r="B275" s="70" t="inlineStr">
        <is>
          <t>Aadhya Desai</t>
        </is>
      </c>
      <c r="C275" s="72" t="n">
        <v>36</v>
      </c>
      <c r="D275" s="70" t="inlineStr">
        <is>
          <t>Bengaluru</t>
        </is>
      </c>
      <c r="E275" s="70" t="inlineStr">
        <is>
          <t>Corporate</t>
        </is>
      </c>
      <c r="F275" s="71" t="n">
        <v>44381</v>
      </c>
    </row>
    <row r="276" ht="14.25" customHeight="1" s="56">
      <c r="A276" s="70" t="inlineStr">
        <is>
          <t>CUST-0275</t>
        </is>
      </c>
      <c r="B276" s="70" t="inlineStr">
        <is>
          <t>Myra Kumar</t>
        </is>
      </c>
      <c r="C276" s="72" t="n">
        <v>36</v>
      </c>
      <c r="D276" s="70" t="inlineStr">
        <is>
          <t>Mumbai</t>
        </is>
      </c>
      <c r="E276" s="70" t="inlineStr">
        <is>
          <t>Retail</t>
        </is>
      </c>
      <c r="F276" s="71" t="n">
        <v>45106</v>
      </c>
    </row>
    <row r="277" ht="14.25" customHeight="1" s="56">
      <c r="A277" s="70" t="inlineStr">
        <is>
          <t>CUST-0276</t>
        </is>
      </c>
      <c r="B277" s="70" t="inlineStr">
        <is>
          <t>Rudra Agarwal</t>
        </is>
      </c>
      <c r="C277" s="72" t="n">
        <v>26</v>
      </c>
      <c r="D277" s="70" t="inlineStr">
        <is>
          <t>Chennai</t>
        </is>
      </c>
      <c r="E277" s="70" t="inlineStr">
        <is>
          <t>Retail</t>
        </is>
      </c>
      <c r="F277" s="71" t="n">
        <v>44272</v>
      </c>
    </row>
    <row r="278" ht="14.25" customHeight="1" s="56">
      <c r="A278" s="70" t="inlineStr">
        <is>
          <t>CUST-0277</t>
        </is>
      </c>
      <c r="B278" s="70" t="inlineStr">
        <is>
          <t>Kabir Singh</t>
        </is>
      </c>
      <c r="C278" s="72" t="n">
        <v>34</v>
      </c>
      <c r="D278" s="70" t="inlineStr">
        <is>
          <t>Chennai</t>
        </is>
      </c>
      <c r="E278" s="70" t="inlineStr">
        <is>
          <t>Corporate</t>
        </is>
      </c>
      <c r="F278" s="71" t="n">
        <v>44958</v>
      </c>
    </row>
    <row r="279" ht="14.25" customHeight="1" s="56">
      <c r="A279" s="70" t="inlineStr">
        <is>
          <t>CUST-0278</t>
        </is>
      </c>
      <c r="B279" s="70" t="inlineStr">
        <is>
          <t>Kartik Malhotra</t>
        </is>
      </c>
      <c r="C279" s="72" t="n">
        <v>41</v>
      </c>
      <c r="D279" s="70" t="inlineStr">
        <is>
          <t>Hyderabad</t>
        </is>
      </c>
      <c r="E279" s="70" t="inlineStr">
        <is>
          <t>Retail</t>
        </is>
      </c>
      <c r="F279" s="71" t="n">
        <v>43973</v>
      </c>
    </row>
    <row r="280" ht="14.25" customHeight="1" s="56">
      <c r="A280" s="70" t="inlineStr">
        <is>
          <t>CUST-0279</t>
        </is>
      </c>
      <c r="B280" s="70" t="inlineStr">
        <is>
          <t>Sanvi Shah</t>
        </is>
      </c>
      <c r="C280" s="72" t="n">
        <v>56</v>
      </c>
      <c r="D280" s="70" t="inlineStr">
        <is>
          <t>Mumbai</t>
        </is>
      </c>
      <c r="E280" s="70" t="inlineStr">
        <is>
          <t>Retail</t>
        </is>
      </c>
      <c r="F280" s="71" t="n">
        <v>44517</v>
      </c>
    </row>
    <row r="281" ht="14.25" customHeight="1" s="56">
      <c r="A281" s="70" t="inlineStr">
        <is>
          <t>CUST-0280</t>
        </is>
      </c>
      <c r="B281" s="70" t="inlineStr">
        <is>
          <t>Kavita Patel</t>
        </is>
      </c>
      <c r="C281" s="72" t="n">
        <v>27</v>
      </c>
      <c r="D281" s="70" t="inlineStr">
        <is>
          <t>Delhi</t>
        </is>
      </c>
      <c r="E281" s="70" t="inlineStr">
        <is>
          <t>SMB</t>
        </is>
      </c>
      <c r="F281" s="71" t="n">
        <v>45059</v>
      </c>
    </row>
    <row r="282" ht="14.25" customHeight="1" s="56">
      <c r="A282" s="70" t="inlineStr">
        <is>
          <t>CUST-0281</t>
        </is>
      </c>
      <c r="B282" s="70" t="inlineStr">
        <is>
          <t>Ahana Agarwal</t>
        </is>
      </c>
      <c r="C282" s="72" t="n">
        <v>57</v>
      </c>
      <c r="D282" s="70" t="inlineStr">
        <is>
          <t>Bengaluru</t>
        </is>
      </c>
      <c r="E282" s="70" t="inlineStr">
        <is>
          <t>Corporate</t>
        </is>
      </c>
      <c r="F282" s="71" t="n">
        <v>44029</v>
      </c>
    </row>
    <row r="283" ht="14.25" customHeight="1" s="56">
      <c r="A283" s="70" t="inlineStr">
        <is>
          <t>CUST-0282</t>
        </is>
      </c>
      <c r="B283" s="70" t="inlineStr">
        <is>
          <t>Kabir Gupta</t>
        </is>
      </c>
      <c r="C283" s="72" t="n">
        <v>29</v>
      </c>
      <c r="D283" s="70" t="inlineStr">
        <is>
          <t>Hyderabad</t>
        </is>
      </c>
      <c r="E283" s="70" t="inlineStr">
        <is>
          <t>Corporate</t>
        </is>
      </c>
      <c r="F283" s="71" t="n">
        <v>44631</v>
      </c>
    </row>
    <row r="284" ht="14.25" customHeight="1" s="56">
      <c r="A284" s="70" t="inlineStr">
        <is>
          <t>CUST-0283</t>
        </is>
      </c>
      <c r="B284" s="70" t="inlineStr">
        <is>
          <t>Dhruv Reddy</t>
        </is>
      </c>
      <c r="C284" s="72" t="n">
        <v>50</v>
      </c>
      <c r="D284" s="70" t="inlineStr">
        <is>
          <t>delhi</t>
        </is>
      </c>
      <c r="E284" s="70" t="inlineStr">
        <is>
          <t>SMB</t>
        </is>
      </c>
      <c r="F284" s="71" t="n">
        <v>44869</v>
      </c>
    </row>
    <row r="285" ht="14.25" customHeight="1" s="56">
      <c r="A285" s="70" t="inlineStr">
        <is>
          <t>CUST-0284</t>
        </is>
      </c>
      <c r="B285" s="70" t="inlineStr">
        <is>
          <t>Arjun Singh</t>
        </is>
      </c>
      <c r="C285" s="72" t="n">
        <v>65</v>
      </c>
      <c r="D285" s="70" t="inlineStr">
        <is>
          <t>Hyderabad</t>
        </is>
      </c>
      <c r="E285" s="70" t="inlineStr">
        <is>
          <t>SMB</t>
        </is>
      </c>
      <c r="F285" s="71" t="n">
        <v>44047</v>
      </c>
    </row>
    <row r="286" ht="14.25" customHeight="1" s="56">
      <c r="A286" s="70" t="inlineStr">
        <is>
          <t>CUST-0285</t>
        </is>
      </c>
      <c r="B286" s="70" t="inlineStr">
        <is>
          <t>Rohan Sharma</t>
        </is>
      </c>
      <c r="C286" s="72" t="n">
        <v>22</v>
      </c>
      <c r="D286" s="70" t="inlineStr">
        <is>
          <t>Hyderabad</t>
        </is>
      </c>
      <c r="E286" s="70" t="inlineStr">
        <is>
          <t>Retail</t>
        </is>
      </c>
      <c r="F286" s="71" t="n">
        <v>44593</v>
      </c>
    </row>
    <row r="287" ht="14.25" customHeight="1" s="56">
      <c r="A287" s="70" t="inlineStr">
        <is>
          <t>CUST-0286</t>
        </is>
      </c>
      <c r="B287" s="70" t="inlineStr">
        <is>
          <t>Aarohi Nair</t>
        </is>
      </c>
      <c r="C287" s="72" t="n">
        <v>62</v>
      </c>
      <c r="D287" s="70" t="inlineStr">
        <is>
          <t>Delhi</t>
        </is>
      </c>
      <c r="E287" s="70" t="inlineStr">
        <is>
          <t>Retail</t>
        </is>
      </c>
      <c r="F287" s="71" t="n">
        <v>44489</v>
      </c>
    </row>
    <row r="288" ht="14.25" customHeight="1" s="56">
      <c r="A288" s="70" t="inlineStr">
        <is>
          <t>CUST-0287</t>
        </is>
      </c>
      <c r="B288" s="70" t="inlineStr">
        <is>
          <t>Anaya Joshi</t>
        </is>
      </c>
      <c r="C288" s="72" t="n">
        <v>53</v>
      </c>
      <c r="D288" s="70" t="inlineStr">
        <is>
          <t>Chennai</t>
        </is>
      </c>
      <c r="E288" s="70" t="inlineStr">
        <is>
          <t>SMB</t>
        </is>
      </c>
      <c r="F288" s="71" t="n">
        <v>44738</v>
      </c>
    </row>
    <row r="289" ht="14.25" customHeight="1" s="56">
      <c r="A289" s="70" t="inlineStr">
        <is>
          <t>CUST-0288</t>
        </is>
      </c>
      <c r="B289" s="70" t="inlineStr">
        <is>
          <t>Ayaan Verma</t>
        </is>
      </c>
      <c r="C289" s="72" t="n">
        <v>25</v>
      </c>
      <c r="D289" s="70" t="inlineStr">
        <is>
          <t>Hyderabad</t>
        </is>
      </c>
      <c r="E289" s="70" t="inlineStr">
        <is>
          <t>Corporate</t>
        </is>
      </c>
      <c r="F289" s="71" t="n">
        <v>44450</v>
      </c>
    </row>
    <row r="290" ht="14.25" customHeight="1" s="56">
      <c r="A290" s="70" t="inlineStr">
        <is>
          <t>CUST-0289</t>
        </is>
      </c>
      <c r="B290" s="70" t="inlineStr">
        <is>
          <t>Krishna Desai</t>
        </is>
      </c>
      <c r="C290" s="72" t="n">
        <v>54</v>
      </c>
      <c r="D290" s="70" t="inlineStr">
        <is>
          <t>Mumbai</t>
        </is>
      </c>
      <c r="E290" s="70" t="inlineStr">
        <is>
          <t>Retail</t>
        </is>
      </c>
      <c r="F290" s="71" t="n">
        <v>44720</v>
      </c>
    </row>
    <row r="291" ht="14.25" customHeight="1" s="56">
      <c r="A291" s="70" t="inlineStr">
        <is>
          <t>CUST-0290</t>
        </is>
      </c>
      <c r="B291" s="70" t="inlineStr">
        <is>
          <t>Meera Chopra</t>
        </is>
      </c>
      <c r="C291" s="72" t="n">
        <v>63</v>
      </c>
      <c r="D291" s="70" t="inlineStr">
        <is>
          <t>Delhi</t>
        </is>
      </c>
      <c r="E291" s="70" t="inlineStr">
        <is>
          <t>Retail</t>
        </is>
      </c>
      <c r="F291" s="71" t="n">
        <v>44330</v>
      </c>
    </row>
    <row r="292" ht="14.25" customHeight="1" s="56">
      <c r="A292" s="70" t="inlineStr">
        <is>
          <t>CUST-0291</t>
        </is>
      </c>
      <c r="B292" s="70" t="inlineStr">
        <is>
          <t>Rohan Menon</t>
        </is>
      </c>
      <c r="C292" s="72" t="n">
        <v>29</v>
      </c>
      <c r="D292" s="70" t="inlineStr">
        <is>
          <t>Pune</t>
        </is>
      </c>
      <c r="E292" s="70" t="inlineStr">
        <is>
          <t>SMB</t>
        </is>
      </c>
      <c r="F292" s="71" t="n">
        <v>43950</v>
      </c>
    </row>
    <row r="293" ht="14.25" customHeight="1" s="56">
      <c r="A293" s="70" t="inlineStr">
        <is>
          <t>CUST-0292</t>
        </is>
      </c>
      <c r="B293" s="70" t="inlineStr">
        <is>
          <t>Suresh Mehta</t>
        </is>
      </c>
      <c r="C293" s="72" t="n">
        <v>32</v>
      </c>
      <c r="D293" s="70" t="inlineStr">
        <is>
          <t>Bengaluru</t>
        </is>
      </c>
      <c r="E293" s="70" t="inlineStr">
        <is>
          <t>Retail</t>
        </is>
      </c>
      <c r="F293" s="71" t="n">
        <v>43968</v>
      </c>
    </row>
    <row r="294" ht="14.25" customHeight="1" s="56">
      <c r="A294" s="70" t="inlineStr">
        <is>
          <t>CUST-0293</t>
        </is>
      </c>
      <c r="B294" s="70" t="inlineStr">
        <is>
          <t>Neha Desai</t>
        </is>
      </c>
      <c r="C294" s="72" t="n">
        <v>27</v>
      </c>
      <c r="D294" s="70" t="inlineStr">
        <is>
          <t>Bengaluru</t>
        </is>
      </c>
      <c r="E294" s="70" t="inlineStr">
        <is>
          <t>Retail</t>
        </is>
      </c>
      <c r="F294" s="71" t="n">
        <v>44335</v>
      </c>
    </row>
    <row r="295" ht="14.25" customHeight="1" s="56">
      <c r="A295" s="70" t="inlineStr">
        <is>
          <t>CUST-0294</t>
        </is>
      </c>
      <c r="B295" s="70" t="inlineStr">
        <is>
          <t>Angel Gupta</t>
        </is>
      </c>
      <c r="C295" s="72" t="n">
        <v>31</v>
      </c>
      <c r="D295" s="70" t="inlineStr">
        <is>
          <t>Delhi</t>
        </is>
      </c>
      <c r="E295" s="70" t="inlineStr">
        <is>
          <t>Corporate</t>
        </is>
      </c>
      <c r="F295" s="71" t="n">
        <v>43885</v>
      </c>
    </row>
    <row r="296" ht="14.25" customHeight="1" s="56">
      <c r="A296" s="70" t="inlineStr">
        <is>
          <t>CUST-0295</t>
        </is>
      </c>
      <c r="B296" s="70" t="inlineStr">
        <is>
          <t>Rohan Agarwal</t>
        </is>
      </c>
      <c r="C296" s="72" t="n">
        <v>48</v>
      </c>
      <c r="D296" s="70" t="inlineStr">
        <is>
          <t>Delhi</t>
        </is>
      </c>
      <c r="E296" s="70" t="inlineStr">
        <is>
          <t>SMB</t>
        </is>
      </c>
      <c r="F296" s="71" t="n">
        <v>43863</v>
      </c>
    </row>
    <row r="297" ht="14.25" customHeight="1" s="56">
      <c r="A297" s="70" t="inlineStr">
        <is>
          <t>CUST-0296</t>
        </is>
      </c>
      <c r="B297" s="70" t="inlineStr">
        <is>
          <t>Navya Sharma</t>
        </is>
      </c>
      <c r="C297" s="72" t="n">
        <v>47</v>
      </c>
      <c r="D297" s="70" t="inlineStr">
        <is>
          <t>Delhi</t>
        </is>
      </c>
      <c r="E297" s="70" t="inlineStr">
        <is>
          <t>Corporate</t>
        </is>
      </c>
      <c r="F297" s="71" t="n">
        <v>44784</v>
      </c>
    </row>
    <row r="298" ht="14.25" customHeight="1" s="56">
      <c r="A298" s="70" t="inlineStr">
        <is>
          <t>CUST-0297</t>
        </is>
      </c>
      <c r="B298" s="70" t="inlineStr">
        <is>
          <t>Vivaan Agarwal</t>
        </is>
      </c>
      <c r="C298" s="72" t="n">
        <v>50</v>
      </c>
      <c r="D298" s="70" t="inlineStr">
        <is>
          <t>Hyderabad</t>
        </is>
      </c>
      <c r="E298" s="70" t="inlineStr">
        <is>
          <t>Retail</t>
        </is>
      </c>
      <c r="F298" s="71" t="n">
        <v>44027</v>
      </c>
    </row>
    <row r="299" ht="14.25" customHeight="1" s="56">
      <c r="A299" s="70" t="inlineStr">
        <is>
          <t>CUST-0298</t>
        </is>
      </c>
      <c r="B299" s="70" t="inlineStr">
        <is>
          <t>Rahul Iyer</t>
        </is>
      </c>
      <c r="C299" s="72" t="n">
        <v>44</v>
      </c>
      <c r="D299" s="70" t="inlineStr">
        <is>
          <t>Delhi</t>
        </is>
      </c>
      <c r="E299" s="70" t="inlineStr">
        <is>
          <t>Retail</t>
        </is>
      </c>
      <c r="F299" s="71" t="n">
        <v>43840</v>
      </c>
    </row>
    <row r="300" ht="14.25" customHeight="1" s="56">
      <c r="A300" s="70" t="inlineStr">
        <is>
          <t>CUST-0299</t>
        </is>
      </c>
      <c r="B300" s="70" t="inlineStr">
        <is>
          <t>Riya Verma</t>
        </is>
      </c>
      <c r="C300" s="72" t="n">
        <v>51</v>
      </c>
      <c r="D300" s="70" t="inlineStr">
        <is>
          <t>Mumbai</t>
        </is>
      </c>
      <c r="E300" s="70" t="inlineStr">
        <is>
          <t>Corporate</t>
        </is>
      </c>
      <c r="F300" s="71" t="n">
        <v>44675</v>
      </c>
    </row>
    <row r="301" ht="14.25" customHeight="1" s="56">
      <c r="A301" s="70" t="inlineStr">
        <is>
          <t>CUST-0300</t>
        </is>
      </c>
      <c r="B301" s="70" t="inlineStr">
        <is>
          <t>Rohit Nair</t>
        </is>
      </c>
      <c r="C301" s="72" t="n">
        <v>38</v>
      </c>
      <c r="D301" s="70" t="inlineStr">
        <is>
          <t>Mumbai</t>
        </is>
      </c>
      <c r="E301" s="70" t="inlineStr">
        <is>
          <t>Retail</t>
        </is>
      </c>
      <c r="F301" s="71" t="n">
        <v>43932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4472C4"/>
    <outlinePr summaryBelow="1" summaryRight="1"/>
    <pageSetUpPr fitToPage="1"/>
  </sheetPr>
  <dimension ref="A1:F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4.25" customHeight="1" zeroHeight="0" outlineLevelRow="0"/>
  <cols>
    <col width="12" customWidth="1" style="55" min="1" max="1"/>
    <col width="22" customWidth="1" style="55" min="2" max="2"/>
    <col width="13" customWidth="1" style="55" min="3" max="3"/>
    <col width="11" customWidth="1" style="55" min="4" max="4"/>
    <col width="12" customWidth="1" style="55" min="5" max="5"/>
    <col width="11" customWidth="1" style="55" min="6" max="6"/>
  </cols>
  <sheetData>
    <row r="1" ht="14.25" customHeight="1" s="56">
      <c r="A1" s="62" t="inlineStr">
        <is>
          <t>product_id</t>
        </is>
      </c>
      <c r="B1" s="62" t="inlineStr">
        <is>
          <t>product_name</t>
        </is>
      </c>
      <c r="C1" s="62" t="inlineStr">
        <is>
          <t>category</t>
        </is>
      </c>
      <c r="D1" s="62" t="inlineStr">
        <is>
          <t>unit_cost</t>
        </is>
      </c>
      <c r="E1" s="62" t="inlineStr">
        <is>
          <t>unit_price</t>
        </is>
      </c>
      <c r="F1" s="62" t="inlineStr">
        <is>
          <t>is_active</t>
        </is>
      </c>
    </row>
    <row r="2" ht="14.25" customHeight="1" s="56">
      <c r="A2" s="70" t="inlineStr">
        <is>
          <t>PROD-001</t>
        </is>
      </c>
      <c r="B2" s="70" t="inlineStr">
        <is>
          <t>Smartphone Pro</t>
        </is>
      </c>
      <c r="C2" s="70" t="inlineStr">
        <is>
          <t>Electronics</t>
        </is>
      </c>
      <c r="D2" s="72" t="n">
        <v>2405</v>
      </c>
      <c r="E2" s="72" t="n">
        <v>5330</v>
      </c>
      <c r="F2" s="70">
        <f>TRUE()</f>
        <v/>
      </c>
    </row>
    <row r="3" ht="14.25" customHeight="1" s="56">
      <c r="A3" s="70" t="inlineStr">
        <is>
          <t>PROD-002</t>
        </is>
      </c>
      <c r="B3" s="70" t="inlineStr">
        <is>
          <t>Wireless Earbuds</t>
        </is>
      </c>
      <c r="C3" s="70" t="inlineStr">
        <is>
          <t>Electronics</t>
        </is>
      </c>
      <c r="D3" s="72" t="n">
        <v>1052</v>
      </c>
      <c r="E3" s="72" t="n">
        <v>2600</v>
      </c>
      <c r="F3" s="70">
        <f>TRUE()</f>
        <v/>
      </c>
    </row>
    <row r="4" ht="14.25" customHeight="1" s="56">
      <c r="A4" s="70" t="inlineStr">
        <is>
          <t>PROD-003</t>
        </is>
      </c>
      <c r="B4" s="70" t="inlineStr">
        <is>
          <t>Smart Watch</t>
        </is>
      </c>
      <c r="C4" s="70" t="inlineStr">
        <is>
          <t>Electronics</t>
        </is>
      </c>
      <c r="D4" s="72" t="n">
        <v>1665</v>
      </c>
      <c r="E4" s="72" t="n">
        <v>3570</v>
      </c>
      <c r="F4" s="70">
        <f>TRUE()</f>
        <v/>
      </c>
    </row>
    <row r="5" ht="14.25" customHeight="1" s="56">
      <c r="A5" s="70" t="inlineStr">
        <is>
          <t>PROD-004</t>
        </is>
      </c>
      <c r="B5" s="70" t="inlineStr">
        <is>
          <t>Laptop Bag</t>
        </is>
      </c>
      <c r="C5" s="70" t="inlineStr">
        <is>
          <t>Electronics</t>
        </is>
      </c>
      <c r="D5" s="72" t="n">
        <v>1559</v>
      </c>
      <c r="E5" s="72" t="n">
        <v>3870</v>
      </c>
      <c r="F5" s="70">
        <f>TRUE()</f>
        <v/>
      </c>
    </row>
    <row r="6" ht="14.25" customHeight="1" s="56">
      <c r="A6" s="70" t="inlineStr">
        <is>
          <t>PROD-005</t>
        </is>
      </c>
      <c r="B6" s="70" t="inlineStr">
        <is>
          <t>Power Bank</t>
        </is>
      </c>
      <c r="C6" s="70" t="inlineStr">
        <is>
          <t>Electronics</t>
        </is>
      </c>
      <c r="D6" s="72" t="n">
        <v>128</v>
      </c>
      <c r="E6" s="72" t="n">
        <v>300</v>
      </c>
      <c r="F6" s="70">
        <f>TRUE()</f>
        <v/>
      </c>
    </row>
    <row r="7" ht="14.25" customHeight="1" s="56">
      <c r="A7" s="70" t="inlineStr">
        <is>
          <t>PROD-006</t>
        </is>
      </c>
      <c r="B7" s="70" t="inlineStr">
        <is>
          <t>Bluetooth Speaker</t>
        </is>
      </c>
      <c r="C7" s="70" t="inlineStr">
        <is>
          <t>Electronics</t>
        </is>
      </c>
      <c r="D7" s="72" t="n">
        <v>2865</v>
      </c>
      <c r="E7" s="72" t="n">
        <v>3970</v>
      </c>
      <c r="F7" s="70">
        <f>TRUE()</f>
        <v/>
      </c>
    </row>
    <row r="8" ht="14.25" customHeight="1" s="56">
      <c r="A8" s="70" t="inlineStr">
        <is>
          <t>PROD-007</t>
        </is>
      </c>
      <c r="B8" s="70" t="inlineStr">
        <is>
          <t>USB-C Cable</t>
        </is>
      </c>
      <c r="C8" s="70" t="inlineStr">
        <is>
          <t>Electronics</t>
        </is>
      </c>
      <c r="D8" s="72" t="n">
        <v>861</v>
      </c>
      <c r="E8" s="72" t="n">
        <v>1430</v>
      </c>
      <c r="F8" s="70">
        <f>TRUE()</f>
        <v/>
      </c>
    </row>
    <row r="9" ht="14.25" customHeight="1" s="56">
      <c r="A9" s="70" t="inlineStr">
        <is>
          <t>PROD-008</t>
        </is>
      </c>
      <c r="B9" s="70" t="inlineStr">
        <is>
          <t>Wireless Mouse</t>
        </is>
      </c>
      <c r="C9" s="70" t="inlineStr">
        <is>
          <t>Electronics</t>
        </is>
      </c>
      <c r="D9" s="72" t="n">
        <v>1259</v>
      </c>
      <c r="E9" s="72" t="n">
        <v>2660</v>
      </c>
      <c r="F9" s="70">
        <f>FALSE()</f>
        <v/>
      </c>
    </row>
    <row r="10" ht="14.25" customHeight="1" s="56">
      <c r="A10" s="70" t="inlineStr">
        <is>
          <t>PROD-009</t>
        </is>
      </c>
      <c r="B10" s="70" t="inlineStr">
        <is>
          <t>Mechanical Keyboard</t>
        </is>
      </c>
      <c r="C10" s="70" t="inlineStr">
        <is>
          <t>Electronics</t>
        </is>
      </c>
      <c r="D10" s="72" t="n">
        <v>517</v>
      </c>
      <c r="E10" s="72" t="n">
        <v>1220</v>
      </c>
      <c r="F10" s="70">
        <f>TRUE()</f>
        <v/>
      </c>
    </row>
    <row r="11" ht="14.25" customHeight="1" s="56">
      <c r="A11" s="70" t="inlineStr">
        <is>
          <t>PROD-010</t>
        </is>
      </c>
      <c r="B11" s="70" t="inlineStr">
        <is>
          <t>Tablet Stand</t>
        </is>
      </c>
      <c r="C11" s="70" t="inlineStr">
        <is>
          <t>Electronics</t>
        </is>
      </c>
      <c r="D11" s="72" t="n">
        <v>1149</v>
      </c>
      <c r="E11" s="72" t="n">
        <v>2640</v>
      </c>
      <c r="F11" s="70">
        <f>TRUE()</f>
        <v/>
      </c>
    </row>
    <row r="12" ht="14.25" customHeight="1" s="56">
      <c r="A12" s="70" t="inlineStr">
        <is>
          <t>PROD-011</t>
        </is>
      </c>
      <c r="B12" s="70" t="inlineStr">
        <is>
          <t>Cotton T-Shirt</t>
        </is>
      </c>
      <c r="C12" s="70" t="inlineStr">
        <is>
          <t>Apparel</t>
        </is>
      </c>
      <c r="D12" s="72" t="n">
        <v>1748</v>
      </c>
      <c r="E12" s="72" t="n">
        <v>3450</v>
      </c>
      <c r="F12" s="70">
        <f>TRUE()</f>
        <v/>
      </c>
    </row>
    <row r="13" ht="14.25" customHeight="1" s="56">
      <c r="A13" s="70" t="inlineStr">
        <is>
          <t>PROD-012</t>
        </is>
      </c>
      <c r="B13" s="70" t="inlineStr">
        <is>
          <t>Denim Jeans</t>
        </is>
      </c>
      <c r="C13" s="70" t="inlineStr">
        <is>
          <t>Apparel</t>
        </is>
      </c>
      <c r="D13" s="72" t="n">
        <v>1886</v>
      </c>
      <c r="E13" s="72" t="n">
        <v>3160</v>
      </c>
      <c r="F13" s="70">
        <f>TRUE()</f>
        <v/>
      </c>
    </row>
    <row r="14" ht="14.25" customHeight="1" s="56">
      <c r="A14" s="70" t="inlineStr">
        <is>
          <t>PROD-013</t>
        </is>
      </c>
      <c r="B14" s="70" t="inlineStr">
        <is>
          <t>Formal Shirt</t>
        </is>
      </c>
      <c r="C14" s="70" t="inlineStr">
        <is>
          <t>Apparel</t>
        </is>
      </c>
      <c r="D14" s="72" t="n">
        <v>2611</v>
      </c>
      <c r="E14" s="72" t="n">
        <v>3640</v>
      </c>
      <c r="F14" s="70">
        <f>TRUE()</f>
        <v/>
      </c>
    </row>
    <row r="15" ht="14.25" customHeight="1" s="56">
      <c r="A15" s="70" t="inlineStr">
        <is>
          <t>PROD-014</t>
        </is>
      </c>
      <c r="B15" s="70" t="inlineStr">
        <is>
          <t>Winter Jacket</t>
        </is>
      </c>
      <c r="C15" s="70" t="inlineStr">
        <is>
          <t>Apparel</t>
        </is>
      </c>
      <c r="D15" s="72" t="n">
        <v>2509</v>
      </c>
      <c r="E15" s="72" t="n">
        <v>3620</v>
      </c>
      <c r="F15" s="70">
        <f>TRUE()</f>
        <v/>
      </c>
    </row>
    <row r="16" ht="14.25" customHeight="1" s="56">
      <c r="A16" s="70" t="inlineStr">
        <is>
          <t>PROD-015</t>
        </is>
      </c>
      <c r="B16" s="70" t="inlineStr">
        <is>
          <t>Sports Shoes</t>
        </is>
      </c>
      <c r="C16" s="70" t="inlineStr">
        <is>
          <t>Apparel</t>
        </is>
      </c>
      <c r="D16" s="72" t="n">
        <v>1962</v>
      </c>
      <c r="E16" s="72" t="n">
        <v>2720</v>
      </c>
      <c r="F16" s="70">
        <f>TRUE()</f>
        <v/>
      </c>
    </row>
    <row r="17" ht="14.25" customHeight="1" s="56">
      <c r="A17" s="70" t="inlineStr">
        <is>
          <t>PROD-016</t>
        </is>
      </c>
      <c r="B17" s="70" t="inlineStr">
        <is>
          <t>Casual Sneakers</t>
        </is>
      </c>
      <c r="C17" s="70" t="inlineStr">
        <is>
          <t>Apparel</t>
        </is>
      </c>
      <c r="D17" s="72" t="n">
        <v>396</v>
      </c>
      <c r="E17" s="72" t="n">
        <v>620</v>
      </c>
      <c r="F17" s="70">
        <f>TRUE()</f>
        <v/>
      </c>
    </row>
    <row r="18" ht="14.25" customHeight="1" s="56">
      <c r="A18" s="70" t="inlineStr">
        <is>
          <t>PROD-017</t>
        </is>
      </c>
      <c r="B18" s="70" t="inlineStr">
        <is>
          <t>Silk Saree</t>
        </is>
      </c>
      <c r="C18" s="70" t="inlineStr">
        <is>
          <t>Apparel</t>
        </is>
      </c>
      <c r="D18" s="72" t="n">
        <v>1075</v>
      </c>
      <c r="E18" s="72" t="n">
        <v>2510</v>
      </c>
      <c r="F18" s="70">
        <f>FALSE()</f>
        <v/>
      </c>
    </row>
    <row r="19" ht="14.25" customHeight="1" s="56">
      <c r="A19" s="70" t="inlineStr">
        <is>
          <t>PROD-018</t>
        </is>
      </c>
      <c r="B19" s="70" t="inlineStr">
        <is>
          <t>Kurta Set</t>
        </is>
      </c>
      <c r="C19" s="70" t="inlineStr">
        <is>
          <t>Apparel</t>
        </is>
      </c>
      <c r="D19" s="72" t="n">
        <v>2629</v>
      </c>
      <c r="E19" s="72" t="n">
        <v>3560</v>
      </c>
      <c r="F19" s="70">
        <f>TRUE()</f>
        <v/>
      </c>
    </row>
    <row r="20" ht="14.25" customHeight="1" s="56">
      <c r="A20" s="70" t="inlineStr">
        <is>
          <t>PROD-019</t>
        </is>
      </c>
      <c r="B20" s="70" t="inlineStr">
        <is>
          <t>Track Pants</t>
        </is>
      </c>
      <c r="C20" s="70" t="inlineStr">
        <is>
          <t>Apparel</t>
        </is>
      </c>
      <c r="D20" s="72" t="n">
        <v>1173</v>
      </c>
      <c r="E20" s="72" t="n">
        <v>2480</v>
      </c>
      <c r="F20" s="70">
        <f>TRUE()</f>
        <v/>
      </c>
    </row>
    <row r="21" ht="14.25" customHeight="1" s="56">
      <c r="A21" s="70" t="inlineStr">
        <is>
          <t>PROD-020</t>
        </is>
      </c>
      <c r="B21" s="70" t="inlineStr">
        <is>
          <t>Woolen Sweater</t>
        </is>
      </c>
      <c r="C21" s="70" t="inlineStr">
        <is>
          <t>Apparel</t>
        </is>
      </c>
      <c r="D21" s="72" t="n">
        <v>391</v>
      </c>
      <c r="E21" s="72" t="n">
        <v>820</v>
      </c>
      <c r="F21" s="70">
        <f>TRUE()</f>
        <v/>
      </c>
    </row>
    <row r="22" ht="14.25" customHeight="1" s="56">
      <c r="A22" s="70" t="inlineStr">
        <is>
          <t>PROD-021</t>
        </is>
      </c>
      <c r="B22" s="70" t="inlineStr">
        <is>
          <t>Basmati Rice 5kg</t>
        </is>
      </c>
      <c r="C22" s="70" t="inlineStr">
        <is>
          <t>Grocery</t>
        </is>
      </c>
      <c r="D22" s="72" t="n">
        <v>1435</v>
      </c>
      <c r="E22" s="72" t="n">
        <v>2760</v>
      </c>
      <c r="F22" s="70">
        <f>TRUE()</f>
        <v/>
      </c>
    </row>
    <row r="23" ht="14.25" customHeight="1" s="56">
      <c r="A23" s="70" t="inlineStr">
        <is>
          <t>PROD-022</t>
        </is>
      </c>
      <c r="B23" s="70" t="inlineStr">
        <is>
          <t>Wheat Flour 10kg</t>
        </is>
      </c>
      <c r="C23" s="70" t="inlineStr">
        <is>
          <t>Grocery</t>
        </is>
      </c>
      <c r="D23" s="72" t="n">
        <v>1412</v>
      </c>
      <c r="E23" s="72" t="n">
        <v>2270</v>
      </c>
      <c r="F23" s="70">
        <f>TRUE()</f>
        <v/>
      </c>
    </row>
    <row r="24" ht="14.25" customHeight="1" s="56">
      <c r="A24" s="70" t="inlineStr">
        <is>
          <t>PROD-023</t>
        </is>
      </c>
      <c r="B24" s="70" t="inlineStr">
        <is>
          <t>Cooking Oil 5L</t>
        </is>
      </c>
      <c r="C24" s="70" t="inlineStr">
        <is>
          <t>Grocery</t>
        </is>
      </c>
      <c r="D24" s="72" t="n">
        <v>1182</v>
      </c>
      <c r="E24" s="72" t="n">
        <v>2380</v>
      </c>
      <c r="F24" s="70">
        <f>TRUE()</f>
        <v/>
      </c>
    </row>
    <row r="25" ht="14.25" customHeight="1" s="56">
      <c r="A25" s="70" t="inlineStr">
        <is>
          <t>PROD-024</t>
        </is>
      </c>
      <c r="B25" s="70" t="inlineStr">
        <is>
          <t>Turmeric Powder 500g</t>
        </is>
      </c>
      <c r="C25" s="70" t="inlineStr">
        <is>
          <t>Grocery</t>
        </is>
      </c>
      <c r="D25" s="72" t="n">
        <v>1203</v>
      </c>
      <c r="E25" s="72" t="n">
        <v>2270</v>
      </c>
      <c r="F25" s="70">
        <f>TRUE()</f>
        <v/>
      </c>
    </row>
    <row r="26" ht="14.25" customHeight="1" s="56">
      <c r="A26" s="70" t="inlineStr">
        <is>
          <t>PROD-025</t>
        </is>
      </c>
      <c r="B26" s="70" t="inlineStr">
        <is>
          <t>Chili Powder 500g</t>
        </is>
      </c>
      <c r="C26" s="70" t="inlineStr">
        <is>
          <t>Grocery</t>
        </is>
      </c>
      <c r="D26" s="72" t="n">
        <v>2911</v>
      </c>
      <c r="E26" s="72" t="n">
        <v>4060</v>
      </c>
      <c r="F26" s="70">
        <f>TRUE()</f>
        <v/>
      </c>
    </row>
    <row r="27" ht="14.25" customHeight="1" s="56">
      <c r="A27" s="70" t="inlineStr">
        <is>
          <t>PROD-026</t>
        </is>
      </c>
      <c r="B27" s="70" t="inlineStr">
        <is>
          <t>Sugar 5kg</t>
        </is>
      </c>
      <c r="C27" s="70" t="inlineStr">
        <is>
          <t>Grocery</t>
        </is>
      </c>
      <c r="D27" s="72" t="n">
        <v>2027</v>
      </c>
      <c r="E27" s="72" t="n">
        <v>4070</v>
      </c>
      <c r="F27" s="70">
        <f>TRUE()</f>
        <v/>
      </c>
    </row>
    <row r="28" ht="14.25" customHeight="1" s="56">
      <c r="A28" s="70" t="inlineStr">
        <is>
          <t>PROD-027</t>
        </is>
      </c>
      <c r="B28" s="70" t="inlineStr">
        <is>
          <t>Tea Leaves 1kg</t>
        </is>
      </c>
      <c r="C28" s="70" t="inlineStr">
        <is>
          <t>Grocery</t>
        </is>
      </c>
      <c r="D28" s="72" t="n">
        <v>2436</v>
      </c>
      <c r="E28" s="72" t="n">
        <v>3780</v>
      </c>
      <c r="F28" s="70">
        <f>TRUE()</f>
        <v/>
      </c>
    </row>
    <row r="29" ht="14.25" customHeight="1" s="56">
      <c r="A29" s="70" t="inlineStr">
        <is>
          <t>PROD-028</t>
        </is>
      </c>
      <c r="B29" s="70" t="inlineStr">
        <is>
          <t>Coffee Beans 500g</t>
        </is>
      </c>
      <c r="C29" s="70" t="inlineStr">
        <is>
          <t>Grocery</t>
        </is>
      </c>
      <c r="D29" s="72" t="n">
        <v>2214</v>
      </c>
      <c r="E29" s="72" t="n">
        <v>3660</v>
      </c>
      <c r="F29" s="70">
        <f>FALSE()</f>
        <v/>
      </c>
    </row>
    <row r="30" ht="14.25" customHeight="1" s="56">
      <c r="A30" s="70" t="inlineStr">
        <is>
          <t>PROD-029</t>
        </is>
      </c>
      <c r="B30" s="70" t="inlineStr">
        <is>
          <t>Ghee 1L</t>
        </is>
      </c>
      <c r="C30" s="70" t="inlineStr">
        <is>
          <t>Grocery</t>
        </is>
      </c>
      <c r="D30" s="72" t="n">
        <v>1010</v>
      </c>
      <c r="E30" s="72" t="n">
        <v>2210</v>
      </c>
      <c r="F30" s="70">
        <f>TRUE()</f>
        <v/>
      </c>
    </row>
    <row r="31" ht="14.25" customHeight="1" s="56">
      <c r="A31" s="70" t="inlineStr">
        <is>
          <t>PROD-030</t>
        </is>
      </c>
      <c r="B31" s="70" t="inlineStr">
        <is>
          <t>Salt 1kg</t>
        </is>
      </c>
      <c r="C31" s="70" t="inlineStr">
        <is>
          <t>Grocery</t>
        </is>
      </c>
      <c r="D31" s="72" t="n">
        <v>434</v>
      </c>
      <c r="E31" s="72" t="n">
        <v>970</v>
      </c>
      <c r="F31" s="70">
        <f>TRUE()</f>
        <v/>
      </c>
    </row>
    <row r="32" ht="14.25" customHeight="1" s="56">
      <c r="A32" s="70" t="inlineStr">
        <is>
          <t>PROD-031</t>
        </is>
      </c>
      <c r="B32" s="70" t="inlineStr">
        <is>
          <t>Bed Sheet Set</t>
        </is>
      </c>
      <c r="C32" s="70" t="inlineStr">
        <is>
          <t>Home</t>
        </is>
      </c>
      <c r="D32" s="72" t="n">
        <v>2135</v>
      </c>
      <c r="E32" s="72" t="n">
        <v>3730</v>
      </c>
      <c r="F32" s="70">
        <f>TRUE()</f>
        <v/>
      </c>
    </row>
    <row r="33" ht="14.25" customHeight="1" s="56">
      <c r="A33" s="70" t="inlineStr">
        <is>
          <t>PROD-032</t>
        </is>
      </c>
      <c r="B33" s="70" t="inlineStr">
        <is>
          <t>Pillow Cover Pair</t>
        </is>
      </c>
      <c r="C33" s="70" t="inlineStr">
        <is>
          <t>Home</t>
        </is>
      </c>
      <c r="D33" s="72" t="n">
        <v>288</v>
      </c>
      <c r="E33" s="72" t="n">
        <v>370</v>
      </c>
      <c r="F33" s="70">
        <f>TRUE()</f>
        <v/>
      </c>
    </row>
    <row r="34" ht="14.25" customHeight="1" s="56">
      <c r="A34" s="70" t="inlineStr">
        <is>
          <t>PROD-033</t>
        </is>
      </c>
      <c r="B34" s="70" t="inlineStr">
        <is>
          <t>Curtain Set</t>
        </is>
      </c>
      <c r="C34" s="70" t="inlineStr">
        <is>
          <t>Home</t>
        </is>
      </c>
      <c r="D34" s="72" t="n">
        <v>1143</v>
      </c>
      <c r="E34" s="72" t="n">
        <v>2030</v>
      </c>
      <c r="F34" s="70">
        <f>TRUE()</f>
        <v/>
      </c>
    </row>
    <row r="35" ht="14.25" customHeight="1" s="56">
      <c r="A35" s="70" t="inlineStr">
        <is>
          <t>PROD-034</t>
        </is>
      </c>
      <c r="B35" s="70" t="inlineStr">
        <is>
          <t>Kitchen Towel Set</t>
        </is>
      </c>
      <c r="C35" s="70" t="inlineStr">
        <is>
          <t>Home</t>
        </is>
      </c>
      <c r="D35" s="72" t="n">
        <v>2459</v>
      </c>
      <c r="E35" s="72" t="n">
        <v>5080</v>
      </c>
      <c r="F35" s="70">
        <f>TRUE()</f>
        <v/>
      </c>
    </row>
    <row r="36" ht="14.25" customHeight="1" s="56">
      <c r="A36" s="70" t="inlineStr">
        <is>
          <t>PROD-035</t>
        </is>
      </c>
      <c r="B36" s="70" t="inlineStr">
        <is>
          <t>Doormat</t>
        </is>
      </c>
      <c r="C36" s="70" t="inlineStr">
        <is>
          <t>Home</t>
        </is>
      </c>
      <c r="D36" s="72" t="n">
        <v>464</v>
      </c>
      <c r="E36" s="72" t="n">
        <v>1090</v>
      </c>
      <c r="F36" s="70">
        <f>TRUE()</f>
        <v/>
      </c>
    </row>
    <row r="37" ht="14.25" customHeight="1" s="56">
      <c r="A37" s="70" t="inlineStr">
        <is>
          <t>PROD-036</t>
        </is>
      </c>
      <c r="B37" s="70" t="inlineStr">
        <is>
          <t>Wall Clock</t>
        </is>
      </c>
      <c r="C37" s="70" t="inlineStr">
        <is>
          <t>Home</t>
        </is>
      </c>
      <c r="D37" s="72" t="n">
        <v>1556</v>
      </c>
      <c r="E37" s="72" t="n">
        <v>3250</v>
      </c>
      <c r="F37" s="70">
        <f>TRUE()</f>
        <v/>
      </c>
    </row>
    <row r="38" ht="14.25" customHeight="1" s="56">
      <c r="A38" s="70" t="inlineStr">
        <is>
          <t>PROD-037</t>
        </is>
      </c>
      <c r="B38" s="70" t="inlineStr">
        <is>
          <t>Table Lamp</t>
        </is>
      </c>
      <c r="C38" s="70" t="inlineStr">
        <is>
          <t>Home</t>
        </is>
      </c>
      <c r="D38" s="72" t="n">
        <v>329</v>
      </c>
      <c r="E38" s="72" t="n">
        <v>660</v>
      </c>
      <c r="F38" s="70">
        <f>TRUE()</f>
        <v/>
      </c>
    </row>
    <row r="39" ht="14.25" customHeight="1" s="56">
      <c r="A39" s="70" t="inlineStr">
        <is>
          <t>PROD-038</t>
        </is>
      </c>
      <c r="B39" s="70" t="inlineStr">
        <is>
          <t>Storage Box</t>
        </is>
      </c>
      <c r="C39" s="70" t="inlineStr">
        <is>
          <t>Home</t>
        </is>
      </c>
      <c r="D39" s="72" t="n">
        <v>2549</v>
      </c>
      <c r="E39" s="72" t="n">
        <v>5490</v>
      </c>
      <c r="F39" s="70">
        <f>TRUE()</f>
        <v/>
      </c>
    </row>
    <row r="40" ht="14.25" customHeight="1" s="56">
      <c r="A40" s="70" t="inlineStr">
        <is>
          <t>PROD-039</t>
        </is>
      </c>
      <c r="B40" s="70" t="inlineStr">
        <is>
          <t>Photo Frame</t>
        </is>
      </c>
      <c r="C40" s="70" t="inlineStr">
        <is>
          <t>Home</t>
        </is>
      </c>
      <c r="D40" s="72" t="n">
        <v>1850</v>
      </c>
      <c r="E40" s="72" t="n">
        <v>4610</v>
      </c>
      <c r="F40" s="70">
        <f>TRUE()</f>
        <v/>
      </c>
    </row>
    <row r="41" ht="14.25" customHeight="1" s="56">
      <c r="A41" s="70" t="inlineStr">
        <is>
          <t>PROD-040</t>
        </is>
      </c>
      <c r="B41" s="70" t="inlineStr">
        <is>
          <t>Cushion Cover</t>
        </is>
      </c>
      <c r="C41" s="70" t="inlineStr">
        <is>
          <t>Home</t>
        </is>
      </c>
      <c r="D41" s="72" t="n">
        <v>519</v>
      </c>
      <c r="E41" s="72" t="n">
        <v>1080</v>
      </c>
      <c r="F41" s="70">
        <f>TRUE()</f>
        <v/>
      </c>
    </row>
    <row r="42" ht="14.25" customHeight="1" s="56">
      <c r="A42" s="70" t="inlineStr">
        <is>
          <t>PROD-041</t>
        </is>
      </c>
      <c r="B42" s="70" t="inlineStr">
        <is>
          <t>Face Wash 100ml</t>
        </is>
      </c>
      <c r="C42" s="70" t="inlineStr">
        <is>
          <t>Beauty</t>
        </is>
      </c>
      <c r="D42" s="72" t="n">
        <v>647</v>
      </c>
      <c r="E42" s="72" t="n">
        <v>1540</v>
      </c>
      <c r="F42" s="70">
        <f>FALSE()</f>
        <v/>
      </c>
    </row>
    <row r="43" ht="14.25" customHeight="1" s="56">
      <c r="A43" s="70" t="inlineStr">
        <is>
          <t>PROD-042</t>
        </is>
      </c>
      <c r="B43" s="70" t="inlineStr">
        <is>
          <t>Moisturizer 200ml</t>
        </is>
      </c>
      <c r="C43" s="70" t="inlineStr">
        <is>
          <t>Beauty</t>
        </is>
      </c>
      <c r="D43" s="72" t="n">
        <v>1219</v>
      </c>
      <c r="E43" s="72" t="n">
        <v>2290</v>
      </c>
      <c r="F43" s="70">
        <f>TRUE()</f>
        <v/>
      </c>
    </row>
    <row r="44" ht="14.25" customHeight="1" s="56">
      <c r="A44" s="70" t="inlineStr">
        <is>
          <t>PROD-043</t>
        </is>
      </c>
      <c r="B44" s="70" t="inlineStr">
        <is>
          <t>Shampoo 500ml</t>
        </is>
      </c>
      <c r="C44" s="70" t="inlineStr">
        <is>
          <t>Beauty</t>
        </is>
      </c>
      <c r="D44" s="72" t="n">
        <v>1728</v>
      </c>
      <c r="E44" s="72" t="n">
        <v>3350</v>
      </c>
      <c r="F44" s="70">
        <f>TRUE()</f>
        <v/>
      </c>
    </row>
    <row r="45" ht="14.25" customHeight="1" s="56">
      <c r="A45" s="70" t="inlineStr">
        <is>
          <t>PROD-044</t>
        </is>
      </c>
      <c r="B45" s="70" t="inlineStr">
        <is>
          <t>Conditioner 500ml</t>
        </is>
      </c>
      <c r="C45" s="70" t="inlineStr">
        <is>
          <t>Beauty</t>
        </is>
      </c>
      <c r="D45" s="72" t="n">
        <v>1222</v>
      </c>
      <c r="E45" s="72" t="n">
        <v>1650</v>
      </c>
      <c r="F45" s="70">
        <f>TRUE()</f>
        <v/>
      </c>
    </row>
    <row r="46" ht="14.25" customHeight="1" s="56">
      <c r="A46" s="70" t="inlineStr">
        <is>
          <t>PROD-045</t>
        </is>
      </c>
      <c r="B46" s="70" t="inlineStr">
        <is>
          <t>Body Lotion 400ml</t>
        </is>
      </c>
      <c r="C46" s="70" t="inlineStr">
        <is>
          <t>Beauty</t>
        </is>
      </c>
      <c r="D46" s="72" t="n">
        <v>1626</v>
      </c>
      <c r="E46" s="72" t="n">
        <v>3020</v>
      </c>
      <c r="F46" s="70">
        <f>TRUE()</f>
        <v/>
      </c>
    </row>
    <row r="47" ht="14.25" customHeight="1" s="56">
      <c r="A47" s="70" t="inlineStr">
        <is>
          <t>PROD-046</t>
        </is>
      </c>
      <c r="B47" s="70" t="inlineStr">
        <is>
          <t>Sunscreen SPF50</t>
        </is>
      </c>
      <c r="C47" s="70" t="inlineStr">
        <is>
          <t>Beauty</t>
        </is>
      </c>
      <c r="D47" s="72" t="n">
        <v>2768</v>
      </c>
      <c r="E47" s="72" t="n">
        <v>4880</v>
      </c>
      <c r="F47" s="70">
        <f>TRUE()</f>
        <v/>
      </c>
    </row>
    <row r="48" ht="14.25" customHeight="1" s="56">
      <c r="A48" s="70" t="inlineStr">
        <is>
          <t>PROD-047</t>
        </is>
      </c>
      <c r="B48" s="70" t="inlineStr">
        <is>
          <t>Lipstick</t>
        </is>
      </c>
      <c r="C48" s="70" t="inlineStr">
        <is>
          <t>Beauty</t>
        </is>
      </c>
      <c r="D48" s="72" t="n">
        <v>2420</v>
      </c>
      <c r="E48" s="72" t="n">
        <v>3450</v>
      </c>
      <c r="F48" s="70">
        <f>TRUE()</f>
        <v/>
      </c>
    </row>
    <row r="49" ht="14.25" customHeight="1" s="56">
      <c r="A49" s="70" t="inlineStr">
        <is>
          <t>PROD-048</t>
        </is>
      </c>
      <c r="B49" s="70" t="inlineStr">
        <is>
          <t>Kajal</t>
        </is>
      </c>
      <c r="C49" s="70" t="inlineStr">
        <is>
          <t>Beauty</t>
        </is>
      </c>
      <c r="D49" s="72" t="n">
        <v>2237</v>
      </c>
      <c r="E49" s="72" t="n">
        <v>5100</v>
      </c>
      <c r="F49" s="70">
        <f>TRUE()</f>
        <v/>
      </c>
    </row>
    <row r="50" ht="14.25" customHeight="1" s="56">
      <c r="A50" s="70" t="inlineStr">
        <is>
          <t>PROD-049</t>
        </is>
      </c>
      <c r="B50" s="70" t="inlineStr">
        <is>
          <t>Hair Oil 200ml</t>
        </is>
      </c>
      <c r="C50" s="70" t="inlineStr">
        <is>
          <t>Beauty</t>
        </is>
      </c>
      <c r="D50" s="72" t="n">
        <v>675</v>
      </c>
      <c r="E50" s="72" t="n">
        <v>960</v>
      </c>
      <c r="F50" s="70">
        <f>TRUE()</f>
        <v/>
      </c>
    </row>
    <row r="51" ht="14.25" customHeight="1" s="56">
      <c r="A51" s="70" t="inlineStr">
        <is>
          <t>PROD-050</t>
        </is>
      </c>
      <c r="B51" s="70" t="inlineStr">
        <is>
          <t>Perfume 100ml</t>
        </is>
      </c>
      <c r="C51" s="70" t="inlineStr">
        <is>
          <t>Beauty</t>
        </is>
      </c>
      <c r="D51" s="72" t="n">
        <v>2617</v>
      </c>
      <c r="E51" s="72" t="n">
        <v>6080</v>
      </c>
      <c r="F51" s="70">
        <f>TRUE()</f>
        <v/>
      </c>
    </row>
    <row r="52" ht="14.25" customHeight="1" s="56">
      <c r="A52" s="70" t="inlineStr">
        <is>
          <t>PROD-051</t>
        </is>
      </c>
      <c r="B52" s="70" t="inlineStr">
        <is>
          <t>Yoga Mat</t>
        </is>
      </c>
      <c r="C52" s="70" t="inlineStr">
        <is>
          <t>Sports</t>
        </is>
      </c>
      <c r="D52" s="72" t="n">
        <v>2467</v>
      </c>
      <c r="E52" s="72" t="n">
        <v>3450</v>
      </c>
      <c r="F52" s="70">
        <f>TRUE()</f>
        <v/>
      </c>
    </row>
    <row r="53" ht="14.25" customHeight="1" s="56">
      <c r="A53" s="70" t="inlineStr">
        <is>
          <t>PROD-052</t>
        </is>
      </c>
      <c r="B53" s="70" t="inlineStr">
        <is>
          <t>Dumbbells 5kg</t>
        </is>
      </c>
      <c r="C53" s="70" t="inlineStr">
        <is>
          <t>Sports</t>
        </is>
      </c>
      <c r="D53" s="72" t="n">
        <v>2265</v>
      </c>
      <c r="E53" s="72" t="n">
        <v>5410</v>
      </c>
      <c r="F53" s="70">
        <f>TRUE()</f>
        <v/>
      </c>
    </row>
    <row r="54" ht="14.25" customHeight="1" s="56">
      <c r="A54" s="70" t="inlineStr">
        <is>
          <t>PROD-053</t>
        </is>
      </c>
      <c r="B54" s="70" t="inlineStr">
        <is>
          <t>Skipping Rope</t>
        </is>
      </c>
      <c r="C54" s="70" t="inlineStr">
        <is>
          <t>Sports</t>
        </is>
      </c>
      <c r="D54" s="72" t="n">
        <v>302</v>
      </c>
      <c r="E54" s="72" t="n">
        <v>470</v>
      </c>
      <c r="F54" s="70">
        <f>FALSE()</f>
        <v/>
      </c>
    </row>
    <row r="55" ht="14.25" customHeight="1" s="56">
      <c r="A55" s="70" t="inlineStr">
        <is>
          <t>PROD-054</t>
        </is>
      </c>
      <c r="B55" s="70" t="inlineStr">
        <is>
          <t>Cricket Bat</t>
        </is>
      </c>
      <c r="C55" s="70" t="inlineStr">
        <is>
          <t>Sports</t>
        </is>
      </c>
      <c r="D55" s="72" t="n">
        <v>516</v>
      </c>
      <c r="E55" s="72" t="n">
        <v>1010</v>
      </c>
      <c r="F55" s="70">
        <f>TRUE()</f>
        <v/>
      </c>
    </row>
    <row r="56" ht="14.25" customHeight="1" s="56">
      <c r="A56" s="70" t="inlineStr">
        <is>
          <t>PROD-055</t>
        </is>
      </c>
      <c r="B56" s="70" t="inlineStr">
        <is>
          <t>Football Size 5</t>
        </is>
      </c>
      <c r="C56" s="70" t="inlineStr">
        <is>
          <t>Sports</t>
        </is>
      </c>
      <c r="D56" s="72" t="n">
        <v>2028</v>
      </c>
      <c r="E56" s="72" t="n">
        <v>2860</v>
      </c>
      <c r="F56" s="70">
        <f>TRUE()</f>
        <v/>
      </c>
    </row>
    <row r="57" ht="14.25" customHeight="1" s="56">
      <c r="A57" s="70" t="inlineStr">
        <is>
          <t>PROD-056</t>
        </is>
      </c>
      <c r="B57" s="70" t="inlineStr">
        <is>
          <t>Badminton Racket</t>
        </is>
      </c>
      <c r="C57" s="70" t="inlineStr">
        <is>
          <t>Sports</t>
        </is>
      </c>
      <c r="D57" s="72" t="n">
        <v>2827</v>
      </c>
      <c r="E57" s="72" t="n">
        <v>6940</v>
      </c>
      <c r="F57" s="70">
        <f>TRUE()</f>
        <v/>
      </c>
    </row>
    <row r="58" ht="14.25" customHeight="1" s="56">
      <c r="A58" s="70" t="inlineStr">
        <is>
          <t>PROD-057</t>
        </is>
      </c>
      <c r="B58" s="70" t="inlineStr">
        <is>
          <t>Tennis Ball Pack</t>
        </is>
      </c>
      <c r="C58" s="70" t="inlineStr">
        <is>
          <t>Sports</t>
        </is>
      </c>
      <c r="D58" s="72" t="n">
        <v>705</v>
      </c>
      <c r="E58" s="72" t="n">
        <v>960</v>
      </c>
      <c r="F58" s="70">
        <f>TRUE()</f>
        <v/>
      </c>
    </row>
    <row r="59" ht="14.25" customHeight="1" s="56">
      <c r="A59" s="70" t="inlineStr">
        <is>
          <t>PROD-058</t>
        </is>
      </c>
      <c r="B59" s="70" t="inlineStr">
        <is>
          <t>Cycling Helmet</t>
        </is>
      </c>
      <c r="C59" s="70" t="inlineStr">
        <is>
          <t>Sports</t>
        </is>
      </c>
      <c r="D59" s="72" t="n">
        <v>974</v>
      </c>
      <c r="E59" s="72" t="n">
        <v>2400</v>
      </c>
      <c r="F59" s="70">
        <f>TRUE()</f>
        <v/>
      </c>
    </row>
    <row r="60" ht="14.25" customHeight="1" s="56">
      <c r="A60" s="70" t="inlineStr">
        <is>
          <t>PROD-059</t>
        </is>
      </c>
      <c r="B60" s="70" t="inlineStr">
        <is>
          <t>Water Bottle 1L</t>
        </is>
      </c>
      <c r="C60" s="70" t="inlineStr">
        <is>
          <t>Sports</t>
        </is>
      </c>
      <c r="D60" s="72" t="n">
        <v>1860</v>
      </c>
      <c r="E60" s="72" t="n">
        <v>3780</v>
      </c>
      <c r="F60" s="70">
        <f>TRUE()</f>
        <v/>
      </c>
    </row>
    <row r="61" ht="14.25" customHeight="1" s="56">
      <c r="A61" s="70" t="inlineStr">
        <is>
          <t>PROD-060</t>
        </is>
      </c>
      <c r="B61" s="70" t="inlineStr">
        <is>
          <t>Gym Gloves</t>
        </is>
      </c>
      <c r="C61" s="70" t="inlineStr">
        <is>
          <t>Sports</t>
        </is>
      </c>
      <c r="D61" s="72" t="n">
        <v>147</v>
      </c>
      <c r="E61" s="72" t="n">
        <v>190</v>
      </c>
      <c r="F61" s="70">
        <f>TRUE()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4472C4"/>
    <outlinePr summaryBelow="1" summaryRight="1"/>
    <pageSetUpPr fitToPage="1"/>
  </sheetPr>
  <dimension ref="A1:E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4.25" customHeight="1" zeroHeight="0" outlineLevelRow="0"/>
  <cols>
    <col width="8" customWidth="1" style="55" min="1" max="1"/>
    <col width="17" customWidth="1" style="55" min="2" max="2"/>
    <col width="8" customWidth="1" style="55" min="3" max="3"/>
    <col width="12" customWidth="1" style="55" min="4" max="4"/>
    <col width="14" customWidth="1" style="55" min="5" max="5"/>
  </cols>
  <sheetData>
    <row r="1" ht="14.25" customHeight="1" s="56">
      <c r="A1" s="62" t="inlineStr">
        <is>
          <t>rep_id</t>
        </is>
      </c>
      <c r="B1" s="62" t="inlineStr">
        <is>
          <t>rep_name</t>
        </is>
      </c>
      <c r="C1" s="62" t="inlineStr">
        <is>
          <t>region</t>
        </is>
      </c>
      <c r="D1" s="62" t="inlineStr">
        <is>
          <t>hire_date</t>
        </is>
      </c>
      <c r="E1" s="62" t="inlineStr">
        <is>
          <t>team_lead_id</t>
        </is>
      </c>
    </row>
    <row r="2" ht="14.25" customHeight="1" s="56">
      <c r="A2" s="70" t="inlineStr">
        <is>
          <t>R001</t>
        </is>
      </c>
      <c r="B2" s="70" t="inlineStr">
        <is>
          <t>Rajesh Malhotra</t>
        </is>
      </c>
      <c r="C2" s="70" t="inlineStr">
        <is>
          <t>North</t>
        </is>
      </c>
      <c r="D2" s="71" t="n">
        <v>44207</v>
      </c>
      <c r="E2" s="70" t="n"/>
    </row>
    <row r="3" ht="14.25" customHeight="1" s="56">
      <c r="A3" s="70" t="inlineStr">
        <is>
          <t>R002</t>
        </is>
      </c>
      <c r="B3" s="70" t="inlineStr">
        <is>
          <t>Sunita Malhotra</t>
        </is>
      </c>
      <c r="C3" s="70" t="inlineStr">
        <is>
          <t>North</t>
        </is>
      </c>
      <c r="D3" s="71" t="n">
        <v>44028</v>
      </c>
      <c r="E3" s="70" t="n"/>
    </row>
    <row r="4" ht="14.25" customHeight="1" s="56">
      <c r="A4" s="70" t="inlineStr">
        <is>
          <t>R003</t>
        </is>
      </c>
      <c r="B4" s="70" t="inlineStr">
        <is>
          <t>Amit Singh</t>
        </is>
      </c>
      <c r="C4" s="70" t="inlineStr">
        <is>
          <t>North</t>
        </is>
      </c>
      <c r="D4" s="71" t="n">
        <v>43651</v>
      </c>
      <c r="E4" s="70" t="n"/>
    </row>
    <row r="5" ht="14.25" customHeight="1" s="56">
      <c r="A5" s="70" t="inlineStr">
        <is>
          <t>R004</t>
        </is>
      </c>
      <c r="B5" s="70" t="inlineStr">
        <is>
          <t>Priya Singh</t>
        </is>
      </c>
      <c r="C5" s="70" t="inlineStr">
        <is>
          <t>North</t>
        </is>
      </c>
      <c r="D5" s="71" t="n">
        <v>44907</v>
      </c>
      <c r="E5" s="70" t="n"/>
    </row>
    <row r="6" ht="14.25" customHeight="1" s="56">
      <c r="A6" s="70" t="inlineStr">
        <is>
          <t>R005</t>
        </is>
      </c>
      <c r="B6" s="70" t="inlineStr">
        <is>
          <t>Vikram Patel</t>
        </is>
      </c>
      <c r="C6" s="70" t="inlineStr">
        <is>
          <t>North</t>
        </is>
      </c>
      <c r="D6" s="71" t="n">
        <v>43588</v>
      </c>
      <c r="E6" s="70" t="inlineStr">
        <is>
          <t>R001</t>
        </is>
      </c>
    </row>
    <row r="7" ht="14.25" customHeight="1" s="56">
      <c r="A7" s="70" t="inlineStr">
        <is>
          <t>R006</t>
        </is>
      </c>
      <c r="B7" s="70" t="inlineStr">
        <is>
          <t>Neha Desai</t>
        </is>
      </c>
      <c r="C7" s="70" t="inlineStr">
        <is>
          <t>North</t>
        </is>
      </c>
      <c r="D7" s="71" t="n">
        <v>44131</v>
      </c>
      <c r="E7" s="70" t="inlineStr">
        <is>
          <t>R001</t>
        </is>
      </c>
    </row>
    <row r="8" ht="14.25" customHeight="1" s="56">
      <c r="A8" s="70" t="inlineStr">
        <is>
          <t>R007</t>
        </is>
      </c>
      <c r="B8" s="70" t="inlineStr">
        <is>
          <t>Suresh Menon</t>
        </is>
      </c>
      <c r="C8" s="70" t="inlineStr">
        <is>
          <t>North</t>
        </is>
      </c>
      <c r="D8" s="71" t="n">
        <v>43493</v>
      </c>
      <c r="E8" s="70" t="inlineStr">
        <is>
          <t>R001</t>
        </is>
      </c>
    </row>
    <row r="9" ht="14.25" customHeight="1" s="56">
      <c r="A9" s="70" t="inlineStr">
        <is>
          <t>R008</t>
        </is>
      </c>
      <c r="B9" s="70" t="inlineStr">
        <is>
          <t>Kavita Patel</t>
        </is>
      </c>
      <c r="C9" s="70" t="inlineStr">
        <is>
          <t>North</t>
        </is>
      </c>
      <c r="D9" s="71" t="n">
        <v>44693</v>
      </c>
      <c r="E9" s="70" t="inlineStr">
        <is>
          <t>R001</t>
        </is>
      </c>
    </row>
    <row r="10" ht="14.25" customHeight="1" s="56">
      <c r="A10" s="70" t="inlineStr">
        <is>
          <t>R009</t>
        </is>
      </c>
      <c r="B10" s="70" t="inlineStr">
        <is>
          <t>Manoj Patel</t>
        </is>
      </c>
      <c r="C10" s="70" t="inlineStr">
        <is>
          <t>South</t>
        </is>
      </c>
      <c r="D10" s="71" t="n">
        <v>44804</v>
      </c>
      <c r="E10" s="70" t="inlineStr">
        <is>
          <t>R002</t>
        </is>
      </c>
    </row>
    <row r="11" ht="14.25" customHeight="1" s="56">
      <c r="A11" s="70" t="inlineStr">
        <is>
          <t>R010</t>
        </is>
      </c>
      <c r="B11" s="70" t="inlineStr">
        <is>
          <t>Divya Rao</t>
        </is>
      </c>
      <c r="C11" s="70" t="inlineStr">
        <is>
          <t>South</t>
        </is>
      </c>
      <c r="D11" s="71" t="n">
        <v>43904</v>
      </c>
      <c r="E11" s="70" t="inlineStr">
        <is>
          <t>R002</t>
        </is>
      </c>
    </row>
    <row r="12" ht="14.25" customHeight="1" s="56">
      <c r="A12" s="70" t="inlineStr">
        <is>
          <t>R011</t>
        </is>
      </c>
      <c r="B12" s="70" t="inlineStr">
        <is>
          <t>Anil Verma</t>
        </is>
      </c>
      <c r="C12" s="70" t="inlineStr">
        <is>
          <t>South</t>
        </is>
      </c>
      <c r="D12" s="71" t="n">
        <v>44622</v>
      </c>
      <c r="E12" s="70" t="inlineStr">
        <is>
          <t>R002</t>
        </is>
      </c>
    </row>
    <row r="13" ht="14.25" customHeight="1" s="56">
      <c r="A13" s="70" t="inlineStr">
        <is>
          <t>R012</t>
        </is>
      </c>
      <c r="B13" s="70" t="inlineStr">
        <is>
          <t>Pooja Nair</t>
        </is>
      </c>
      <c r="C13" s="70" t="inlineStr">
        <is>
          <t>South</t>
        </is>
      </c>
      <c r="D13" s="71" t="n">
        <v>44890</v>
      </c>
      <c r="E13" s="70" t="inlineStr">
        <is>
          <t>R002</t>
        </is>
      </c>
    </row>
    <row r="14" ht="14.25" customHeight="1" s="56">
      <c r="A14" s="70" t="inlineStr">
        <is>
          <t>R013</t>
        </is>
      </c>
      <c r="B14" s="70" t="inlineStr">
        <is>
          <t>Sanjay Kapoor</t>
        </is>
      </c>
      <c r="C14" s="70" t="inlineStr">
        <is>
          <t>South</t>
        </is>
      </c>
      <c r="D14" s="71" t="n">
        <v>45215</v>
      </c>
      <c r="E14" s="70" t="inlineStr">
        <is>
          <t>R002</t>
        </is>
      </c>
    </row>
    <row r="15" ht="14.25" customHeight="1" s="56">
      <c r="A15" s="70" t="inlineStr">
        <is>
          <t>R014</t>
        </is>
      </c>
      <c r="B15" s="70" t="inlineStr">
        <is>
          <t>Ritu Menon</t>
        </is>
      </c>
      <c r="C15" s="70" t="inlineStr">
        <is>
          <t>South</t>
        </is>
      </c>
      <c r="D15" s="71" t="n">
        <v>44469</v>
      </c>
      <c r="E15" s="70" t="inlineStr">
        <is>
          <t>R002</t>
        </is>
      </c>
    </row>
    <row r="16" ht="14.25" customHeight="1" s="56">
      <c r="A16" s="70" t="inlineStr">
        <is>
          <t>R015</t>
        </is>
      </c>
      <c r="B16" s="70" t="inlineStr">
        <is>
          <t>Deepak Shah</t>
        </is>
      </c>
      <c r="C16" s="70" t="inlineStr">
        <is>
          <t>South</t>
        </is>
      </c>
      <c r="D16" s="71" t="n">
        <v>45231</v>
      </c>
      <c r="E16" s="70" t="inlineStr">
        <is>
          <t>R002</t>
        </is>
      </c>
    </row>
    <row r="17" ht="14.25" customHeight="1" s="56">
      <c r="A17" s="70" t="inlineStr">
        <is>
          <t>R016</t>
        </is>
      </c>
      <c r="B17" s="70" t="inlineStr">
        <is>
          <t>Anjali Chopra</t>
        </is>
      </c>
      <c r="C17" s="70" t="inlineStr">
        <is>
          <t>South</t>
        </is>
      </c>
      <c r="D17" s="71" t="n">
        <v>43614</v>
      </c>
      <c r="E17" s="70" t="inlineStr">
        <is>
          <t>R002</t>
        </is>
      </c>
    </row>
    <row r="18" ht="14.25" customHeight="1" s="56">
      <c r="A18" s="70" t="inlineStr">
        <is>
          <t>R017</t>
        </is>
      </c>
      <c r="B18" s="70" t="inlineStr">
        <is>
          <t>Naveen Singh</t>
        </is>
      </c>
      <c r="C18" s="70" t="inlineStr">
        <is>
          <t>East</t>
        </is>
      </c>
      <c r="D18" s="71" t="n">
        <v>43685</v>
      </c>
      <c r="E18" s="70" t="inlineStr">
        <is>
          <t>R003</t>
        </is>
      </c>
    </row>
    <row r="19" ht="14.25" customHeight="1" s="56">
      <c r="A19" s="70" t="inlineStr">
        <is>
          <t>R018</t>
        </is>
      </c>
      <c r="B19" s="70" t="inlineStr">
        <is>
          <t>Shalini Patel</t>
        </is>
      </c>
      <c r="C19" s="70" t="inlineStr">
        <is>
          <t>East</t>
        </is>
      </c>
      <c r="D19" s="71" t="n">
        <v>43428</v>
      </c>
      <c r="E19" s="70" t="inlineStr">
        <is>
          <t>R003</t>
        </is>
      </c>
    </row>
    <row r="20" ht="14.25" customHeight="1" s="56">
      <c r="A20" s="70" t="inlineStr">
        <is>
          <t>R019</t>
        </is>
      </c>
      <c r="B20" s="70" t="inlineStr">
        <is>
          <t>Prakash Shah</t>
        </is>
      </c>
      <c r="C20" s="70" t="inlineStr">
        <is>
          <t>East</t>
        </is>
      </c>
      <c r="D20" s="71" t="n">
        <v>43576</v>
      </c>
      <c r="E20" s="70" t="inlineStr">
        <is>
          <t>R003</t>
        </is>
      </c>
    </row>
    <row r="21" ht="14.25" customHeight="1" s="56">
      <c r="A21" s="70" t="inlineStr">
        <is>
          <t>R020</t>
        </is>
      </c>
      <c r="B21" s="70" t="inlineStr">
        <is>
          <t>Meera Iyer</t>
        </is>
      </c>
      <c r="C21" s="70" t="inlineStr">
        <is>
          <t>East</t>
        </is>
      </c>
      <c r="D21" s="71" t="n">
        <v>43254</v>
      </c>
      <c r="E21" s="70" t="inlineStr">
        <is>
          <t>R003</t>
        </is>
      </c>
    </row>
    <row r="22" ht="14.25" customHeight="1" s="56">
      <c r="A22" s="70" t="inlineStr">
        <is>
          <t>R021</t>
        </is>
      </c>
      <c r="B22" s="70" t="inlineStr">
        <is>
          <t>Gaurav Desai</t>
        </is>
      </c>
      <c r="C22" s="70" t="inlineStr">
        <is>
          <t>East</t>
        </is>
      </c>
      <c r="D22" s="71" t="n">
        <v>43260</v>
      </c>
      <c r="E22" s="70" t="inlineStr">
        <is>
          <t>R003</t>
        </is>
      </c>
    </row>
    <row r="23" ht="14.25" customHeight="1" s="56">
      <c r="A23" s="70" t="inlineStr">
        <is>
          <t>R022</t>
        </is>
      </c>
      <c r="B23" s="70" t="inlineStr">
        <is>
          <t>Nisha Menon</t>
        </is>
      </c>
      <c r="C23" s="70" t="inlineStr">
        <is>
          <t>East</t>
        </is>
      </c>
      <c r="D23" s="71" t="n">
        <v>43146</v>
      </c>
      <c r="E23" s="70" t="inlineStr">
        <is>
          <t>R003</t>
        </is>
      </c>
    </row>
    <row r="24" ht="14.25" customHeight="1" s="56">
      <c r="A24" s="70" t="inlineStr">
        <is>
          <t>R023</t>
        </is>
      </c>
      <c r="B24" s="70" t="inlineStr">
        <is>
          <t>Vinod Kumar</t>
        </is>
      </c>
      <c r="C24" s="70" t="inlineStr">
        <is>
          <t>East</t>
        </is>
      </c>
      <c r="D24" s="71" t="n">
        <v>44777</v>
      </c>
      <c r="E24" s="70" t="inlineStr">
        <is>
          <t>R003</t>
        </is>
      </c>
    </row>
    <row r="25" ht="14.25" customHeight="1" s="56">
      <c r="A25" s="70" t="inlineStr">
        <is>
          <t>R024</t>
        </is>
      </c>
      <c r="B25" s="70" t="inlineStr">
        <is>
          <t>Rekha Chopra</t>
        </is>
      </c>
      <c r="C25" s="70" t="inlineStr">
        <is>
          <t>West</t>
        </is>
      </c>
      <c r="D25" s="71" t="n">
        <v>43371</v>
      </c>
      <c r="E25" s="70" t="inlineStr">
        <is>
          <t>R004</t>
        </is>
      </c>
    </row>
    <row r="26" ht="14.25" customHeight="1" s="56">
      <c r="A26" s="70" t="inlineStr">
        <is>
          <t>R025</t>
        </is>
      </c>
      <c r="B26" s="70" t="inlineStr">
        <is>
          <t>Ashok Reddy</t>
        </is>
      </c>
      <c r="C26" s="70" t="inlineStr">
        <is>
          <t>West</t>
        </is>
      </c>
      <c r="D26" s="71" t="n">
        <v>43781</v>
      </c>
      <c r="E26" s="70" t="inlineStr">
        <is>
          <t>R004</t>
        </is>
      </c>
    </row>
    <row r="27" ht="14.25" customHeight="1" s="56">
      <c r="A27" s="70" t="inlineStr">
        <is>
          <t>R026</t>
        </is>
      </c>
      <c r="B27" s="70" t="inlineStr">
        <is>
          <t>Sonia Malhotra</t>
        </is>
      </c>
      <c r="C27" s="70" t="inlineStr">
        <is>
          <t>West</t>
        </is>
      </c>
      <c r="D27" s="71" t="n">
        <v>43570</v>
      </c>
      <c r="E27" s="70" t="inlineStr">
        <is>
          <t>R004</t>
        </is>
      </c>
    </row>
    <row r="28" ht="14.25" customHeight="1" s="56">
      <c r="A28" s="70" t="inlineStr">
        <is>
          <t>R027</t>
        </is>
      </c>
      <c r="B28" s="70" t="inlineStr">
        <is>
          <t>Ramesh Bhatt</t>
        </is>
      </c>
      <c r="C28" s="70" t="inlineStr">
        <is>
          <t>West</t>
        </is>
      </c>
      <c r="D28" s="71" t="n">
        <v>45199</v>
      </c>
      <c r="E28" s="70" t="inlineStr">
        <is>
          <t>R004</t>
        </is>
      </c>
    </row>
    <row r="29" ht="14.25" customHeight="1" s="56">
      <c r="A29" s="70" t="inlineStr">
        <is>
          <t>R028</t>
        </is>
      </c>
      <c r="B29" s="70" t="inlineStr">
        <is>
          <t>Preeti Shah</t>
        </is>
      </c>
      <c r="C29" s="70" t="inlineStr">
        <is>
          <t>West</t>
        </is>
      </c>
      <c r="D29" s="71" t="n">
        <v>44898</v>
      </c>
      <c r="E29" s="70" t="inlineStr">
        <is>
          <t>R004</t>
        </is>
      </c>
    </row>
    <row r="30" ht="14.25" customHeight="1" s="56">
      <c r="A30" s="70" t="inlineStr">
        <is>
          <t>R029</t>
        </is>
      </c>
      <c r="B30" s="70" t="inlineStr">
        <is>
          <t>Arun Iyer</t>
        </is>
      </c>
      <c r="C30" s="70" t="inlineStr">
        <is>
          <t>West</t>
        </is>
      </c>
      <c r="D30" s="71" t="n">
        <v>45191</v>
      </c>
      <c r="E30" s="70" t="inlineStr">
        <is>
          <t>R004</t>
        </is>
      </c>
    </row>
    <row r="31" ht="14.25" customHeight="1" s="56">
      <c r="A31" s="70" t="inlineStr">
        <is>
          <t>R030</t>
        </is>
      </c>
      <c r="B31" s="70" t="inlineStr">
        <is>
          <t>Kiran Bhatt</t>
        </is>
      </c>
      <c r="C31" s="70" t="inlineStr">
        <is>
          <t>West</t>
        </is>
      </c>
      <c r="D31" s="71" t="n">
        <v>44506</v>
      </c>
      <c r="E31" s="70" t="inlineStr">
        <is>
          <t>R004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4472C4"/>
    <outlinePr summaryBelow="1" summaryRight="1"/>
    <pageSetUpPr fitToPage="1"/>
  </sheetPr>
  <dimension ref="A1:M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4.25" customHeight="1" zeroHeight="0" outlineLevelRow="0"/>
  <cols>
    <col width="8" customWidth="1" style="55" min="1" max="13"/>
  </cols>
  <sheetData>
    <row r="1" ht="14.25" customHeight="1" s="56">
      <c r="A1" s="62" t="inlineStr">
        <is>
          <t>rep_id</t>
        </is>
      </c>
      <c r="B1" s="62" t="inlineStr">
        <is>
          <t>Jan-24</t>
        </is>
      </c>
      <c r="C1" s="62" t="inlineStr">
        <is>
          <t>Feb-24</t>
        </is>
      </c>
      <c r="D1" s="62" t="inlineStr">
        <is>
          <t>Mar-24</t>
        </is>
      </c>
      <c r="E1" s="62" t="inlineStr">
        <is>
          <t>Apr-24</t>
        </is>
      </c>
      <c r="F1" s="62" t="inlineStr">
        <is>
          <t>May-24</t>
        </is>
      </c>
      <c r="G1" s="62" t="inlineStr">
        <is>
          <t>Jun-24</t>
        </is>
      </c>
      <c r="H1" s="62" t="inlineStr">
        <is>
          <t>Jul-24</t>
        </is>
      </c>
      <c r="I1" s="62" t="inlineStr">
        <is>
          <t>Aug-24</t>
        </is>
      </c>
      <c r="J1" s="62" t="inlineStr">
        <is>
          <t>Sep-24</t>
        </is>
      </c>
      <c r="K1" s="62" t="inlineStr">
        <is>
          <t>Oct-24</t>
        </is>
      </c>
      <c r="L1" s="62" t="inlineStr">
        <is>
          <t>Nov-24</t>
        </is>
      </c>
      <c r="M1" s="62" t="inlineStr">
        <is>
          <t>Dec-24</t>
        </is>
      </c>
    </row>
    <row r="2" ht="14.25" customHeight="1" s="56">
      <c r="A2" s="70" t="inlineStr">
        <is>
          <t>R001</t>
        </is>
      </c>
      <c r="B2" s="72" t="n">
        <v>231324</v>
      </c>
      <c r="C2" s="72" t="n">
        <v>171682</v>
      </c>
      <c r="D2" s="72" t="n">
        <v>234376</v>
      </c>
      <c r="E2" s="72" t="n">
        <v>326967</v>
      </c>
      <c r="F2" s="72" t="n">
        <v>350588</v>
      </c>
      <c r="G2" s="72" t="n">
        <v>385324</v>
      </c>
      <c r="H2" s="72" t="n">
        <v>307980</v>
      </c>
      <c r="I2" s="72" t="n">
        <v>327947</v>
      </c>
      <c r="J2" s="72" t="n">
        <v>181016</v>
      </c>
      <c r="K2" s="72" t="n">
        <v>374039</v>
      </c>
      <c r="L2" s="72" t="n">
        <v>212805</v>
      </c>
      <c r="M2" s="72" t="n">
        <v>405999</v>
      </c>
    </row>
    <row r="3" ht="14.25" customHeight="1" s="56">
      <c r="A3" s="70" t="inlineStr">
        <is>
          <t>R002</t>
        </is>
      </c>
      <c r="B3" s="72" t="n">
        <v>438126</v>
      </c>
      <c r="C3" s="72" t="n">
        <v>346266</v>
      </c>
      <c r="D3" s="72" t="n">
        <v>329993</v>
      </c>
      <c r="E3" s="72" t="n">
        <v>370744</v>
      </c>
      <c r="F3" s="72" t="n">
        <v>294660</v>
      </c>
      <c r="G3" s="72" t="n">
        <v>341556</v>
      </c>
      <c r="H3" s="72" t="n">
        <v>151934</v>
      </c>
      <c r="I3" s="72" t="n">
        <v>223794</v>
      </c>
      <c r="J3" s="72" t="n">
        <v>438641</v>
      </c>
      <c r="K3" s="72" t="n">
        <v>344308</v>
      </c>
      <c r="L3" s="72" t="n">
        <v>296172</v>
      </c>
      <c r="M3" s="72" t="n">
        <v>304288</v>
      </c>
    </row>
    <row r="4" ht="14.25" customHeight="1" s="56">
      <c r="A4" s="70" t="inlineStr">
        <is>
          <t>R003</t>
        </is>
      </c>
      <c r="B4" s="72" t="n">
        <v>358703</v>
      </c>
      <c r="C4" s="72" t="n">
        <v>320519</v>
      </c>
      <c r="D4" s="72" t="n">
        <v>327321</v>
      </c>
      <c r="E4" s="72" t="n">
        <v>298753</v>
      </c>
      <c r="F4" s="72" t="n">
        <v>254636</v>
      </c>
      <c r="G4" s="72" t="n">
        <v>351929</v>
      </c>
      <c r="H4" s="72" t="n">
        <v>264723</v>
      </c>
      <c r="I4" s="72" t="n">
        <v>216459</v>
      </c>
      <c r="J4" s="72" t="n">
        <v>391945</v>
      </c>
      <c r="K4" s="72" t="n">
        <v>362426</v>
      </c>
      <c r="L4" s="72" t="n">
        <v>289199</v>
      </c>
      <c r="M4" s="72" t="n">
        <v>301863</v>
      </c>
    </row>
    <row r="5" ht="14.25" customHeight="1" s="56">
      <c r="A5" s="70" t="inlineStr">
        <is>
          <t>R004</t>
        </is>
      </c>
      <c r="B5" s="72" t="n">
        <v>389594</v>
      </c>
      <c r="C5" s="72" t="n">
        <v>376422</v>
      </c>
      <c r="D5" s="72" t="n">
        <v>324156</v>
      </c>
      <c r="E5" s="72" t="n">
        <v>420255</v>
      </c>
      <c r="F5" s="72" t="n">
        <v>409107</v>
      </c>
      <c r="G5" s="72" t="n">
        <v>269954</v>
      </c>
      <c r="H5" s="72" t="n">
        <v>179097</v>
      </c>
      <c r="I5" s="72" t="n">
        <v>370568</v>
      </c>
      <c r="J5" s="72" t="n">
        <v>387395</v>
      </c>
      <c r="K5" s="72" t="n">
        <v>243454</v>
      </c>
      <c r="L5" s="72" t="n">
        <v>232530</v>
      </c>
      <c r="M5" s="72" t="n">
        <v>201999</v>
      </c>
    </row>
    <row r="6" ht="14.25" customHeight="1" s="56">
      <c r="A6" s="70" t="inlineStr">
        <is>
          <t>R005</t>
        </is>
      </c>
      <c r="B6" s="72" t="n">
        <v>436862</v>
      </c>
      <c r="C6" s="72" t="n">
        <v>391158</v>
      </c>
      <c r="D6" s="72" t="n">
        <v>340224</v>
      </c>
      <c r="E6" s="72" t="n">
        <v>170548</v>
      </c>
      <c r="F6" s="72" t="n">
        <v>229390</v>
      </c>
      <c r="G6" s="72" t="n">
        <v>349525</v>
      </c>
      <c r="H6" s="72" t="n">
        <v>154683</v>
      </c>
      <c r="I6" s="72" t="n">
        <v>320848</v>
      </c>
      <c r="J6" s="72" t="n">
        <v>354452</v>
      </c>
      <c r="K6" s="72" t="n">
        <v>377180</v>
      </c>
      <c r="L6" s="72" t="n">
        <v>342347</v>
      </c>
      <c r="M6" s="72" t="n">
        <v>183362</v>
      </c>
    </row>
    <row r="7" ht="14.25" customHeight="1" s="56">
      <c r="A7" s="70" t="inlineStr">
        <is>
          <t>R006</t>
        </is>
      </c>
      <c r="B7" s="72" t="n">
        <v>348734</v>
      </c>
      <c r="C7" s="72" t="n">
        <v>358191</v>
      </c>
      <c r="D7" s="72" t="n">
        <v>250385</v>
      </c>
      <c r="E7" s="72" t="n">
        <v>219657</v>
      </c>
      <c r="F7" s="72" t="n">
        <v>249365</v>
      </c>
      <c r="G7" s="72" t="n">
        <v>435704</v>
      </c>
      <c r="H7" s="72" t="n">
        <v>260892</v>
      </c>
      <c r="I7" s="72" t="n">
        <v>250741</v>
      </c>
      <c r="J7" s="72" t="n">
        <v>358402</v>
      </c>
      <c r="K7" s="72" t="n">
        <v>379858</v>
      </c>
      <c r="L7" s="72" t="n">
        <v>213280</v>
      </c>
      <c r="M7" s="72" t="n">
        <v>224634</v>
      </c>
    </row>
    <row r="8" ht="14.25" customHeight="1" s="56">
      <c r="A8" s="70" t="inlineStr">
        <is>
          <t>R007</t>
        </is>
      </c>
      <c r="B8" s="72" t="n">
        <v>280057</v>
      </c>
      <c r="C8" s="72" t="n">
        <v>330342</v>
      </c>
      <c r="D8" s="72" t="n">
        <v>336856</v>
      </c>
      <c r="E8" s="72" t="n">
        <v>227425</v>
      </c>
      <c r="F8" s="72" t="n">
        <v>233647</v>
      </c>
      <c r="G8" s="72" t="n">
        <v>307088</v>
      </c>
      <c r="H8" s="72" t="n">
        <v>370724</v>
      </c>
      <c r="I8" s="72" t="n">
        <v>440008</v>
      </c>
      <c r="J8" s="72" t="n">
        <v>406347</v>
      </c>
      <c r="K8" s="72" t="n">
        <v>217357</v>
      </c>
      <c r="L8" s="72" t="n">
        <v>299289</v>
      </c>
      <c r="M8" s="72" t="n">
        <v>214568</v>
      </c>
    </row>
    <row r="9" ht="14.25" customHeight="1" s="56">
      <c r="A9" s="70" t="inlineStr">
        <is>
          <t>R008</t>
        </is>
      </c>
      <c r="B9" s="72" t="n">
        <v>252886</v>
      </c>
      <c r="C9" s="72" t="n">
        <v>206057</v>
      </c>
      <c r="D9" s="72" t="n">
        <v>318209</v>
      </c>
      <c r="E9" s="72" t="n">
        <v>411230</v>
      </c>
      <c r="F9" s="72" t="n">
        <v>448660</v>
      </c>
      <c r="G9" s="72" t="n">
        <v>171135</v>
      </c>
      <c r="H9" s="72" t="n">
        <v>305339</v>
      </c>
      <c r="I9" s="72" t="n">
        <v>432264</v>
      </c>
      <c r="J9" s="72" t="n">
        <v>294273</v>
      </c>
      <c r="K9" s="72" t="n">
        <v>371409</v>
      </c>
      <c r="L9" s="72" t="n">
        <v>284207</v>
      </c>
      <c r="M9" s="72" t="n">
        <v>437068</v>
      </c>
    </row>
    <row r="10" ht="14.25" customHeight="1" s="56">
      <c r="A10" s="70" t="inlineStr">
        <is>
          <t>R009</t>
        </is>
      </c>
      <c r="B10" s="72" t="n">
        <v>268752</v>
      </c>
      <c r="C10" s="72" t="n">
        <v>393256</v>
      </c>
      <c r="D10" s="72" t="n">
        <v>310649</v>
      </c>
      <c r="E10" s="72" t="n">
        <v>246237</v>
      </c>
      <c r="F10" s="72" t="n">
        <v>271287</v>
      </c>
      <c r="G10" s="72" t="n">
        <v>314545</v>
      </c>
      <c r="H10" s="72" t="n">
        <v>406506</v>
      </c>
      <c r="I10" s="72" t="n">
        <v>334930</v>
      </c>
      <c r="J10" s="72" t="n">
        <v>348625</v>
      </c>
      <c r="K10" s="72" t="n">
        <v>408928</v>
      </c>
      <c r="L10" s="72" t="n">
        <v>243749</v>
      </c>
      <c r="M10" s="72" t="n">
        <v>418409</v>
      </c>
    </row>
    <row r="11" ht="14.25" customHeight="1" s="56">
      <c r="A11" s="70" t="inlineStr">
        <is>
          <t>R010</t>
        </is>
      </c>
      <c r="B11" s="72" t="n">
        <v>384734</v>
      </c>
      <c r="C11" s="72" t="n">
        <v>156698</v>
      </c>
      <c r="D11" s="72" t="n">
        <v>283679</v>
      </c>
      <c r="E11" s="72" t="n">
        <v>276085</v>
      </c>
      <c r="F11" s="72" t="n">
        <v>409270</v>
      </c>
      <c r="G11" s="72" t="n">
        <v>285230</v>
      </c>
      <c r="H11" s="72" t="n">
        <v>304233</v>
      </c>
      <c r="I11" s="72" t="n">
        <v>178221</v>
      </c>
      <c r="J11" s="72" t="n">
        <v>284216</v>
      </c>
      <c r="K11" s="72" t="n">
        <v>287373</v>
      </c>
      <c r="L11" s="72" t="n">
        <v>229082</v>
      </c>
      <c r="M11" s="72" t="n">
        <v>298969</v>
      </c>
    </row>
    <row r="12" ht="14.25" customHeight="1" s="56">
      <c r="A12" s="70" t="inlineStr">
        <is>
          <t>R011</t>
        </is>
      </c>
      <c r="B12" s="72" t="n">
        <v>186029</v>
      </c>
      <c r="C12" s="72" t="n">
        <v>151419</v>
      </c>
      <c r="D12" s="72" t="n">
        <v>253251</v>
      </c>
      <c r="E12" s="72" t="n">
        <v>379757</v>
      </c>
      <c r="F12" s="72" t="n">
        <v>204209</v>
      </c>
      <c r="G12" s="72" t="n">
        <v>179396</v>
      </c>
      <c r="H12" s="72" t="n">
        <v>378008</v>
      </c>
      <c r="I12" s="72" t="n">
        <v>182649</v>
      </c>
      <c r="J12" s="72" t="n">
        <v>267772</v>
      </c>
      <c r="K12" s="72" t="n">
        <v>350352</v>
      </c>
      <c r="L12" s="72" t="n">
        <v>358042</v>
      </c>
      <c r="M12" s="72" t="n">
        <v>359960</v>
      </c>
    </row>
    <row r="13" ht="14.25" customHeight="1" s="56">
      <c r="A13" s="70" t="inlineStr">
        <is>
          <t>R012</t>
        </is>
      </c>
      <c r="B13" s="72" t="n">
        <v>352158</v>
      </c>
      <c r="C13" s="72" t="n">
        <v>251181</v>
      </c>
      <c r="D13" s="72" t="n">
        <v>321255</v>
      </c>
      <c r="E13" s="72" t="n">
        <v>300863</v>
      </c>
      <c r="F13" s="72" t="n">
        <v>241731</v>
      </c>
      <c r="G13" s="72" t="n">
        <v>393275</v>
      </c>
      <c r="H13" s="72" t="n">
        <v>313561</v>
      </c>
      <c r="I13" s="72" t="n">
        <v>283604</v>
      </c>
      <c r="J13" s="72" t="n">
        <v>429065</v>
      </c>
      <c r="K13" s="72" t="n">
        <v>194420</v>
      </c>
      <c r="L13" s="72" t="n">
        <v>254168</v>
      </c>
      <c r="M13" s="72" t="n">
        <v>389283</v>
      </c>
    </row>
    <row r="14" ht="14.25" customHeight="1" s="56">
      <c r="A14" s="70" t="inlineStr">
        <is>
          <t>R013</t>
        </is>
      </c>
      <c r="B14" s="72" t="n">
        <v>350003</v>
      </c>
      <c r="C14" s="72" t="n">
        <v>384951</v>
      </c>
      <c r="D14" s="72" t="n">
        <v>424777</v>
      </c>
      <c r="E14" s="72" t="n">
        <v>323282</v>
      </c>
      <c r="F14" s="72" t="n">
        <v>427290</v>
      </c>
      <c r="G14" s="72" t="n">
        <v>363819</v>
      </c>
      <c r="H14" s="72" t="n">
        <v>279496</v>
      </c>
      <c r="I14" s="72" t="n">
        <v>190932</v>
      </c>
      <c r="J14" s="72" t="n">
        <v>347420</v>
      </c>
      <c r="K14" s="72" t="n">
        <v>160215</v>
      </c>
      <c r="L14" s="72" t="n">
        <v>388600</v>
      </c>
      <c r="M14" s="72" t="n">
        <v>437901</v>
      </c>
    </row>
    <row r="15" ht="14.25" customHeight="1" s="56">
      <c r="A15" s="70" t="inlineStr">
        <is>
          <t>R014</t>
        </is>
      </c>
      <c r="B15" s="72" t="n">
        <v>307327</v>
      </c>
      <c r="C15" s="72" t="n">
        <v>377256</v>
      </c>
      <c r="D15" s="72" t="n">
        <v>236349</v>
      </c>
      <c r="E15" s="72" t="n">
        <v>321223</v>
      </c>
      <c r="F15" s="72" t="n">
        <v>268119</v>
      </c>
      <c r="G15" s="72" t="n">
        <v>294020</v>
      </c>
      <c r="H15" s="72" t="n">
        <v>312180</v>
      </c>
      <c r="I15" s="72" t="n">
        <v>390845</v>
      </c>
      <c r="J15" s="72" t="n">
        <v>432317</v>
      </c>
      <c r="K15" s="72" t="n">
        <v>277613</v>
      </c>
      <c r="L15" s="72" t="n">
        <v>373411</v>
      </c>
      <c r="M15" s="72" t="n">
        <v>214349</v>
      </c>
    </row>
    <row r="16" ht="14.25" customHeight="1" s="56">
      <c r="A16" s="70" t="inlineStr">
        <is>
          <t>R015</t>
        </is>
      </c>
      <c r="B16" s="72" t="n">
        <v>414207</v>
      </c>
      <c r="C16" s="72" t="n">
        <v>376391</v>
      </c>
      <c r="D16" s="72" t="n">
        <v>192739</v>
      </c>
      <c r="E16" s="72" t="n">
        <v>165892</v>
      </c>
      <c r="F16" s="72" t="n">
        <v>187659</v>
      </c>
      <c r="G16" s="72" t="n">
        <v>283837</v>
      </c>
      <c r="H16" s="72" t="n">
        <v>434871</v>
      </c>
      <c r="I16" s="72" t="n">
        <v>369518</v>
      </c>
      <c r="J16" s="72" t="n">
        <v>171986</v>
      </c>
      <c r="K16" s="72" t="n">
        <v>328460</v>
      </c>
      <c r="L16" s="72" t="n">
        <v>418857</v>
      </c>
      <c r="M16" s="72" t="n">
        <v>159947</v>
      </c>
    </row>
    <row r="17" ht="14.25" customHeight="1" s="56">
      <c r="A17" s="70" t="inlineStr">
        <is>
          <t>R016</t>
        </is>
      </c>
      <c r="B17" s="72" t="n">
        <v>335614</v>
      </c>
      <c r="C17" s="72" t="n">
        <v>325577</v>
      </c>
      <c r="D17" s="72" t="n">
        <v>217575</v>
      </c>
      <c r="E17" s="72" t="n">
        <v>427851</v>
      </c>
      <c r="F17" s="72" t="n">
        <v>438020</v>
      </c>
      <c r="G17" s="72" t="n">
        <v>276675</v>
      </c>
      <c r="H17" s="72" t="n">
        <v>331096</v>
      </c>
      <c r="I17" s="72" t="n">
        <v>282103</v>
      </c>
      <c r="J17" s="72" t="n">
        <v>321062</v>
      </c>
      <c r="K17" s="72" t="n">
        <v>235137</v>
      </c>
      <c r="L17" s="72" t="n">
        <v>279755</v>
      </c>
      <c r="M17" s="72" t="n">
        <v>230523</v>
      </c>
    </row>
    <row r="18" ht="14.25" customHeight="1" s="56">
      <c r="A18" s="70" t="inlineStr">
        <is>
          <t>R017</t>
        </is>
      </c>
      <c r="B18" s="72" t="n">
        <v>369725</v>
      </c>
      <c r="C18" s="72" t="n">
        <v>181516</v>
      </c>
      <c r="D18" s="72" t="n">
        <v>233993</v>
      </c>
      <c r="E18" s="72" t="n">
        <v>194261</v>
      </c>
      <c r="F18" s="72" t="n">
        <v>233332</v>
      </c>
      <c r="G18" s="72" t="n">
        <v>359011</v>
      </c>
      <c r="H18" s="72" t="n">
        <v>219264</v>
      </c>
      <c r="I18" s="72" t="n">
        <v>391688</v>
      </c>
      <c r="J18" s="72" t="n">
        <v>191502</v>
      </c>
      <c r="K18" s="72" t="n">
        <v>216536</v>
      </c>
      <c r="L18" s="72" t="n">
        <v>205649</v>
      </c>
      <c r="M18" s="72" t="n">
        <v>285932</v>
      </c>
    </row>
    <row r="19" ht="14.25" customHeight="1" s="56">
      <c r="A19" s="70" t="inlineStr">
        <is>
          <t>R018</t>
        </is>
      </c>
      <c r="B19" s="72" t="n">
        <v>257718</v>
      </c>
      <c r="C19" s="72" t="n">
        <v>413773</v>
      </c>
      <c r="D19" s="72" t="n">
        <v>202301</v>
      </c>
      <c r="E19" s="72" t="n">
        <v>257477</v>
      </c>
      <c r="F19" s="72" t="n">
        <v>372470</v>
      </c>
      <c r="G19" s="72" t="n">
        <v>371047</v>
      </c>
      <c r="H19" s="72" t="n">
        <v>169457</v>
      </c>
      <c r="I19" s="72" t="n">
        <v>202077</v>
      </c>
      <c r="J19" s="72" t="n">
        <v>406637</v>
      </c>
      <c r="K19" s="72" t="n">
        <v>255393</v>
      </c>
      <c r="L19" s="72" t="n">
        <v>158049</v>
      </c>
      <c r="M19" s="72" t="n">
        <v>317073</v>
      </c>
    </row>
    <row r="20" ht="14.25" customHeight="1" s="56">
      <c r="A20" s="70" t="inlineStr">
        <is>
          <t>R019</t>
        </is>
      </c>
      <c r="B20" s="72" t="n">
        <v>277098</v>
      </c>
      <c r="C20" s="72" t="n">
        <v>284984</v>
      </c>
      <c r="D20" s="72" t="n">
        <v>164922</v>
      </c>
      <c r="E20" s="72" t="n">
        <v>181579</v>
      </c>
      <c r="F20" s="72" t="n">
        <v>260717</v>
      </c>
      <c r="G20" s="72" t="n">
        <v>414136</v>
      </c>
      <c r="H20" s="72" t="n">
        <v>305447</v>
      </c>
      <c r="I20" s="72" t="n">
        <v>283691</v>
      </c>
      <c r="J20" s="72" t="n">
        <v>359591</v>
      </c>
      <c r="K20" s="72" t="n">
        <v>415531</v>
      </c>
      <c r="L20" s="72" t="n">
        <v>383485</v>
      </c>
      <c r="M20" s="72" t="n">
        <v>154976</v>
      </c>
    </row>
    <row r="21" ht="14.25" customHeight="1" s="56">
      <c r="A21" s="70" t="inlineStr">
        <is>
          <t>R020</t>
        </is>
      </c>
      <c r="B21" s="72" t="n">
        <v>212521</v>
      </c>
      <c r="C21" s="72" t="n">
        <v>245361</v>
      </c>
      <c r="D21" s="72" t="n">
        <v>402338</v>
      </c>
      <c r="E21" s="72" t="n">
        <v>153034</v>
      </c>
      <c r="F21" s="72" t="n">
        <v>274863</v>
      </c>
      <c r="G21" s="72" t="n">
        <v>238363</v>
      </c>
      <c r="H21" s="72" t="n">
        <v>231270</v>
      </c>
      <c r="I21" s="72" t="n">
        <v>245700</v>
      </c>
      <c r="J21" s="72" t="n">
        <v>368067</v>
      </c>
      <c r="K21" s="72" t="n">
        <v>297022</v>
      </c>
      <c r="L21" s="72" t="n">
        <v>413149</v>
      </c>
      <c r="M21" s="72" t="n">
        <v>156857</v>
      </c>
    </row>
    <row r="22" ht="14.25" customHeight="1" s="56">
      <c r="A22" s="70" t="inlineStr">
        <is>
          <t>R021</t>
        </is>
      </c>
      <c r="B22" s="72" t="n">
        <v>162799</v>
      </c>
      <c r="C22" s="72" t="n">
        <v>304758</v>
      </c>
      <c r="D22" s="72" t="n">
        <v>405377</v>
      </c>
      <c r="E22" s="72" t="n">
        <v>179658</v>
      </c>
      <c r="F22" s="72" t="n">
        <v>404994</v>
      </c>
      <c r="G22" s="72" t="n">
        <v>193255</v>
      </c>
      <c r="H22" s="72" t="n">
        <v>355444</v>
      </c>
      <c r="I22" s="72" t="n">
        <v>246543</v>
      </c>
      <c r="J22" s="72" t="n">
        <v>329852</v>
      </c>
      <c r="K22" s="72" t="n">
        <v>224665</v>
      </c>
      <c r="L22" s="72" t="n">
        <v>361938</v>
      </c>
      <c r="M22" s="72" t="n">
        <v>165860</v>
      </c>
    </row>
    <row r="23" ht="14.25" customHeight="1" s="56">
      <c r="A23" s="70" t="inlineStr">
        <is>
          <t>R022</t>
        </is>
      </c>
      <c r="B23" s="72" t="n">
        <v>356537</v>
      </c>
      <c r="C23" s="72" t="n">
        <v>448297</v>
      </c>
      <c r="D23" s="72" t="n">
        <v>156014</v>
      </c>
      <c r="E23" s="72" t="n">
        <v>157667</v>
      </c>
      <c r="F23" s="72" t="n">
        <v>172713</v>
      </c>
      <c r="G23" s="72" t="n">
        <v>196305</v>
      </c>
      <c r="H23" s="72" t="n">
        <v>442484</v>
      </c>
      <c r="I23" s="72" t="n">
        <v>293581</v>
      </c>
      <c r="J23" s="72" t="n">
        <v>280862</v>
      </c>
      <c r="K23" s="72" t="n">
        <v>340676</v>
      </c>
      <c r="L23" s="72" t="n">
        <v>343411</v>
      </c>
      <c r="M23" s="72" t="n">
        <v>437921</v>
      </c>
    </row>
    <row r="24" ht="14.25" customHeight="1" s="56">
      <c r="A24" s="70" t="inlineStr">
        <is>
          <t>R023</t>
        </is>
      </c>
      <c r="B24" s="72" t="n">
        <v>218099</v>
      </c>
      <c r="C24" s="72" t="n">
        <v>412956</v>
      </c>
      <c r="D24" s="72" t="n">
        <v>438770</v>
      </c>
      <c r="E24" s="72" t="n">
        <v>172679</v>
      </c>
      <c r="F24" s="72" t="n">
        <v>343868</v>
      </c>
      <c r="G24" s="72" t="n">
        <v>390384</v>
      </c>
      <c r="H24" s="72" t="n">
        <v>400933</v>
      </c>
      <c r="I24" s="72" t="n">
        <v>211614</v>
      </c>
      <c r="J24" s="72" t="n">
        <v>201857</v>
      </c>
      <c r="K24" s="72" t="n">
        <v>430835</v>
      </c>
      <c r="L24" s="72" t="n">
        <v>193076</v>
      </c>
      <c r="M24" s="72" t="n">
        <v>372598</v>
      </c>
    </row>
    <row r="25" ht="14.25" customHeight="1" s="56">
      <c r="A25" s="70" t="inlineStr">
        <is>
          <t>R024</t>
        </is>
      </c>
      <c r="B25" s="72" t="n">
        <v>168635</v>
      </c>
      <c r="C25" s="72" t="n">
        <v>214511</v>
      </c>
      <c r="D25" s="72" t="n">
        <v>169022</v>
      </c>
      <c r="E25" s="72" t="n">
        <v>247159</v>
      </c>
      <c r="F25" s="72" t="n">
        <v>304981</v>
      </c>
      <c r="G25" s="72" t="n">
        <v>387353</v>
      </c>
      <c r="H25" s="72" t="n">
        <v>167057</v>
      </c>
      <c r="I25" s="72" t="n">
        <v>403051</v>
      </c>
      <c r="J25" s="72" t="n">
        <v>184207</v>
      </c>
      <c r="K25" s="72" t="n">
        <v>350145</v>
      </c>
      <c r="L25" s="72" t="n">
        <v>376579</v>
      </c>
      <c r="M25" s="72" t="n">
        <v>364718</v>
      </c>
    </row>
    <row r="26" ht="14.25" customHeight="1" s="56">
      <c r="A26" s="70" t="inlineStr">
        <is>
          <t>R025</t>
        </is>
      </c>
      <c r="B26" s="72" t="n">
        <v>241742</v>
      </c>
      <c r="C26" s="72" t="n">
        <v>376544</v>
      </c>
      <c r="D26" s="72" t="n">
        <v>289689</v>
      </c>
      <c r="E26" s="72" t="n">
        <v>291365</v>
      </c>
      <c r="F26" s="72" t="n">
        <v>151669</v>
      </c>
      <c r="G26" s="72" t="n">
        <v>237046</v>
      </c>
      <c r="H26" s="72" t="n">
        <v>215592</v>
      </c>
      <c r="I26" s="72" t="n">
        <v>256462</v>
      </c>
      <c r="J26" s="72" t="n">
        <v>219765</v>
      </c>
      <c r="K26" s="72" t="n">
        <v>305885</v>
      </c>
      <c r="L26" s="72" t="n">
        <v>170489</v>
      </c>
      <c r="M26" s="72" t="n">
        <v>328169</v>
      </c>
    </row>
    <row r="27" ht="14.25" customHeight="1" s="56">
      <c r="A27" s="70" t="inlineStr">
        <is>
          <t>R026</t>
        </is>
      </c>
      <c r="B27" s="72" t="n">
        <v>206632</v>
      </c>
      <c r="C27" s="72" t="n">
        <v>418219</v>
      </c>
      <c r="D27" s="72" t="n">
        <v>218871</v>
      </c>
      <c r="E27" s="72" t="n">
        <v>424496</v>
      </c>
      <c r="F27" s="72" t="n">
        <v>269328</v>
      </c>
      <c r="G27" s="72" t="n">
        <v>261309</v>
      </c>
      <c r="H27" s="72" t="n">
        <v>244265</v>
      </c>
      <c r="I27" s="72" t="n">
        <v>228393</v>
      </c>
      <c r="J27" s="72" t="n">
        <v>410956</v>
      </c>
      <c r="K27" s="72" t="n">
        <v>314259</v>
      </c>
      <c r="L27" s="72" t="n">
        <v>297459</v>
      </c>
      <c r="M27" s="72" t="n">
        <v>251313</v>
      </c>
    </row>
    <row r="28" ht="14.25" customHeight="1" s="56">
      <c r="A28" s="70" t="inlineStr">
        <is>
          <t>R027</t>
        </is>
      </c>
      <c r="B28" s="72" t="n">
        <v>239781</v>
      </c>
      <c r="C28" s="72" t="n">
        <v>430605</v>
      </c>
      <c r="D28" s="72" t="n">
        <v>190908</v>
      </c>
      <c r="E28" s="72" t="n">
        <v>229129</v>
      </c>
      <c r="F28" s="72" t="n">
        <v>196262</v>
      </c>
      <c r="G28" s="72" t="n">
        <v>377844</v>
      </c>
      <c r="H28" s="72" t="n">
        <v>293147</v>
      </c>
      <c r="I28" s="72" t="n">
        <v>370985</v>
      </c>
      <c r="J28" s="72" t="n">
        <v>420128</v>
      </c>
      <c r="K28" s="72" t="n">
        <v>433140</v>
      </c>
      <c r="L28" s="72" t="n">
        <v>408093</v>
      </c>
      <c r="M28" s="72" t="n">
        <v>255969</v>
      </c>
    </row>
    <row r="29" ht="14.25" customHeight="1" s="56">
      <c r="A29" s="70" t="inlineStr">
        <is>
          <t>R028</t>
        </is>
      </c>
      <c r="B29" s="72" t="n">
        <v>426872</v>
      </c>
      <c r="C29" s="72" t="n">
        <v>171719</v>
      </c>
      <c r="D29" s="72" t="n">
        <v>169701</v>
      </c>
      <c r="E29" s="72" t="n">
        <v>347987</v>
      </c>
      <c r="F29" s="72" t="n">
        <v>216195</v>
      </c>
      <c r="G29" s="72" t="n">
        <v>412271</v>
      </c>
      <c r="H29" s="72" t="n">
        <v>416393</v>
      </c>
      <c r="I29" s="72" t="n">
        <v>353569</v>
      </c>
      <c r="J29" s="72" t="n">
        <v>323287</v>
      </c>
      <c r="K29" s="72" t="n">
        <v>301789</v>
      </c>
      <c r="L29" s="72" t="n">
        <v>208839</v>
      </c>
      <c r="M29" s="72" t="n">
        <v>369454</v>
      </c>
    </row>
    <row r="30" ht="14.25" customHeight="1" s="56">
      <c r="A30" s="70" t="inlineStr">
        <is>
          <t>R029</t>
        </is>
      </c>
      <c r="B30" s="72" t="n">
        <v>233369</v>
      </c>
      <c r="C30" s="72" t="n">
        <v>371909</v>
      </c>
      <c r="D30" s="72" t="n">
        <v>355248</v>
      </c>
      <c r="E30" s="72" t="n">
        <v>156409</v>
      </c>
      <c r="F30" s="72" t="n">
        <v>308725</v>
      </c>
      <c r="G30" s="72" t="n">
        <v>192883</v>
      </c>
      <c r="H30" s="72" t="n">
        <v>180902</v>
      </c>
      <c r="I30" s="72" t="n">
        <v>168654</v>
      </c>
      <c r="J30" s="72" t="n">
        <v>256191</v>
      </c>
      <c r="K30" s="72" t="n">
        <v>320737</v>
      </c>
      <c r="L30" s="72" t="n">
        <v>430108</v>
      </c>
      <c r="M30" s="72" t="n">
        <v>307413</v>
      </c>
    </row>
    <row r="31" ht="14.25" customHeight="1" s="56">
      <c r="A31" s="70" t="inlineStr">
        <is>
          <t>R030</t>
        </is>
      </c>
      <c r="B31" s="72" t="n">
        <v>151584</v>
      </c>
      <c r="C31" s="72" t="n">
        <v>221679</v>
      </c>
      <c r="D31" s="72" t="n">
        <v>385157</v>
      </c>
      <c r="E31" s="72" t="n">
        <v>290386</v>
      </c>
      <c r="F31" s="72" t="n">
        <v>236041</v>
      </c>
      <c r="G31" s="72" t="n">
        <v>407985</v>
      </c>
      <c r="H31" s="72" t="n">
        <v>184446</v>
      </c>
      <c r="I31" s="72" t="n">
        <v>342894</v>
      </c>
      <c r="J31" s="72" t="n">
        <v>180344</v>
      </c>
      <c r="K31" s="72" t="n">
        <v>292917</v>
      </c>
      <c r="L31" s="72" t="n">
        <v>314858</v>
      </c>
      <c r="M31" s="72" t="n">
        <v>364057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tabColor rgb="FFFFC000"/>
    <outlinePr summaryBelow="1" summaryRight="1"/>
    <pageSetUpPr fitToPage="1"/>
  </sheetPr>
  <dimension ref="A1:F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7" activePane="bottomLeft" state="frozen"/>
      <selection pane="topLeft" activeCell="A1" activeCellId="0" sqref="A1"/>
      <selection pane="bottomLeft" activeCell="A2" activeCellId="0" sqref="A2"/>
    </sheetView>
  </sheetViews>
  <sheetFormatPr baseColWidth="8" defaultColWidth="8.6796875" defaultRowHeight="14.25" customHeight="1" zeroHeight="0" outlineLevelRow="0"/>
  <cols>
    <col width="6" customWidth="1" style="55" min="1" max="1"/>
    <col width="60" customWidth="1" style="55" min="2" max="2"/>
    <col width="8" customWidth="1" style="55" min="3" max="3"/>
    <col width="30" customWidth="1" style="55" min="4" max="4"/>
    <col width="20" customWidth="1" style="55" min="5" max="5"/>
    <col width="19.74" customWidth="1" style="55" min="6" max="6"/>
  </cols>
  <sheetData>
    <row r="1" ht="30" customHeight="1" s="56">
      <c r="A1" s="73" t="inlineStr">
        <is>
          <t>Q1 - LOOKUP FUNCTIONS  (25 marks total)</t>
        </is>
      </c>
      <c r="B1" s="74" t="n"/>
      <c r="C1" s="74" t="n"/>
      <c r="D1" s="74" t="n"/>
      <c r="E1" s="74" t="n"/>
      <c r="F1" s="75" t="n"/>
    </row>
    <row r="2" ht="14.25" customHeight="1" s="56">
      <c r="A2" s="76" t="inlineStr">
        <is>
          <t>VLOOKUP · INDEX-MATCH · Two-way lookup · Chain lookup · Approximate lookup · Self-join</t>
        </is>
      </c>
      <c r="B2" s="74" t="n"/>
      <c r="C2" s="74" t="n"/>
      <c r="D2" s="74" t="n"/>
      <c r="E2" s="74" t="n"/>
      <c r="F2" s="75" t="n"/>
    </row>
    <row r="3" ht="14.25" customHeight="1" s="56">
      <c r="A3" s="77" t="n"/>
      <c r="B3" s="77" t="n"/>
      <c r="C3" s="77" t="n"/>
      <c r="D3" s="77" t="n"/>
      <c r="E3" s="77" t="n"/>
      <c r="F3" s="77" t="n"/>
    </row>
    <row r="4" ht="24" customHeight="1" s="56">
      <c r="A4" s="78" t="inlineStr">
        <is>
          <t>Q#</t>
        </is>
      </c>
      <c r="B4" s="78" t="inlineStr">
        <is>
          <t>Question</t>
        </is>
      </c>
      <c r="C4" s="78" t="inlineStr">
        <is>
          <t>Marks</t>
        </is>
      </c>
      <c r="D4" s="78" t="inlineStr">
        <is>
          <t>Hint</t>
        </is>
      </c>
      <c r="E4" s="78" t="inlineStr">
        <is>
          <t>Your Answer</t>
        </is>
      </c>
      <c r="F4" s="78" t="inlineStr">
        <is>
          <t>Format</t>
        </is>
      </c>
    </row>
    <row r="5" ht="42" customHeight="1" s="56">
      <c r="A5" s="79" t="inlineStr">
        <is>
          <t>Q1.1</t>
        </is>
      </c>
      <c r="B5" s="80" t="inlineStr">
        <is>
          <t>For order ORD-00234, what is the customer_id?</t>
        </is>
      </c>
      <c r="C5" s="81" t="n">
        <v>3</v>
      </c>
      <c r="D5" s="82" t="inlineStr">
        <is>
          <t>Simple VLOOKUP on Orders sheet.</t>
        </is>
      </c>
      <c r="E5" s="83" t="inlineStr">
        <is>
          <t>CUST-0173</t>
        </is>
      </c>
      <c r="F5" s="84" t="inlineStr">
        <is>
          <t>CUST-####</t>
        </is>
      </c>
    </row>
    <row r="6" ht="42" customHeight="1" s="56">
      <c r="A6" s="79" t="inlineStr">
        <is>
          <t>Q1.2</t>
        </is>
      </c>
      <c r="B6" s="80" t="inlineStr">
        <is>
          <t>For order ORD-00456, what is the product_name? (You will need to look up the product_id first, then find its name in Products.)</t>
        </is>
      </c>
      <c r="C6" s="81" t="n">
        <v>3</v>
      </c>
      <c r="D6" s="82" t="inlineStr">
        <is>
          <t>Two-step lookup, or nested VLOOKUP.</t>
        </is>
      </c>
      <c r="E6" s="83" t="inlineStr">
        <is>
          <t>Dumbbells 5kg</t>
        </is>
      </c>
      <c r="F6" s="84" t="inlineStr">
        <is>
          <t>Text</t>
        </is>
      </c>
    </row>
    <row r="7" ht="42" customHeight="1" s="56">
      <c r="A7" s="79" t="inlineStr">
        <is>
          <t>Q1.3</t>
        </is>
      </c>
      <c r="B7" s="80" t="inlineStr">
        <is>
          <t>For order ORD-00987, what is the rep_name of the sales rep? Note: the rep_name is in a column that appears to the LEFT of what you might look up first.</t>
        </is>
      </c>
      <c r="C7" s="81" t="n">
        <v>3</v>
      </c>
      <c r="D7" s="82" t="inlineStr">
        <is>
          <t>VLOOKUP has directional limits - INDEX/MATCH does not.</t>
        </is>
      </c>
      <c r="E7" s="83" t="inlineStr">
        <is>
          <t>Nisha Menon</t>
        </is>
      </c>
      <c r="F7" s="84" t="inlineStr">
        <is>
          <t>Text</t>
        </is>
      </c>
    </row>
    <row r="8" ht="42" customHeight="1" s="56">
      <c r="A8" s="79" t="inlineStr">
        <is>
          <t>Q1.4</t>
        </is>
      </c>
      <c r="B8" s="80" t="inlineStr">
        <is>
          <t>From the Targets sheet, what is the target value for rep R012 in the month Mar-24?</t>
        </is>
      </c>
      <c r="C8" s="81" t="n">
        <v>4</v>
      </c>
      <c r="D8" s="82" t="inlineStr">
        <is>
          <t>Two-way lookup: row = rep_id, column = month.</t>
        </is>
      </c>
      <c r="E8" s="85" t="n">
        <v>321255</v>
      </c>
      <c r="F8" s="84" t="inlineStr">
        <is>
          <t>Whole number</t>
        </is>
      </c>
    </row>
    <row r="9" ht="42" customHeight="1" s="56">
      <c r="A9" s="79" t="inlineStr">
        <is>
          <t>Q1.5</t>
        </is>
      </c>
      <c r="B9" s="80" t="inlineStr">
        <is>
          <t>For order ORD-01500, what is the CATEGORY of the product ordered? (Chain: order → product_id → category)</t>
        </is>
      </c>
      <c r="C9" s="81" t="n">
        <v>4</v>
      </c>
      <c r="D9" s="82" t="inlineStr">
        <is>
          <t>Multi-hop lookup across sheets.</t>
        </is>
      </c>
      <c r="E9" s="83" t="inlineStr">
        <is>
          <t>Electronics</t>
        </is>
      </c>
      <c r="F9" s="84" t="inlineStr">
        <is>
          <t>Text</t>
        </is>
      </c>
    </row>
    <row r="10" ht="42" customHeight="1" s="56">
      <c r="A10" s="79" t="inlineStr">
        <is>
          <t>Q1.6</t>
        </is>
      </c>
      <c r="B10" s="80" t="inlineStr">
        <is>
          <t>For order ORD-00789, which DISCOUNT SLAB does it fall in? Use the slab table below (rows 20-24). Slab breakpoints are the LOWER bound of each range.</t>
        </is>
      </c>
      <c r="C10" s="81" t="n">
        <v>3</v>
      </c>
      <c r="D10" s="82" t="inlineStr">
        <is>
          <t>Approximate-match VLOOKUP (sort ascending, TRUE / omit last arg).</t>
        </is>
      </c>
      <c r="E10" s="83" t="inlineStr">
        <is>
          <t>Bronze</t>
        </is>
      </c>
      <c r="F10" s="84" t="inlineStr">
        <is>
          <t>Text</t>
        </is>
      </c>
    </row>
    <row r="11" ht="42" customHeight="1" s="56">
      <c r="A11" s="79" t="inlineStr">
        <is>
          <t>Q1.7</t>
        </is>
      </c>
      <c r="B11" s="80" t="inlineStr">
        <is>
          <t>For order ORD-01234, in one cell produce the string:  "&lt;rep_name&gt; (&lt;sales_region&gt;)"  - e.g. "Amit Singh (South)".</t>
        </is>
      </c>
      <c r="C11" s="81" t="n">
        <v>3</v>
      </c>
      <c r="D11" s="82" t="inlineStr">
        <is>
          <t>Two lookups joined with &amp; or CONCATENATE.</t>
        </is>
      </c>
      <c r="E11" s="83" t="inlineStr">
        <is>
          <t>Sanjay Kapoor (South)</t>
        </is>
      </c>
      <c r="F11" s="84" t="inlineStr">
        <is>
          <t>Text</t>
        </is>
      </c>
    </row>
    <row r="12" ht="42" customHeight="1" s="56">
      <c r="A12" s="79" t="inlineStr">
        <is>
          <t>Q1.8</t>
        </is>
      </c>
      <c r="B12" s="80" t="inlineStr">
        <is>
          <t>What is the rep_name of the TEAM LEAD for rep R017? (The Sales_Reps sheet has team_lead_id - you need to self-join to find that person's name.)</t>
        </is>
      </c>
      <c r="C12" s="81" t="n">
        <v>2</v>
      </c>
      <c r="D12" s="82" t="inlineStr">
        <is>
          <t>Look up the team_lead_id, then look up THAT id's rep_name.</t>
        </is>
      </c>
      <c r="E12" s="83" t="inlineStr">
        <is>
          <t>Amit Singh</t>
        </is>
      </c>
      <c r="F12" s="84" t="inlineStr">
        <is>
          <t>Text</t>
        </is>
      </c>
    </row>
    <row r="15" ht="14.25" customHeight="1" s="56">
      <c r="B15" s="86" t="inlineStr">
        <is>
          <t>DISCOUNT SLAB REFERENCE TABLE (use for Q1.6)</t>
        </is>
      </c>
    </row>
    <row r="17" ht="14.25" customHeight="1" s="56">
      <c r="B17" s="87" t="inlineStr">
        <is>
          <t>Discount % (Lower)</t>
        </is>
      </c>
      <c r="C17" s="87" t="inlineStr">
        <is>
          <t>Slab</t>
        </is>
      </c>
    </row>
    <row r="18" ht="14.25" customHeight="1" s="56">
      <c r="B18" s="88" t="n">
        <v>0</v>
      </c>
      <c r="C18" s="88" t="inlineStr">
        <is>
          <t>Bronze</t>
        </is>
      </c>
    </row>
    <row r="19" ht="14.25" customHeight="1" s="56">
      <c r="B19" s="88" t="n">
        <v>5</v>
      </c>
      <c r="C19" s="88" t="inlineStr">
        <is>
          <t>Silver</t>
        </is>
      </c>
    </row>
    <row r="20" ht="14.25" customHeight="1" s="56">
      <c r="B20" s="88" t="n">
        <v>15</v>
      </c>
      <c r="C20" s="88" t="inlineStr">
        <is>
          <t>Gold</t>
        </is>
      </c>
    </row>
    <row r="21" ht="14.25" customHeight="1" s="56">
      <c r="B21" s="88" t="n">
        <v>25</v>
      </c>
      <c r="C21" s="88" t="inlineStr">
        <is>
          <t>Platinum</t>
        </is>
      </c>
    </row>
  </sheetData>
  <mergeCells count="2">
    <mergeCell ref="A2:F2"/>
    <mergeCell ref="A1:F1"/>
  </mergeCells>
  <printOptions horizontalCentered="0" verticalCentered="0" headings="0" gridLines="0" gridLinesSet="1"/>
  <pageMargins left="0.4" right="0.4" top="0.4" bottom="0.4" header="0.511811023622047" footer="0.511811023622047"/>
  <pageSetup orientation="landscape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 filterMode="0">
    <tabColor rgb="FFFFC000"/>
    <outlinePr summaryBelow="1" summaryRight="1"/>
    <pageSetUpPr fitToPage="1"/>
  </sheetPr>
  <dimension ref="A1:F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2" activeCellId="0" sqref="A2"/>
    </sheetView>
  </sheetViews>
  <sheetFormatPr baseColWidth="8" defaultColWidth="8.6796875" defaultRowHeight="14.25" customHeight="1" zeroHeight="0" outlineLevelRow="0"/>
  <cols>
    <col width="6" customWidth="1" style="55" min="1" max="1"/>
    <col width="60" customWidth="1" style="55" min="2" max="2"/>
    <col width="8" customWidth="1" style="55" min="3" max="3"/>
    <col width="30" customWidth="1" style="55" min="4" max="4"/>
    <col width="20" customWidth="1" style="55" min="5" max="5"/>
    <col width="15" customWidth="1" style="55" min="6" max="6"/>
  </cols>
  <sheetData>
    <row r="1" ht="30" customHeight="1" s="56">
      <c r="A1" s="73" t="inlineStr">
        <is>
          <t>Q2 - DATA CLEANING &amp; QUALITY DIAGNOSTICS  (20 marks total)</t>
        </is>
      </c>
      <c r="B1" s="74" t="n"/>
      <c r="C1" s="74" t="n"/>
      <c r="D1" s="74" t="n"/>
      <c r="E1" s="74" t="n"/>
      <c r="F1" s="75" t="n"/>
    </row>
    <row r="2" ht="14.25" customHeight="1" s="56">
      <c r="A2" s="76" t="inlineStr">
        <is>
          <t>Duplicates · Whitespace · Case Inconsistency · Referential Integrity · Discontinued SKUs · Anomaly Patterns</t>
        </is>
      </c>
      <c r="B2" s="74" t="n"/>
      <c r="C2" s="74" t="n"/>
      <c r="D2" s="74" t="n"/>
      <c r="E2" s="74" t="n"/>
      <c r="F2" s="75" t="n"/>
    </row>
    <row r="3" ht="14.25" customHeight="1" s="56">
      <c r="A3" s="77" t="n"/>
      <c r="B3" s="77" t="n"/>
      <c r="C3" s="77" t="n"/>
      <c r="D3" s="77" t="n"/>
      <c r="E3" s="77" t="n"/>
      <c r="F3" s="77" t="n"/>
    </row>
    <row r="4" ht="24" customHeight="1" s="56">
      <c r="A4" s="78" t="inlineStr">
        <is>
          <t>Q#</t>
        </is>
      </c>
      <c r="B4" s="78" t="inlineStr">
        <is>
          <t>Question</t>
        </is>
      </c>
      <c r="C4" s="78" t="inlineStr">
        <is>
          <t>Marks</t>
        </is>
      </c>
      <c r="D4" s="78" t="inlineStr">
        <is>
          <t>Hint</t>
        </is>
      </c>
      <c r="E4" s="78" t="inlineStr">
        <is>
          <t>Your Answer</t>
        </is>
      </c>
      <c r="F4" s="78" t="inlineStr">
        <is>
          <t>Format</t>
        </is>
      </c>
    </row>
    <row r="5" ht="42" customHeight="1" s="56">
      <c r="A5" s="79" t="inlineStr">
        <is>
          <t>Q2.1</t>
        </is>
      </c>
      <c r="B5" s="80" t="inlineStr">
        <is>
          <t>How many DUPLICATE rows exist in the Orders sheet (i.e., how many order_id values appear more than once)? Count each duplicate as ONE (not the extras).</t>
        </is>
      </c>
      <c r="C5" s="81" t="n">
        <v>3</v>
      </c>
      <c r="D5" s="82" t="inlineStr">
        <is>
          <t>COUNTIF &gt; 1, then count. Watch what you're counting - rows or IDs.</t>
        </is>
      </c>
      <c r="E5" s="89" t="n">
        <v>20</v>
      </c>
      <c r="F5" s="84" t="inlineStr">
        <is>
          <t>Whole number</t>
        </is>
      </c>
    </row>
    <row r="6" ht="42" customHeight="1" s="56">
      <c r="A6" s="79" t="inlineStr">
        <is>
          <t>Q2.2</t>
        </is>
      </c>
      <c r="B6" s="80" t="inlineStr">
        <is>
          <t>How many customers in the Customers sheet have LEADING or TRAILING whitespace in their customer_name?</t>
        </is>
      </c>
      <c r="C6" s="81" t="n">
        <v>3</v>
      </c>
      <c r="D6" s="82" t="inlineStr">
        <is>
          <t>Compare LEN vs LEN(TRIM). Or use SUMPRODUCT with a boolean.</t>
        </is>
      </c>
      <c r="E6" s="89" t="n">
        <v>15</v>
      </c>
      <c r="F6" s="84" t="inlineStr">
        <is>
          <t>Whole number</t>
        </is>
      </c>
    </row>
    <row r="7" ht="42" customHeight="1" s="56">
      <c r="A7" s="79" t="inlineStr">
        <is>
          <t>Q2.3</t>
        </is>
      </c>
      <c r="B7" s="80" t="inlineStr">
        <is>
          <t>The Customers sheet has some cities in inconsistent case (e.g., "mumbai", "MUMBAI", "Mumbai"). How many DISTINCT cities exist AFTER standardizing case?</t>
        </is>
      </c>
      <c r="C7" s="81" t="n">
        <v>3</v>
      </c>
      <c r="D7" s="82" t="inlineStr">
        <is>
          <t>Combine PROPER/UPPER with a de-dup count. SUMPRODUCT + 1/COUNTIF trick works.</t>
        </is>
      </c>
      <c r="E7" s="89" t="n">
        <v>6</v>
      </c>
      <c r="F7" s="84" t="inlineStr">
        <is>
          <t>Whole number</t>
        </is>
      </c>
    </row>
    <row r="8" ht="42" customHeight="1" s="56">
      <c r="A8" s="79" t="inlineStr">
        <is>
          <t>Q2.4</t>
        </is>
      </c>
      <c r="B8" s="80" t="inlineStr">
        <is>
          <t>How many orders reference a customer_id that DOES NOT EXIST in the Customers sheet? (Broken foreign key)</t>
        </is>
      </c>
      <c r="C8" s="81" t="n">
        <v>4</v>
      </c>
      <c r="D8" s="82" t="inlineStr">
        <is>
          <t>Use MATCH with ISNA/ISERROR, then count.</t>
        </is>
      </c>
      <c r="E8" s="89" t="n">
        <v>30</v>
      </c>
      <c r="F8" s="84" t="inlineStr">
        <is>
          <t>Whole number</t>
        </is>
      </c>
    </row>
    <row r="9" ht="42" customHeight="1" s="56">
      <c r="A9" s="79" t="inlineStr">
        <is>
          <t>Q2.5</t>
        </is>
      </c>
      <c r="B9" s="80" t="inlineStr">
        <is>
          <t>How many orders reference a product that is currently DISCONTINUED (is_active = FALSE in the Products sheet)?</t>
        </is>
      </c>
      <c r="C9" s="81" t="n">
        <v>3</v>
      </c>
      <c r="D9" s="82" t="inlineStr">
        <is>
          <t>VLOOKUP the is_active flag, then count where FALSE.</t>
        </is>
      </c>
      <c r="E9" s="89" t="n">
        <v>174</v>
      </c>
      <c r="F9" s="84" t="inlineStr">
        <is>
          <t>Whole number</t>
        </is>
      </c>
    </row>
    <row r="10" ht="42" customHeight="1" s="56">
      <c r="A10" s="79" t="inlineStr">
        <is>
          <t>Q2.6</t>
        </is>
      </c>
      <c r="B10" s="80" t="inlineStr">
        <is>
          <t>Find the "suspicious pattern": how many orders have payment_status = "Cancelled" AND a discount_pct &gt; 20%? (This pattern often indicates promo abuse - a real-world diagnostic query.)</t>
        </is>
      </c>
      <c r="C10" s="81" t="n">
        <v>4</v>
      </c>
      <c r="D10" s="82" t="inlineStr">
        <is>
          <t>COUNTIFS with two criteria.</t>
        </is>
      </c>
      <c r="E10" s="89" t="n">
        <v>58</v>
      </c>
      <c r="F10" s="84" t="inlineStr">
        <is>
          <t>Whole number</t>
        </is>
      </c>
    </row>
  </sheetData>
  <mergeCells count="2">
    <mergeCell ref="A2:F2"/>
    <mergeCell ref="A1:F1"/>
  </mergeCells>
  <printOptions horizontalCentered="0" verticalCentered="0" headings="0" gridLines="0" gridLinesSet="1"/>
  <pageMargins left="0.4" right="0.4" top="0.4" bottom="0.4" header="0.511811023622047" footer="0.511811023622047"/>
  <pageSetup orientation="landscape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 filterMode="0">
    <tabColor rgb="FFFFC000"/>
    <outlinePr summaryBelow="1" summaryRight="1"/>
    <pageSetUpPr fitToPage="1"/>
  </sheetPr>
  <dimension ref="A1:F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2" activeCellId="0" sqref="A2"/>
    </sheetView>
  </sheetViews>
  <sheetFormatPr baseColWidth="8" defaultColWidth="8.6796875" defaultRowHeight="14.25" customHeight="1" zeroHeight="0" outlineLevelRow="0"/>
  <cols>
    <col width="6" customWidth="1" style="55" min="1" max="1"/>
    <col width="60" customWidth="1" style="55" min="2" max="2"/>
    <col width="8" customWidth="1" style="55" min="3" max="3"/>
    <col width="30" customWidth="1" style="55" min="4" max="4"/>
    <col width="20" customWidth="1" style="55" min="5" max="5"/>
    <col width="15" customWidth="1" style="55" min="6" max="6"/>
  </cols>
  <sheetData>
    <row r="1" ht="30" customHeight="1" s="56">
      <c r="A1" s="90" t="inlineStr">
        <is>
          <t>Q3 - CONDITIONAL AGGREGATION  (25 marks total)</t>
        </is>
      </c>
    </row>
    <row r="2" ht="14.25" customHeight="1" s="56">
      <c r="A2" s="76" t="inlineStr">
        <is>
          <t>SUMIFS · COUNTIFS · AVERAGEIFS · Nested IF logic · Multi-sheet aggregation · Top-N logic</t>
        </is>
      </c>
      <c r="B2" s="74" t="n"/>
      <c r="C2" s="74" t="n"/>
      <c r="D2" s="74" t="n"/>
      <c r="E2" s="74" t="n"/>
      <c r="F2" s="75" t="n"/>
    </row>
    <row r="3" ht="14.25" customHeight="1" s="56">
      <c r="A3" s="77" t="n"/>
      <c r="B3" s="77" t="n"/>
      <c r="C3" s="77" t="n"/>
      <c r="D3" s="77" t="n"/>
      <c r="E3" s="77" t="n"/>
      <c r="F3" s="77" t="n"/>
    </row>
    <row r="4" ht="24" customHeight="1" s="56">
      <c r="A4" s="78" t="inlineStr">
        <is>
          <t>Q#</t>
        </is>
      </c>
      <c r="B4" s="78" t="inlineStr">
        <is>
          <t>Question</t>
        </is>
      </c>
      <c r="C4" s="78" t="inlineStr">
        <is>
          <t>Marks</t>
        </is>
      </c>
      <c r="D4" s="78" t="inlineStr">
        <is>
          <t>Hint</t>
        </is>
      </c>
      <c r="E4" s="78" t="inlineStr">
        <is>
          <t>Your Answer</t>
        </is>
      </c>
      <c r="F4" s="78" t="inlineStr">
        <is>
          <t>Format</t>
        </is>
      </c>
    </row>
    <row r="5" ht="42" customHeight="1" s="56">
      <c r="A5" s="79" t="inlineStr">
        <is>
          <t>Q3.1</t>
        </is>
      </c>
      <c r="B5" s="80" t="inlineStr">
        <is>
          <t>What is the TOTAL REVENUE (sum of final_amount) for orders in Q3 2024 (Jul-Sep) where ship_city is Mumbai?</t>
        </is>
      </c>
      <c r="C5" s="81" t="n">
        <v>4</v>
      </c>
      <c r="D5" s="82" t="inlineStr">
        <is>
          <t>SUMIFS with 3 conditions: date &gt;= start, date &lt;= end, city = Mumbai. Beware case issues.</t>
        </is>
      </c>
      <c r="E5" s="111" t="n">
        <v>1217239.01</v>
      </c>
      <c r="F5" s="84" t="inlineStr">
        <is>
          <t>Currency</t>
        </is>
      </c>
    </row>
    <row r="6" ht="42" customHeight="1" s="56">
      <c r="A6" s="79" t="inlineStr">
        <is>
          <t>Q3.2</t>
        </is>
      </c>
      <c r="B6" s="80" t="inlineStr">
        <is>
          <t>How many orders have discount_pct &gt; 15% AND payment_status = "Completed"?</t>
        </is>
      </c>
      <c r="C6" s="81" t="n">
        <v>3</v>
      </c>
      <c r="D6" s="82" t="inlineStr">
        <is>
          <t>COUNTIFS with two conditions.</t>
        </is>
      </c>
      <c r="E6" s="83" t="n">
        <v>723</v>
      </c>
      <c r="F6" s="84" t="inlineStr">
        <is>
          <t>Whole number</t>
        </is>
      </c>
    </row>
    <row r="7" ht="42" customHeight="1" s="56">
      <c r="A7" s="79" t="inlineStr">
        <is>
          <t>Q3.3</t>
        </is>
      </c>
      <c r="B7" s="80" t="inlineStr">
        <is>
          <t>What is the AVERAGE final_amount for orders where the product CATEGORY is "Electronics" AND the customer SEGMENT is "Corporate"? Note: Both fields come from OTHER sheets - you'll need helper columns.</t>
        </is>
      </c>
      <c r="C7" s="81" t="n">
        <v>5</v>
      </c>
      <c r="D7" s="82" t="inlineStr">
        <is>
          <t>Helper columns in Orders: VLOOKUP category from Products, VLOOKUP segment from Customers. Then AVERAGEIFS.</t>
        </is>
      </c>
      <c r="E7" s="111" t="n">
        <v>13981.40155844156</v>
      </c>
      <c r="F7" s="84" t="inlineStr">
        <is>
          <t>Currency</t>
        </is>
      </c>
    </row>
    <row r="8" ht="42" customHeight="1" s="56">
      <c r="A8" s="79" t="inlineStr">
        <is>
          <t>Q3.4</t>
        </is>
      </c>
      <c r="B8" s="80" t="inlineStr">
        <is>
          <t>What is the COMBINED REVENUE of the TOP 3 reps by total revenue? (Sum of the 3 highest rep totals.)</t>
        </is>
      </c>
      <c r="C8" s="81" t="n">
        <v>4</v>
      </c>
      <c r="D8" s="82" t="inlineStr">
        <is>
          <t>Compute per-rep totals, then use SUMPRODUCT with LARGE, or sort and sum top 3.</t>
        </is>
      </c>
      <c r="E8" s="111" t="n">
        <v>3342678.55</v>
      </c>
      <c r="F8" s="84" t="inlineStr">
        <is>
          <t>Currency</t>
        </is>
      </c>
    </row>
    <row r="9" ht="42" customHeight="1" s="56">
      <c r="A9" s="79" t="inlineStr">
        <is>
          <t>Q3.5</t>
        </is>
      </c>
      <c r="B9" s="80" t="inlineStr">
        <is>
          <t>For rep R015 in Nov-24: compute the actual revenue and compare to the target (from Targets sheet). Report the PERFORMANCE TIER using: &lt;80% → "Below", 80-120% → "On Track", &gt;120% → "Exceeds". Return only the tier text.</t>
        </is>
      </c>
      <c r="C9" s="81" t="n">
        <v>5</v>
      </c>
      <c r="D9" s="82" t="inlineStr">
        <is>
          <t>Nested IF (or IFS): compute actual/target ratio, then classify.</t>
        </is>
      </c>
      <c r="E9" s="83" t="inlineStr">
        <is>
          <t>Below</t>
        </is>
      </c>
      <c r="F9" s="84" t="inlineStr">
        <is>
          <t>Text</t>
        </is>
      </c>
    </row>
    <row r="10" ht="42" customHeight="1" s="56">
      <c r="A10" s="79" t="inlineStr">
        <is>
          <t>Q3.6</t>
        </is>
      </c>
      <c r="B10" s="80" t="inlineStr">
        <is>
          <t>What is the TOTAL revenue from Corporate segment customers aged between 30 and 40 (both inclusive)?</t>
        </is>
      </c>
      <c r="C10" s="81" t="n">
        <v>4</v>
      </c>
      <c r="D10" s="82" t="inlineStr">
        <is>
          <t>Helper columns for age and segment. Then SUMIFS with numeric range.</t>
        </is>
      </c>
      <c r="E10" s="111" t="n">
        <v>982568.4</v>
      </c>
      <c r="F10" s="84" t="inlineStr">
        <is>
          <t>Currency</t>
        </is>
      </c>
    </row>
  </sheetData>
  <mergeCells count="2">
    <mergeCell ref="A2:F2"/>
    <mergeCell ref="A1:F1"/>
  </mergeCells>
  <printOptions horizontalCentered="0" verticalCentered="0" headings="0" gridLines="0" gridLinesSet="1"/>
  <pageMargins left="0.4" right="0.4" top="0.4" bottom="0.4" header="0.511811023622047" footer="0.511811023622047"/>
  <pageSetup orientation="landscape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 filterMode="0">
    <tabColor rgb="FFFFC000"/>
    <outlinePr summaryBelow="1" summaryRight="1"/>
    <pageSetUpPr fitToPage="1"/>
  </sheetPr>
  <dimension ref="A1:F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2" activeCellId="0" sqref="A2"/>
    </sheetView>
  </sheetViews>
  <sheetFormatPr baseColWidth="8" defaultColWidth="8.6796875" defaultRowHeight="14.25" customHeight="1" zeroHeight="0" outlineLevelRow="0"/>
  <cols>
    <col width="6" customWidth="1" style="55" min="1" max="1"/>
    <col width="60" customWidth="1" style="55" min="2" max="2"/>
    <col width="8" customWidth="1" style="55" min="3" max="3"/>
    <col width="30" customWidth="1" style="55" min="4" max="4"/>
    <col width="20" customWidth="1" style="55" min="5" max="5"/>
    <col width="15" customWidth="1" style="55" min="6" max="6"/>
  </cols>
  <sheetData>
    <row r="1" ht="30" customHeight="1" s="56">
      <c r="A1" s="90" t="inlineStr">
        <is>
          <t>Q4 - PIVOT TABLES  (20 marks total)</t>
        </is>
      </c>
    </row>
    <row r="2" ht="14.25" customHeight="1" s="56">
      <c r="A2" s="92" t="inlineStr">
        <is>
          <t>2D Pivots · Filters · % of Row Total · Date Grouping · Calculated Fields · Cross-Sheet Data</t>
        </is>
      </c>
    </row>
    <row r="4" ht="24" customHeight="1" s="56">
      <c r="A4" s="62" t="inlineStr">
        <is>
          <t>Q#</t>
        </is>
      </c>
      <c r="B4" s="62" t="inlineStr">
        <is>
          <t>Question</t>
        </is>
      </c>
      <c r="C4" s="62" t="inlineStr">
        <is>
          <t>Marks</t>
        </is>
      </c>
      <c r="D4" s="62" t="inlineStr">
        <is>
          <t>Hint</t>
        </is>
      </c>
      <c r="E4" s="62" t="inlineStr">
        <is>
          <t>Your Answer</t>
        </is>
      </c>
      <c r="F4" s="62" t="inlineStr">
        <is>
          <t>Format</t>
        </is>
      </c>
    </row>
    <row r="5" ht="42" customHeight="1" s="56">
      <c r="A5" s="93" t="inlineStr">
        <is>
          <t>Q4.1</t>
        </is>
      </c>
      <c r="B5" s="94" t="inlineStr">
        <is>
          <t>Build a pivot with sales_region as rows and product category as columns, values = SUM of final_amount. What value appears at the intersection of "South" and "Electronics"?</t>
        </is>
      </c>
      <c r="C5" s="95" t="n">
        <v>4</v>
      </c>
      <c r="D5" s="96" t="inlineStr">
        <is>
          <t>You need to add category (from Products) and region (from Sales_Reps) as columns to Orders first. Insert PivotTable from combined data.</t>
        </is>
      </c>
      <c r="E5" s="112" t="n">
        <v>1314107.39</v>
      </c>
      <c r="F5" s="98" t="inlineStr">
        <is>
          <t>Currency</t>
        </is>
      </c>
    </row>
    <row r="6" ht="42" customHeight="1" s="56">
      <c r="A6" s="93" t="inlineStr">
        <is>
          <t>Q4.2</t>
        </is>
      </c>
      <c r="B6" s="94" t="inlineStr">
        <is>
          <t>Build a pivot: rows = order month (Jan-24 through Dec-24), columns = sales_rep_id, values = SUM of final_amount. What is the HIGHEST single value in the entire pivot? (One number.)</t>
        </is>
      </c>
      <c r="C6" s="95" t="n">
        <v>4</v>
      </c>
      <c r="D6" s="96" t="inlineStr">
        <is>
          <t>After building, use MAX() over the pivot data range, or scan visually.</t>
        </is>
      </c>
      <c r="E6" s="112" t="n">
        <v>216421.52</v>
      </c>
      <c r="F6" s="98" t="inlineStr">
        <is>
          <t>Currency</t>
        </is>
      </c>
    </row>
    <row r="7" ht="42" customHeight="1" s="56">
      <c r="A7" s="93" t="inlineStr">
        <is>
          <t>Q4.3</t>
        </is>
      </c>
      <c r="B7" s="94" t="inlineStr">
        <is>
          <t>For the North sales_region only: what PERCENTAGE of total revenue comes from the Apparel category? Configure the pivot with Show Values As → % of Row Total.</t>
        </is>
      </c>
      <c r="C7" s="95" t="n">
        <v>4</v>
      </c>
      <c r="D7" s="96" t="inlineStr">
        <is>
          <t>Pivot: rows=region, cols=category, values=sum(final_amount), Show Values As = % of Row Total.</t>
        </is>
      </c>
      <c r="E7" s="99" t="n">
        <v>0.1402315047198834</v>
      </c>
      <c r="F7" s="98" t="inlineStr">
        <is>
          <t>Percentage</t>
        </is>
      </c>
    </row>
    <row r="8" ht="42" customHeight="1" s="56">
      <c r="A8" s="93" t="inlineStr">
        <is>
          <t>Q4.4</t>
        </is>
      </c>
      <c r="B8" s="94" t="inlineStr">
        <is>
          <t>Group order dates by QUARTER in a pivot. What is the total revenue for Q4 2024 (Oct-Dec)?</t>
        </is>
      </c>
      <c r="C8" s="95" t="n">
        <v>4</v>
      </c>
      <c r="D8" s="96" t="inlineStr">
        <is>
          <t>PivotTable → Group By → Quarter. Or SUMIFS with date range.</t>
        </is>
      </c>
      <c r="E8" s="112" t="n">
        <v>6459442.98</v>
      </c>
      <c r="F8" s="98" t="inlineStr">
        <is>
          <t>Currency</t>
        </is>
      </c>
    </row>
    <row r="9" ht="42" customHeight="1" s="56">
      <c r="A9" s="93" t="inlineStr">
        <is>
          <t>Q4.5</t>
        </is>
      </c>
      <c r="B9" s="94" t="inlineStr">
        <is>
          <t>Create a CALCULATED FIELD in the pivot: profit_margin = (unit_price - unit_cost) / unit_price. What is the AVERAGE profit_margin for orders shipped to Delhi? Give as a percentage.</t>
        </is>
      </c>
      <c r="C9" s="95" t="n">
        <v>4</v>
      </c>
      <c r="D9" s="96" t="inlineStr">
        <is>
          <t>Add unit_cost via VLOOKUP as helper column. Create pivot calculated field, filter to Delhi.</t>
        </is>
      </c>
      <c r="E9" s="99" t="n">
        <v>0.4490386453781621</v>
      </c>
      <c r="F9" s="98" t="inlineStr">
        <is>
          <t>Percentage</t>
        </is>
      </c>
    </row>
  </sheetData>
  <mergeCells count="2">
    <mergeCell ref="A2:F2"/>
    <mergeCell ref="A1:F1"/>
  </mergeCells>
  <printOptions horizontalCentered="0" verticalCentered="0" headings="0" gridLines="0" gridLinesSet="1"/>
  <pageMargins left="0.4" right="0.4" top="0.4" bottom="0.4" header="0.511811023622047" footer="0.511811023622047"/>
  <pageSetup orientation="landscape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 filterMode="0">
    <tabColor rgb="FFFFC000"/>
    <outlinePr summaryBelow="1" summaryRight="1"/>
    <pageSetUpPr fitToPage="1"/>
  </sheetPr>
  <dimension ref="A1:F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F9" activeCellId="0" sqref="F9"/>
    </sheetView>
  </sheetViews>
  <sheetFormatPr baseColWidth="8" defaultColWidth="8.6796875" defaultRowHeight="14.25" customHeight="1" zeroHeight="0" outlineLevelRow="0"/>
  <cols>
    <col width="6" customWidth="1" style="55" min="1" max="1"/>
    <col width="60" customWidth="1" style="55" min="2" max="2"/>
    <col width="8" customWidth="1" style="55" min="3" max="3"/>
    <col width="30" customWidth="1" style="55" min="4" max="4"/>
    <col width="20" customWidth="1" style="55" min="5" max="5"/>
    <col width="15" customWidth="1" style="55" min="6" max="6"/>
  </cols>
  <sheetData>
    <row r="1" ht="30" customHeight="1" s="56">
      <c r="A1" s="90" t="inlineStr">
        <is>
          <t>Q5 - ADVANCED  (10 marks total)</t>
        </is>
      </c>
    </row>
    <row r="2" ht="14.25" customHeight="1" s="56">
      <c r="A2" s="92" t="inlineStr">
        <is>
          <t>RANK · Running Totals · TEXTJOIN · LARGE + INDEX/MATCH · Multi-condition top-N</t>
        </is>
      </c>
    </row>
    <row r="4" ht="24" customHeight="1" s="56">
      <c r="A4" s="62" t="inlineStr">
        <is>
          <t>Q#</t>
        </is>
      </c>
      <c r="B4" s="62" t="inlineStr">
        <is>
          <t>Question</t>
        </is>
      </c>
      <c r="C4" s="62" t="inlineStr">
        <is>
          <t>Marks</t>
        </is>
      </c>
      <c r="D4" s="62" t="inlineStr">
        <is>
          <t>Hint</t>
        </is>
      </c>
      <c r="E4" s="62" t="inlineStr">
        <is>
          <t>Your Answer</t>
        </is>
      </c>
      <c r="F4" s="62" t="inlineStr">
        <is>
          <t>Format</t>
        </is>
      </c>
    </row>
    <row r="5" ht="42" customHeight="1" s="56">
      <c r="A5" s="93" t="inlineStr">
        <is>
          <t>Q5.1</t>
        </is>
      </c>
      <c r="B5" s="94" t="inlineStr">
        <is>
          <t>Rank all sales reps by total revenue (highest = rank 1). Who (name) is at RANK #7?</t>
        </is>
      </c>
      <c r="C5" s="95" t="n">
        <v>2</v>
      </c>
      <c r="D5" s="96" t="inlineStr">
        <is>
          <t>Per-rep totals, then use RANK.EQ, or sort. Return the rep_name at position 7.</t>
        </is>
      </c>
      <c r="E5" s="100" t="inlineStr">
        <is>
          <t>Amit Singh</t>
        </is>
      </c>
      <c r="F5" s="98" t="inlineStr">
        <is>
          <t>Text</t>
        </is>
      </c>
    </row>
    <row r="6" ht="42" customHeight="1" s="56">
      <c r="A6" s="93" t="inlineStr">
        <is>
          <t>Q5.2</t>
        </is>
      </c>
      <c r="B6" s="94" t="inlineStr">
        <is>
          <t>What is the CUMULATIVE revenue from Jan 2024 through the end of Aug 2024? (Sum of final_amount where order_date &lt;= 31-Aug-2024.)</t>
        </is>
      </c>
      <c r="C6" s="95" t="n">
        <v>2</v>
      </c>
      <c r="D6" s="96" t="inlineStr">
        <is>
          <t>SUMIFS with date &lt;=.</t>
        </is>
      </c>
      <c r="E6" s="112" t="n">
        <v>18050689.6</v>
      </c>
      <c r="F6" s="98" t="inlineStr">
        <is>
          <t>Currency</t>
        </is>
      </c>
    </row>
    <row r="7" ht="42" customHeight="1" s="56">
      <c r="A7" s="93" t="inlineStr">
        <is>
          <t>Q5.3</t>
        </is>
      </c>
      <c r="B7" s="94" t="inlineStr">
        <is>
          <t>Among orders where the sales rep is in the WEST region: which product (by name) has the 2nd highest total revenue?</t>
        </is>
      </c>
      <c r="C7" s="95" t="n">
        <v>3</v>
      </c>
      <c r="D7" s="96" t="inlineStr">
        <is>
          <t>Helper: sales_region on orders. Filter/pivot to West, sum by product, rank, get #2, VLOOKUP product name.</t>
        </is>
      </c>
      <c r="E7" s="100" t="inlineStr">
        <is>
          <t>Smart Watch</t>
        </is>
      </c>
      <c r="F7" s="98" t="inlineStr">
        <is>
          <t>Text</t>
        </is>
      </c>
    </row>
    <row r="8" ht="42" customHeight="1" s="56">
      <c r="A8" s="93" t="inlineStr">
        <is>
          <t>Q5.4</t>
        </is>
      </c>
      <c r="B8" s="94" t="inlineStr">
        <is>
          <t>Concatenate the names of the top 5 reps by revenue into a single cell, separated by " | " (space-pipe-space).</t>
        </is>
      </c>
      <c r="C8" s="95" t="n">
        <v>2</v>
      </c>
      <c r="D8" s="96" t="inlineStr">
        <is>
          <t>TEXTJOIN with delimiter " | ". Combine with LARGE to pull top 5.</t>
        </is>
      </c>
      <c r="E8" s="100" t="inlineStr">
        <is>
          <t>Neha Desai | Shalini Patel | Deepak Shah | Nisha Menon | Arun Iyer</t>
        </is>
      </c>
      <c r="F8" s="98" t="inlineStr">
        <is>
          <t>Text</t>
        </is>
      </c>
    </row>
    <row r="9" ht="42" customHeight="1" s="56">
      <c r="A9" s="93" t="inlineStr">
        <is>
          <t>Q5.5</t>
        </is>
      </c>
      <c r="B9" s="94" t="inlineStr">
        <is>
          <t>What is the HIGHEST single order value (final_amount) where ship_city = "Bengaluru" AND the product's category = "Grocery"?</t>
        </is>
      </c>
      <c r="C9" s="95" t="n">
        <v>1</v>
      </c>
      <c r="D9" s="96" t="inlineStr">
        <is>
          <t>MAXIFS with a category helper column, or nested MAX(IF()).</t>
        </is>
      </c>
      <c r="E9" s="112" t="n">
        <v>22134</v>
      </c>
      <c r="F9" s="98" t="inlineStr">
        <is>
          <t>Currency</t>
        </is>
      </c>
    </row>
  </sheetData>
  <mergeCells count="2">
    <mergeCell ref="A2:F2"/>
    <mergeCell ref="A1:F1"/>
  </mergeCells>
  <printOptions horizontalCentered="0" verticalCentered="0" headings="0" gridLines="0" gridLinesSet="1"/>
  <pageMargins left="0.4" right="0.4" top="0.4" bottom="0.4" header="0.511811023622047" footer="0.511811023622047"/>
  <pageSetup orientation="landscape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Y200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4" customWidth="1" style="55" min="1" max="1"/>
    <col width="13" customWidth="1" style="55" min="2" max="2"/>
    <col width="14" customWidth="1" style="55" min="3" max="5"/>
    <col width="10" customWidth="1" style="55" min="6" max="6"/>
    <col width="12" customWidth="1" style="55" min="7" max="8"/>
    <col width="14" customWidth="1" style="55" min="9" max="9"/>
    <col width="15" customWidth="1" style="55" min="10" max="10"/>
    <col width="12" customWidth="1" style="55" min="11" max="11"/>
    <col width="18" customWidth="1" style="55" min="12" max="13"/>
    <col width="14" customWidth="1" style="55" min="14" max="14"/>
    <col width="12" customWidth="1" style="55" min="15" max="15"/>
    <col width="14" customWidth="1" style="55" min="16" max="18"/>
    <col width="12" customWidth="1" style="55" min="19" max="19"/>
    <col width="20" customWidth="1" style="55" min="21" max="21"/>
    <col width="18" customWidth="1" style="55" min="22" max="22"/>
    <col width="20" customWidth="1" style="55" min="23" max="23"/>
  </cols>
  <sheetData>
    <row r="1" ht="15" customHeight="1" s="56">
      <c r="A1" s="101" t="inlineStr">
        <is>
          <t>order_id</t>
        </is>
      </c>
      <c r="B1" s="101" t="inlineStr">
        <is>
          <t>order_date</t>
        </is>
      </c>
      <c r="C1" s="101" t="inlineStr">
        <is>
          <t>customer_id</t>
        </is>
      </c>
      <c r="D1" s="101" t="inlineStr">
        <is>
          <t>product_id</t>
        </is>
      </c>
      <c r="E1" s="101" t="inlineStr">
        <is>
          <t>sales_rep_id</t>
        </is>
      </c>
      <c r="F1" s="101" t="inlineStr">
        <is>
          <t>quantity</t>
        </is>
      </c>
      <c r="G1" s="101" t="inlineStr">
        <is>
          <t>unit_price</t>
        </is>
      </c>
      <c r="H1" s="101" t="inlineStr">
        <is>
          <t>discount_pct</t>
        </is>
      </c>
      <c r="I1" s="101" t="inlineStr">
        <is>
          <t>final_amount</t>
        </is>
      </c>
      <c r="J1" s="101" t="inlineStr">
        <is>
          <t>payment_status</t>
        </is>
      </c>
      <c r="K1" s="101" t="inlineStr">
        <is>
          <t>ship_city</t>
        </is>
      </c>
      <c r="L1" s="101" t="inlineStr">
        <is>
          <t>product_category</t>
        </is>
      </c>
      <c r="M1" s="101" t="inlineStr">
        <is>
          <t>customer_segment</t>
        </is>
      </c>
      <c r="N1" s="101" t="inlineStr">
        <is>
          <t>sales_region</t>
        </is>
      </c>
      <c r="O1" s="101" t="inlineStr">
        <is>
          <t>unit_cost</t>
        </is>
      </c>
      <c r="P1" s="101" t="inlineStr">
        <is>
          <t>customer_age</t>
        </is>
      </c>
      <c r="Q1" s="101" t="inlineStr">
        <is>
          <t>city_std</t>
        </is>
      </c>
      <c r="R1" s="101" t="inlineStr">
        <is>
          <t>profit_margin</t>
        </is>
      </c>
      <c r="S1" s="101" t="inlineStr">
        <is>
          <t>is_active</t>
        </is>
      </c>
      <c r="U1" s="102" t="inlineStr">
        <is>
          <t>customer_name_trimmed</t>
        </is>
      </c>
      <c r="V1" s="102" t="inlineStr">
        <is>
          <t>customer_city_std</t>
        </is>
      </c>
      <c r="W1" s="102" t="inlineStr">
        <is>
          <t>has_name_whitespace</t>
        </is>
      </c>
      <c r="Y1" s="55" t="inlineStr">
        <is>
          <t>Supporting calculations</t>
        </is>
      </c>
    </row>
    <row r="2" ht="189.55" customHeight="1" s="56">
      <c r="A2" s="55">
        <f>Orders!A2</f>
        <v/>
      </c>
      <c r="B2" s="103">
        <f>Orders!B2</f>
        <v/>
      </c>
      <c r="C2" s="55">
        <f>Orders!C2</f>
        <v/>
      </c>
      <c r="D2" s="55">
        <f>Orders!D2</f>
        <v/>
      </c>
      <c r="E2" s="55">
        <f>Orders!E2</f>
        <v/>
      </c>
      <c r="F2" s="55">
        <f>Orders!F2</f>
        <v/>
      </c>
      <c r="G2" s="55">
        <f>Orders!G2</f>
        <v/>
      </c>
      <c r="H2" s="55">
        <f>Orders!H2</f>
        <v/>
      </c>
      <c r="I2" s="55">
        <f>Orders!I2</f>
        <v/>
      </c>
      <c r="J2" s="55">
        <f>Orders!J2</f>
        <v/>
      </c>
      <c r="K2" s="55">
        <f>Orders!K2</f>
        <v/>
      </c>
      <c r="L2" s="55">
        <f>VLOOKUP(D2,Products!$A$2:$F$61,3,FALSE())</f>
        <v/>
      </c>
      <c r="M2" s="55">
        <f>VLOOKUP(C2,Customers!$A$2:$F$301,5,FALSE())</f>
        <v/>
      </c>
      <c r="N2" s="55">
        <f>VLOOKUP(E2,Sales_Reps!$A$2:$E$31,3,FALSE())</f>
        <v/>
      </c>
      <c r="O2" s="55">
        <f>VLOOKUP(D2,Products!$A$2:$F$61,4,FALSE())</f>
        <v/>
      </c>
      <c r="P2" s="55">
        <f>VLOOKUP(C2,Customers!$A$2:$F$301,3,FALSE())</f>
        <v/>
      </c>
      <c r="Q2" s="55">
        <f>UPPER(TRIM(K2))</f>
        <v/>
      </c>
      <c r="R2" s="55">
        <f>(G2-O2)/G2</f>
        <v/>
      </c>
      <c r="S2" s="55">
        <f>VLOOKUP(D2,Products!$A$2:$F$61,6,FALSE())</f>
        <v/>
      </c>
      <c r="U2" s="55">
        <f>TRIM(Customers!B2)</f>
        <v/>
      </c>
      <c r="V2" s="55">
        <f>UPPER(TRIM(Customers!D2))</f>
        <v/>
      </c>
      <c r="W2" s="55">
        <f>LEN(Customers!B2)&lt;&gt;LEN(TRIM(Customers!B2))</f>
        <v/>
      </c>
      <c r="Y2" s="104" t="inlineStr">
        <is>
          <t>The original DATA sheets were not modified. Helper and pivot sheets were added only for analysis/support.</t>
        </is>
      </c>
    </row>
    <row r="3" ht="15" customHeight="1" s="56">
      <c r="A3" s="55">
        <f>Orders!A3</f>
        <v/>
      </c>
      <c r="B3" s="103">
        <f>Orders!B3</f>
        <v/>
      </c>
      <c r="C3" s="55">
        <f>Orders!C3</f>
        <v/>
      </c>
      <c r="D3" s="55">
        <f>Orders!D3</f>
        <v/>
      </c>
      <c r="E3" s="55">
        <f>Orders!E3</f>
        <v/>
      </c>
      <c r="F3" s="55">
        <f>Orders!F3</f>
        <v/>
      </c>
      <c r="G3" s="55">
        <f>Orders!G3</f>
        <v/>
      </c>
      <c r="H3" s="55">
        <f>Orders!H3</f>
        <v/>
      </c>
      <c r="I3" s="55">
        <f>Orders!I3</f>
        <v/>
      </c>
      <c r="J3" s="55">
        <f>Orders!J3</f>
        <v/>
      </c>
      <c r="K3" s="55">
        <f>Orders!K3</f>
        <v/>
      </c>
      <c r="L3" s="55">
        <f>VLOOKUP(D3,Products!$A$2:$F$61,3,FALSE())</f>
        <v/>
      </c>
      <c r="M3" s="55">
        <f>VLOOKUP(C3,Customers!$A$2:$F$301,5,FALSE())</f>
        <v/>
      </c>
      <c r="N3" s="55">
        <f>VLOOKUP(E3,Sales_Reps!$A$2:$E$31,3,FALSE())</f>
        <v/>
      </c>
      <c r="O3" s="55">
        <f>VLOOKUP(D3,Products!$A$2:$F$61,4,FALSE())</f>
        <v/>
      </c>
      <c r="P3" s="55">
        <f>VLOOKUP(C3,Customers!$A$2:$F$301,3,FALSE())</f>
        <v/>
      </c>
      <c r="Q3" s="55">
        <f>UPPER(TRIM(K3))</f>
        <v/>
      </c>
      <c r="R3" s="55">
        <f>(G3-O3)/G3</f>
        <v/>
      </c>
      <c r="S3" s="55">
        <f>VLOOKUP(D3,Products!$A$2:$F$61,6,FALSE())</f>
        <v/>
      </c>
      <c r="U3" s="55">
        <f>TRIM(Customers!B3)</f>
        <v/>
      </c>
      <c r="V3" s="55">
        <f>UPPER(TRIM(Customers!D3))</f>
        <v/>
      </c>
      <c r="W3" s="55">
        <f>LEN(Customers!B3)&lt;&gt;LEN(TRIM(Customers!B3))</f>
        <v/>
      </c>
    </row>
    <row r="4" ht="15" customHeight="1" s="56">
      <c r="A4" s="55">
        <f>Orders!A4</f>
        <v/>
      </c>
      <c r="B4" s="103">
        <f>Orders!B4</f>
        <v/>
      </c>
      <c r="C4" s="55">
        <f>Orders!C4</f>
        <v/>
      </c>
      <c r="D4" s="55">
        <f>Orders!D4</f>
        <v/>
      </c>
      <c r="E4" s="55">
        <f>Orders!E4</f>
        <v/>
      </c>
      <c r="F4" s="55">
        <f>Orders!F4</f>
        <v/>
      </c>
      <c r="G4" s="55">
        <f>Orders!G4</f>
        <v/>
      </c>
      <c r="H4" s="55">
        <f>Orders!H4</f>
        <v/>
      </c>
      <c r="I4" s="55">
        <f>Orders!I4</f>
        <v/>
      </c>
      <c r="J4" s="55">
        <f>Orders!J4</f>
        <v/>
      </c>
      <c r="K4" s="55">
        <f>Orders!K4</f>
        <v/>
      </c>
      <c r="L4" s="55">
        <f>VLOOKUP(D4,Products!$A$2:$F$61,3,FALSE())</f>
        <v/>
      </c>
      <c r="M4" s="55">
        <f>VLOOKUP(C4,Customers!$A$2:$F$301,5,FALSE())</f>
        <v/>
      </c>
      <c r="N4" s="55">
        <f>VLOOKUP(E4,Sales_Reps!$A$2:$E$31,3,FALSE())</f>
        <v/>
      </c>
      <c r="O4" s="55">
        <f>VLOOKUP(D4,Products!$A$2:$F$61,4,FALSE())</f>
        <v/>
      </c>
      <c r="P4" s="55">
        <f>VLOOKUP(C4,Customers!$A$2:$F$301,3,FALSE())</f>
        <v/>
      </c>
      <c r="Q4" s="55">
        <f>UPPER(TRIM(K4))</f>
        <v/>
      </c>
      <c r="R4" s="55">
        <f>(G4-O4)/G4</f>
        <v/>
      </c>
      <c r="S4" s="55">
        <f>VLOOKUP(D4,Products!$A$2:$F$61,6,FALSE())</f>
        <v/>
      </c>
      <c r="U4" s="55">
        <f>TRIM(Customers!B4)</f>
        <v/>
      </c>
      <c r="V4" s="55">
        <f>UPPER(TRIM(Customers!D4))</f>
        <v/>
      </c>
      <c r="W4" s="55">
        <f>LEN(Customers!B4)&lt;&gt;LEN(TRIM(Customers!B4))</f>
        <v/>
      </c>
    </row>
    <row r="5" ht="15" customHeight="1" s="56">
      <c r="A5" s="55">
        <f>Orders!A5</f>
        <v/>
      </c>
      <c r="B5" s="103">
        <f>Orders!B5</f>
        <v/>
      </c>
      <c r="C5" s="55">
        <f>Orders!C5</f>
        <v/>
      </c>
      <c r="D5" s="55">
        <f>Orders!D5</f>
        <v/>
      </c>
      <c r="E5" s="55">
        <f>Orders!E5</f>
        <v/>
      </c>
      <c r="F5" s="55">
        <f>Orders!F5</f>
        <v/>
      </c>
      <c r="G5" s="55">
        <f>Orders!G5</f>
        <v/>
      </c>
      <c r="H5" s="55">
        <f>Orders!H5</f>
        <v/>
      </c>
      <c r="I5" s="55">
        <f>Orders!I5</f>
        <v/>
      </c>
      <c r="J5" s="55">
        <f>Orders!J5</f>
        <v/>
      </c>
      <c r="K5" s="55">
        <f>Orders!K5</f>
        <v/>
      </c>
      <c r="L5" s="55">
        <f>VLOOKUP(D5,Products!$A$2:$F$61,3,FALSE())</f>
        <v/>
      </c>
      <c r="M5" s="55">
        <f>VLOOKUP(C5,Customers!$A$2:$F$301,5,FALSE())</f>
        <v/>
      </c>
      <c r="N5" s="55">
        <f>VLOOKUP(E5,Sales_Reps!$A$2:$E$31,3,FALSE())</f>
        <v/>
      </c>
      <c r="O5" s="55">
        <f>VLOOKUP(D5,Products!$A$2:$F$61,4,FALSE())</f>
        <v/>
      </c>
      <c r="P5" s="55">
        <f>VLOOKUP(C5,Customers!$A$2:$F$301,3,FALSE())</f>
        <v/>
      </c>
      <c r="Q5" s="55">
        <f>UPPER(TRIM(K5))</f>
        <v/>
      </c>
      <c r="R5" s="55">
        <f>(G5-O5)/G5</f>
        <v/>
      </c>
      <c r="S5" s="55">
        <f>VLOOKUP(D5,Products!$A$2:$F$61,6,FALSE())</f>
        <v/>
      </c>
      <c r="U5" s="55">
        <f>TRIM(Customers!B5)</f>
        <v/>
      </c>
      <c r="V5" s="55">
        <f>UPPER(TRIM(Customers!D5))</f>
        <v/>
      </c>
      <c r="W5" s="55">
        <f>LEN(Customers!B5)&lt;&gt;LEN(TRIM(Customers!B5))</f>
        <v/>
      </c>
    </row>
    <row r="6" ht="15" customHeight="1" s="56">
      <c r="A6" s="55">
        <f>Orders!A6</f>
        <v/>
      </c>
      <c r="B6" s="103">
        <f>Orders!B6</f>
        <v/>
      </c>
      <c r="C6" s="55">
        <f>Orders!C6</f>
        <v/>
      </c>
      <c r="D6" s="55">
        <f>Orders!D6</f>
        <v/>
      </c>
      <c r="E6" s="55">
        <f>Orders!E6</f>
        <v/>
      </c>
      <c r="F6" s="55">
        <f>Orders!F6</f>
        <v/>
      </c>
      <c r="G6" s="55">
        <f>Orders!G6</f>
        <v/>
      </c>
      <c r="H6" s="55">
        <f>Orders!H6</f>
        <v/>
      </c>
      <c r="I6" s="55">
        <f>Orders!I6</f>
        <v/>
      </c>
      <c r="J6" s="55">
        <f>Orders!J6</f>
        <v/>
      </c>
      <c r="K6" s="55">
        <f>Orders!K6</f>
        <v/>
      </c>
      <c r="L6" s="55">
        <f>VLOOKUP(D6,Products!$A$2:$F$61,3,FALSE())</f>
        <v/>
      </c>
      <c r="M6" s="55">
        <f>VLOOKUP(C6,Customers!$A$2:$F$301,5,FALSE())</f>
        <v/>
      </c>
      <c r="N6" s="55">
        <f>VLOOKUP(E6,Sales_Reps!$A$2:$E$31,3,FALSE())</f>
        <v/>
      </c>
      <c r="O6" s="55">
        <f>VLOOKUP(D6,Products!$A$2:$F$61,4,FALSE())</f>
        <v/>
      </c>
      <c r="P6" s="55">
        <f>VLOOKUP(C6,Customers!$A$2:$F$301,3,FALSE())</f>
        <v/>
      </c>
      <c r="Q6" s="55">
        <f>UPPER(TRIM(K6))</f>
        <v/>
      </c>
      <c r="R6" s="55">
        <f>(G6-O6)/G6</f>
        <v/>
      </c>
      <c r="S6" s="55">
        <f>VLOOKUP(D6,Products!$A$2:$F$61,6,FALSE())</f>
        <v/>
      </c>
      <c r="U6" s="55">
        <f>TRIM(Customers!B6)</f>
        <v/>
      </c>
      <c r="V6" s="55">
        <f>UPPER(TRIM(Customers!D6))</f>
        <v/>
      </c>
      <c r="W6" s="55">
        <f>LEN(Customers!B6)&lt;&gt;LEN(TRIM(Customers!B6))</f>
        <v/>
      </c>
    </row>
    <row r="7" ht="15" customHeight="1" s="56">
      <c r="A7" s="55">
        <f>Orders!A7</f>
        <v/>
      </c>
      <c r="B7" s="103">
        <f>Orders!B7</f>
        <v/>
      </c>
      <c r="C7" s="55">
        <f>Orders!C7</f>
        <v/>
      </c>
      <c r="D7" s="55">
        <f>Orders!D7</f>
        <v/>
      </c>
      <c r="E7" s="55">
        <f>Orders!E7</f>
        <v/>
      </c>
      <c r="F7" s="55">
        <f>Orders!F7</f>
        <v/>
      </c>
      <c r="G7" s="55">
        <f>Orders!G7</f>
        <v/>
      </c>
      <c r="H7" s="55">
        <f>Orders!H7</f>
        <v/>
      </c>
      <c r="I7" s="55">
        <f>Orders!I7</f>
        <v/>
      </c>
      <c r="J7" s="55">
        <f>Orders!J7</f>
        <v/>
      </c>
      <c r="K7" s="55">
        <f>Orders!K7</f>
        <v/>
      </c>
      <c r="L7" s="55">
        <f>VLOOKUP(D7,Products!$A$2:$F$61,3,FALSE())</f>
        <v/>
      </c>
      <c r="M7" s="55">
        <f>VLOOKUP(C7,Customers!$A$2:$F$301,5,FALSE())</f>
        <v/>
      </c>
      <c r="N7" s="55">
        <f>VLOOKUP(E7,Sales_Reps!$A$2:$E$31,3,FALSE())</f>
        <v/>
      </c>
      <c r="O7" s="55">
        <f>VLOOKUP(D7,Products!$A$2:$F$61,4,FALSE())</f>
        <v/>
      </c>
      <c r="P7" s="55">
        <f>VLOOKUP(C7,Customers!$A$2:$F$301,3,FALSE())</f>
        <v/>
      </c>
      <c r="Q7" s="55">
        <f>UPPER(TRIM(K7))</f>
        <v/>
      </c>
      <c r="R7" s="55">
        <f>(G7-O7)/G7</f>
        <v/>
      </c>
      <c r="S7" s="55">
        <f>VLOOKUP(D7,Products!$A$2:$F$61,6,FALSE())</f>
        <v/>
      </c>
      <c r="U7" s="55">
        <f>TRIM(Customers!B7)</f>
        <v/>
      </c>
      <c r="V7" s="55">
        <f>UPPER(TRIM(Customers!D7))</f>
        <v/>
      </c>
      <c r="W7" s="55">
        <f>LEN(Customers!B7)&lt;&gt;LEN(TRIM(Customers!B7))</f>
        <v/>
      </c>
    </row>
    <row r="8" ht="15" customHeight="1" s="56">
      <c r="A8" s="55">
        <f>Orders!A8</f>
        <v/>
      </c>
      <c r="B8" s="103">
        <f>Orders!B8</f>
        <v/>
      </c>
      <c r="C8" s="55">
        <f>Orders!C8</f>
        <v/>
      </c>
      <c r="D8" s="55">
        <f>Orders!D8</f>
        <v/>
      </c>
      <c r="E8" s="55">
        <f>Orders!E8</f>
        <v/>
      </c>
      <c r="F8" s="55">
        <f>Orders!F8</f>
        <v/>
      </c>
      <c r="G8" s="55">
        <f>Orders!G8</f>
        <v/>
      </c>
      <c r="H8" s="55">
        <f>Orders!H8</f>
        <v/>
      </c>
      <c r="I8" s="55">
        <f>Orders!I8</f>
        <v/>
      </c>
      <c r="J8" s="55">
        <f>Orders!J8</f>
        <v/>
      </c>
      <c r="K8" s="55">
        <f>Orders!K8</f>
        <v/>
      </c>
      <c r="L8" s="55">
        <f>VLOOKUP(D8,Products!$A$2:$F$61,3,FALSE())</f>
        <v/>
      </c>
      <c r="M8" s="55">
        <f>VLOOKUP(C8,Customers!$A$2:$F$301,5,FALSE())</f>
        <v/>
      </c>
      <c r="N8" s="55">
        <f>VLOOKUP(E8,Sales_Reps!$A$2:$E$31,3,FALSE())</f>
        <v/>
      </c>
      <c r="O8" s="55">
        <f>VLOOKUP(D8,Products!$A$2:$F$61,4,FALSE())</f>
        <v/>
      </c>
      <c r="P8" s="55">
        <f>VLOOKUP(C8,Customers!$A$2:$F$301,3,FALSE())</f>
        <v/>
      </c>
      <c r="Q8" s="55">
        <f>UPPER(TRIM(K8))</f>
        <v/>
      </c>
      <c r="R8" s="55">
        <f>(G8-O8)/G8</f>
        <v/>
      </c>
      <c r="S8" s="55">
        <f>VLOOKUP(D8,Products!$A$2:$F$61,6,FALSE())</f>
        <v/>
      </c>
      <c r="U8" s="55">
        <f>TRIM(Customers!B8)</f>
        <v/>
      </c>
      <c r="V8" s="55">
        <f>UPPER(TRIM(Customers!D8))</f>
        <v/>
      </c>
      <c r="W8" s="55">
        <f>LEN(Customers!B8)&lt;&gt;LEN(TRIM(Customers!B8))</f>
        <v/>
      </c>
    </row>
    <row r="9" ht="15" customHeight="1" s="56">
      <c r="A9" s="55">
        <f>Orders!A9</f>
        <v/>
      </c>
      <c r="B9" s="103">
        <f>Orders!B9</f>
        <v/>
      </c>
      <c r="C9" s="55">
        <f>Orders!C9</f>
        <v/>
      </c>
      <c r="D9" s="55">
        <f>Orders!D9</f>
        <v/>
      </c>
      <c r="E9" s="55">
        <f>Orders!E9</f>
        <v/>
      </c>
      <c r="F9" s="55">
        <f>Orders!F9</f>
        <v/>
      </c>
      <c r="G9" s="55">
        <f>Orders!G9</f>
        <v/>
      </c>
      <c r="H9" s="55">
        <f>Orders!H9</f>
        <v/>
      </c>
      <c r="I9" s="55">
        <f>Orders!I9</f>
        <v/>
      </c>
      <c r="J9" s="55">
        <f>Orders!J9</f>
        <v/>
      </c>
      <c r="K9" s="55">
        <f>Orders!K9</f>
        <v/>
      </c>
      <c r="L9" s="55">
        <f>VLOOKUP(D9,Products!$A$2:$F$61,3,FALSE())</f>
        <v/>
      </c>
      <c r="M9" s="55">
        <f>VLOOKUP(C9,Customers!$A$2:$F$301,5,FALSE())</f>
        <v/>
      </c>
      <c r="N9" s="55">
        <f>VLOOKUP(E9,Sales_Reps!$A$2:$E$31,3,FALSE())</f>
        <v/>
      </c>
      <c r="O9" s="55">
        <f>VLOOKUP(D9,Products!$A$2:$F$61,4,FALSE())</f>
        <v/>
      </c>
      <c r="P9" s="55">
        <f>VLOOKUP(C9,Customers!$A$2:$F$301,3,FALSE())</f>
        <v/>
      </c>
      <c r="Q9" s="55">
        <f>UPPER(TRIM(K9))</f>
        <v/>
      </c>
      <c r="R9" s="55">
        <f>(G9-O9)/G9</f>
        <v/>
      </c>
      <c r="S9" s="55">
        <f>VLOOKUP(D9,Products!$A$2:$F$61,6,FALSE())</f>
        <v/>
      </c>
      <c r="U9" s="55">
        <f>TRIM(Customers!B9)</f>
        <v/>
      </c>
      <c r="V9" s="55">
        <f>UPPER(TRIM(Customers!D9))</f>
        <v/>
      </c>
      <c r="W9" s="55">
        <f>LEN(Customers!B9)&lt;&gt;LEN(TRIM(Customers!B9))</f>
        <v/>
      </c>
    </row>
    <row r="10" ht="15" customHeight="1" s="56">
      <c r="A10" s="55">
        <f>Orders!A10</f>
        <v/>
      </c>
      <c r="B10" s="103">
        <f>Orders!B10</f>
        <v/>
      </c>
      <c r="C10" s="55">
        <f>Orders!C10</f>
        <v/>
      </c>
      <c r="D10" s="55">
        <f>Orders!D10</f>
        <v/>
      </c>
      <c r="E10" s="55">
        <f>Orders!E10</f>
        <v/>
      </c>
      <c r="F10" s="55">
        <f>Orders!F10</f>
        <v/>
      </c>
      <c r="G10" s="55">
        <f>Orders!G10</f>
        <v/>
      </c>
      <c r="H10" s="55">
        <f>Orders!H10</f>
        <v/>
      </c>
      <c r="I10" s="55">
        <f>Orders!I10</f>
        <v/>
      </c>
      <c r="J10" s="55">
        <f>Orders!J10</f>
        <v/>
      </c>
      <c r="K10" s="55">
        <f>Orders!K10</f>
        <v/>
      </c>
      <c r="L10" s="55">
        <f>VLOOKUP(D10,Products!$A$2:$F$61,3,FALSE())</f>
        <v/>
      </c>
      <c r="M10" s="55">
        <f>VLOOKUP(C10,Customers!$A$2:$F$301,5,FALSE())</f>
        <v/>
      </c>
      <c r="N10" s="55">
        <f>VLOOKUP(E10,Sales_Reps!$A$2:$E$31,3,FALSE())</f>
        <v/>
      </c>
      <c r="O10" s="55">
        <f>VLOOKUP(D10,Products!$A$2:$F$61,4,FALSE())</f>
        <v/>
      </c>
      <c r="P10" s="55">
        <f>VLOOKUP(C10,Customers!$A$2:$F$301,3,FALSE())</f>
        <v/>
      </c>
      <c r="Q10" s="55">
        <f>UPPER(TRIM(K10))</f>
        <v/>
      </c>
      <c r="R10" s="55">
        <f>(G10-O10)/G10</f>
        <v/>
      </c>
      <c r="S10" s="55">
        <f>VLOOKUP(D10,Products!$A$2:$F$61,6,FALSE())</f>
        <v/>
      </c>
      <c r="U10" s="55">
        <f>TRIM(Customers!B10)</f>
        <v/>
      </c>
      <c r="V10" s="55">
        <f>UPPER(TRIM(Customers!D10))</f>
        <v/>
      </c>
      <c r="W10" s="55">
        <f>LEN(Customers!B10)&lt;&gt;LEN(TRIM(Customers!B10))</f>
        <v/>
      </c>
    </row>
    <row r="11" ht="15" customHeight="1" s="56">
      <c r="A11" s="55">
        <f>Orders!A11</f>
        <v/>
      </c>
      <c r="B11" s="103">
        <f>Orders!B11</f>
        <v/>
      </c>
      <c r="C11" s="55">
        <f>Orders!C11</f>
        <v/>
      </c>
      <c r="D11" s="55">
        <f>Orders!D11</f>
        <v/>
      </c>
      <c r="E11" s="55">
        <f>Orders!E11</f>
        <v/>
      </c>
      <c r="F11" s="55">
        <f>Orders!F11</f>
        <v/>
      </c>
      <c r="G11" s="55">
        <f>Orders!G11</f>
        <v/>
      </c>
      <c r="H11" s="55">
        <f>Orders!H11</f>
        <v/>
      </c>
      <c r="I11" s="55">
        <f>Orders!I11</f>
        <v/>
      </c>
      <c r="J11" s="55">
        <f>Orders!J11</f>
        <v/>
      </c>
      <c r="K11" s="55">
        <f>Orders!K11</f>
        <v/>
      </c>
      <c r="L11" s="55">
        <f>VLOOKUP(D11,Products!$A$2:$F$61,3,FALSE())</f>
        <v/>
      </c>
      <c r="M11" s="55">
        <f>VLOOKUP(C11,Customers!$A$2:$F$301,5,FALSE())</f>
        <v/>
      </c>
      <c r="N11" s="55">
        <f>VLOOKUP(E11,Sales_Reps!$A$2:$E$31,3,FALSE())</f>
        <v/>
      </c>
      <c r="O11" s="55">
        <f>VLOOKUP(D11,Products!$A$2:$F$61,4,FALSE())</f>
        <v/>
      </c>
      <c r="P11" s="55">
        <f>VLOOKUP(C11,Customers!$A$2:$F$301,3,FALSE())</f>
        <v/>
      </c>
      <c r="Q11" s="55">
        <f>UPPER(TRIM(K11))</f>
        <v/>
      </c>
      <c r="R11" s="55">
        <f>(G11-O11)/G11</f>
        <v/>
      </c>
      <c r="S11" s="55">
        <f>VLOOKUP(D11,Products!$A$2:$F$61,6,FALSE())</f>
        <v/>
      </c>
      <c r="U11" s="55">
        <f>TRIM(Customers!B11)</f>
        <v/>
      </c>
      <c r="V11" s="55">
        <f>UPPER(TRIM(Customers!D11))</f>
        <v/>
      </c>
      <c r="W11" s="55">
        <f>LEN(Customers!B11)&lt;&gt;LEN(TRIM(Customers!B11))</f>
        <v/>
      </c>
    </row>
    <row r="12" ht="15" customHeight="1" s="56">
      <c r="A12" s="55">
        <f>Orders!A12</f>
        <v/>
      </c>
      <c r="B12" s="103">
        <f>Orders!B12</f>
        <v/>
      </c>
      <c r="C12" s="55">
        <f>Orders!C12</f>
        <v/>
      </c>
      <c r="D12" s="55">
        <f>Orders!D12</f>
        <v/>
      </c>
      <c r="E12" s="55">
        <f>Orders!E12</f>
        <v/>
      </c>
      <c r="F12" s="55">
        <f>Orders!F12</f>
        <v/>
      </c>
      <c r="G12" s="55">
        <f>Orders!G12</f>
        <v/>
      </c>
      <c r="H12" s="55">
        <f>Orders!H12</f>
        <v/>
      </c>
      <c r="I12" s="55">
        <f>Orders!I12</f>
        <v/>
      </c>
      <c r="J12" s="55">
        <f>Orders!J12</f>
        <v/>
      </c>
      <c r="K12" s="55">
        <f>Orders!K12</f>
        <v/>
      </c>
      <c r="L12" s="55">
        <f>VLOOKUP(D12,Products!$A$2:$F$61,3,FALSE())</f>
        <v/>
      </c>
      <c r="M12" s="55">
        <f>VLOOKUP(C12,Customers!$A$2:$F$301,5,FALSE())</f>
        <v/>
      </c>
      <c r="N12" s="55">
        <f>VLOOKUP(E12,Sales_Reps!$A$2:$E$31,3,FALSE())</f>
        <v/>
      </c>
      <c r="O12" s="55">
        <f>VLOOKUP(D12,Products!$A$2:$F$61,4,FALSE())</f>
        <v/>
      </c>
      <c r="P12" s="55">
        <f>VLOOKUP(C12,Customers!$A$2:$F$301,3,FALSE())</f>
        <v/>
      </c>
      <c r="Q12" s="55">
        <f>UPPER(TRIM(K12))</f>
        <v/>
      </c>
      <c r="R12" s="55">
        <f>(G12-O12)/G12</f>
        <v/>
      </c>
      <c r="S12" s="55">
        <f>VLOOKUP(D12,Products!$A$2:$F$61,6,FALSE())</f>
        <v/>
      </c>
      <c r="U12" s="55">
        <f>TRIM(Customers!B12)</f>
        <v/>
      </c>
      <c r="V12" s="55">
        <f>UPPER(TRIM(Customers!D12))</f>
        <v/>
      </c>
      <c r="W12" s="55">
        <f>LEN(Customers!B12)&lt;&gt;LEN(TRIM(Customers!B12))</f>
        <v/>
      </c>
    </row>
    <row r="13" ht="15" customHeight="1" s="56">
      <c r="A13" s="55">
        <f>Orders!A13</f>
        <v/>
      </c>
      <c r="B13" s="103">
        <f>Orders!B13</f>
        <v/>
      </c>
      <c r="C13" s="55">
        <f>Orders!C13</f>
        <v/>
      </c>
      <c r="D13" s="55">
        <f>Orders!D13</f>
        <v/>
      </c>
      <c r="E13" s="55">
        <f>Orders!E13</f>
        <v/>
      </c>
      <c r="F13" s="55">
        <f>Orders!F13</f>
        <v/>
      </c>
      <c r="G13" s="55">
        <f>Orders!G13</f>
        <v/>
      </c>
      <c r="H13" s="55">
        <f>Orders!H13</f>
        <v/>
      </c>
      <c r="I13" s="55">
        <f>Orders!I13</f>
        <v/>
      </c>
      <c r="J13" s="55">
        <f>Orders!J13</f>
        <v/>
      </c>
      <c r="K13" s="55">
        <f>Orders!K13</f>
        <v/>
      </c>
      <c r="L13" s="55">
        <f>VLOOKUP(D13,Products!$A$2:$F$61,3,FALSE())</f>
        <v/>
      </c>
      <c r="M13" s="55">
        <f>VLOOKUP(C13,Customers!$A$2:$F$301,5,FALSE())</f>
        <v/>
      </c>
      <c r="N13" s="55">
        <f>VLOOKUP(E13,Sales_Reps!$A$2:$E$31,3,FALSE())</f>
        <v/>
      </c>
      <c r="O13" s="55">
        <f>VLOOKUP(D13,Products!$A$2:$F$61,4,FALSE())</f>
        <v/>
      </c>
      <c r="P13" s="55">
        <f>VLOOKUP(C13,Customers!$A$2:$F$301,3,FALSE())</f>
        <v/>
      </c>
      <c r="Q13" s="55">
        <f>UPPER(TRIM(K13))</f>
        <v/>
      </c>
      <c r="R13" s="55">
        <f>(G13-O13)/G13</f>
        <v/>
      </c>
      <c r="S13" s="55">
        <f>VLOOKUP(D13,Products!$A$2:$F$61,6,FALSE())</f>
        <v/>
      </c>
      <c r="U13" s="55">
        <f>TRIM(Customers!B13)</f>
        <v/>
      </c>
      <c r="V13" s="55">
        <f>UPPER(TRIM(Customers!D13))</f>
        <v/>
      </c>
      <c r="W13" s="55">
        <f>LEN(Customers!B13)&lt;&gt;LEN(TRIM(Customers!B13))</f>
        <v/>
      </c>
    </row>
    <row r="14" ht="15" customHeight="1" s="56">
      <c r="A14" s="55">
        <f>Orders!A14</f>
        <v/>
      </c>
      <c r="B14" s="103">
        <f>Orders!B14</f>
        <v/>
      </c>
      <c r="C14" s="55">
        <f>Orders!C14</f>
        <v/>
      </c>
      <c r="D14" s="55">
        <f>Orders!D14</f>
        <v/>
      </c>
      <c r="E14" s="55">
        <f>Orders!E14</f>
        <v/>
      </c>
      <c r="F14" s="55">
        <f>Orders!F14</f>
        <v/>
      </c>
      <c r="G14" s="55">
        <f>Orders!G14</f>
        <v/>
      </c>
      <c r="H14" s="55">
        <f>Orders!H14</f>
        <v/>
      </c>
      <c r="I14" s="55">
        <f>Orders!I14</f>
        <v/>
      </c>
      <c r="J14" s="55">
        <f>Orders!J14</f>
        <v/>
      </c>
      <c r="K14" s="55">
        <f>Orders!K14</f>
        <v/>
      </c>
      <c r="L14" s="55">
        <f>VLOOKUP(D14,Products!$A$2:$F$61,3,FALSE())</f>
        <v/>
      </c>
      <c r="M14" s="55">
        <f>VLOOKUP(C14,Customers!$A$2:$F$301,5,FALSE())</f>
        <v/>
      </c>
      <c r="N14" s="55">
        <f>VLOOKUP(E14,Sales_Reps!$A$2:$E$31,3,FALSE())</f>
        <v/>
      </c>
      <c r="O14" s="55">
        <f>VLOOKUP(D14,Products!$A$2:$F$61,4,FALSE())</f>
        <v/>
      </c>
      <c r="P14" s="55">
        <f>VLOOKUP(C14,Customers!$A$2:$F$301,3,FALSE())</f>
        <v/>
      </c>
      <c r="Q14" s="55">
        <f>UPPER(TRIM(K14))</f>
        <v/>
      </c>
      <c r="R14" s="55">
        <f>(G14-O14)/G14</f>
        <v/>
      </c>
      <c r="S14" s="55">
        <f>VLOOKUP(D14,Products!$A$2:$F$61,6,FALSE())</f>
        <v/>
      </c>
      <c r="U14" s="55">
        <f>TRIM(Customers!B14)</f>
        <v/>
      </c>
      <c r="V14" s="55">
        <f>UPPER(TRIM(Customers!D14))</f>
        <v/>
      </c>
      <c r="W14" s="55">
        <f>LEN(Customers!B14)&lt;&gt;LEN(TRIM(Customers!B14))</f>
        <v/>
      </c>
    </row>
    <row r="15" ht="15" customHeight="1" s="56">
      <c r="A15" s="55">
        <f>Orders!A15</f>
        <v/>
      </c>
      <c r="B15" s="103">
        <f>Orders!B15</f>
        <v/>
      </c>
      <c r="C15" s="55">
        <f>Orders!C15</f>
        <v/>
      </c>
      <c r="D15" s="55">
        <f>Orders!D15</f>
        <v/>
      </c>
      <c r="E15" s="55">
        <f>Orders!E15</f>
        <v/>
      </c>
      <c r="F15" s="55">
        <f>Orders!F15</f>
        <v/>
      </c>
      <c r="G15" s="55">
        <f>Orders!G15</f>
        <v/>
      </c>
      <c r="H15" s="55">
        <f>Orders!H15</f>
        <v/>
      </c>
      <c r="I15" s="55">
        <f>Orders!I15</f>
        <v/>
      </c>
      <c r="J15" s="55">
        <f>Orders!J15</f>
        <v/>
      </c>
      <c r="K15" s="55">
        <f>Orders!K15</f>
        <v/>
      </c>
      <c r="L15" s="55">
        <f>VLOOKUP(D15,Products!$A$2:$F$61,3,FALSE())</f>
        <v/>
      </c>
      <c r="M15" s="55">
        <f>VLOOKUP(C15,Customers!$A$2:$F$301,5,FALSE())</f>
        <v/>
      </c>
      <c r="N15" s="55">
        <f>VLOOKUP(E15,Sales_Reps!$A$2:$E$31,3,FALSE())</f>
        <v/>
      </c>
      <c r="O15" s="55">
        <f>VLOOKUP(D15,Products!$A$2:$F$61,4,FALSE())</f>
        <v/>
      </c>
      <c r="P15" s="55">
        <f>VLOOKUP(C15,Customers!$A$2:$F$301,3,FALSE())</f>
        <v/>
      </c>
      <c r="Q15" s="55">
        <f>UPPER(TRIM(K15))</f>
        <v/>
      </c>
      <c r="R15" s="55">
        <f>(G15-O15)/G15</f>
        <v/>
      </c>
      <c r="S15" s="55">
        <f>VLOOKUP(D15,Products!$A$2:$F$61,6,FALSE())</f>
        <v/>
      </c>
      <c r="U15" s="55">
        <f>TRIM(Customers!B15)</f>
        <v/>
      </c>
      <c r="V15" s="55">
        <f>UPPER(TRIM(Customers!D15))</f>
        <v/>
      </c>
      <c r="W15" s="55">
        <f>LEN(Customers!B15)&lt;&gt;LEN(TRIM(Customers!B15))</f>
        <v/>
      </c>
    </row>
    <row r="16" ht="15" customHeight="1" s="56">
      <c r="A16" s="55">
        <f>Orders!A16</f>
        <v/>
      </c>
      <c r="B16" s="103">
        <f>Orders!B16</f>
        <v/>
      </c>
      <c r="C16" s="55">
        <f>Orders!C16</f>
        <v/>
      </c>
      <c r="D16" s="55">
        <f>Orders!D16</f>
        <v/>
      </c>
      <c r="E16" s="55">
        <f>Orders!E16</f>
        <v/>
      </c>
      <c r="F16" s="55">
        <f>Orders!F16</f>
        <v/>
      </c>
      <c r="G16" s="55">
        <f>Orders!G16</f>
        <v/>
      </c>
      <c r="H16" s="55">
        <f>Orders!H16</f>
        <v/>
      </c>
      <c r="I16" s="55">
        <f>Orders!I16</f>
        <v/>
      </c>
      <c r="J16" s="55">
        <f>Orders!J16</f>
        <v/>
      </c>
      <c r="K16" s="55">
        <f>Orders!K16</f>
        <v/>
      </c>
      <c r="L16" s="55">
        <f>VLOOKUP(D16,Products!$A$2:$F$61,3,FALSE())</f>
        <v/>
      </c>
      <c r="M16" s="55">
        <f>VLOOKUP(C16,Customers!$A$2:$F$301,5,FALSE())</f>
        <v/>
      </c>
      <c r="N16" s="55">
        <f>VLOOKUP(E16,Sales_Reps!$A$2:$E$31,3,FALSE())</f>
        <v/>
      </c>
      <c r="O16" s="55">
        <f>VLOOKUP(D16,Products!$A$2:$F$61,4,FALSE())</f>
        <v/>
      </c>
      <c r="P16" s="55">
        <f>VLOOKUP(C16,Customers!$A$2:$F$301,3,FALSE())</f>
        <v/>
      </c>
      <c r="Q16" s="55">
        <f>UPPER(TRIM(K16))</f>
        <v/>
      </c>
      <c r="R16" s="55">
        <f>(G16-O16)/G16</f>
        <v/>
      </c>
      <c r="S16" s="55">
        <f>VLOOKUP(D16,Products!$A$2:$F$61,6,FALSE())</f>
        <v/>
      </c>
      <c r="U16" s="55">
        <f>TRIM(Customers!B16)</f>
        <v/>
      </c>
      <c r="V16" s="55">
        <f>UPPER(TRIM(Customers!D16))</f>
        <v/>
      </c>
      <c r="W16" s="55">
        <f>LEN(Customers!B16)&lt;&gt;LEN(TRIM(Customers!B16))</f>
        <v/>
      </c>
    </row>
    <row r="17" ht="15" customHeight="1" s="56">
      <c r="A17" s="55">
        <f>Orders!A17</f>
        <v/>
      </c>
      <c r="B17" s="103">
        <f>Orders!B17</f>
        <v/>
      </c>
      <c r="C17" s="55">
        <f>Orders!C17</f>
        <v/>
      </c>
      <c r="D17" s="55">
        <f>Orders!D17</f>
        <v/>
      </c>
      <c r="E17" s="55">
        <f>Orders!E17</f>
        <v/>
      </c>
      <c r="F17" s="55">
        <f>Orders!F17</f>
        <v/>
      </c>
      <c r="G17" s="55">
        <f>Orders!G17</f>
        <v/>
      </c>
      <c r="H17" s="55">
        <f>Orders!H17</f>
        <v/>
      </c>
      <c r="I17" s="55">
        <f>Orders!I17</f>
        <v/>
      </c>
      <c r="J17" s="55">
        <f>Orders!J17</f>
        <v/>
      </c>
      <c r="K17" s="55">
        <f>Orders!K17</f>
        <v/>
      </c>
      <c r="L17" s="55">
        <f>VLOOKUP(D17,Products!$A$2:$F$61,3,FALSE())</f>
        <v/>
      </c>
      <c r="M17" s="55">
        <f>VLOOKUP(C17,Customers!$A$2:$F$301,5,FALSE())</f>
        <v/>
      </c>
      <c r="N17" s="55">
        <f>VLOOKUP(E17,Sales_Reps!$A$2:$E$31,3,FALSE())</f>
        <v/>
      </c>
      <c r="O17" s="55">
        <f>VLOOKUP(D17,Products!$A$2:$F$61,4,FALSE())</f>
        <v/>
      </c>
      <c r="P17" s="55">
        <f>VLOOKUP(C17,Customers!$A$2:$F$301,3,FALSE())</f>
        <v/>
      </c>
      <c r="Q17" s="55">
        <f>UPPER(TRIM(K17))</f>
        <v/>
      </c>
      <c r="R17" s="55">
        <f>(G17-O17)/G17</f>
        <v/>
      </c>
      <c r="S17" s="55">
        <f>VLOOKUP(D17,Products!$A$2:$F$61,6,FALSE())</f>
        <v/>
      </c>
      <c r="U17" s="55">
        <f>TRIM(Customers!B17)</f>
        <v/>
      </c>
      <c r="V17" s="55">
        <f>UPPER(TRIM(Customers!D17))</f>
        <v/>
      </c>
      <c r="W17" s="55">
        <f>LEN(Customers!B17)&lt;&gt;LEN(TRIM(Customers!B17))</f>
        <v/>
      </c>
    </row>
    <row r="18" ht="15" customHeight="1" s="56">
      <c r="A18" s="55">
        <f>Orders!A18</f>
        <v/>
      </c>
      <c r="B18" s="103">
        <f>Orders!B18</f>
        <v/>
      </c>
      <c r="C18" s="55">
        <f>Orders!C18</f>
        <v/>
      </c>
      <c r="D18" s="55">
        <f>Orders!D18</f>
        <v/>
      </c>
      <c r="E18" s="55">
        <f>Orders!E18</f>
        <v/>
      </c>
      <c r="F18" s="55">
        <f>Orders!F18</f>
        <v/>
      </c>
      <c r="G18" s="55">
        <f>Orders!G18</f>
        <v/>
      </c>
      <c r="H18" s="55">
        <f>Orders!H18</f>
        <v/>
      </c>
      <c r="I18" s="55">
        <f>Orders!I18</f>
        <v/>
      </c>
      <c r="J18" s="55">
        <f>Orders!J18</f>
        <v/>
      </c>
      <c r="K18" s="55">
        <f>Orders!K18</f>
        <v/>
      </c>
      <c r="L18" s="55">
        <f>VLOOKUP(D18,Products!$A$2:$F$61,3,FALSE())</f>
        <v/>
      </c>
      <c r="M18" s="55">
        <f>VLOOKUP(C18,Customers!$A$2:$F$301,5,FALSE())</f>
        <v/>
      </c>
      <c r="N18" s="55">
        <f>VLOOKUP(E18,Sales_Reps!$A$2:$E$31,3,FALSE())</f>
        <v/>
      </c>
      <c r="O18" s="55">
        <f>VLOOKUP(D18,Products!$A$2:$F$61,4,FALSE())</f>
        <v/>
      </c>
      <c r="P18" s="55">
        <f>VLOOKUP(C18,Customers!$A$2:$F$301,3,FALSE())</f>
        <v/>
      </c>
      <c r="Q18" s="55">
        <f>UPPER(TRIM(K18))</f>
        <v/>
      </c>
      <c r="R18" s="55">
        <f>(G18-O18)/G18</f>
        <v/>
      </c>
      <c r="S18" s="55">
        <f>VLOOKUP(D18,Products!$A$2:$F$61,6,FALSE())</f>
        <v/>
      </c>
      <c r="U18" s="55">
        <f>TRIM(Customers!B18)</f>
        <v/>
      </c>
      <c r="V18" s="55">
        <f>UPPER(TRIM(Customers!D18))</f>
        <v/>
      </c>
      <c r="W18" s="55">
        <f>LEN(Customers!B18)&lt;&gt;LEN(TRIM(Customers!B18))</f>
        <v/>
      </c>
    </row>
    <row r="19" ht="15" customHeight="1" s="56">
      <c r="A19" s="55">
        <f>Orders!A19</f>
        <v/>
      </c>
      <c r="B19" s="103">
        <f>Orders!B19</f>
        <v/>
      </c>
      <c r="C19" s="55">
        <f>Orders!C19</f>
        <v/>
      </c>
      <c r="D19" s="55">
        <f>Orders!D19</f>
        <v/>
      </c>
      <c r="E19" s="55">
        <f>Orders!E19</f>
        <v/>
      </c>
      <c r="F19" s="55">
        <f>Orders!F19</f>
        <v/>
      </c>
      <c r="G19" s="55">
        <f>Orders!G19</f>
        <v/>
      </c>
      <c r="H19" s="55">
        <f>Orders!H19</f>
        <v/>
      </c>
      <c r="I19" s="55">
        <f>Orders!I19</f>
        <v/>
      </c>
      <c r="J19" s="55">
        <f>Orders!J19</f>
        <v/>
      </c>
      <c r="K19" s="55">
        <f>Orders!K19</f>
        <v/>
      </c>
      <c r="L19" s="55">
        <f>VLOOKUP(D19,Products!$A$2:$F$61,3,FALSE())</f>
        <v/>
      </c>
      <c r="M19" s="55">
        <f>VLOOKUP(C19,Customers!$A$2:$F$301,5,FALSE())</f>
        <v/>
      </c>
      <c r="N19" s="55">
        <f>VLOOKUP(E19,Sales_Reps!$A$2:$E$31,3,FALSE())</f>
        <v/>
      </c>
      <c r="O19" s="55">
        <f>VLOOKUP(D19,Products!$A$2:$F$61,4,FALSE())</f>
        <v/>
      </c>
      <c r="P19" s="55">
        <f>VLOOKUP(C19,Customers!$A$2:$F$301,3,FALSE())</f>
        <v/>
      </c>
      <c r="Q19" s="55">
        <f>UPPER(TRIM(K19))</f>
        <v/>
      </c>
      <c r="R19" s="55">
        <f>(G19-O19)/G19</f>
        <v/>
      </c>
      <c r="S19" s="55">
        <f>VLOOKUP(D19,Products!$A$2:$F$61,6,FALSE())</f>
        <v/>
      </c>
      <c r="U19" s="55">
        <f>TRIM(Customers!B19)</f>
        <v/>
      </c>
      <c r="V19" s="55">
        <f>UPPER(TRIM(Customers!D19))</f>
        <v/>
      </c>
      <c r="W19" s="55">
        <f>LEN(Customers!B19)&lt;&gt;LEN(TRIM(Customers!B19))</f>
        <v/>
      </c>
    </row>
    <row r="20" ht="15" customHeight="1" s="56">
      <c r="A20" s="55">
        <f>Orders!A20</f>
        <v/>
      </c>
      <c r="B20" s="103">
        <f>Orders!B20</f>
        <v/>
      </c>
      <c r="C20" s="55">
        <f>Orders!C20</f>
        <v/>
      </c>
      <c r="D20" s="55">
        <f>Orders!D20</f>
        <v/>
      </c>
      <c r="E20" s="55">
        <f>Orders!E20</f>
        <v/>
      </c>
      <c r="F20" s="55">
        <f>Orders!F20</f>
        <v/>
      </c>
      <c r="G20" s="55">
        <f>Orders!G20</f>
        <v/>
      </c>
      <c r="H20" s="55">
        <f>Orders!H20</f>
        <v/>
      </c>
      <c r="I20" s="55">
        <f>Orders!I20</f>
        <v/>
      </c>
      <c r="J20" s="55">
        <f>Orders!J20</f>
        <v/>
      </c>
      <c r="K20" s="55">
        <f>Orders!K20</f>
        <v/>
      </c>
      <c r="L20" s="55">
        <f>VLOOKUP(D20,Products!$A$2:$F$61,3,FALSE())</f>
        <v/>
      </c>
      <c r="M20" s="55">
        <f>VLOOKUP(C20,Customers!$A$2:$F$301,5,FALSE())</f>
        <v/>
      </c>
      <c r="N20" s="55">
        <f>VLOOKUP(E20,Sales_Reps!$A$2:$E$31,3,FALSE())</f>
        <v/>
      </c>
      <c r="O20" s="55">
        <f>VLOOKUP(D20,Products!$A$2:$F$61,4,FALSE())</f>
        <v/>
      </c>
      <c r="P20" s="55">
        <f>VLOOKUP(C20,Customers!$A$2:$F$301,3,FALSE())</f>
        <v/>
      </c>
      <c r="Q20" s="55">
        <f>UPPER(TRIM(K20))</f>
        <v/>
      </c>
      <c r="R20" s="55">
        <f>(G20-O20)/G20</f>
        <v/>
      </c>
      <c r="S20" s="55">
        <f>VLOOKUP(D20,Products!$A$2:$F$61,6,FALSE())</f>
        <v/>
      </c>
      <c r="U20" s="55">
        <f>TRIM(Customers!B20)</f>
        <v/>
      </c>
      <c r="V20" s="55">
        <f>UPPER(TRIM(Customers!D20))</f>
        <v/>
      </c>
      <c r="W20" s="55">
        <f>LEN(Customers!B20)&lt;&gt;LEN(TRIM(Customers!B20))</f>
        <v/>
      </c>
    </row>
    <row r="21" ht="15" customHeight="1" s="56">
      <c r="A21" s="55">
        <f>Orders!A21</f>
        <v/>
      </c>
      <c r="B21" s="103">
        <f>Orders!B21</f>
        <v/>
      </c>
      <c r="C21" s="55">
        <f>Orders!C21</f>
        <v/>
      </c>
      <c r="D21" s="55">
        <f>Orders!D21</f>
        <v/>
      </c>
      <c r="E21" s="55">
        <f>Orders!E21</f>
        <v/>
      </c>
      <c r="F21" s="55">
        <f>Orders!F21</f>
        <v/>
      </c>
      <c r="G21" s="55">
        <f>Orders!G21</f>
        <v/>
      </c>
      <c r="H21" s="55">
        <f>Orders!H21</f>
        <v/>
      </c>
      <c r="I21" s="55">
        <f>Orders!I21</f>
        <v/>
      </c>
      <c r="J21" s="55">
        <f>Orders!J21</f>
        <v/>
      </c>
      <c r="K21" s="55">
        <f>Orders!K21</f>
        <v/>
      </c>
      <c r="L21" s="55">
        <f>VLOOKUP(D21,Products!$A$2:$F$61,3,FALSE())</f>
        <v/>
      </c>
      <c r="M21" s="55">
        <f>VLOOKUP(C21,Customers!$A$2:$F$301,5,FALSE())</f>
        <v/>
      </c>
      <c r="N21" s="55">
        <f>VLOOKUP(E21,Sales_Reps!$A$2:$E$31,3,FALSE())</f>
        <v/>
      </c>
      <c r="O21" s="55">
        <f>VLOOKUP(D21,Products!$A$2:$F$61,4,FALSE())</f>
        <v/>
      </c>
      <c r="P21" s="55">
        <f>VLOOKUP(C21,Customers!$A$2:$F$301,3,FALSE())</f>
        <v/>
      </c>
      <c r="Q21" s="55">
        <f>UPPER(TRIM(K21))</f>
        <v/>
      </c>
      <c r="R21" s="55">
        <f>(G21-O21)/G21</f>
        <v/>
      </c>
      <c r="S21" s="55">
        <f>VLOOKUP(D21,Products!$A$2:$F$61,6,FALSE())</f>
        <v/>
      </c>
      <c r="U21" s="55">
        <f>TRIM(Customers!B21)</f>
        <v/>
      </c>
      <c r="V21" s="55">
        <f>UPPER(TRIM(Customers!D21))</f>
        <v/>
      </c>
      <c r="W21" s="55">
        <f>LEN(Customers!B21)&lt;&gt;LEN(TRIM(Customers!B21))</f>
        <v/>
      </c>
    </row>
    <row r="22" ht="15" customHeight="1" s="56">
      <c r="A22" s="55">
        <f>Orders!A22</f>
        <v/>
      </c>
      <c r="B22" s="103">
        <f>Orders!B22</f>
        <v/>
      </c>
      <c r="C22" s="55">
        <f>Orders!C22</f>
        <v/>
      </c>
      <c r="D22" s="55">
        <f>Orders!D22</f>
        <v/>
      </c>
      <c r="E22" s="55">
        <f>Orders!E22</f>
        <v/>
      </c>
      <c r="F22" s="55">
        <f>Orders!F22</f>
        <v/>
      </c>
      <c r="G22" s="55">
        <f>Orders!G22</f>
        <v/>
      </c>
      <c r="H22" s="55">
        <f>Orders!H22</f>
        <v/>
      </c>
      <c r="I22" s="55">
        <f>Orders!I22</f>
        <v/>
      </c>
      <c r="J22" s="55">
        <f>Orders!J22</f>
        <v/>
      </c>
      <c r="K22" s="55">
        <f>Orders!K22</f>
        <v/>
      </c>
      <c r="L22" s="55">
        <f>VLOOKUP(D22,Products!$A$2:$F$61,3,FALSE())</f>
        <v/>
      </c>
      <c r="M22" s="55">
        <f>VLOOKUP(C22,Customers!$A$2:$F$301,5,FALSE())</f>
        <v/>
      </c>
      <c r="N22" s="55">
        <f>VLOOKUP(E22,Sales_Reps!$A$2:$E$31,3,FALSE())</f>
        <v/>
      </c>
      <c r="O22" s="55">
        <f>VLOOKUP(D22,Products!$A$2:$F$61,4,FALSE())</f>
        <v/>
      </c>
      <c r="P22" s="55">
        <f>VLOOKUP(C22,Customers!$A$2:$F$301,3,FALSE())</f>
        <v/>
      </c>
      <c r="Q22" s="55">
        <f>UPPER(TRIM(K22))</f>
        <v/>
      </c>
      <c r="R22" s="55">
        <f>(G22-O22)/G22</f>
        <v/>
      </c>
      <c r="S22" s="55">
        <f>VLOOKUP(D22,Products!$A$2:$F$61,6,FALSE())</f>
        <v/>
      </c>
      <c r="U22" s="55">
        <f>TRIM(Customers!B22)</f>
        <v/>
      </c>
      <c r="V22" s="55">
        <f>UPPER(TRIM(Customers!D22))</f>
        <v/>
      </c>
      <c r="W22" s="55">
        <f>LEN(Customers!B22)&lt;&gt;LEN(TRIM(Customers!B22))</f>
        <v/>
      </c>
    </row>
    <row r="23" ht="15" customHeight="1" s="56">
      <c r="A23" s="55">
        <f>Orders!A23</f>
        <v/>
      </c>
      <c r="B23" s="103">
        <f>Orders!B23</f>
        <v/>
      </c>
      <c r="C23" s="55">
        <f>Orders!C23</f>
        <v/>
      </c>
      <c r="D23" s="55">
        <f>Orders!D23</f>
        <v/>
      </c>
      <c r="E23" s="55">
        <f>Orders!E23</f>
        <v/>
      </c>
      <c r="F23" s="55">
        <f>Orders!F23</f>
        <v/>
      </c>
      <c r="G23" s="55">
        <f>Orders!G23</f>
        <v/>
      </c>
      <c r="H23" s="55">
        <f>Orders!H23</f>
        <v/>
      </c>
      <c r="I23" s="55">
        <f>Orders!I23</f>
        <v/>
      </c>
      <c r="J23" s="55">
        <f>Orders!J23</f>
        <v/>
      </c>
      <c r="K23" s="55">
        <f>Orders!K23</f>
        <v/>
      </c>
      <c r="L23" s="55">
        <f>VLOOKUP(D23,Products!$A$2:$F$61,3,FALSE())</f>
        <v/>
      </c>
      <c r="M23" s="55">
        <f>VLOOKUP(C23,Customers!$A$2:$F$301,5,FALSE())</f>
        <v/>
      </c>
      <c r="N23" s="55">
        <f>VLOOKUP(E23,Sales_Reps!$A$2:$E$31,3,FALSE())</f>
        <v/>
      </c>
      <c r="O23" s="55">
        <f>VLOOKUP(D23,Products!$A$2:$F$61,4,FALSE())</f>
        <v/>
      </c>
      <c r="P23" s="55">
        <f>VLOOKUP(C23,Customers!$A$2:$F$301,3,FALSE())</f>
        <v/>
      </c>
      <c r="Q23" s="55">
        <f>UPPER(TRIM(K23))</f>
        <v/>
      </c>
      <c r="R23" s="55">
        <f>(G23-O23)/G23</f>
        <v/>
      </c>
      <c r="S23" s="55">
        <f>VLOOKUP(D23,Products!$A$2:$F$61,6,FALSE())</f>
        <v/>
      </c>
      <c r="U23" s="55">
        <f>TRIM(Customers!B23)</f>
        <v/>
      </c>
      <c r="V23" s="55">
        <f>UPPER(TRIM(Customers!D23))</f>
        <v/>
      </c>
      <c r="W23" s="55">
        <f>LEN(Customers!B23)&lt;&gt;LEN(TRIM(Customers!B23))</f>
        <v/>
      </c>
    </row>
    <row r="24" ht="15" customHeight="1" s="56">
      <c r="A24" s="55">
        <f>Orders!A24</f>
        <v/>
      </c>
      <c r="B24" s="103">
        <f>Orders!B24</f>
        <v/>
      </c>
      <c r="C24" s="55">
        <f>Orders!C24</f>
        <v/>
      </c>
      <c r="D24" s="55">
        <f>Orders!D24</f>
        <v/>
      </c>
      <c r="E24" s="55">
        <f>Orders!E24</f>
        <v/>
      </c>
      <c r="F24" s="55">
        <f>Orders!F24</f>
        <v/>
      </c>
      <c r="G24" s="55">
        <f>Orders!G24</f>
        <v/>
      </c>
      <c r="H24" s="55">
        <f>Orders!H24</f>
        <v/>
      </c>
      <c r="I24" s="55">
        <f>Orders!I24</f>
        <v/>
      </c>
      <c r="J24" s="55">
        <f>Orders!J24</f>
        <v/>
      </c>
      <c r="K24" s="55">
        <f>Orders!K24</f>
        <v/>
      </c>
      <c r="L24" s="55">
        <f>VLOOKUP(D24,Products!$A$2:$F$61,3,FALSE())</f>
        <v/>
      </c>
      <c r="M24" s="55">
        <f>VLOOKUP(C24,Customers!$A$2:$F$301,5,FALSE())</f>
        <v/>
      </c>
      <c r="N24" s="55">
        <f>VLOOKUP(E24,Sales_Reps!$A$2:$E$31,3,FALSE())</f>
        <v/>
      </c>
      <c r="O24" s="55">
        <f>VLOOKUP(D24,Products!$A$2:$F$61,4,FALSE())</f>
        <v/>
      </c>
      <c r="P24" s="55">
        <f>VLOOKUP(C24,Customers!$A$2:$F$301,3,FALSE())</f>
        <v/>
      </c>
      <c r="Q24" s="55">
        <f>UPPER(TRIM(K24))</f>
        <v/>
      </c>
      <c r="R24" s="55">
        <f>(G24-O24)/G24</f>
        <v/>
      </c>
      <c r="S24" s="55">
        <f>VLOOKUP(D24,Products!$A$2:$F$61,6,FALSE())</f>
        <v/>
      </c>
      <c r="U24" s="55">
        <f>TRIM(Customers!B24)</f>
        <v/>
      </c>
      <c r="V24" s="55">
        <f>UPPER(TRIM(Customers!D24))</f>
        <v/>
      </c>
      <c r="W24" s="55">
        <f>LEN(Customers!B24)&lt;&gt;LEN(TRIM(Customers!B24))</f>
        <v/>
      </c>
    </row>
    <row r="25" ht="15" customHeight="1" s="56">
      <c r="A25" s="55">
        <f>Orders!A25</f>
        <v/>
      </c>
      <c r="B25" s="103">
        <f>Orders!B25</f>
        <v/>
      </c>
      <c r="C25" s="55">
        <f>Orders!C25</f>
        <v/>
      </c>
      <c r="D25" s="55">
        <f>Orders!D25</f>
        <v/>
      </c>
      <c r="E25" s="55">
        <f>Orders!E25</f>
        <v/>
      </c>
      <c r="F25" s="55">
        <f>Orders!F25</f>
        <v/>
      </c>
      <c r="G25" s="55">
        <f>Orders!G25</f>
        <v/>
      </c>
      <c r="H25" s="55">
        <f>Orders!H25</f>
        <v/>
      </c>
      <c r="I25" s="55">
        <f>Orders!I25</f>
        <v/>
      </c>
      <c r="J25" s="55">
        <f>Orders!J25</f>
        <v/>
      </c>
      <c r="K25" s="55">
        <f>Orders!K25</f>
        <v/>
      </c>
      <c r="L25" s="55">
        <f>VLOOKUP(D25,Products!$A$2:$F$61,3,FALSE())</f>
        <v/>
      </c>
      <c r="M25" s="55">
        <f>VLOOKUP(C25,Customers!$A$2:$F$301,5,FALSE())</f>
        <v/>
      </c>
      <c r="N25" s="55">
        <f>VLOOKUP(E25,Sales_Reps!$A$2:$E$31,3,FALSE())</f>
        <v/>
      </c>
      <c r="O25" s="55">
        <f>VLOOKUP(D25,Products!$A$2:$F$61,4,FALSE())</f>
        <v/>
      </c>
      <c r="P25" s="55">
        <f>VLOOKUP(C25,Customers!$A$2:$F$301,3,FALSE())</f>
        <v/>
      </c>
      <c r="Q25" s="55">
        <f>UPPER(TRIM(K25))</f>
        <v/>
      </c>
      <c r="R25" s="55">
        <f>(G25-O25)/G25</f>
        <v/>
      </c>
      <c r="S25" s="55">
        <f>VLOOKUP(D25,Products!$A$2:$F$61,6,FALSE())</f>
        <v/>
      </c>
      <c r="U25" s="55">
        <f>TRIM(Customers!B25)</f>
        <v/>
      </c>
      <c r="V25" s="55">
        <f>UPPER(TRIM(Customers!D25))</f>
        <v/>
      </c>
      <c r="W25" s="55">
        <f>LEN(Customers!B25)&lt;&gt;LEN(TRIM(Customers!B25))</f>
        <v/>
      </c>
    </row>
    <row r="26" ht="15" customHeight="1" s="56">
      <c r="A26" s="55">
        <f>Orders!A26</f>
        <v/>
      </c>
      <c r="B26" s="103">
        <f>Orders!B26</f>
        <v/>
      </c>
      <c r="C26" s="55">
        <f>Orders!C26</f>
        <v/>
      </c>
      <c r="D26" s="55">
        <f>Orders!D26</f>
        <v/>
      </c>
      <c r="E26" s="55">
        <f>Orders!E26</f>
        <v/>
      </c>
      <c r="F26" s="55">
        <f>Orders!F26</f>
        <v/>
      </c>
      <c r="G26" s="55">
        <f>Orders!G26</f>
        <v/>
      </c>
      <c r="H26" s="55">
        <f>Orders!H26</f>
        <v/>
      </c>
      <c r="I26" s="55">
        <f>Orders!I26</f>
        <v/>
      </c>
      <c r="J26" s="55">
        <f>Orders!J26</f>
        <v/>
      </c>
      <c r="K26" s="55">
        <f>Orders!K26</f>
        <v/>
      </c>
      <c r="L26" s="55">
        <f>VLOOKUP(D26,Products!$A$2:$F$61,3,FALSE())</f>
        <v/>
      </c>
      <c r="M26" s="55">
        <f>VLOOKUP(C26,Customers!$A$2:$F$301,5,FALSE())</f>
        <v/>
      </c>
      <c r="N26" s="55">
        <f>VLOOKUP(E26,Sales_Reps!$A$2:$E$31,3,FALSE())</f>
        <v/>
      </c>
      <c r="O26" s="55">
        <f>VLOOKUP(D26,Products!$A$2:$F$61,4,FALSE())</f>
        <v/>
      </c>
      <c r="P26" s="55">
        <f>VLOOKUP(C26,Customers!$A$2:$F$301,3,FALSE())</f>
        <v/>
      </c>
      <c r="Q26" s="55">
        <f>UPPER(TRIM(K26))</f>
        <v/>
      </c>
      <c r="R26" s="55">
        <f>(G26-O26)/G26</f>
        <v/>
      </c>
      <c r="S26" s="55">
        <f>VLOOKUP(D26,Products!$A$2:$F$61,6,FALSE())</f>
        <v/>
      </c>
      <c r="U26" s="55">
        <f>TRIM(Customers!B26)</f>
        <v/>
      </c>
      <c r="V26" s="55">
        <f>UPPER(TRIM(Customers!D26))</f>
        <v/>
      </c>
      <c r="W26" s="55">
        <f>LEN(Customers!B26)&lt;&gt;LEN(TRIM(Customers!B26))</f>
        <v/>
      </c>
    </row>
    <row r="27" ht="15" customHeight="1" s="56">
      <c r="A27" s="55">
        <f>Orders!A27</f>
        <v/>
      </c>
      <c r="B27" s="103">
        <f>Orders!B27</f>
        <v/>
      </c>
      <c r="C27" s="55">
        <f>Orders!C27</f>
        <v/>
      </c>
      <c r="D27" s="55">
        <f>Orders!D27</f>
        <v/>
      </c>
      <c r="E27" s="55">
        <f>Orders!E27</f>
        <v/>
      </c>
      <c r="F27" s="55">
        <f>Orders!F27</f>
        <v/>
      </c>
      <c r="G27" s="55">
        <f>Orders!G27</f>
        <v/>
      </c>
      <c r="H27" s="55">
        <f>Orders!H27</f>
        <v/>
      </c>
      <c r="I27" s="55">
        <f>Orders!I27</f>
        <v/>
      </c>
      <c r="J27" s="55">
        <f>Orders!J27</f>
        <v/>
      </c>
      <c r="K27" s="55">
        <f>Orders!K27</f>
        <v/>
      </c>
      <c r="L27" s="55">
        <f>VLOOKUP(D27,Products!$A$2:$F$61,3,FALSE())</f>
        <v/>
      </c>
      <c r="M27" s="55">
        <f>VLOOKUP(C27,Customers!$A$2:$F$301,5,FALSE())</f>
        <v/>
      </c>
      <c r="N27" s="55">
        <f>VLOOKUP(E27,Sales_Reps!$A$2:$E$31,3,FALSE())</f>
        <v/>
      </c>
      <c r="O27" s="55">
        <f>VLOOKUP(D27,Products!$A$2:$F$61,4,FALSE())</f>
        <v/>
      </c>
      <c r="P27" s="55">
        <f>VLOOKUP(C27,Customers!$A$2:$F$301,3,FALSE())</f>
        <v/>
      </c>
      <c r="Q27" s="55">
        <f>UPPER(TRIM(K27))</f>
        <v/>
      </c>
      <c r="R27" s="55">
        <f>(G27-O27)/G27</f>
        <v/>
      </c>
      <c r="S27" s="55">
        <f>VLOOKUP(D27,Products!$A$2:$F$61,6,FALSE())</f>
        <v/>
      </c>
      <c r="U27" s="55">
        <f>TRIM(Customers!B27)</f>
        <v/>
      </c>
      <c r="V27" s="55">
        <f>UPPER(TRIM(Customers!D27))</f>
        <v/>
      </c>
      <c r="W27" s="55">
        <f>LEN(Customers!B27)&lt;&gt;LEN(TRIM(Customers!B27))</f>
        <v/>
      </c>
    </row>
    <row r="28" ht="15" customHeight="1" s="56">
      <c r="A28" s="55">
        <f>Orders!A28</f>
        <v/>
      </c>
      <c r="B28" s="103">
        <f>Orders!B28</f>
        <v/>
      </c>
      <c r="C28" s="55">
        <f>Orders!C28</f>
        <v/>
      </c>
      <c r="D28" s="55">
        <f>Orders!D28</f>
        <v/>
      </c>
      <c r="E28" s="55">
        <f>Orders!E28</f>
        <v/>
      </c>
      <c r="F28" s="55">
        <f>Orders!F28</f>
        <v/>
      </c>
      <c r="G28" s="55">
        <f>Orders!G28</f>
        <v/>
      </c>
      <c r="H28" s="55">
        <f>Orders!H28</f>
        <v/>
      </c>
      <c r="I28" s="55">
        <f>Orders!I28</f>
        <v/>
      </c>
      <c r="J28" s="55">
        <f>Orders!J28</f>
        <v/>
      </c>
      <c r="K28" s="55">
        <f>Orders!K28</f>
        <v/>
      </c>
      <c r="L28" s="55">
        <f>VLOOKUP(D28,Products!$A$2:$F$61,3,FALSE())</f>
        <v/>
      </c>
      <c r="M28" s="55">
        <f>VLOOKUP(C28,Customers!$A$2:$F$301,5,FALSE())</f>
        <v/>
      </c>
      <c r="N28" s="55">
        <f>VLOOKUP(E28,Sales_Reps!$A$2:$E$31,3,FALSE())</f>
        <v/>
      </c>
      <c r="O28" s="55">
        <f>VLOOKUP(D28,Products!$A$2:$F$61,4,FALSE())</f>
        <v/>
      </c>
      <c r="P28" s="55">
        <f>VLOOKUP(C28,Customers!$A$2:$F$301,3,FALSE())</f>
        <v/>
      </c>
      <c r="Q28" s="55">
        <f>UPPER(TRIM(K28))</f>
        <v/>
      </c>
      <c r="R28" s="55">
        <f>(G28-O28)/G28</f>
        <v/>
      </c>
      <c r="S28" s="55">
        <f>VLOOKUP(D28,Products!$A$2:$F$61,6,FALSE())</f>
        <v/>
      </c>
      <c r="U28" s="55">
        <f>TRIM(Customers!B28)</f>
        <v/>
      </c>
      <c r="V28" s="55">
        <f>UPPER(TRIM(Customers!D28))</f>
        <v/>
      </c>
      <c r="W28" s="55">
        <f>LEN(Customers!B28)&lt;&gt;LEN(TRIM(Customers!B28))</f>
        <v/>
      </c>
    </row>
    <row r="29" ht="15" customHeight="1" s="56">
      <c r="A29" s="55">
        <f>Orders!A29</f>
        <v/>
      </c>
      <c r="B29" s="103">
        <f>Orders!B29</f>
        <v/>
      </c>
      <c r="C29" s="55">
        <f>Orders!C29</f>
        <v/>
      </c>
      <c r="D29" s="55">
        <f>Orders!D29</f>
        <v/>
      </c>
      <c r="E29" s="55">
        <f>Orders!E29</f>
        <v/>
      </c>
      <c r="F29" s="55">
        <f>Orders!F29</f>
        <v/>
      </c>
      <c r="G29" s="55">
        <f>Orders!G29</f>
        <v/>
      </c>
      <c r="H29" s="55">
        <f>Orders!H29</f>
        <v/>
      </c>
      <c r="I29" s="55">
        <f>Orders!I29</f>
        <v/>
      </c>
      <c r="J29" s="55">
        <f>Orders!J29</f>
        <v/>
      </c>
      <c r="K29" s="55">
        <f>Orders!K29</f>
        <v/>
      </c>
      <c r="L29" s="55">
        <f>VLOOKUP(D29,Products!$A$2:$F$61,3,FALSE())</f>
        <v/>
      </c>
      <c r="M29" s="55">
        <f>VLOOKUP(C29,Customers!$A$2:$F$301,5,FALSE())</f>
        <v/>
      </c>
      <c r="N29" s="55">
        <f>VLOOKUP(E29,Sales_Reps!$A$2:$E$31,3,FALSE())</f>
        <v/>
      </c>
      <c r="O29" s="55">
        <f>VLOOKUP(D29,Products!$A$2:$F$61,4,FALSE())</f>
        <v/>
      </c>
      <c r="P29" s="55">
        <f>VLOOKUP(C29,Customers!$A$2:$F$301,3,FALSE())</f>
        <v/>
      </c>
      <c r="Q29" s="55">
        <f>UPPER(TRIM(K29))</f>
        <v/>
      </c>
      <c r="R29" s="55">
        <f>(G29-O29)/G29</f>
        <v/>
      </c>
      <c r="S29" s="55">
        <f>VLOOKUP(D29,Products!$A$2:$F$61,6,FALSE())</f>
        <v/>
      </c>
      <c r="U29" s="55">
        <f>TRIM(Customers!B29)</f>
        <v/>
      </c>
      <c r="V29" s="55">
        <f>UPPER(TRIM(Customers!D29))</f>
        <v/>
      </c>
      <c r="W29" s="55">
        <f>LEN(Customers!B29)&lt;&gt;LEN(TRIM(Customers!B29))</f>
        <v/>
      </c>
    </row>
    <row r="30" ht="15" customHeight="1" s="56">
      <c r="A30" s="55">
        <f>Orders!A30</f>
        <v/>
      </c>
      <c r="B30" s="103">
        <f>Orders!B30</f>
        <v/>
      </c>
      <c r="C30" s="55">
        <f>Orders!C30</f>
        <v/>
      </c>
      <c r="D30" s="55">
        <f>Orders!D30</f>
        <v/>
      </c>
      <c r="E30" s="55">
        <f>Orders!E30</f>
        <v/>
      </c>
      <c r="F30" s="55">
        <f>Orders!F30</f>
        <v/>
      </c>
      <c r="G30" s="55">
        <f>Orders!G30</f>
        <v/>
      </c>
      <c r="H30" s="55">
        <f>Orders!H30</f>
        <v/>
      </c>
      <c r="I30" s="55">
        <f>Orders!I30</f>
        <v/>
      </c>
      <c r="J30" s="55">
        <f>Orders!J30</f>
        <v/>
      </c>
      <c r="K30" s="55">
        <f>Orders!K30</f>
        <v/>
      </c>
      <c r="L30" s="55">
        <f>VLOOKUP(D30,Products!$A$2:$F$61,3,FALSE())</f>
        <v/>
      </c>
      <c r="M30" s="55">
        <f>VLOOKUP(C30,Customers!$A$2:$F$301,5,FALSE())</f>
        <v/>
      </c>
      <c r="N30" s="55">
        <f>VLOOKUP(E30,Sales_Reps!$A$2:$E$31,3,FALSE())</f>
        <v/>
      </c>
      <c r="O30" s="55">
        <f>VLOOKUP(D30,Products!$A$2:$F$61,4,FALSE())</f>
        <v/>
      </c>
      <c r="P30" s="55">
        <f>VLOOKUP(C30,Customers!$A$2:$F$301,3,FALSE())</f>
        <v/>
      </c>
      <c r="Q30" s="55">
        <f>UPPER(TRIM(K30))</f>
        <v/>
      </c>
      <c r="R30" s="55">
        <f>(G30-O30)/G30</f>
        <v/>
      </c>
      <c r="S30" s="55">
        <f>VLOOKUP(D30,Products!$A$2:$F$61,6,FALSE())</f>
        <v/>
      </c>
      <c r="U30" s="55">
        <f>TRIM(Customers!B30)</f>
        <v/>
      </c>
      <c r="V30" s="55">
        <f>UPPER(TRIM(Customers!D30))</f>
        <v/>
      </c>
      <c r="W30" s="55">
        <f>LEN(Customers!B30)&lt;&gt;LEN(TRIM(Customers!B30))</f>
        <v/>
      </c>
    </row>
    <row r="31" ht="15" customHeight="1" s="56">
      <c r="A31" s="55">
        <f>Orders!A31</f>
        <v/>
      </c>
      <c r="B31" s="103">
        <f>Orders!B31</f>
        <v/>
      </c>
      <c r="C31" s="55">
        <f>Orders!C31</f>
        <v/>
      </c>
      <c r="D31" s="55">
        <f>Orders!D31</f>
        <v/>
      </c>
      <c r="E31" s="55">
        <f>Orders!E31</f>
        <v/>
      </c>
      <c r="F31" s="55">
        <f>Orders!F31</f>
        <v/>
      </c>
      <c r="G31" s="55">
        <f>Orders!G31</f>
        <v/>
      </c>
      <c r="H31" s="55">
        <f>Orders!H31</f>
        <v/>
      </c>
      <c r="I31" s="55">
        <f>Orders!I31</f>
        <v/>
      </c>
      <c r="J31" s="55">
        <f>Orders!J31</f>
        <v/>
      </c>
      <c r="K31" s="55">
        <f>Orders!K31</f>
        <v/>
      </c>
      <c r="L31" s="55">
        <f>VLOOKUP(D31,Products!$A$2:$F$61,3,FALSE())</f>
        <v/>
      </c>
      <c r="M31" s="55">
        <f>VLOOKUP(C31,Customers!$A$2:$F$301,5,FALSE())</f>
        <v/>
      </c>
      <c r="N31" s="55">
        <f>VLOOKUP(E31,Sales_Reps!$A$2:$E$31,3,FALSE())</f>
        <v/>
      </c>
      <c r="O31" s="55">
        <f>VLOOKUP(D31,Products!$A$2:$F$61,4,FALSE())</f>
        <v/>
      </c>
      <c r="P31" s="55">
        <f>VLOOKUP(C31,Customers!$A$2:$F$301,3,FALSE())</f>
        <v/>
      </c>
      <c r="Q31" s="55">
        <f>UPPER(TRIM(K31))</f>
        <v/>
      </c>
      <c r="R31" s="55">
        <f>(G31-O31)/G31</f>
        <v/>
      </c>
      <c r="S31" s="55">
        <f>VLOOKUP(D31,Products!$A$2:$F$61,6,FALSE())</f>
        <v/>
      </c>
      <c r="U31" s="55">
        <f>TRIM(Customers!B31)</f>
        <v/>
      </c>
      <c r="V31" s="55">
        <f>UPPER(TRIM(Customers!D31))</f>
        <v/>
      </c>
      <c r="W31" s="55">
        <f>LEN(Customers!B31)&lt;&gt;LEN(TRIM(Customers!B31))</f>
        <v/>
      </c>
    </row>
    <row r="32" ht="15" customHeight="1" s="56">
      <c r="A32" s="55">
        <f>Orders!A32</f>
        <v/>
      </c>
      <c r="B32" s="103">
        <f>Orders!B32</f>
        <v/>
      </c>
      <c r="C32" s="55">
        <f>Orders!C32</f>
        <v/>
      </c>
      <c r="D32" s="55">
        <f>Orders!D32</f>
        <v/>
      </c>
      <c r="E32" s="55">
        <f>Orders!E32</f>
        <v/>
      </c>
      <c r="F32" s="55">
        <f>Orders!F32</f>
        <v/>
      </c>
      <c r="G32" s="55">
        <f>Orders!G32</f>
        <v/>
      </c>
      <c r="H32" s="55">
        <f>Orders!H32</f>
        <v/>
      </c>
      <c r="I32" s="55">
        <f>Orders!I32</f>
        <v/>
      </c>
      <c r="J32" s="55">
        <f>Orders!J32</f>
        <v/>
      </c>
      <c r="K32" s="55">
        <f>Orders!K32</f>
        <v/>
      </c>
      <c r="L32" s="55">
        <f>VLOOKUP(D32,Products!$A$2:$F$61,3,FALSE())</f>
        <v/>
      </c>
      <c r="M32" s="55">
        <f>VLOOKUP(C32,Customers!$A$2:$F$301,5,FALSE())</f>
        <v/>
      </c>
      <c r="N32" s="55">
        <f>VLOOKUP(E32,Sales_Reps!$A$2:$E$31,3,FALSE())</f>
        <v/>
      </c>
      <c r="O32" s="55">
        <f>VLOOKUP(D32,Products!$A$2:$F$61,4,FALSE())</f>
        <v/>
      </c>
      <c r="P32" s="55">
        <f>VLOOKUP(C32,Customers!$A$2:$F$301,3,FALSE())</f>
        <v/>
      </c>
      <c r="Q32" s="55">
        <f>UPPER(TRIM(K32))</f>
        <v/>
      </c>
      <c r="R32" s="55">
        <f>(G32-O32)/G32</f>
        <v/>
      </c>
      <c r="S32" s="55">
        <f>VLOOKUP(D32,Products!$A$2:$F$61,6,FALSE())</f>
        <v/>
      </c>
      <c r="U32" s="55">
        <f>TRIM(Customers!B32)</f>
        <v/>
      </c>
      <c r="V32" s="55">
        <f>UPPER(TRIM(Customers!D32))</f>
        <v/>
      </c>
      <c r="W32" s="55">
        <f>LEN(Customers!B32)&lt;&gt;LEN(TRIM(Customers!B32))</f>
        <v/>
      </c>
    </row>
    <row r="33" ht="15" customHeight="1" s="56">
      <c r="A33" s="55">
        <f>Orders!A33</f>
        <v/>
      </c>
      <c r="B33" s="103">
        <f>Orders!B33</f>
        <v/>
      </c>
      <c r="C33" s="55">
        <f>Orders!C33</f>
        <v/>
      </c>
      <c r="D33" s="55">
        <f>Orders!D33</f>
        <v/>
      </c>
      <c r="E33" s="55">
        <f>Orders!E33</f>
        <v/>
      </c>
      <c r="F33" s="55">
        <f>Orders!F33</f>
        <v/>
      </c>
      <c r="G33" s="55">
        <f>Orders!G33</f>
        <v/>
      </c>
      <c r="H33" s="55">
        <f>Orders!H33</f>
        <v/>
      </c>
      <c r="I33" s="55">
        <f>Orders!I33</f>
        <v/>
      </c>
      <c r="J33" s="55">
        <f>Orders!J33</f>
        <v/>
      </c>
      <c r="K33" s="55">
        <f>Orders!K33</f>
        <v/>
      </c>
      <c r="L33" s="55">
        <f>VLOOKUP(D33,Products!$A$2:$F$61,3,FALSE())</f>
        <v/>
      </c>
      <c r="M33" s="55">
        <f>VLOOKUP(C33,Customers!$A$2:$F$301,5,FALSE())</f>
        <v/>
      </c>
      <c r="N33" s="55">
        <f>VLOOKUP(E33,Sales_Reps!$A$2:$E$31,3,FALSE())</f>
        <v/>
      </c>
      <c r="O33" s="55">
        <f>VLOOKUP(D33,Products!$A$2:$F$61,4,FALSE())</f>
        <v/>
      </c>
      <c r="P33" s="55">
        <f>VLOOKUP(C33,Customers!$A$2:$F$301,3,FALSE())</f>
        <v/>
      </c>
      <c r="Q33" s="55">
        <f>UPPER(TRIM(K33))</f>
        <v/>
      </c>
      <c r="R33" s="55">
        <f>(G33-O33)/G33</f>
        <v/>
      </c>
      <c r="S33" s="55">
        <f>VLOOKUP(D33,Products!$A$2:$F$61,6,FALSE())</f>
        <v/>
      </c>
      <c r="U33" s="55">
        <f>TRIM(Customers!B33)</f>
        <v/>
      </c>
      <c r="V33" s="55">
        <f>UPPER(TRIM(Customers!D33))</f>
        <v/>
      </c>
      <c r="W33" s="55">
        <f>LEN(Customers!B33)&lt;&gt;LEN(TRIM(Customers!B33))</f>
        <v/>
      </c>
    </row>
    <row r="34" ht="15" customHeight="1" s="56">
      <c r="A34" s="55">
        <f>Orders!A34</f>
        <v/>
      </c>
      <c r="B34" s="103">
        <f>Orders!B34</f>
        <v/>
      </c>
      <c r="C34" s="55">
        <f>Orders!C34</f>
        <v/>
      </c>
      <c r="D34" s="55">
        <f>Orders!D34</f>
        <v/>
      </c>
      <c r="E34" s="55">
        <f>Orders!E34</f>
        <v/>
      </c>
      <c r="F34" s="55">
        <f>Orders!F34</f>
        <v/>
      </c>
      <c r="G34" s="55">
        <f>Orders!G34</f>
        <v/>
      </c>
      <c r="H34" s="55">
        <f>Orders!H34</f>
        <v/>
      </c>
      <c r="I34" s="55">
        <f>Orders!I34</f>
        <v/>
      </c>
      <c r="J34" s="55">
        <f>Orders!J34</f>
        <v/>
      </c>
      <c r="K34" s="55">
        <f>Orders!K34</f>
        <v/>
      </c>
      <c r="L34" s="55">
        <f>VLOOKUP(D34,Products!$A$2:$F$61,3,FALSE())</f>
        <v/>
      </c>
      <c r="M34" s="55">
        <f>VLOOKUP(C34,Customers!$A$2:$F$301,5,FALSE())</f>
        <v/>
      </c>
      <c r="N34" s="55">
        <f>VLOOKUP(E34,Sales_Reps!$A$2:$E$31,3,FALSE())</f>
        <v/>
      </c>
      <c r="O34" s="55">
        <f>VLOOKUP(D34,Products!$A$2:$F$61,4,FALSE())</f>
        <v/>
      </c>
      <c r="P34" s="55">
        <f>VLOOKUP(C34,Customers!$A$2:$F$301,3,FALSE())</f>
        <v/>
      </c>
      <c r="Q34" s="55">
        <f>UPPER(TRIM(K34))</f>
        <v/>
      </c>
      <c r="R34" s="55">
        <f>(G34-O34)/G34</f>
        <v/>
      </c>
      <c r="S34" s="55">
        <f>VLOOKUP(D34,Products!$A$2:$F$61,6,FALSE())</f>
        <v/>
      </c>
      <c r="U34" s="55">
        <f>TRIM(Customers!B34)</f>
        <v/>
      </c>
      <c r="V34" s="55">
        <f>UPPER(TRIM(Customers!D34))</f>
        <v/>
      </c>
      <c r="W34" s="55">
        <f>LEN(Customers!B34)&lt;&gt;LEN(TRIM(Customers!B34))</f>
        <v/>
      </c>
    </row>
    <row r="35" ht="15" customHeight="1" s="56">
      <c r="A35" s="55">
        <f>Orders!A35</f>
        <v/>
      </c>
      <c r="B35" s="103">
        <f>Orders!B35</f>
        <v/>
      </c>
      <c r="C35" s="55">
        <f>Orders!C35</f>
        <v/>
      </c>
      <c r="D35" s="55">
        <f>Orders!D35</f>
        <v/>
      </c>
      <c r="E35" s="55">
        <f>Orders!E35</f>
        <v/>
      </c>
      <c r="F35" s="55">
        <f>Orders!F35</f>
        <v/>
      </c>
      <c r="G35" s="55">
        <f>Orders!G35</f>
        <v/>
      </c>
      <c r="H35" s="55">
        <f>Orders!H35</f>
        <v/>
      </c>
      <c r="I35" s="55">
        <f>Orders!I35</f>
        <v/>
      </c>
      <c r="J35" s="55">
        <f>Orders!J35</f>
        <v/>
      </c>
      <c r="K35" s="55">
        <f>Orders!K35</f>
        <v/>
      </c>
      <c r="L35" s="55">
        <f>VLOOKUP(D35,Products!$A$2:$F$61,3,FALSE())</f>
        <v/>
      </c>
      <c r="M35" s="55">
        <f>VLOOKUP(C35,Customers!$A$2:$F$301,5,FALSE())</f>
        <v/>
      </c>
      <c r="N35" s="55">
        <f>VLOOKUP(E35,Sales_Reps!$A$2:$E$31,3,FALSE())</f>
        <v/>
      </c>
      <c r="O35" s="55">
        <f>VLOOKUP(D35,Products!$A$2:$F$61,4,FALSE())</f>
        <v/>
      </c>
      <c r="P35" s="55">
        <f>VLOOKUP(C35,Customers!$A$2:$F$301,3,FALSE())</f>
        <v/>
      </c>
      <c r="Q35" s="55">
        <f>UPPER(TRIM(K35))</f>
        <v/>
      </c>
      <c r="R35" s="55">
        <f>(G35-O35)/G35</f>
        <v/>
      </c>
      <c r="S35" s="55">
        <f>VLOOKUP(D35,Products!$A$2:$F$61,6,FALSE())</f>
        <v/>
      </c>
      <c r="U35" s="55">
        <f>TRIM(Customers!B35)</f>
        <v/>
      </c>
      <c r="V35" s="55">
        <f>UPPER(TRIM(Customers!D35))</f>
        <v/>
      </c>
      <c r="W35" s="55">
        <f>LEN(Customers!B35)&lt;&gt;LEN(TRIM(Customers!B35))</f>
        <v/>
      </c>
    </row>
    <row r="36" ht="15" customHeight="1" s="56">
      <c r="A36" s="55">
        <f>Orders!A36</f>
        <v/>
      </c>
      <c r="B36" s="103">
        <f>Orders!B36</f>
        <v/>
      </c>
      <c r="C36" s="55">
        <f>Orders!C36</f>
        <v/>
      </c>
      <c r="D36" s="55">
        <f>Orders!D36</f>
        <v/>
      </c>
      <c r="E36" s="55">
        <f>Orders!E36</f>
        <v/>
      </c>
      <c r="F36" s="55">
        <f>Orders!F36</f>
        <v/>
      </c>
      <c r="G36" s="55">
        <f>Orders!G36</f>
        <v/>
      </c>
      <c r="H36" s="55">
        <f>Orders!H36</f>
        <v/>
      </c>
      <c r="I36" s="55">
        <f>Orders!I36</f>
        <v/>
      </c>
      <c r="J36" s="55">
        <f>Orders!J36</f>
        <v/>
      </c>
      <c r="K36" s="55">
        <f>Orders!K36</f>
        <v/>
      </c>
      <c r="L36" s="55">
        <f>VLOOKUP(D36,Products!$A$2:$F$61,3,FALSE())</f>
        <v/>
      </c>
      <c r="M36" s="55">
        <f>VLOOKUP(C36,Customers!$A$2:$F$301,5,FALSE())</f>
        <v/>
      </c>
      <c r="N36" s="55">
        <f>VLOOKUP(E36,Sales_Reps!$A$2:$E$31,3,FALSE())</f>
        <v/>
      </c>
      <c r="O36" s="55">
        <f>VLOOKUP(D36,Products!$A$2:$F$61,4,FALSE())</f>
        <v/>
      </c>
      <c r="P36" s="55">
        <f>VLOOKUP(C36,Customers!$A$2:$F$301,3,FALSE())</f>
        <v/>
      </c>
      <c r="Q36" s="55">
        <f>UPPER(TRIM(K36))</f>
        <v/>
      </c>
      <c r="R36" s="55">
        <f>(G36-O36)/G36</f>
        <v/>
      </c>
      <c r="S36" s="55">
        <f>VLOOKUP(D36,Products!$A$2:$F$61,6,FALSE())</f>
        <v/>
      </c>
      <c r="U36" s="55">
        <f>TRIM(Customers!B36)</f>
        <v/>
      </c>
      <c r="V36" s="55">
        <f>UPPER(TRIM(Customers!D36))</f>
        <v/>
      </c>
      <c r="W36" s="55">
        <f>LEN(Customers!B36)&lt;&gt;LEN(TRIM(Customers!B36))</f>
        <v/>
      </c>
    </row>
    <row r="37" ht="15" customHeight="1" s="56">
      <c r="A37" s="55">
        <f>Orders!A37</f>
        <v/>
      </c>
      <c r="B37" s="103">
        <f>Orders!B37</f>
        <v/>
      </c>
      <c r="C37" s="55">
        <f>Orders!C37</f>
        <v/>
      </c>
      <c r="D37" s="55">
        <f>Orders!D37</f>
        <v/>
      </c>
      <c r="E37" s="55">
        <f>Orders!E37</f>
        <v/>
      </c>
      <c r="F37" s="55">
        <f>Orders!F37</f>
        <v/>
      </c>
      <c r="G37" s="55">
        <f>Orders!G37</f>
        <v/>
      </c>
      <c r="H37" s="55">
        <f>Orders!H37</f>
        <v/>
      </c>
      <c r="I37" s="55">
        <f>Orders!I37</f>
        <v/>
      </c>
      <c r="J37" s="55">
        <f>Orders!J37</f>
        <v/>
      </c>
      <c r="K37" s="55">
        <f>Orders!K37</f>
        <v/>
      </c>
      <c r="L37" s="55">
        <f>VLOOKUP(D37,Products!$A$2:$F$61,3,FALSE())</f>
        <v/>
      </c>
      <c r="M37" s="55">
        <f>VLOOKUP(C37,Customers!$A$2:$F$301,5,FALSE())</f>
        <v/>
      </c>
      <c r="N37" s="55">
        <f>VLOOKUP(E37,Sales_Reps!$A$2:$E$31,3,FALSE())</f>
        <v/>
      </c>
      <c r="O37" s="55">
        <f>VLOOKUP(D37,Products!$A$2:$F$61,4,FALSE())</f>
        <v/>
      </c>
      <c r="P37" s="55">
        <f>VLOOKUP(C37,Customers!$A$2:$F$301,3,FALSE())</f>
        <v/>
      </c>
      <c r="Q37" s="55">
        <f>UPPER(TRIM(K37))</f>
        <v/>
      </c>
      <c r="R37" s="55">
        <f>(G37-O37)/G37</f>
        <v/>
      </c>
      <c r="S37" s="55">
        <f>VLOOKUP(D37,Products!$A$2:$F$61,6,FALSE())</f>
        <v/>
      </c>
      <c r="U37" s="55">
        <f>TRIM(Customers!B37)</f>
        <v/>
      </c>
      <c r="V37" s="55">
        <f>UPPER(TRIM(Customers!D37))</f>
        <v/>
      </c>
      <c r="W37" s="55">
        <f>LEN(Customers!B37)&lt;&gt;LEN(TRIM(Customers!B37))</f>
        <v/>
      </c>
    </row>
    <row r="38" ht="15" customHeight="1" s="56">
      <c r="A38" s="55">
        <f>Orders!A38</f>
        <v/>
      </c>
      <c r="B38" s="103">
        <f>Orders!B38</f>
        <v/>
      </c>
      <c r="C38" s="55">
        <f>Orders!C38</f>
        <v/>
      </c>
      <c r="D38" s="55">
        <f>Orders!D38</f>
        <v/>
      </c>
      <c r="E38" s="55">
        <f>Orders!E38</f>
        <v/>
      </c>
      <c r="F38" s="55">
        <f>Orders!F38</f>
        <v/>
      </c>
      <c r="G38" s="55">
        <f>Orders!G38</f>
        <v/>
      </c>
      <c r="H38" s="55">
        <f>Orders!H38</f>
        <v/>
      </c>
      <c r="I38" s="55">
        <f>Orders!I38</f>
        <v/>
      </c>
      <c r="J38" s="55">
        <f>Orders!J38</f>
        <v/>
      </c>
      <c r="K38" s="55">
        <f>Orders!K38</f>
        <v/>
      </c>
      <c r="L38" s="55">
        <f>VLOOKUP(D38,Products!$A$2:$F$61,3,FALSE())</f>
        <v/>
      </c>
      <c r="M38" s="55">
        <f>VLOOKUP(C38,Customers!$A$2:$F$301,5,FALSE())</f>
        <v/>
      </c>
      <c r="N38" s="55">
        <f>VLOOKUP(E38,Sales_Reps!$A$2:$E$31,3,FALSE())</f>
        <v/>
      </c>
      <c r="O38" s="55">
        <f>VLOOKUP(D38,Products!$A$2:$F$61,4,FALSE())</f>
        <v/>
      </c>
      <c r="P38" s="55">
        <f>VLOOKUP(C38,Customers!$A$2:$F$301,3,FALSE())</f>
        <v/>
      </c>
      <c r="Q38" s="55">
        <f>UPPER(TRIM(K38))</f>
        <v/>
      </c>
      <c r="R38" s="55">
        <f>(G38-O38)/G38</f>
        <v/>
      </c>
      <c r="S38" s="55">
        <f>VLOOKUP(D38,Products!$A$2:$F$61,6,FALSE())</f>
        <v/>
      </c>
      <c r="U38" s="55">
        <f>TRIM(Customers!B38)</f>
        <v/>
      </c>
      <c r="V38" s="55">
        <f>UPPER(TRIM(Customers!D38))</f>
        <v/>
      </c>
      <c r="W38" s="55">
        <f>LEN(Customers!B38)&lt;&gt;LEN(TRIM(Customers!B38))</f>
        <v/>
      </c>
    </row>
    <row r="39" ht="15" customHeight="1" s="56">
      <c r="A39" s="55">
        <f>Orders!A39</f>
        <v/>
      </c>
      <c r="B39" s="103">
        <f>Orders!B39</f>
        <v/>
      </c>
      <c r="C39" s="55">
        <f>Orders!C39</f>
        <v/>
      </c>
      <c r="D39" s="55">
        <f>Orders!D39</f>
        <v/>
      </c>
      <c r="E39" s="55">
        <f>Orders!E39</f>
        <v/>
      </c>
      <c r="F39" s="55">
        <f>Orders!F39</f>
        <v/>
      </c>
      <c r="G39" s="55">
        <f>Orders!G39</f>
        <v/>
      </c>
      <c r="H39" s="55">
        <f>Orders!H39</f>
        <v/>
      </c>
      <c r="I39" s="55">
        <f>Orders!I39</f>
        <v/>
      </c>
      <c r="J39" s="55">
        <f>Orders!J39</f>
        <v/>
      </c>
      <c r="K39" s="55">
        <f>Orders!K39</f>
        <v/>
      </c>
      <c r="L39" s="55">
        <f>VLOOKUP(D39,Products!$A$2:$F$61,3,FALSE())</f>
        <v/>
      </c>
      <c r="M39" s="55">
        <f>VLOOKUP(C39,Customers!$A$2:$F$301,5,FALSE())</f>
        <v/>
      </c>
      <c r="N39" s="55">
        <f>VLOOKUP(E39,Sales_Reps!$A$2:$E$31,3,FALSE())</f>
        <v/>
      </c>
      <c r="O39" s="55">
        <f>VLOOKUP(D39,Products!$A$2:$F$61,4,FALSE())</f>
        <v/>
      </c>
      <c r="P39" s="55">
        <f>VLOOKUP(C39,Customers!$A$2:$F$301,3,FALSE())</f>
        <v/>
      </c>
      <c r="Q39" s="55">
        <f>UPPER(TRIM(K39))</f>
        <v/>
      </c>
      <c r="R39" s="55">
        <f>(G39-O39)/G39</f>
        <v/>
      </c>
      <c r="S39" s="55">
        <f>VLOOKUP(D39,Products!$A$2:$F$61,6,FALSE())</f>
        <v/>
      </c>
      <c r="U39" s="55">
        <f>TRIM(Customers!B39)</f>
        <v/>
      </c>
      <c r="V39" s="55">
        <f>UPPER(TRIM(Customers!D39))</f>
        <v/>
      </c>
      <c r="W39" s="55">
        <f>LEN(Customers!B39)&lt;&gt;LEN(TRIM(Customers!B39))</f>
        <v/>
      </c>
    </row>
    <row r="40" ht="15" customHeight="1" s="56">
      <c r="A40" s="55">
        <f>Orders!A40</f>
        <v/>
      </c>
      <c r="B40" s="103">
        <f>Orders!B40</f>
        <v/>
      </c>
      <c r="C40" s="55">
        <f>Orders!C40</f>
        <v/>
      </c>
      <c r="D40" s="55">
        <f>Orders!D40</f>
        <v/>
      </c>
      <c r="E40" s="55">
        <f>Orders!E40</f>
        <v/>
      </c>
      <c r="F40" s="55">
        <f>Orders!F40</f>
        <v/>
      </c>
      <c r="G40" s="55">
        <f>Orders!G40</f>
        <v/>
      </c>
      <c r="H40" s="55">
        <f>Orders!H40</f>
        <v/>
      </c>
      <c r="I40" s="55">
        <f>Orders!I40</f>
        <v/>
      </c>
      <c r="J40" s="55">
        <f>Orders!J40</f>
        <v/>
      </c>
      <c r="K40" s="55">
        <f>Orders!K40</f>
        <v/>
      </c>
      <c r="L40" s="55">
        <f>VLOOKUP(D40,Products!$A$2:$F$61,3,FALSE())</f>
        <v/>
      </c>
      <c r="M40" s="55">
        <f>VLOOKUP(C40,Customers!$A$2:$F$301,5,FALSE())</f>
        <v/>
      </c>
      <c r="N40" s="55">
        <f>VLOOKUP(E40,Sales_Reps!$A$2:$E$31,3,FALSE())</f>
        <v/>
      </c>
      <c r="O40" s="55">
        <f>VLOOKUP(D40,Products!$A$2:$F$61,4,FALSE())</f>
        <v/>
      </c>
      <c r="P40" s="55">
        <f>VLOOKUP(C40,Customers!$A$2:$F$301,3,FALSE())</f>
        <v/>
      </c>
      <c r="Q40" s="55">
        <f>UPPER(TRIM(K40))</f>
        <v/>
      </c>
      <c r="R40" s="55">
        <f>(G40-O40)/G40</f>
        <v/>
      </c>
      <c r="S40" s="55">
        <f>VLOOKUP(D40,Products!$A$2:$F$61,6,FALSE())</f>
        <v/>
      </c>
      <c r="U40" s="55">
        <f>TRIM(Customers!B40)</f>
        <v/>
      </c>
      <c r="V40" s="55">
        <f>UPPER(TRIM(Customers!D40))</f>
        <v/>
      </c>
      <c r="W40" s="55">
        <f>LEN(Customers!B40)&lt;&gt;LEN(TRIM(Customers!B40))</f>
        <v/>
      </c>
    </row>
    <row r="41" ht="15" customHeight="1" s="56">
      <c r="A41" s="55">
        <f>Orders!A41</f>
        <v/>
      </c>
      <c r="B41" s="103">
        <f>Orders!B41</f>
        <v/>
      </c>
      <c r="C41" s="55">
        <f>Orders!C41</f>
        <v/>
      </c>
      <c r="D41" s="55">
        <f>Orders!D41</f>
        <v/>
      </c>
      <c r="E41" s="55">
        <f>Orders!E41</f>
        <v/>
      </c>
      <c r="F41" s="55">
        <f>Orders!F41</f>
        <v/>
      </c>
      <c r="G41" s="55">
        <f>Orders!G41</f>
        <v/>
      </c>
      <c r="H41" s="55">
        <f>Orders!H41</f>
        <v/>
      </c>
      <c r="I41" s="55">
        <f>Orders!I41</f>
        <v/>
      </c>
      <c r="J41" s="55">
        <f>Orders!J41</f>
        <v/>
      </c>
      <c r="K41" s="55">
        <f>Orders!K41</f>
        <v/>
      </c>
      <c r="L41" s="55">
        <f>VLOOKUP(D41,Products!$A$2:$F$61,3,FALSE())</f>
        <v/>
      </c>
      <c r="M41" s="55">
        <f>VLOOKUP(C41,Customers!$A$2:$F$301,5,FALSE())</f>
        <v/>
      </c>
      <c r="N41" s="55">
        <f>VLOOKUP(E41,Sales_Reps!$A$2:$E$31,3,FALSE())</f>
        <v/>
      </c>
      <c r="O41" s="55">
        <f>VLOOKUP(D41,Products!$A$2:$F$61,4,FALSE())</f>
        <v/>
      </c>
      <c r="P41" s="55">
        <f>VLOOKUP(C41,Customers!$A$2:$F$301,3,FALSE())</f>
        <v/>
      </c>
      <c r="Q41" s="55">
        <f>UPPER(TRIM(K41))</f>
        <v/>
      </c>
      <c r="R41" s="55">
        <f>(G41-O41)/G41</f>
        <v/>
      </c>
      <c r="S41" s="55">
        <f>VLOOKUP(D41,Products!$A$2:$F$61,6,FALSE())</f>
        <v/>
      </c>
      <c r="U41" s="55">
        <f>TRIM(Customers!B41)</f>
        <v/>
      </c>
      <c r="V41" s="55">
        <f>UPPER(TRIM(Customers!D41))</f>
        <v/>
      </c>
      <c r="W41" s="55">
        <f>LEN(Customers!B41)&lt;&gt;LEN(TRIM(Customers!B41))</f>
        <v/>
      </c>
    </row>
    <row r="42" ht="15" customHeight="1" s="56">
      <c r="A42" s="55">
        <f>Orders!A42</f>
        <v/>
      </c>
      <c r="B42" s="103">
        <f>Orders!B42</f>
        <v/>
      </c>
      <c r="C42" s="55">
        <f>Orders!C42</f>
        <v/>
      </c>
      <c r="D42" s="55">
        <f>Orders!D42</f>
        <v/>
      </c>
      <c r="E42" s="55">
        <f>Orders!E42</f>
        <v/>
      </c>
      <c r="F42" s="55">
        <f>Orders!F42</f>
        <v/>
      </c>
      <c r="G42" s="55">
        <f>Orders!G42</f>
        <v/>
      </c>
      <c r="H42" s="55">
        <f>Orders!H42</f>
        <v/>
      </c>
      <c r="I42" s="55">
        <f>Orders!I42</f>
        <v/>
      </c>
      <c r="J42" s="55">
        <f>Orders!J42</f>
        <v/>
      </c>
      <c r="K42" s="55">
        <f>Orders!K42</f>
        <v/>
      </c>
      <c r="L42" s="55">
        <f>VLOOKUP(D42,Products!$A$2:$F$61,3,FALSE())</f>
        <v/>
      </c>
      <c r="M42" s="55">
        <f>VLOOKUP(C42,Customers!$A$2:$F$301,5,FALSE())</f>
        <v/>
      </c>
      <c r="N42" s="55">
        <f>VLOOKUP(E42,Sales_Reps!$A$2:$E$31,3,FALSE())</f>
        <v/>
      </c>
      <c r="O42" s="55">
        <f>VLOOKUP(D42,Products!$A$2:$F$61,4,FALSE())</f>
        <v/>
      </c>
      <c r="P42" s="55">
        <f>VLOOKUP(C42,Customers!$A$2:$F$301,3,FALSE())</f>
        <v/>
      </c>
      <c r="Q42" s="55">
        <f>UPPER(TRIM(K42))</f>
        <v/>
      </c>
      <c r="R42" s="55">
        <f>(G42-O42)/G42</f>
        <v/>
      </c>
      <c r="S42" s="55">
        <f>VLOOKUP(D42,Products!$A$2:$F$61,6,FALSE())</f>
        <v/>
      </c>
      <c r="U42" s="55">
        <f>TRIM(Customers!B42)</f>
        <v/>
      </c>
      <c r="V42" s="55">
        <f>UPPER(TRIM(Customers!D42))</f>
        <v/>
      </c>
      <c r="W42" s="55">
        <f>LEN(Customers!B42)&lt;&gt;LEN(TRIM(Customers!B42))</f>
        <v/>
      </c>
    </row>
    <row r="43" ht="15" customHeight="1" s="56">
      <c r="A43" s="55">
        <f>Orders!A43</f>
        <v/>
      </c>
      <c r="B43" s="103">
        <f>Orders!B43</f>
        <v/>
      </c>
      <c r="C43" s="55">
        <f>Orders!C43</f>
        <v/>
      </c>
      <c r="D43" s="55">
        <f>Orders!D43</f>
        <v/>
      </c>
      <c r="E43" s="55">
        <f>Orders!E43</f>
        <v/>
      </c>
      <c r="F43" s="55">
        <f>Orders!F43</f>
        <v/>
      </c>
      <c r="G43" s="55">
        <f>Orders!G43</f>
        <v/>
      </c>
      <c r="H43" s="55">
        <f>Orders!H43</f>
        <v/>
      </c>
      <c r="I43" s="55">
        <f>Orders!I43</f>
        <v/>
      </c>
      <c r="J43" s="55">
        <f>Orders!J43</f>
        <v/>
      </c>
      <c r="K43" s="55">
        <f>Orders!K43</f>
        <v/>
      </c>
      <c r="L43" s="55">
        <f>VLOOKUP(D43,Products!$A$2:$F$61,3,FALSE())</f>
        <v/>
      </c>
      <c r="M43" s="55">
        <f>VLOOKUP(C43,Customers!$A$2:$F$301,5,FALSE())</f>
        <v/>
      </c>
      <c r="N43" s="55">
        <f>VLOOKUP(E43,Sales_Reps!$A$2:$E$31,3,FALSE())</f>
        <v/>
      </c>
      <c r="O43" s="55">
        <f>VLOOKUP(D43,Products!$A$2:$F$61,4,FALSE())</f>
        <v/>
      </c>
      <c r="P43" s="55">
        <f>VLOOKUP(C43,Customers!$A$2:$F$301,3,FALSE())</f>
        <v/>
      </c>
      <c r="Q43" s="55">
        <f>UPPER(TRIM(K43))</f>
        <v/>
      </c>
      <c r="R43" s="55">
        <f>(G43-O43)/G43</f>
        <v/>
      </c>
      <c r="S43" s="55">
        <f>VLOOKUP(D43,Products!$A$2:$F$61,6,FALSE())</f>
        <v/>
      </c>
      <c r="U43" s="55">
        <f>TRIM(Customers!B43)</f>
        <v/>
      </c>
      <c r="V43" s="55">
        <f>UPPER(TRIM(Customers!D43))</f>
        <v/>
      </c>
      <c r="W43" s="55">
        <f>LEN(Customers!B43)&lt;&gt;LEN(TRIM(Customers!B43))</f>
        <v/>
      </c>
    </row>
    <row r="44" ht="15" customHeight="1" s="56">
      <c r="A44" s="55">
        <f>Orders!A44</f>
        <v/>
      </c>
      <c r="B44" s="103">
        <f>Orders!B44</f>
        <v/>
      </c>
      <c r="C44" s="55">
        <f>Orders!C44</f>
        <v/>
      </c>
      <c r="D44" s="55">
        <f>Orders!D44</f>
        <v/>
      </c>
      <c r="E44" s="55">
        <f>Orders!E44</f>
        <v/>
      </c>
      <c r="F44" s="55">
        <f>Orders!F44</f>
        <v/>
      </c>
      <c r="G44" s="55">
        <f>Orders!G44</f>
        <v/>
      </c>
      <c r="H44" s="55">
        <f>Orders!H44</f>
        <v/>
      </c>
      <c r="I44" s="55">
        <f>Orders!I44</f>
        <v/>
      </c>
      <c r="J44" s="55">
        <f>Orders!J44</f>
        <v/>
      </c>
      <c r="K44" s="55">
        <f>Orders!K44</f>
        <v/>
      </c>
      <c r="L44" s="55">
        <f>VLOOKUP(D44,Products!$A$2:$F$61,3,FALSE())</f>
        <v/>
      </c>
      <c r="M44" s="55">
        <f>VLOOKUP(C44,Customers!$A$2:$F$301,5,FALSE())</f>
        <v/>
      </c>
      <c r="N44" s="55">
        <f>VLOOKUP(E44,Sales_Reps!$A$2:$E$31,3,FALSE())</f>
        <v/>
      </c>
      <c r="O44" s="55">
        <f>VLOOKUP(D44,Products!$A$2:$F$61,4,FALSE())</f>
        <v/>
      </c>
      <c r="P44" s="55">
        <f>VLOOKUP(C44,Customers!$A$2:$F$301,3,FALSE())</f>
        <v/>
      </c>
      <c r="Q44" s="55">
        <f>UPPER(TRIM(K44))</f>
        <v/>
      </c>
      <c r="R44" s="55">
        <f>(G44-O44)/G44</f>
        <v/>
      </c>
      <c r="S44" s="55">
        <f>VLOOKUP(D44,Products!$A$2:$F$61,6,FALSE())</f>
        <v/>
      </c>
      <c r="U44" s="55">
        <f>TRIM(Customers!B44)</f>
        <v/>
      </c>
      <c r="V44" s="55">
        <f>UPPER(TRIM(Customers!D44))</f>
        <v/>
      </c>
      <c r="W44" s="55">
        <f>LEN(Customers!B44)&lt;&gt;LEN(TRIM(Customers!B44))</f>
        <v/>
      </c>
    </row>
    <row r="45" ht="15" customHeight="1" s="56">
      <c r="A45" s="55">
        <f>Orders!A45</f>
        <v/>
      </c>
      <c r="B45" s="103">
        <f>Orders!B45</f>
        <v/>
      </c>
      <c r="C45" s="55">
        <f>Orders!C45</f>
        <v/>
      </c>
      <c r="D45" s="55">
        <f>Orders!D45</f>
        <v/>
      </c>
      <c r="E45" s="55">
        <f>Orders!E45</f>
        <v/>
      </c>
      <c r="F45" s="55">
        <f>Orders!F45</f>
        <v/>
      </c>
      <c r="G45" s="55">
        <f>Orders!G45</f>
        <v/>
      </c>
      <c r="H45" s="55">
        <f>Orders!H45</f>
        <v/>
      </c>
      <c r="I45" s="55">
        <f>Orders!I45</f>
        <v/>
      </c>
      <c r="J45" s="55">
        <f>Orders!J45</f>
        <v/>
      </c>
      <c r="K45" s="55">
        <f>Orders!K45</f>
        <v/>
      </c>
      <c r="L45" s="55">
        <f>VLOOKUP(D45,Products!$A$2:$F$61,3,FALSE())</f>
        <v/>
      </c>
      <c r="M45" s="55">
        <f>VLOOKUP(C45,Customers!$A$2:$F$301,5,FALSE())</f>
        <v/>
      </c>
      <c r="N45" s="55">
        <f>VLOOKUP(E45,Sales_Reps!$A$2:$E$31,3,FALSE())</f>
        <v/>
      </c>
      <c r="O45" s="55">
        <f>VLOOKUP(D45,Products!$A$2:$F$61,4,FALSE())</f>
        <v/>
      </c>
      <c r="P45" s="55">
        <f>VLOOKUP(C45,Customers!$A$2:$F$301,3,FALSE())</f>
        <v/>
      </c>
      <c r="Q45" s="55">
        <f>UPPER(TRIM(K45))</f>
        <v/>
      </c>
      <c r="R45" s="55">
        <f>(G45-O45)/G45</f>
        <v/>
      </c>
      <c r="S45" s="55">
        <f>VLOOKUP(D45,Products!$A$2:$F$61,6,FALSE())</f>
        <v/>
      </c>
      <c r="U45" s="55">
        <f>TRIM(Customers!B45)</f>
        <v/>
      </c>
      <c r="V45" s="55">
        <f>UPPER(TRIM(Customers!D45))</f>
        <v/>
      </c>
      <c r="W45" s="55">
        <f>LEN(Customers!B45)&lt;&gt;LEN(TRIM(Customers!B45))</f>
        <v/>
      </c>
    </row>
    <row r="46" ht="15" customHeight="1" s="56">
      <c r="A46" s="55">
        <f>Orders!A46</f>
        <v/>
      </c>
      <c r="B46" s="103">
        <f>Orders!B46</f>
        <v/>
      </c>
      <c r="C46" s="55">
        <f>Orders!C46</f>
        <v/>
      </c>
      <c r="D46" s="55">
        <f>Orders!D46</f>
        <v/>
      </c>
      <c r="E46" s="55">
        <f>Orders!E46</f>
        <v/>
      </c>
      <c r="F46" s="55">
        <f>Orders!F46</f>
        <v/>
      </c>
      <c r="G46" s="55">
        <f>Orders!G46</f>
        <v/>
      </c>
      <c r="H46" s="55">
        <f>Orders!H46</f>
        <v/>
      </c>
      <c r="I46" s="55">
        <f>Orders!I46</f>
        <v/>
      </c>
      <c r="J46" s="55">
        <f>Orders!J46</f>
        <v/>
      </c>
      <c r="K46" s="55">
        <f>Orders!K46</f>
        <v/>
      </c>
      <c r="L46" s="55">
        <f>VLOOKUP(D46,Products!$A$2:$F$61,3,FALSE())</f>
        <v/>
      </c>
      <c r="M46" s="55">
        <f>VLOOKUP(C46,Customers!$A$2:$F$301,5,FALSE())</f>
        <v/>
      </c>
      <c r="N46" s="55">
        <f>VLOOKUP(E46,Sales_Reps!$A$2:$E$31,3,FALSE())</f>
        <v/>
      </c>
      <c r="O46" s="55">
        <f>VLOOKUP(D46,Products!$A$2:$F$61,4,FALSE())</f>
        <v/>
      </c>
      <c r="P46" s="55">
        <f>VLOOKUP(C46,Customers!$A$2:$F$301,3,FALSE())</f>
        <v/>
      </c>
      <c r="Q46" s="55">
        <f>UPPER(TRIM(K46))</f>
        <v/>
      </c>
      <c r="R46" s="55">
        <f>(G46-O46)/G46</f>
        <v/>
      </c>
      <c r="S46" s="55">
        <f>VLOOKUP(D46,Products!$A$2:$F$61,6,FALSE())</f>
        <v/>
      </c>
      <c r="U46" s="55">
        <f>TRIM(Customers!B46)</f>
        <v/>
      </c>
      <c r="V46" s="55">
        <f>UPPER(TRIM(Customers!D46))</f>
        <v/>
      </c>
      <c r="W46" s="55">
        <f>LEN(Customers!B46)&lt;&gt;LEN(TRIM(Customers!B46))</f>
        <v/>
      </c>
    </row>
    <row r="47" ht="15" customHeight="1" s="56">
      <c r="A47" s="55">
        <f>Orders!A47</f>
        <v/>
      </c>
      <c r="B47" s="103">
        <f>Orders!B47</f>
        <v/>
      </c>
      <c r="C47" s="55">
        <f>Orders!C47</f>
        <v/>
      </c>
      <c r="D47" s="55">
        <f>Orders!D47</f>
        <v/>
      </c>
      <c r="E47" s="55">
        <f>Orders!E47</f>
        <v/>
      </c>
      <c r="F47" s="55">
        <f>Orders!F47</f>
        <v/>
      </c>
      <c r="G47" s="55">
        <f>Orders!G47</f>
        <v/>
      </c>
      <c r="H47" s="55">
        <f>Orders!H47</f>
        <v/>
      </c>
      <c r="I47" s="55">
        <f>Orders!I47</f>
        <v/>
      </c>
      <c r="J47" s="55">
        <f>Orders!J47</f>
        <v/>
      </c>
      <c r="K47" s="55">
        <f>Orders!K47</f>
        <v/>
      </c>
      <c r="L47" s="55">
        <f>VLOOKUP(D47,Products!$A$2:$F$61,3,FALSE())</f>
        <v/>
      </c>
      <c r="M47" s="55">
        <f>VLOOKUP(C47,Customers!$A$2:$F$301,5,FALSE())</f>
        <v/>
      </c>
      <c r="N47" s="55">
        <f>VLOOKUP(E47,Sales_Reps!$A$2:$E$31,3,FALSE())</f>
        <v/>
      </c>
      <c r="O47" s="55">
        <f>VLOOKUP(D47,Products!$A$2:$F$61,4,FALSE())</f>
        <v/>
      </c>
      <c r="P47" s="55">
        <f>VLOOKUP(C47,Customers!$A$2:$F$301,3,FALSE())</f>
        <v/>
      </c>
      <c r="Q47" s="55">
        <f>UPPER(TRIM(K47))</f>
        <v/>
      </c>
      <c r="R47" s="55">
        <f>(G47-O47)/G47</f>
        <v/>
      </c>
      <c r="S47" s="55">
        <f>VLOOKUP(D47,Products!$A$2:$F$61,6,FALSE())</f>
        <v/>
      </c>
      <c r="U47" s="55">
        <f>TRIM(Customers!B47)</f>
        <v/>
      </c>
      <c r="V47" s="55">
        <f>UPPER(TRIM(Customers!D47))</f>
        <v/>
      </c>
      <c r="W47" s="55">
        <f>LEN(Customers!B47)&lt;&gt;LEN(TRIM(Customers!B47))</f>
        <v/>
      </c>
    </row>
    <row r="48" ht="15" customHeight="1" s="56">
      <c r="A48" s="55">
        <f>Orders!A48</f>
        <v/>
      </c>
      <c r="B48" s="103">
        <f>Orders!B48</f>
        <v/>
      </c>
      <c r="C48" s="55">
        <f>Orders!C48</f>
        <v/>
      </c>
      <c r="D48" s="55">
        <f>Orders!D48</f>
        <v/>
      </c>
      <c r="E48" s="55">
        <f>Orders!E48</f>
        <v/>
      </c>
      <c r="F48" s="55">
        <f>Orders!F48</f>
        <v/>
      </c>
      <c r="G48" s="55">
        <f>Orders!G48</f>
        <v/>
      </c>
      <c r="H48" s="55">
        <f>Orders!H48</f>
        <v/>
      </c>
      <c r="I48" s="55">
        <f>Orders!I48</f>
        <v/>
      </c>
      <c r="J48" s="55">
        <f>Orders!J48</f>
        <v/>
      </c>
      <c r="K48" s="55">
        <f>Orders!K48</f>
        <v/>
      </c>
      <c r="L48" s="55">
        <f>VLOOKUP(D48,Products!$A$2:$F$61,3,FALSE())</f>
        <v/>
      </c>
      <c r="M48" s="55">
        <f>VLOOKUP(C48,Customers!$A$2:$F$301,5,FALSE())</f>
        <v/>
      </c>
      <c r="N48" s="55">
        <f>VLOOKUP(E48,Sales_Reps!$A$2:$E$31,3,FALSE())</f>
        <v/>
      </c>
      <c r="O48" s="55">
        <f>VLOOKUP(D48,Products!$A$2:$F$61,4,FALSE())</f>
        <v/>
      </c>
      <c r="P48" s="55">
        <f>VLOOKUP(C48,Customers!$A$2:$F$301,3,FALSE())</f>
        <v/>
      </c>
      <c r="Q48" s="55">
        <f>UPPER(TRIM(K48))</f>
        <v/>
      </c>
      <c r="R48" s="55">
        <f>(G48-O48)/G48</f>
        <v/>
      </c>
      <c r="S48" s="55">
        <f>VLOOKUP(D48,Products!$A$2:$F$61,6,FALSE())</f>
        <v/>
      </c>
      <c r="U48" s="55">
        <f>TRIM(Customers!B48)</f>
        <v/>
      </c>
      <c r="V48" s="55">
        <f>UPPER(TRIM(Customers!D48))</f>
        <v/>
      </c>
      <c r="W48" s="55">
        <f>LEN(Customers!B48)&lt;&gt;LEN(TRIM(Customers!B48))</f>
        <v/>
      </c>
    </row>
    <row r="49" ht="15" customHeight="1" s="56">
      <c r="A49" s="55">
        <f>Orders!A49</f>
        <v/>
      </c>
      <c r="B49" s="103">
        <f>Orders!B49</f>
        <v/>
      </c>
      <c r="C49" s="55">
        <f>Orders!C49</f>
        <v/>
      </c>
      <c r="D49" s="55">
        <f>Orders!D49</f>
        <v/>
      </c>
      <c r="E49" s="55">
        <f>Orders!E49</f>
        <v/>
      </c>
      <c r="F49" s="55">
        <f>Orders!F49</f>
        <v/>
      </c>
      <c r="G49" s="55">
        <f>Orders!G49</f>
        <v/>
      </c>
      <c r="H49" s="55">
        <f>Orders!H49</f>
        <v/>
      </c>
      <c r="I49" s="55">
        <f>Orders!I49</f>
        <v/>
      </c>
      <c r="J49" s="55">
        <f>Orders!J49</f>
        <v/>
      </c>
      <c r="K49" s="55">
        <f>Orders!K49</f>
        <v/>
      </c>
      <c r="L49" s="55">
        <f>VLOOKUP(D49,Products!$A$2:$F$61,3,FALSE())</f>
        <v/>
      </c>
      <c r="M49" s="55">
        <f>VLOOKUP(C49,Customers!$A$2:$F$301,5,FALSE())</f>
        <v/>
      </c>
      <c r="N49" s="55">
        <f>VLOOKUP(E49,Sales_Reps!$A$2:$E$31,3,FALSE())</f>
        <v/>
      </c>
      <c r="O49" s="55">
        <f>VLOOKUP(D49,Products!$A$2:$F$61,4,FALSE())</f>
        <v/>
      </c>
      <c r="P49" s="55">
        <f>VLOOKUP(C49,Customers!$A$2:$F$301,3,FALSE())</f>
        <v/>
      </c>
      <c r="Q49" s="55">
        <f>UPPER(TRIM(K49))</f>
        <v/>
      </c>
      <c r="R49" s="55">
        <f>(G49-O49)/G49</f>
        <v/>
      </c>
      <c r="S49" s="55">
        <f>VLOOKUP(D49,Products!$A$2:$F$61,6,FALSE())</f>
        <v/>
      </c>
      <c r="U49" s="55">
        <f>TRIM(Customers!B49)</f>
        <v/>
      </c>
      <c r="V49" s="55">
        <f>UPPER(TRIM(Customers!D49))</f>
        <v/>
      </c>
      <c r="W49" s="55">
        <f>LEN(Customers!B49)&lt;&gt;LEN(TRIM(Customers!B49))</f>
        <v/>
      </c>
    </row>
    <row r="50" ht="15" customHeight="1" s="56">
      <c r="A50" s="55">
        <f>Orders!A50</f>
        <v/>
      </c>
      <c r="B50" s="103">
        <f>Orders!B50</f>
        <v/>
      </c>
      <c r="C50" s="55">
        <f>Orders!C50</f>
        <v/>
      </c>
      <c r="D50" s="55">
        <f>Orders!D50</f>
        <v/>
      </c>
      <c r="E50" s="55">
        <f>Orders!E50</f>
        <v/>
      </c>
      <c r="F50" s="55">
        <f>Orders!F50</f>
        <v/>
      </c>
      <c r="G50" s="55">
        <f>Orders!G50</f>
        <v/>
      </c>
      <c r="H50" s="55">
        <f>Orders!H50</f>
        <v/>
      </c>
      <c r="I50" s="55">
        <f>Orders!I50</f>
        <v/>
      </c>
      <c r="J50" s="55">
        <f>Orders!J50</f>
        <v/>
      </c>
      <c r="K50" s="55">
        <f>Orders!K50</f>
        <v/>
      </c>
      <c r="L50" s="55">
        <f>VLOOKUP(D50,Products!$A$2:$F$61,3,FALSE())</f>
        <v/>
      </c>
      <c r="M50" s="55">
        <f>VLOOKUP(C50,Customers!$A$2:$F$301,5,FALSE())</f>
        <v/>
      </c>
      <c r="N50" s="55">
        <f>VLOOKUP(E50,Sales_Reps!$A$2:$E$31,3,FALSE())</f>
        <v/>
      </c>
      <c r="O50" s="55">
        <f>VLOOKUP(D50,Products!$A$2:$F$61,4,FALSE())</f>
        <v/>
      </c>
      <c r="P50" s="55">
        <f>VLOOKUP(C50,Customers!$A$2:$F$301,3,FALSE())</f>
        <v/>
      </c>
      <c r="Q50" s="55">
        <f>UPPER(TRIM(K50))</f>
        <v/>
      </c>
      <c r="R50" s="55">
        <f>(G50-O50)/G50</f>
        <v/>
      </c>
      <c r="S50" s="55">
        <f>VLOOKUP(D50,Products!$A$2:$F$61,6,FALSE())</f>
        <v/>
      </c>
      <c r="U50" s="55">
        <f>TRIM(Customers!B50)</f>
        <v/>
      </c>
      <c r="V50" s="55">
        <f>UPPER(TRIM(Customers!D50))</f>
        <v/>
      </c>
      <c r="W50" s="55">
        <f>LEN(Customers!B50)&lt;&gt;LEN(TRIM(Customers!B50))</f>
        <v/>
      </c>
    </row>
    <row r="51" ht="15" customHeight="1" s="56">
      <c r="A51" s="55">
        <f>Orders!A51</f>
        <v/>
      </c>
      <c r="B51" s="103">
        <f>Orders!B51</f>
        <v/>
      </c>
      <c r="C51" s="55">
        <f>Orders!C51</f>
        <v/>
      </c>
      <c r="D51" s="55">
        <f>Orders!D51</f>
        <v/>
      </c>
      <c r="E51" s="55">
        <f>Orders!E51</f>
        <v/>
      </c>
      <c r="F51" s="55">
        <f>Orders!F51</f>
        <v/>
      </c>
      <c r="G51" s="55">
        <f>Orders!G51</f>
        <v/>
      </c>
      <c r="H51" s="55">
        <f>Orders!H51</f>
        <v/>
      </c>
      <c r="I51" s="55">
        <f>Orders!I51</f>
        <v/>
      </c>
      <c r="J51" s="55">
        <f>Orders!J51</f>
        <v/>
      </c>
      <c r="K51" s="55">
        <f>Orders!K51</f>
        <v/>
      </c>
      <c r="L51" s="55">
        <f>VLOOKUP(D51,Products!$A$2:$F$61,3,FALSE())</f>
        <v/>
      </c>
      <c r="M51" s="55">
        <f>VLOOKUP(C51,Customers!$A$2:$F$301,5,FALSE())</f>
        <v/>
      </c>
      <c r="N51" s="55">
        <f>VLOOKUP(E51,Sales_Reps!$A$2:$E$31,3,FALSE())</f>
        <v/>
      </c>
      <c r="O51" s="55">
        <f>VLOOKUP(D51,Products!$A$2:$F$61,4,FALSE())</f>
        <v/>
      </c>
      <c r="P51" s="55">
        <f>VLOOKUP(C51,Customers!$A$2:$F$301,3,FALSE())</f>
        <v/>
      </c>
      <c r="Q51" s="55">
        <f>UPPER(TRIM(K51))</f>
        <v/>
      </c>
      <c r="R51" s="55">
        <f>(G51-O51)/G51</f>
        <v/>
      </c>
      <c r="S51" s="55">
        <f>VLOOKUP(D51,Products!$A$2:$F$61,6,FALSE())</f>
        <v/>
      </c>
      <c r="U51" s="55">
        <f>TRIM(Customers!B51)</f>
        <v/>
      </c>
      <c r="V51" s="55">
        <f>UPPER(TRIM(Customers!D51))</f>
        <v/>
      </c>
      <c r="W51" s="55">
        <f>LEN(Customers!B51)&lt;&gt;LEN(TRIM(Customers!B51))</f>
        <v/>
      </c>
    </row>
    <row r="52" ht="15" customHeight="1" s="56">
      <c r="A52" s="55">
        <f>Orders!A52</f>
        <v/>
      </c>
      <c r="B52" s="103">
        <f>Orders!B52</f>
        <v/>
      </c>
      <c r="C52" s="55">
        <f>Orders!C52</f>
        <v/>
      </c>
      <c r="D52" s="55">
        <f>Orders!D52</f>
        <v/>
      </c>
      <c r="E52" s="55">
        <f>Orders!E52</f>
        <v/>
      </c>
      <c r="F52" s="55">
        <f>Orders!F52</f>
        <v/>
      </c>
      <c r="G52" s="55">
        <f>Orders!G52</f>
        <v/>
      </c>
      <c r="H52" s="55">
        <f>Orders!H52</f>
        <v/>
      </c>
      <c r="I52" s="55">
        <f>Orders!I52</f>
        <v/>
      </c>
      <c r="J52" s="55">
        <f>Orders!J52</f>
        <v/>
      </c>
      <c r="K52" s="55">
        <f>Orders!K52</f>
        <v/>
      </c>
      <c r="L52" s="55">
        <f>VLOOKUP(D52,Products!$A$2:$F$61,3,FALSE())</f>
        <v/>
      </c>
      <c r="M52" s="55">
        <f>VLOOKUP(C52,Customers!$A$2:$F$301,5,FALSE())</f>
        <v/>
      </c>
      <c r="N52" s="55">
        <f>VLOOKUP(E52,Sales_Reps!$A$2:$E$31,3,FALSE())</f>
        <v/>
      </c>
      <c r="O52" s="55">
        <f>VLOOKUP(D52,Products!$A$2:$F$61,4,FALSE())</f>
        <v/>
      </c>
      <c r="P52" s="55">
        <f>VLOOKUP(C52,Customers!$A$2:$F$301,3,FALSE())</f>
        <v/>
      </c>
      <c r="Q52" s="55">
        <f>UPPER(TRIM(K52))</f>
        <v/>
      </c>
      <c r="R52" s="55">
        <f>(G52-O52)/G52</f>
        <v/>
      </c>
      <c r="S52" s="55">
        <f>VLOOKUP(D52,Products!$A$2:$F$61,6,FALSE())</f>
        <v/>
      </c>
      <c r="U52" s="55">
        <f>TRIM(Customers!B52)</f>
        <v/>
      </c>
      <c r="V52" s="55">
        <f>UPPER(TRIM(Customers!D52))</f>
        <v/>
      </c>
      <c r="W52" s="55">
        <f>LEN(Customers!B52)&lt;&gt;LEN(TRIM(Customers!B52))</f>
        <v/>
      </c>
    </row>
    <row r="53" ht="15" customHeight="1" s="56">
      <c r="A53" s="55">
        <f>Orders!A53</f>
        <v/>
      </c>
      <c r="B53" s="103">
        <f>Orders!B53</f>
        <v/>
      </c>
      <c r="C53" s="55">
        <f>Orders!C53</f>
        <v/>
      </c>
      <c r="D53" s="55">
        <f>Orders!D53</f>
        <v/>
      </c>
      <c r="E53" s="55">
        <f>Orders!E53</f>
        <v/>
      </c>
      <c r="F53" s="55">
        <f>Orders!F53</f>
        <v/>
      </c>
      <c r="G53" s="55">
        <f>Orders!G53</f>
        <v/>
      </c>
      <c r="H53" s="55">
        <f>Orders!H53</f>
        <v/>
      </c>
      <c r="I53" s="55">
        <f>Orders!I53</f>
        <v/>
      </c>
      <c r="J53" s="55">
        <f>Orders!J53</f>
        <v/>
      </c>
      <c r="K53" s="55">
        <f>Orders!K53</f>
        <v/>
      </c>
      <c r="L53" s="55">
        <f>VLOOKUP(D53,Products!$A$2:$F$61,3,FALSE())</f>
        <v/>
      </c>
      <c r="M53" s="55">
        <f>VLOOKUP(C53,Customers!$A$2:$F$301,5,FALSE())</f>
        <v/>
      </c>
      <c r="N53" s="55">
        <f>VLOOKUP(E53,Sales_Reps!$A$2:$E$31,3,FALSE())</f>
        <v/>
      </c>
      <c r="O53" s="55">
        <f>VLOOKUP(D53,Products!$A$2:$F$61,4,FALSE())</f>
        <v/>
      </c>
      <c r="P53" s="55">
        <f>VLOOKUP(C53,Customers!$A$2:$F$301,3,FALSE())</f>
        <v/>
      </c>
      <c r="Q53" s="55">
        <f>UPPER(TRIM(K53))</f>
        <v/>
      </c>
      <c r="R53" s="55">
        <f>(G53-O53)/G53</f>
        <v/>
      </c>
      <c r="S53" s="55">
        <f>VLOOKUP(D53,Products!$A$2:$F$61,6,FALSE())</f>
        <v/>
      </c>
      <c r="U53" s="55">
        <f>TRIM(Customers!B53)</f>
        <v/>
      </c>
      <c r="V53" s="55">
        <f>UPPER(TRIM(Customers!D53))</f>
        <v/>
      </c>
      <c r="W53" s="55">
        <f>LEN(Customers!B53)&lt;&gt;LEN(TRIM(Customers!B53))</f>
        <v/>
      </c>
    </row>
    <row r="54" ht="15" customHeight="1" s="56">
      <c r="A54" s="55">
        <f>Orders!A54</f>
        <v/>
      </c>
      <c r="B54" s="103">
        <f>Orders!B54</f>
        <v/>
      </c>
      <c r="C54" s="55">
        <f>Orders!C54</f>
        <v/>
      </c>
      <c r="D54" s="55">
        <f>Orders!D54</f>
        <v/>
      </c>
      <c r="E54" s="55">
        <f>Orders!E54</f>
        <v/>
      </c>
      <c r="F54" s="55">
        <f>Orders!F54</f>
        <v/>
      </c>
      <c r="G54" s="55">
        <f>Orders!G54</f>
        <v/>
      </c>
      <c r="H54" s="55">
        <f>Orders!H54</f>
        <v/>
      </c>
      <c r="I54" s="55">
        <f>Orders!I54</f>
        <v/>
      </c>
      <c r="J54" s="55">
        <f>Orders!J54</f>
        <v/>
      </c>
      <c r="K54" s="55">
        <f>Orders!K54</f>
        <v/>
      </c>
      <c r="L54" s="55">
        <f>VLOOKUP(D54,Products!$A$2:$F$61,3,FALSE())</f>
        <v/>
      </c>
      <c r="M54" s="55">
        <f>VLOOKUP(C54,Customers!$A$2:$F$301,5,FALSE())</f>
        <v/>
      </c>
      <c r="N54" s="55">
        <f>VLOOKUP(E54,Sales_Reps!$A$2:$E$31,3,FALSE())</f>
        <v/>
      </c>
      <c r="O54" s="55">
        <f>VLOOKUP(D54,Products!$A$2:$F$61,4,FALSE())</f>
        <v/>
      </c>
      <c r="P54" s="55">
        <f>VLOOKUP(C54,Customers!$A$2:$F$301,3,FALSE())</f>
        <v/>
      </c>
      <c r="Q54" s="55">
        <f>UPPER(TRIM(K54))</f>
        <v/>
      </c>
      <c r="R54" s="55">
        <f>(G54-O54)/G54</f>
        <v/>
      </c>
      <c r="S54" s="55">
        <f>VLOOKUP(D54,Products!$A$2:$F$61,6,FALSE())</f>
        <v/>
      </c>
      <c r="U54" s="55">
        <f>TRIM(Customers!B54)</f>
        <v/>
      </c>
      <c r="V54" s="55">
        <f>UPPER(TRIM(Customers!D54))</f>
        <v/>
      </c>
      <c r="W54" s="55">
        <f>LEN(Customers!B54)&lt;&gt;LEN(TRIM(Customers!B54))</f>
        <v/>
      </c>
    </row>
    <row r="55" ht="15" customHeight="1" s="56">
      <c r="A55" s="55">
        <f>Orders!A55</f>
        <v/>
      </c>
      <c r="B55" s="103">
        <f>Orders!B55</f>
        <v/>
      </c>
      <c r="C55" s="55">
        <f>Orders!C55</f>
        <v/>
      </c>
      <c r="D55" s="55">
        <f>Orders!D55</f>
        <v/>
      </c>
      <c r="E55" s="55">
        <f>Orders!E55</f>
        <v/>
      </c>
      <c r="F55" s="55">
        <f>Orders!F55</f>
        <v/>
      </c>
      <c r="G55" s="55">
        <f>Orders!G55</f>
        <v/>
      </c>
      <c r="H55" s="55">
        <f>Orders!H55</f>
        <v/>
      </c>
      <c r="I55" s="55">
        <f>Orders!I55</f>
        <v/>
      </c>
      <c r="J55" s="55">
        <f>Orders!J55</f>
        <v/>
      </c>
      <c r="K55" s="55">
        <f>Orders!K55</f>
        <v/>
      </c>
      <c r="L55" s="55">
        <f>VLOOKUP(D55,Products!$A$2:$F$61,3,FALSE())</f>
        <v/>
      </c>
      <c r="M55" s="55">
        <f>VLOOKUP(C55,Customers!$A$2:$F$301,5,FALSE())</f>
        <v/>
      </c>
      <c r="N55" s="55">
        <f>VLOOKUP(E55,Sales_Reps!$A$2:$E$31,3,FALSE())</f>
        <v/>
      </c>
      <c r="O55" s="55">
        <f>VLOOKUP(D55,Products!$A$2:$F$61,4,FALSE())</f>
        <v/>
      </c>
      <c r="P55" s="55">
        <f>VLOOKUP(C55,Customers!$A$2:$F$301,3,FALSE())</f>
        <v/>
      </c>
      <c r="Q55" s="55">
        <f>UPPER(TRIM(K55))</f>
        <v/>
      </c>
      <c r="R55" s="55">
        <f>(G55-O55)/G55</f>
        <v/>
      </c>
      <c r="S55" s="55">
        <f>VLOOKUP(D55,Products!$A$2:$F$61,6,FALSE())</f>
        <v/>
      </c>
      <c r="U55" s="55">
        <f>TRIM(Customers!B55)</f>
        <v/>
      </c>
      <c r="V55" s="55">
        <f>UPPER(TRIM(Customers!D55))</f>
        <v/>
      </c>
      <c r="W55" s="55">
        <f>LEN(Customers!B55)&lt;&gt;LEN(TRIM(Customers!B55))</f>
        <v/>
      </c>
    </row>
    <row r="56" ht="15" customHeight="1" s="56">
      <c r="A56" s="55">
        <f>Orders!A56</f>
        <v/>
      </c>
      <c r="B56" s="103">
        <f>Orders!B56</f>
        <v/>
      </c>
      <c r="C56" s="55">
        <f>Orders!C56</f>
        <v/>
      </c>
      <c r="D56" s="55">
        <f>Orders!D56</f>
        <v/>
      </c>
      <c r="E56" s="55">
        <f>Orders!E56</f>
        <v/>
      </c>
      <c r="F56" s="55">
        <f>Orders!F56</f>
        <v/>
      </c>
      <c r="G56" s="55">
        <f>Orders!G56</f>
        <v/>
      </c>
      <c r="H56" s="55">
        <f>Orders!H56</f>
        <v/>
      </c>
      <c r="I56" s="55">
        <f>Orders!I56</f>
        <v/>
      </c>
      <c r="J56" s="55">
        <f>Orders!J56</f>
        <v/>
      </c>
      <c r="K56" s="55">
        <f>Orders!K56</f>
        <v/>
      </c>
      <c r="L56" s="55">
        <f>VLOOKUP(D56,Products!$A$2:$F$61,3,FALSE())</f>
        <v/>
      </c>
      <c r="M56" s="55">
        <f>VLOOKUP(C56,Customers!$A$2:$F$301,5,FALSE())</f>
        <v/>
      </c>
      <c r="N56" s="55">
        <f>VLOOKUP(E56,Sales_Reps!$A$2:$E$31,3,FALSE())</f>
        <v/>
      </c>
      <c r="O56" s="55">
        <f>VLOOKUP(D56,Products!$A$2:$F$61,4,FALSE())</f>
        <v/>
      </c>
      <c r="P56" s="55">
        <f>VLOOKUP(C56,Customers!$A$2:$F$301,3,FALSE())</f>
        <v/>
      </c>
      <c r="Q56" s="55">
        <f>UPPER(TRIM(K56))</f>
        <v/>
      </c>
      <c r="R56" s="55">
        <f>(G56-O56)/G56</f>
        <v/>
      </c>
      <c r="S56" s="55">
        <f>VLOOKUP(D56,Products!$A$2:$F$61,6,FALSE())</f>
        <v/>
      </c>
      <c r="U56" s="55">
        <f>TRIM(Customers!B56)</f>
        <v/>
      </c>
      <c r="V56" s="55">
        <f>UPPER(TRIM(Customers!D56))</f>
        <v/>
      </c>
      <c r="W56" s="55">
        <f>LEN(Customers!B56)&lt;&gt;LEN(TRIM(Customers!B56))</f>
        <v/>
      </c>
    </row>
    <row r="57" ht="15" customHeight="1" s="56">
      <c r="A57" s="55">
        <f>Orders!A57</f>
        <v/>
      </c>
      <c r="B57" s="103">
        <f>Orders!B57</f>
        <v/>
      </c>
      <c r="C57" s="55">
        <f>Orders!C57</f>
        <v/>
      </c>
      <c r="D57" s="55">
        <f>Orders!D57</f>
        <v/>
      </c>
      <c r="E57" s="55">
        <f>Orders!E57</f>
        <v/>
      </c>
      <c r="F57" s="55">
        <f>Orders!F57</f>
        <v/>
      </c>
      <c r="G57" s="55">
        <f>Orders!G57</f>
        <v/>
      </c>
      <c r="H57" s="55">
        <f>Orders!H57</f>
        <v/>
      </c>
      <c r="I57" s="55">
        <f>Orders!I57</f>
        <v/>
      </c>
      <c r="J57" s="55">
        <f>Orders!J57</f>
        <v/>
      </c>
      <c r="K57" s="55">
        <f>Orders!K57</f>
        <v/>
      </c>
      <c r="L57" s="55">
        <f>VLOOKUP(D57,Products!$A$2:$F$61,3,FALSE())</f>
        <v/>
      </c>
      <c r="M57" s="55">
        <f>VLOOKUP(C57,Customers!$A$2:$F$301,5,FALSE())</f>
        <v/>
      </c>
      <c r="N57" s="55">
        <f>VLOOKUP(E57,Sales_Reps!$A$2:$E$31,3,FALSE())</f>
        <v/>
      </c>
      <c r="O57" s="55">
        <f>VLOOKUP(D57,Products!$A$2:$F$61,4,FALSE())</f>
        <v/>
      </c>
      <c r="P57" s="55">
        <f>VLOOKUP(C57,Customers!$A$2:$F$301,3,FALSE())</f>
        <v/>
      </c>
      <c r="Q57" s="55">
        <f>UPPER(TRIM(K57))</f>
        <v/>
      </c>
      <c r="R57" s="55">
        <f>(G57-O57)/G57</f>
        <v/>
      </c>
      <c r="S57" s="55">
        <f>VLOOKUP(D57,Products!$A$2:$F$61,6,FALSE())</f>
        <v/>
      </c>
      <c r="U57" s="55">
        <f>TRIM(Customers!B57)</f>
        <v/>
      </c>
      <c r="V57" s="55">
        <f>UPPER(TRIM(Customers!D57))</f>
        <v/>
      </c>
      <c r="W57" s="55">
        <f>LEN(Customers!B57)&lt;&gt;LEN(TRIM(Customers!B57))</f>
        <v/>
      </c>
    </row>
    <row r="58" ht="15" customHeight="1" s="56">
      <c r="A58" s="55">
        <f>Orders!A58</f>
        <v/>
      </c>
      <c r="B58" s="103">
        <f>Orders!B58</f>
        <v/>
      </c>
      <c r="C58" s="55">
        <f>Orders!C58</f>
        <v/>
      </c>
      <c r="D58" s="55">
        <f>Orders!D58</f>
        <v/>
      </c>
      <c r="E58" s="55">
        <f>Orders!E58</f>
        <v/>
      </c>
      <c r="F58" s="55">
        <f>Orders!F58</f>
        <v/>
      </c>
      <c r="G58" s="55">
        <f>Orders!G58</f>
        <v/>
      </c>
      <c r="H58" s="55">
        <f>Orders!H58</f>
        <v/>
      </c>
      <c r="I58" s="55">
        <f>Orders!I58</f>
        <v/>
      </c>
      <c r="J58" s="55">
        <f>Orders!J58</f>
        <v/>
      </c>
      <c r="K58" s="55">
        <f>Orders!K58</f>
        <v/>
      </c>
      <c r="L58" s="55">
        <f>VLOOKUP(D58,Products!$A$2:$F$61,3,FALSE())</f>
        <v/>
      </c>
      <c r="M58" s="55">
        <f>VLOOKUP(C58,Customers!$A$2:$F$301,5,FALSE())</f>
        <v/>
      </c>
      <c r="N58" s="55">
        <f>VLOOKUP(E58,Sales_Reps!$A$2:$E$31,3,FALSE())</f>
        <v/>
      </c>
      <c r="O58" s="55">
        <f>VLOOKUP(D58,Products!$A$2:$F$61,4,FALSE())</f>
        <v/>
      </c>
      <c r="P58" s="55">
        <f>VLOOKUP(C58,Customers!$A$2:$F$301,3,FALSE())</f>
        <v/>
      </c>
      <c r="Q58" s="55">
        <f>UPPER(TRIM(K58))</f>
        <v/>
      </c>
      <c r="R58" s="55">
        <f>(G58-O58)/G58</f>
        <v/>
      </c>
      <c r="S58" s="55">
        <f>VLOOKUP(D58,Products!$A$2:$F$61,6,FALSE())</f>
        <v/>
      </c>
      <c r="U58" s="55">
        <f>TRIM(Customers!B58)</f>
        <v/>
      </c>
      <c r="V58" s="55">
        <f>UPPER(TRIM(Customers!D58))</f>
        <v/>
      </c>
      <c r="W58" s="55">
        <f>LEN(Customers!B58)&lt;&gt;LEN(TRIM(Customers!B58))</f>
        <v/>
      </c>
    </row>
    <row r="59" ht="15" customHeight="1" s="56">
      <c r="A59" s="55">
        <f>Orders!A59</f>
        <v/>
      </c>
      <c r="B59" s="103">
        <f>Orders!B59</f>
        <v/>
      </c>
      <c r="C59" s="55">
        <f>Orders!C59</f>
        <v/>
      </c>
      <c r="D59" s="55">
        <f>Orders!D59</f>
        <v/>
      </c>
      <c r="E59" s="55">
        <f>Orders!E59</f>
        <v/>
      </c>
      <c r="F59" s="55">
        <f>Orders!F59</f>
        <v/>
      </c>
      <c r="G59" s="55">
        <f>Orders!G59</f>
        <v/>
      </c>
      <c r="H59" s="55">
        <f>Orders!H59</f>
        <v/>
      </c>
      <c r="I59" s="55">
        <f>Orders!I59</f>
        <v/>
      </c>
      <c r="J59" s="55">
        <f>Orders!J59</f>
        <v/>
      </c>
      <c r="K59" s="55">
        <f>Orders!K59</f>
        <v/>
      </c>
      <c r="L59" s="55">
        <f>VLOOKUP(D59,Products!$A$2:$F$61,3,FALSE())</f>
        <v/>
      </c>
      <c r="M59" s="55">
        <f>VLOOKUP(C59,Customers!$A$2:$F$301,5,FALSE())</f>
        <v/>
      </c>
      <c r="N59" s="55">
        <f>VLOOKUP(E59,Sales_Reps!$A$2:$E$31,3,FALSE())</f>
        <v/>
      </c>
      <c r="O59" s="55">
        <f>VLOOKUP(D59,Products!$A$2:$F$61,4,FALSE())</f>
        <v/>
      </c>
      <c r="P59" s="55">
        <f>VLOOKUP(C59,Customers!$A$2:$F$301,3,FALSE())</f>
        <v/>
      </c>
      <c r="Q59" s="55">
        <f>UPPER(TRIM(K59))</f>
        <v/>
      </c>
      <c r="R59" s="55">
        <f>(G59-O59)/G59</f>
        <v/>
      </c>
      <c r="S59" s="55">
        <f>VLOOKUP(D59,Products!$A$2:$F$61,6,FALSE())</f>
        <v/>
      </c>
      <c r="U59" s="55">
        <f>TRIM(Customers!B59)</f>
        <v/>
      </c>
      <c r="V59" s="55">
        <f>UPPER(TRIM(Customers!D59))</f>
        <v/>
      </c>
      <c r="W59" s="55">
        <f>LEN(Customers!B59)&lt;&gt;LEN(TRIM(Customers!B59))</f>
        <v/>
      </c>
    </row>
    <row r="60" ht="15" customHeight="1" s="56">
      <c r="A60" s="55">
        <f>Orders!A60</f>
        <v/>
      </c>
      <c r="B60" s="103">
        <f>Orders!B60</f>
        <v/>
      </c>
      <c r="C60" s="55">
        <f>Orders!C60</f>
        <v/>
      </c>
      <c r="D60" s="55">
        <f>Orders!D60</f>
        <v/>
      </c>
      <c r="E60" s="55">
        <f>Orders!E60</f>
        <v/>
      </c>
      <c r="F60" s="55">
        <f>Orders!F60</f>
        <v/>
      </c>
      <c r="G60" s="55">
        <f>Orders!G60</f>
        <v/>
      </c>
      <c r="H60" s="55">
        <f>Orders!H60</f>
        <v/>
      </c>
      <c r="I60" s="55">
        <f>Orders!I60</f>
        <v/>
      </c>
      <c r="J60" s="55">
        <f>Orders!J60</f>
        <v/>
      </c>
      <c r="K60" s="55">
        <f>Orders!K60</f>
        <v/>
      </c>
      <c r="L60" s="55">
        <f>VLOOKUP(D60,Products!$A$2:$F$61,3,FALSE())</f>
        <v/>
      </c>
      <c r="M60" s="55">
        <f>VLOOKUP(C60,Customers!$A$2:$F$301,5,FALSE())</f>
        <v/>
      </c>
      <c r="N60" s="55">
        <f>VLOOKUP(E60,Sales_Reps!$A$2:$E$31,3,FALSE())</f>
        <v/>
      </c>
      <c r="O60" s="55">
        <f>VLOOKUP(D60,Products!$A$2:$F$61,4,FALSE())</f>
        <v/>
      </c>
      <c r="P60" s="55">
        <f>VLOOKUP(C60,Customers!$A$2:$F$301,3,FALSE())</f>
        <v/>
      </c>
      <c r="Q60" s="55">
        <f>UPPER(TRIM(K60))</f>
        <v/>
      </c>
      <c r="R60" s="55">
        <f>(G60-O60)/G60</f>
        <v/>
      </c>
      <c r="S60" s="55">
        <f>VLOOKUP(D60,Products!$A$2:$F$61,6,FALSE())</f>
        <v/>
      </c>
      <c r="U60" s="55">
        <f>TRIM(Customers!B60)</f>
        <v/>
      </c>
      <c r="V60" s="55">
        <f>UPPER(TRIM(Customers!D60))</f>
        <v/>
      </c>
      <c r="W60" s="55">
        <f>LEN(Customers!B60)&lt;&gt;LEN(TRIM(Customers!B60))</f>
        <v/>
      </c>
    </row>
    <row r="61" ht="15" customHeight="1" s="56">
      <c r="A61" s="55">
        <f>Orders!A61</f>
        <v/>
      </c>
      <c r="B61" s="103">
        <f>Orders!B61</f>
        <v/>
      </c>
      <c r="C61" s="55">
        <f>Orders!C61</f>
        <v/>
      </c>
      <c r="D61" s="55">
        <f>Orders!D61</f>
        <v/>
      </c>
      <c r="E61" s="55">
        <f>Orders!E61</f>
        <v/>
      </c>
      <c r="F61" s="55">
        <f>Orders!F61</f>
        <v/>
      </c>
      <c r="G61" s="55">
        <f>Orders!G61</f>
        <v/>
      </c>
      <c r="H61" s="55">
        <f>Orders!H61</f>
        <v/>
      </c>
      <c r="I61" s="55">
        <f>Orders!I61</f>
        <v/>
      </c>
      <c r="J61" s="55">
        <f>Orders!J61</f>
        <v/>
      </c>
      <c r="K61" s="55">
        <f>Orders!K61</f>
        <v/>
      </c>
      <c r="L61" s="55">
        <f>VLOOKUP(D61,Products!$A$2:$F$61,3,FALSE())</f>
        <v/>
      </c>
      <c r="M61" s="55">
        <f>VLOOKUP(C61,Customers!$A$2:$F$301,5,FALSE())</f>
        <v/>
      </c>
      <c r="N61" s="55">
        <f>VLOOKUP(E61,Sales_Reps!$A$2:$E$31,3,FALSE())</f>
        <v/>
      </c>
      <c r="O61" s="55">
        <f>VLOOKUP(D61,Products!$A$2:$F$61,4,FALSE())</f>
        <v/>
      </c>
      <c r="P61" s="55">
        <f>VLOOKUP(C61,Customers!$A$2:$F$301,3,FALSE())</f>
        <v/>
      </c>
      <c r="Q61" s="55">
        <f>UPPER(TRIM(K61))</f>
        <v/>
      </c>
      <c r="R61" s="55">
        <f>(G61-O61)/G61</f>
        <v/>
      </c>
      <c r="S61" s="55">
        <f>VLOOKUP(D61,Products!$A$2:$F$61,6,FALSE())</f>
        <v/>
      </c>
      <c r="U61" s="55">
        <f>TRIM(Customers!B61)</f>
        <v/>
      </c>
      <c r="V61" s="55">
        <f>UPPER(TRIM(Customers!D61))</f>
        <v/>
      </c>
      <c r="W61" s="55">
        <f>LEN(Customers!B61)&lt;&gt;LEN(TRIM(Customers!B61))</f>
        <v/>
      </c>
    </row>
    <row r="62" ht="15" customHeight="1" s="56">
      <c r="A62" s="55">
        <f>Orders!A62</f>
        <v/>
      </c>
      <c r="B62" s="103">
        <f>Orders!B62</f>
        <v/>
      </c>
      <c r="C62" s="55">
        <f>Orders!C62</f>
        <v/>
      </c>
      <c r="D62" s="55">
        <f>Orders!D62</f>
        <v/>
      </c>
      <c r="E62" s="55">
        <f>Orders!E62</f>
        <v/>
      </c>
      <c r="F62" s="55">
        <f>Orders!F62</f>
        <v/>
      </c>
      <c r="G62" s="55">
        <f>Orders!G62</f>
        <v/>
      </c>
      <c r="H62" s="55">
        <f>Orders!H62</f>
        <v/>
      </c>
      <c r="I62" s="55">
        <f>Orders!I62</f>
        <v/>
      </c>
      <c r="J62" s="55">
        <f>Orders!J62</f>
        <v/>
      </c>
      <c r="K62" s="55">
        <f>Orders!K62</f>
        <v/>
      </c>
      <c r="L62" s="55">
        <f>VLOOKUP(D62,Products!$A$2:$F$61,3,FALSE())</f>
        <v/>
      </c>
      <c r="M62" s="55">
        <f>VLOOKUP(C62,Customers!$A$2:$F$301,5,FALSE())</f>
        <v/>
      </c>
      <c r="N62" s="55">
        <f>VLOOKUP(E62,Sales_Reps!$A$2:$E$31,3,FALSE())</f>
        <v/>
      </c>
      <c r="O62" s="55">
        <f>VLOOKUP(D62,Products!$A$2:$F$61,4,FALSE())</f>
        <v/>
      </c>
      <c r="P62" s="55">
        <f>VLOOKUP(C62,Customers!$A$2:$F$301,3,FALSE())</f>
        <v/>
      </c>
      <c r="Q62" s="55">
        <f>UPPER(TRIM(K62))</f>
        <v/>
      </c>
      <c r="R62" s="55">
        <f>(G62-O62)/G62</f>
        <v/>
      </c>
      <c r="S62" s="55">
        <f>VLOOKUP(D62,Products!$A$2:$F$61,6,FALSE())</f>
        <v/>
      </c>
      <c r="U62" s="55">
        <f>TRIM(Customers!B62)</f>
        <v/>
      </c>
      <c r="V62" s="55">
        <f>UPPER(TRIM(Customers!D62))</f>
        <v/>
      </c>
      <c r="W62" s="55">
        <f>LEN(Customers!B62)&lt;&gt;LEN(TRIM(Customers!B62))</f>
        <v/>
      </c>
    </row>
    <row r="63" ht="15" customHeight="1" s="56">
      <c r="A63" s="55">
        <f>Orders!A63</f>
        <v/>
      </c>
      <c r="B63" s="103">
        <f>Orders!B63</f>
        <v/>
      </c>
      <c r="C63" s="55">
        <f>Orders!C63</f>
        <v/>
      </c>
      <c r="D63" s="55">
        <f>Orders!D63</f>
        <v/>
      </c>
      <c r="E63" s="55">
        <f>Orders!E63</f>
        <v/>
      </c>
      <c r="F63" s="55">
        <f>Orders!F63</f>
        <v/>
      </c>
      <c r="G63" s="55">
        <f>Orders!G63</f>
        <v/>
      </c>
      <c r="H63" s="55">
        <f>Orders!H63</f>
        <v/>
      </c>
      <c r="I63" s="55">
        <f>Orders!I63</f>
        <v/>
      </c>
      <c r="J63" s="55">
        <f>Orders!J63</f>
        <v/>
      </c>
      <c r="K63" s="55">
        <f>Orders!K63</f>
        <v/>
      </c>
      <c r="L63" s="55">
        <f>VLOOKUP(D63,Products!$A$2:$F$61,3,FALSE())</f>
        <v/>
      </c>
      <c r="M63" s="55">
        <f>VLOOKUP(C63,Customers!$A$2:$F$301,5,FALSE())</f>
        <v/>
      </c>
      <c r="N63" s="55">
        <f>VLOOKUP(E63,Sales_Reps!$A$2:$E$31,3,FALSE())</f>
        <v/>
      </c>
      <c r="O63" s="55">
        <f>VLOOKUP(D63,Products!$A$2:$F$61,4,FALSE())</f>
        <v/>
      </c>
      <c r="P63" s="55">
        <f>VLOOKUP(C63,Customers!$A$2:$F$301,3,FALSE())</f>
        <v/>
      </c>
      <c r="Q63" s="55">
        <f>UPPER(TRIM(K63))</f>
        <v/>
      </c>
      <c r="R63" s="55">
        <f>(G63-O63)/G63</f>
        <v/>
      </c>
      <c r="S63" s="55">
        <f>VLOOKUP(D63,Products!$A$2:$F$61,6,FALSE())</f>
        <v/>
      </c>
      <c r="U63" s="55">
        <f>TRIM(Customers!B63)</f>
        <v/>
      </c>
      <c r="V63" s="55">
        <f>UPPER(TRIM(Customers!D63))</f>
        <v/>
      </c>
      <c r="W63" s="55">
        <f>LEN(Customers!B63)&lt;&gt;LEN(TRIM(Customers!B63))</f>
        <v/>
      </c>
    </row>
    <row r="64" ht="15" customHeight="1" s="56">
      <c r="A64" s="55">
        <f>Orders!A64</f>
        <v/>
      </c>
      <c r="B64" s="103">
        <f>Orders!B64</f>
        <v/>
      </c>
      <c r="C64" s="55">
        <f>Orders!C64</f>
        <v/>
      </c>
      <c r="D64" s="55">
        <f>Orders!D64</f>
        <v/>
      </c>
      <c r="E64" s="55">
        <f>Orders!E64</f>
        <v/>
      </c>
      <c r="F64" s="55">
        <f>Orders!F64</f>
        <v/>
      </c>
      <c r="G64" s="55">
        <f>Orders!G64</f>
        <v/>
      </c>
      <c r="H64" s="55">
        <f>Orders!H64</f>
        <v/>
      </c>
      <c r="I64" s="55">
        <f>Orders!I64</f>
        <v/>
      </c>
      <c r="J64" s="55">
        <f>Orders!J64</f>
        <v/>
      </c>
      <c r="K64" s="55">
        <f>Orders!K64</f>
        <v/>
      </c>
      <c r="L64" s="55">
        <f>VLOOKUP(D64,Products!$A$2:$F$61,3,FALSE())</f>
        <v/>
      </c>
      <c r="M64" s="55">
        <f>VLOOKUP(C64,Customers!$A$2:$F$301,5,FALSE())</f>
        <v/>
      </c>
      <c r="N64" s="55">
        <f>VLOOKUP(E64,Sales_Reps!$A$2:$E$31,3,FALSE())</f>
        <v/>
      </c>
      <c r="O64" s="55">
        <f>VLOOKUP(D64,Products!$A$2:$F$61,4,FALSE())</f>
        <v/>
      </c>
      <c r="P64" s="55">
        <f>VLOOKUP(C64,Customers!$A$2:$F$301,3,FALSE())</f>
        <v/>
      </c>
      <c r="Q64" s="55">
        <f>UPPER(TRIM(K64))</f>
        <v/>
      </c>
      <c r="R64" s="55">
        <f>(G64-O64)/G64</f>
        <v/>
      </c>
      <c r="S64" s="55">
        <f>VLOOKUP(D64,Products!$A$2:$F$61,6,FALSE())</f>
        <v/>
      </c>
      <c r="U64" s="55">
        <f>TRIM(Customers!B64)</f>
        <v/>
      </c>
      <c r="V64" s="55">
        <f>UPPER(TRIM(Customers!D64))</f>
        <v/>
      </c>
      <c r="W64" s="55">
        <f>LEN(Customers!B64)&lt;&gt;LEN(TRIM(Customers!B64))</f>
        <v/>
      </c>
    </row>
    <row r="65" ht="15" customHeight="1" s="56">
      <c r="A65" s="55">
        <f>Orders!A65</f>
        <v/>
      </c>
      <c r="B65" s="103">
        <f>Orders!B65</f>
        <v/>
      </c>
      <c r="C65" s="55">
        <f>Orders!C65</f>
        <v/>
      </c>
      <c r="D65" s="55">
        <f>Orders!D65</f>
        <v/>
      </c>
      <c r="E65" s="55">
        <f>Orders!E65</f>
        <v/>
      </c>
      <c r="F65" s="55">
        <f>Orders!F65</f>
        <v/>
      </c>
      <c r="G65" s="55">
        <f>Orders!G65</f>
        <v/>
      </c>
      <c r="H65" s="55">
        <f>Orders!H65</f>
        <v/>
      </c>
      <c r="I65" s="55">
        <f>Orders!I65</f>
        <v/>
      </c>
      <c r="J65" s="55">
        <f>Orders!J65</f>
        <v/>
      </c>
      <c r="K65" s="55">
        <f>Orders!K65</f>
        <v/>
      </c>
      <c r="L65" s="55">
        <f>VLOOKUP(D65,Products!$A$2:$F$61,3,FALSE())</f>
        <v/>
      </c>
      <c r="M65" s="55">
        <f>VLOOKUP(C65,Customers!$A$2:$F$301,5,FALSE())</f>
        <v/>
      </c>
      <c r="N65" s="55">
        <f>VLOOKUP(E65,Sales_Reps!$A$2:$E$31,3,FALSE())</f>
        <v/>
      </c>
      <c r="O65" s="55">
        <f>VLOOKUP(D65,Products!$A$2:$F$61,4,FALSE())</f>
        <v/>
      </c>
      <c r="P65" s="55">
        <f>VLOOKUP(C65,Customers!$A$2:$F$301,3,FALSE())</f>
        <v/>
      </c>
      <c r="Q65" s="55">
        <f>UPPER(TRIM(K65))</f>
        <v/>
      </c>
      <c r="R65" s="55">
        <f>(G65-O65)/G65</f>
        <v/>
      </c>
      <c r="S65" s="55">
        <f>VLOOKUP(D65,Products!$A$2:$F$61,6,FALSE())</f>
        <v/>
      </c>
      <c r="U65" s="55">
        <f>TRIM(Customers!B65)</f>
        <v/>
      </c>
      <c r="V65" s="55">
        <f>UPPER(TRIM(Customers!D65))</f>
        <v/>
      </c>
      <c r="W65" s="55">
        <f>LEN(Customers!B65)&lt;&gt;LEN(TRIM(Customers!B65))</f>
        <v/>
      </c>
    </row>
    <row r="66" ht="15" customHeight="1" s="56">
      <c r="A66" s="55">
        <f>Orders!A66</f>
        <v/>
      </c>
      <c r="B66" s="103">
        <f>Orders!B66</f>
        <v/>
      </c>
      <c r="C66" s="55">
        <f>Orders!C66</f>
        <v/>
      </c>
      <c r="D66" s="55">
        <f>Orders!D66</f>
        <v/>
      </c>
      <c r="E66" s="55">
        <f>Orders!E66</f>
        <v/>
      </c>
      <c r="F66" s="55">
        <f>Orders!F66</f>
        <v/>
      </c>
      <c r="G66" s="55">
        <f>Orders!G66</f>
        <v/>
      </c>
      <c r="H66" s="55">
        <f>Orders!H66</f>
        <v/>
      </c>
      <c r="I66" s="55">
        <f>Orders!I66</f>
        <v/>
      </c>
      <c r="J66" s="55">
        <f>Orders!J66</f>
        <v/>
      </c>
      <c r="K66" s="55">
        <f>Orders!K66</f>
        <v/>
      </c>
      <c r="L66" s="55">
        <f>VLOOKUP(D66,Products!$A$2:$F$61,3,FALSE())</f>
        <v/>
      </c>
      <c r="M66" s="55">
        <f>VLOOKUP(C66,Customers!$A$2:$F$301,5,FALSE())</f>
        <v/>
      </c>
      <c r="N66" s="55">
        <f>VLOOKUP(E66,Sales_Reps!$A$2:$E$31,3,FALSE())</f>
        <v/>
      </c>
      <c r="O66" s="55">
        <f>VLOOKUP(D66,Products!$A$2:$F$61,4,FALSE())</f>
        <v/>
      </c>
      <c r="P66" s="55">
        <f>VLOOKUP(C66,Customers!$A$2:$F$301,3,FALSE())</f>
        <v/>
      </c>
      <c r="Q66" s="55">
        <f>UPPER(TRIM(K66))</f>
        <v/>
      </c>
      <c r="R66" s="55">
        <f>(G66-O66)/G66</f>
        <v/>
      </c>
      <c r="S66" s="55">
        <f>VLOOKUP(D66,Products!$A$2:$F$61,6,FALSE())</f>
        <v/>
      </c>
      <c r="U66" s="55">
        <f>TRIM(Customers!B66)</f>
        <v/>
      </c>
      <c r="V66" s="55">
        <f>UPPER(TRIM(Customers!D66))</f>
        <v/>
      </c>
      <c r="W66" s="55">
        <f>LEN(Customers!B66)&lt;&gt;LEN(TRIM(Customers!B66))</f>
        <v/>
      </c>
    </row>
    <row r="67" ht="15" customHeight="1" s="56">
      <c r="A67" s="55">
        <f>Orders!A67</f>
        <v/>
      </c>
      <c r="B67" s="103">
        <f>Orders!B67</f>
        <v/>
      </c>
      <c r="C67" s="55">
        <f>Orders!C67</f>
        <v/>
      </c>
      <c r="D67" s="55">
        <f>Orders!D67</f>
        <v/>
      </c>
      <c r="E67" s="55">
        <f>Orders!E67</f>
        <v/>
      </c>
      <c r="F67" s="55">
        <f>Orders!F67</f>
        <v/>
      </c>
      <c r="G67" s="55">
        <f>Orders!G67</f>
        <v/>
      </c>
      <c r="H67" s="55">
        <f>Orders!H67</f>
        <v/>
      </c>
      <c r="I67" s="55">
        <f>Orders!I67</f>
        <v/>
      </c>
      <c r="J67" s="55">
        <f>Orders!J67</f>
        <v/>
      </c>
      <c r="K67" s="55">
        <f>Orders!K67</f>
        <v/>
      </c>
      <c r="L67" s="55">
        <f>VLOOKUP(D67,Products!$A$2:$F$61,3,FALSE())</f>
        <v/>
      </c>
      <c r="M67" s="55">
        <f>VLOOKUP(C67,Customers!$A$2:$F$301,5,FALSE())</f>
        <v/>
      </c>
      <c r="N67" s="55">
        <f>VLOOKUP(E67,Sales_Reps!$A$2:$E$31,3,FALSE())</f>
        <v/>
      </c>
      <c r="O67" s="55">
        <f>VLOOKUP(D67,Products!$A$2:$F$61,4,FALSE())</f>
        <v/>
      </c>
      <c r="P67" s="55">
        <f>VLOOKUP(C67,Customers!$A$2:$F$301,3,FALSE())</f>
        <v/>
      </c>
      <c r="Q67" s="55">
        <f>UPPER(TRIM(K67))</f>
        <v/>
      </c>
      <c r="R67" s="55">
        <f>(G67-O67)/G67</f>
        <v/>
      </c>
      <c r="S67" s="55">
        <f>VLOOKUP(D67,Products!$A$2:$F$61,6,FALSE())</f>
        <v/>
      </c>
      <c r="U67" s="55">
        <f>TRIM(Customers!B67)</f>
        <v/>
      </c>
      <c r="V67" s="55">
        <f>UPPER(TRIM(Customers!D67))</f>
        <v/>
      </c>
      <c r="W67" s="55">
        <f>LEN(Customers!B67)&lt;&gt;LEN(TRIM(Customers!B67))</f>
        <v/>
      </c>
    </row>
    <row r="68" ht="15" customHeight="1" s="56">
      <c r="A68" s="55">
        <f>Orders!A68</f>
        <v/>
      </c>
      <c r="B68" s="103">
        <f>Orders!B68</f>
        <v/>
      </c>
      <c r="C68" s="55">
        <f>Orders!C68</f>
        <v/>
      </c>
      <c r="D68" s="55">
        <f>Orders!D68</f>
        <v/>
      </c>
      <c r="E68" s="55">
        <f>Orders!E68</f>
        <v/>
      </c>
      <c r="F68" s="55">
        <f>Orders!F68</f>
        <v/>
      </c>
      <c r="G68" s="55">
        <f>Orders!G68</f>
        <v/>
      </c>
      <c r="H68" s="55">
        <f>Orders!H68</f>
        <v/>
      </c>
      <c r="I68" s="55">
        <f>Orders!I68</f>
        <v/>
      </c>
      <c r="J68" s="55">
        <f>Orders!J68</f>
        <v/>
      </c>
      <c r="K68" s="55">
        <f>Orders!K68</f>
        <v/>
      </c>
      <c r="L68" s="55">
        <f>VLOOKUP(D68,Products!$A$2:$F$61,3,FALSE())</f>
        <v/>
      </c>
      <c r="M68" s="55">
        <f>VLOOKUP(C68,Customers!$A$2:$F$301,5,FALSE())</f>
        <v/>
      </c>
      <c r="N68" s="55">
        <f>VLOOKUP(E68,Sales_Reps!$A$2:$E$31,3,FALSE())</f>
        <v/>
      </c>
      <c r="O68" s="55">
        <f>VLOOKUP(D68,Products!$A$2:$F$61,4,FALSE())</f>
        <v/>
      </c>
      <c r="P68" s="55">
        <f>VLOOKUP(C68,Customers!$A$2:$F$301,3,FALSE())</f>
        <v/>
      </c>
      <c r="Q68" s="55">
        <f>UPPER(TRIM(K68))</f>
        <v/>
      </c>
      <c r="R68" s="55">
        <f>(G68-O68)/G68</f>
        <v/>
      </c>
      <c r="S68" s="55">
        <f>VLOOKUP(D68,Products!$A$2:$F$61,6,FALSE())</f>
        <v/>
      </c>
      <c r="U68" s="55">
        <f>TRIM(Customers!B68)</f>
        <v/>
      </c>
      <c r="V68" s="55">
        <f>UPPER(TRIM(Customers!D68))</f>
        <v/>
      </c>
      <c r="W68" s="55">
        <f>LEN(Customers!B68)&lt;&gt;LEN(TRIM(Customers!B68))</f>
        <v/>
      </c>
    </row>
    <row r="69" ht="15" customHeight="1" s="56">
      <c r="A69" s="55">
        <f>Orders!A69</f>
        <v/>
      </c>
      <c r="B69" s="103">
        <f>Orders!B69</f>
        <v/>
      </c>
      <c r="C69" s="55">
        <f>Orders!C69</f>
        <v/>
      </c>
      <c r="D69" s="55">
        <f>Orders!D69</f>
        <v/>
      </c>
      <c r="E69" s="55">
        <f>Orders!E69</f>
        <v/>
      </c>
      <c r="F69" s="55">
        <f>Orders!F69</f>
        <v/>
      </c>
      <c r="G69" s="55">
        <f>Orders!G69</f>
        <v/>
      </c>
      <c r="H69" s="55">
        <f>Orders!H69</f>
        <v/>
      </c>
      <c r="I69" s="55">
        <f>Orders!I69</f>
        <v/>
      </c>
      <c r="J69" s="55">
        <f>Orders!J69</f>
        <v/>
      </c>
      <c r="K69" s="55">
        <f>Orders!K69</f>
        <v/>
      </c>
      <c r="L69" s="55">
        <f>VLOOKUP(D69,Products!$A$2:$F$61,3,FALSE())</f>
        <v/>
      </c>
      <c r="M69" s="55">
        <f>VLOOKUP(C69,Customers!$A$2:$F$301,5,FALSE())</f>
        <v/>
      </c>
      <c r="N69" s="55">
        <f>VLOOKUP(E69,Sales_Reps!$A$2:$E$31,3,FALSE())</f>
        <v/>
      </c>
      <c r="O69" s="55">
        <f>VLOOKUP(D69,Products!$A$2:$F$61,4,FALSE())</f>
        <v/>
      </c>
      <c r="P69" s="55">
        <f>VLOOKUP(C69,Customers!$A$2:$F$301,3,FALSE())</f>
        <v/>
      </c>
      <c r="Q69" s="55">
        <f>UPPER(TRIM(K69))</f>
        <v/>
      </c>
      <c r="R69" s="55">
        <f>(G69-O69)/G69</f>
        <v/>
      </c>
      <c r="S69" s="55">
        <f>VLOOKUP(D69,Products!$A$2:$F$61,6,FALSE())</f>
        <v/>
      </c>
      <c r="U69" s="55">
        <f>TRIM(Customers!B69)</f>
        <v/>
      </c>
      <c r="V69" s="55">
        <f>UPPER(TRIM(Customers!D69))</f>
        <v/>
      </c>
      <c r="W69" s="55">
        <f>LEN(Customers!B69)&lt;&gt;LEN(TRIM(Customers!B69))</f>
        <v/>
      </c>
    </row>
    <row r="70" ht="15" customHeight="1" s="56">
      <c r="A70" s="55">
        <f>Orders!A70</f>
        <v/>
      </c>
      <c r="B70" s="103">
        <f>Orders!B70</f>
        <v/>
      </c>
      <c r="C70" s="55">
        <f>Orders!C70</f>
        <v/>
      </c>
      <c r="D70" s="55">
        <f>Orders!D70</f>
        <v/>
      </c>
      <c r="E70" s="55">
        <f>Orders!E70</f>
        <v/>
      </c>
      <c r="F70" s="55">
        <f>Orders!F70</f>
        <v/>
      </c>
      <c r="G70" s="55">
        <f>Orders!G70</f>
        <v/>
      </c>
      <c r="H70" s="55">
        <f>Orders!H70</f>
        <v/>
      </c>
      <c r="I70" s="55">
        <f>Orders!I70</f>
        <v/>
      </c>
      <c r="J70" s="55">
        <f>Orders!J70</f>
        <v/>
      </c>
      <c r="K70" s="55">
        <f>Orders!K70</f>
        <v/>
      </c>
      <c r="L70" s="55">
        <f>VLOOKUP(D70,Products!$A$2:$F$61,3,FALSE())</f>
        <v/>
      </c>
      <c r="M70" s="55">
        <f>VLOOKUP(C70,Customers!$A$2:$F$301,5,FALSE())</f>
        <v/>
      </c>
      <c r="N70" s="55">
        <f>VLOOKUP(E70,Sales_Reps!$A$2:$E$31,3,FALSE())</f>
        <v/>
      </c>
      <c r="O70" s="55">
        <f>VLOOKUP(D70,Products!$A$2:$F$61,4,FALSE())</f>
        <v/>
      </c>
      <c r="P70" s="55">
        <f>VLOOKUP(C70,Customers!$A$2:$F$301,3,FALSE())</f>
        <v/>
      </c>
      <c r="Q70" s="55">
        <f>UPPER(TRIM(K70))</f>
        <v/>
      </c>
      <c r="R70" s="55">
        <f>(G70-O70)/G70</f>
        <v/>
      </c>
      <c r="S70" s="55">
        <f>VLOOKUP(D70,Products!$A$2:$F$61,6,FALSE())</f>
        <v/>
      </c>
      <c r="U70" s="55">
        <f>TRIM(Customers!B70)</f>
        <v/>
      </c>
      <c r="V70" s="55">
        <f>UPPER(TRIM(Customers!D70))</f>
        <v/>
      </c>
      <c r="W70" s="55">
        <f>LEN(Customers!B70)&lt;&gt;LEN(TRIM(Customers!B70))</f>
        <v/>
      </c>
    </row>
    <row r="71" ht="15" customHeight="1" s="56">
      <c r="A71" s="55">
        <f>Orders!A71</f>
        <v/>
      </c>
      <c r="B71" s="103">
        <f>Orders!B71</f>
        <v/>
      </c>
      <c r="C71" s="55">
        <f>Orders!C71</f>
        <v/>
      </c>
      <c r="D71" s="55">
        <f>Orders!D71</f>
        <v/>
      </c>
      <c r="E71" s="55">
        <f>Orders!E71</f>
        <v/>
      </c>
      <c r="F71" s="55">
        <f>Orders!F71</f>
        <v/>
      </c>
      <c r="G71" s="55">
        <f>Orders!G71</f>
        <v/>
      </c>
      <c r="H71" s="55">
        <f>Orders!H71</f>
        <v/>
      </c>
      <c r="I71" s="55">
        <f>Orders!I71</f>
        <v/>
      </c>
      <c r="J71" s="55">
        <f>Orders!J71</f>
        <v/>
      </c>
      <c r="K71" s="55">
        <f>Orders!K71</f>
        <v/>
      </c>
      <c r="L71" s="55">
        <f>VLOOKUP(D71,Products!$A$2:$F$61,3,FALSE())</f>
        <v/>
      </c>
      <c r="M71" s="55">
        <f>VLOOKUP(C71,Customers!$A$2:$F$301,5,FALSE())</f>
        <v/>
      </c>
      <c r="N71" s="55">
        <f>VLOOKUP(E71,Sales_Reps!$A$2:$E$31,3,FALSE())</f>
        <v/>
      </c>
      <c r="O71" s="55">
        <f>VLOOKUP(D71,Products!$A$2:$F$61,4,FALSE())</f>
        <v/>
      </c>
      <c r="P71" s="55">
        <f>VLOOKUP(C71,Customers!$A$2:$F$301,3,FALSE())</f>
        <v/>
      </c>
      <c r="Q71" s="55">
        <f>UPPER(TRIM(K71))</f>
        <v/>
      </c>
      <c r="R71" s="55">
        <f>(G71-O71)/G71</f>
        <v/>
      </c>
      <c r="S71" s="55">
        <f>VLOOKUP(D71,Products!$A$2:$F$61,6,FALSE())</f>
        <v/>
      </c>
      <c r="U71" s="55">
        <f>TRIM(Customers!B71)</f>
        <v/>
      </c>
      <c r="V71" s="55">
        <f>UPPER(TRIM(Customers!D71))</f>
        <v/>
      </c>
      <c r="W71" s="55">
        <f>LEN(Customers!B71)&lt;&gt;LEN(TRIM(Customers!B71))</f>
        <v/>
      </c>
    </row>
    <row r="72" ht="15" customHeight="1" s="56">
      <c r="A72" s="55">
        <f>Orders!A72</f>
        <v/>
      </c>
      <c r="B72" s="103">
        <f>Orders!B72</f>
        <v/>
      </c>
      <c r="C72" s="55">
        <f>Orders!C72</f>
        <v/>
      </c>
      <c r="D72" s="55">
        <f>Orders!D72</f>
        <v/>
      </c>
      <c r="E72" s="55">
        <f>Orders!E72</f>
        <v/>
      </c>
      <c r="F72" s="55">
        <f>Orders!F72</f>
        <v/>
      </c>
      <c r="G72" s="55">
        <f>Orders!G72</f>
        <v/>
      </c>
      <c r="H72" s="55">
        <f>Orders!H72</f>
        <v/>
      </c>
      <c r="I72" s="55">
        <f>Orders!I72</f>
        <v/>
      </c>
      <c r="J72" s="55">
        <f>Orders!J72</f>
        <v/>
      </c>
      <c r="K72" s="55">
        <f>Orders!K72</f>
        <v/>
      </c>
      <c r="L72" s="55">
        <f>VLOOKUP(D72,Products!$A$2:$F$61,3,FALSE())</f>
        <v/>
      </c>
      <c r="M72" s="55">
        <f>VLOOKUP(C72,Customers!$A$2:$F$301,5,FALSE())</f>
        <v/>
      </c>
      <c r="N72" s="55">
        <f>VLOOKUP(E72,Sales_Reps!$A$2:$E$31,3,FALSE())</f>
        <v/>
      </c>
      <c r="O72" s="55">
        <f>VLOOKUP(D72,Products!$A$2:$F$61,4,FALSE())</f>
        <v/>
      </c>
      <c r="P72" s="55">
        <f>VLOOKUP(C72,Customers!$A$2:$F$301,3,FALSE())</f>
        <v/>
      </c>
      <c r="Q72" s="55">
        <f>UPPER(TRIM(K72))</f>
        <v/>
      </c>
      <c r="R72" s="55">
        <f>(G72-O72)/G72</f>
        <v/>
      </c>
      <c r="S72" s="55">
        <f>VLOOKUP(D72,Products!$A$2:$F$61,6,FALSE())</f>
        <v/>
      </c>
      <c r="U72" s="55">
        <f>TRIM(Customers!B72)</f>
        <v/>
      </c>
      <c r="V72" s="55">
        <f>UPPER(TRIM(Customers!D72))</f>
        <v/>
      </c>
      <c r="W72" s="55">
        <f>LEN(Customers!B72)&lt;&gt;LEN(TRIM(Customers!B72))</f>
        <v/>
      </c>
    </row>
    <row r="73" ht="15" customHeight="1" s="56">
      <c r="A73" s="55">
        <f>Orders!A73</f>
        <v/>
      </c>
      <c r="B73" s="103">
        <f>Orders!B73</f>
        <v/>
      </c>
      <c r="C73" s="55">
        <f>Orders!C73</f>
        <v/>
      </c>
      <c r="D73" s="55">
        <f>Orders!D73</f>
        <v/>
      </c>
      <c r="E73" s="55">
        <f>Orders!E73</f>
        <v/>
      </c>
      <c r="F73" s="55">
        <f>Orders!F73</f>
        <v/>
      </c>
      <c r="G73" s="55">
        <f>Orders!G73</f>
        <v/>
      </c>
      <c r="H73" s="55">
        <f>Orders!H73</f>
        <v/>
      </c>
      <c r="I73" s="55">
        <f>Orders!I73</f>
        <v/>
      </c>
      <c r="J73" s="55">
        <f>Orders!J73</f>
        <v/>
      </c>
      <c r="K73" s="55">
        <f>Orders!K73</f>
        <v/>
      </c>
      <c r="L73" s="55">
        <f>VLOOKUP(D73,Products!$A$2:$F$61,3,FALSE())</f>
        <v/>
      </c>
      <c r="M73" s="55">
        <f>VLOOKUP(C73,Customers!$A$2:$F$301,5,FALSE())</f>
        <v/>
      </c>
      <c r="N73" s="55">
        <f>VLOOKUP(E73,Sales_Reps!$A$2:$E$31,3,FALSE())</f>
        <v/>
      </c>
      <c r="O73" s="55">
        <f>VLOOKUP(D73,Products!$A$2:$F$61,4,FALSE())</f>
        <v/>
      </c>
      <c r="P73" s="55">
        <f>VLOOKUP(C73,Customers!$A$2:$F$301,3,FALSE())</f>
        <v/>
      </c>
      <c r="Q73" s="55">
        <f>UPPER(TRIM(K73))</f>
        <v/>
      </c>
      <c r="R73" s="55">
        <f>(G73-O73)/G73</f>
        <v/>
      </c>
      <c r="S73" s="55">
        <f>VLOOKUP(D73,Products!$A$2:$F$61,6,FALSE())</f>
        <v/>
      </c>
      <c r="U73" s="55">
        <f>TRIM(Customers!B73)</f>
        <v/>
      </c>
      <c r="V73" s="55">
        <f>UPPER(TRIM(Customers!D73))</f>
        <v/>
      </c>
      <c r="W73" s="55">
        <f>LEN(Customers!B73)&lt;&gt;LEN(TRIM(Customers!B73))</f>
        <v/>
      </c>
    </row>
    <row r="74" ht="15" customHeight="1" s="56">
      <c r="A74" s="55">
        <f>Orders!A74</f>
        <v/>
      </c>
      <c r="B74" s="103">
        <f>Orders!B74</f>
        <v/>
      </c>
      <c r="C74" s="55">
        <f>Orders!C74</f>
        <v/>
      </c>
      <c r="D74" s="55">
        <f>Orders!D74</f>
        <v/>
      </c>
      <c r="E74" s="55">
        <f>Orders!E74</f>
        <v/>
      </c>
      <c r="F74" s="55">
        <f>Orders!F74</f>
        <v/>
      </c>
      <c r="G74" s="55">
        <f>Orders!G74</f>
        <v/>
      </c>
      <c r="H74" s="55">
        <f>Orders!H74</f>
        <v/>
      </c>
      <c r="I74" s="55">
        <f>Orders!I74</f>
        <v/>
      </c>
      <c r="J74" s="55">
        <f>Orders!J74</f>
        <v/>
      </c>
      <c r="K74" s="55">
        <f>Orders!K74</f>
        <v/>
      </c>
      <c r="L74" s="55">
        <f>VLOOKUP(D74,Products!$A$2:$F$61,3,FALSE())</f>
        <v/>
      </c>
      <c r="M74" s="55">
        <f>VLOOKUP(C74,Customers!$A$2:$F$301,5,FALSE())</f>
        <v/>
      </c>
      <c r="N74" s="55">
        <f>VLOOKUP(E74,Sales_Reps!$A$2:$E$31,3,FALSE())</f>
        <v/>
      </c>
      <c r="O74" s="55">
        <f>VLOOKUP(D74,Products!$A$2:$F$61,4,FALSE())</f>
        <v/>
      </c>
      <c r="P74" s="55">
        <f>VLOOKUP(C74,Customers!$A$2:$F$301,3,FALSE())</f>
        <v/>
      </c>
      <c r="Q74" s="55">
        <f>UPPER(TRIM(K74))</f>
        <v/>
      </c>
      <c r="R74" s="55">
        <f>(G74-O74)/G74</f>
        <v/>
      </c>
      <c r="S74" s="55">
        <f>VLOOKUP(D74,Products!$A$2:$F$61,6,FALSE())</f>
        <v/>
      </c>
      <c r="U74" s="55">
        <f>TRIM(Customers!B74)</f>
        <v/>
      </c>
      <c r="V74" s="55">
        <f>UPPER(TRIM(Customers!D74))</f>
        <v/>
      </c>
      <c r="W74" s="55">
        <f>LEN(Customers!B74)&lt;&gt;LEN(TRIM(Customers!B74))</f>
        <v/>
      </c>
    </row>
    <row r="75" ht="15" customHeight="1" s="56">
      <c r="A75" s="55">
        <f>Orders!A75</f>
        <v/>
      </c>
      <c r="B75" s="103">
        <f>Orders!B75</f>
        <v/>
      </c>
      <c r="C75" s="55">
        <f>Orders!C75</f>
        <v/>
      </c>
      <c r="D75" s="55">
        <f>Orders!D75</f>
        <v/>
      </c>
      <c r="E75" s="55">
        <f>Orders!E75</f>
        <v/>
      </c>
      <c r="F75" s="55">
        <f>Orders!F75</f>
        <v/>
      </c>
      <c r="G75" s="55">
        <f>Orders!G75</f>
        <v/>
      </c>
      <c r="H75" s="55">
        <f>Orders!H75</f>
        <v/>
      </c>
      <c r="I75" s="55">
        <f>Orders!I75</f>
        <v/>
      </c>
      <c r="J75" s="55">
        <f>Orders!J75</f>
        <v/>
      </c>
      <c r="K75" s="55">
        <f>Orders!K75</f>
        <v/>
      </c>
      <c r="L75" s="55">
        <f>VLOOKUP(D75,Products!$A$2:$F$61,3,FALSE())</f>
        <v/>
      </c>
      <c r="M75" s="55">
        <f>VLOOKUP(C75,Customers!$A$2:$F$301,5,FALSE())</f>
        <v/>
      </c>
      <c r="N75" s="55">
        <f>VLOOKUP(E75,Sales_Reps!$A$2:$E$31,3,FALSE())</f>
        <v/>
      </c>
      <c r="O75" s="55">
        <f>VLOOKUP(D75,Products!$A$2:$F$61,4,FALSE())</f>
        <v/>
      </c>
      <c r="P75" s="55">
        <f>VLOOKUP(C75,Customers!$A$2:$F$301,3,FALSE())</f>
        <v/>
      </c>
      <c r="Q75" s="55">
        <f>UPPER(TRIM(K75))</f>
        <v/>
      </c>
      <c r="R75" s="55">
        <f>(G75-O75)/G75</f>
        <v/>
      </c>
      <c r="S75" s="55">
        <f>VLOOKUP(D75,Products!$A$2:$F$61,6,FALSE())</f>
        <v/>
      </c>
      <c r="U75" s="55">
        <f>TRIM(Customers!B75)</f>
        <v/>
      </c>
      <c r="V75" s="55">
        <f>UPPER(TRIM(Customers!D75))</f>
        <v/>
      </c>
      <c r="W75" s="55">
        <f>LEN(Customers!B75)&lt;&gt;LEN(TRIM(Customers!B75))</f>
        <v/>
      </c>
    </row>
    <row r="76" ht="15" customHeight="1" s="56">
      <c r="A76" s="55">
        <f>Orders!A76</f>
        <v/>
      </c>
      <c r="B76" s="103">
        <f>Orders!B76</f>
        <v/>
      </c>
      <c r="C76" s="55">
        <f>Orders!C76</f>
        <v/>
      </c>
      <c r="D76" s="55">
        <f>Orders!D76</f>
        <v/>
      </c>
      <c r="E76" s="55">
        <f>Orders!E76</f>
        <v/>
      </c>
      <c r="F76" s="55">
        <f>Orders!F76</f>
        <v/>
      </c>
      <c r="G76" s="55">
        <f>Orders!G76</f>
        <v/>
      </c>
      <c r="H76" s="55">
        <f>Orders!H76</f>
        <v/>
      </c>
      <c r="I76" s="55">
        <f>Orders!I76</f>
        <v/>
      </c>
      <c r="J76" s="55">
        <f>Orders!J76</f>
        <v/>
      </c>
      <c r="K76" s="55">
        <f>Orders!K76</f>
        <v/>
      </c>
      <c r="L76" s="55">
        <f>VLOOKUP(D76,Products!$A$2:$F$61,3,FALSE())</f>
        <v/>
      </c>
      <c r="M76" s="55">
        <f>VLOOKUP(C76,Customers!$A$2:$F$301,5,FALSE())</f>
        <v/>
      </c>
      <c r="N76" s="55">
        <f>VLOOKUP(E76,Sales_Reps!$A$2:$E$31,3,FALSE())</f>
        <v/>
      </c>
      <c r="O76" s="55">
        <f>VLOOKUP(D76,Products!$A$2:$F$61,4,FALSE())</f>
        <v/>
      </c>
      <c r="P76" s="55">
        <f>VLOOKUP(C76,Customers!$A$2:$F$301,3,FALSE())</f>
        <v/>
      </c>
      <c r="Q76" s="55">
        <f>UPPER(TRIM(K76))</f>
        <v/>
      </c>
      <c r="R76" s="55">
        <f>(G76-O76)/G76</f>
        <v/>
      </c>
      <c r="S76" s="55">
        <f>VLOOKUP(D76,Products!$A$2:$F$61,6,FALSE())</f>
        <v/>
      </c>
      <c r="U76" s="55">
        <f>TRIM(Customers!B76)</f>
        <v/>
      </c>
      <c r="V76" s="55">
        <f>UPPER(TRIM(Customers!D76))</f>
        <v/>
      </c>
      <c r="W76" s="55">
        <f>LEN(Customers!B76)&lt;&gt;LEN(TRIM(Customers!B76))</f>
        <v/>
      </c>
    </row>
    <row r="77" ht="15" customHeight="1" s="56">
      <c r="A77" s="55">
        <f>Orders!A77</f>
        <v/>
      </c>
      <c r="B77" s="103">
        <f>Orders!B77</f>
        <v/>
      </c>
      <c r="C77" s="55">
        <f>Orders!C77</f>
        <v/>
      </c>
      <c r="D77" s="55">
        <f>Orders!D77</f>
        <v/>
      </c>
      <c r="E77" s="55">
        <f>Orders!E77</f>
        <v/>
      </c>
      <c r="F77" s="55">
        <f>Orders!F77</f>
        <v/>
      </c>
      <c r="G77" s="55">
        <f>Orders!G77</f>
        <v/>
      </c>
      <c r="H77" s="55">
        <f>Orders!H77</f>
        <v/>
      </c>
      <c r="I77" s="55">
        <f>Orders!I77</f>
        <v/>
      </c>
      <c r="J77" s="55">
        <f>Orders!J77</f>
        <v/>
      </c>
      <c r="K77" s="55">
        <f>Orders!K77</f>
        <v/>
      </c>
      <c r="L77" s="55">
        <f>VLOOKUP(D77,Products!$A$2:$F$61,3,FALSE())</f>
        <v/>
      </c>
      <c r="M77" s="55">
        <f>VLOOKUP(C77,Customers!$A$2:$F$301,5,FALSE())</f>
        <v/>
      </c>
      <c r="N77" s="55">
        <f>VLOOKUP(E77,Sales_Reps!$A$2:$E$31,3,FALSE())</f>
        <v/>
      </c>
      <c r="O77" s="55">
        <f>VLOOKUP(D77,Products!$A$2:$F$61,4,FALSE())</f>
        <v/>
      </c>
      <c r="P77" s="55">
        <f>VLOOKUP(C77,Customers!$A$2:$F$301,3,FALSE())</f>
        <v/>
      </c>
      <c r="Q77" s="55">
        <f>UPPER(TRIM(K77))</f>
        <v/>
      </c>
      <c r="R77" s="55">
        <f>(G77-O77)/G77</f>
        <v/>
      </c>
      <c r="S77" s="55">
        <f>VLOOKUP(D77,Products!$A$2:$F$61,6,FALSE())</f>
        <v/>
      </c>
      <c r="U77" s="55">
        <f>TRIM(Customers!B77)</f>
        <v/>
      </c>
      <c r="V77" s="55">
        <f>UPPER(TRIM(Customers!D77))</f>
        <v/>
      </c>
      <c r="W77" s="55">
        <f>LEN(Customers!B77)&lt;&gt;LEN(TRIM(Customers!B77))</f>
        <v/>
      </c>
    </row>
    <row r="78" ht="15" customHeight="1" s="56">
      <c r="A78" s="55">
        <f>Orders!A78</f>
        <v/>
      </c>
      <c r="B78" s="103">
        <f>Orders!B78</f>
        <v/>
      </c>
      <c r="C78" s="55">
        <f>Orders!C78</f>
        <v/>
      </c>
      <c r="D78" s="55">
        <f>Orders!D78</f>
        <v/>
      </c>
      <c r="E78" s="55">
        <f>Orders!E78</f>
        <v/>
      </c>
      <c r="F78" s="55">
        <f>Orders!F78</f>
        <v/>
      </c>
      <c r="G78" s="55">
        <f>Orders!G78</f>
        <v/>
      </c>
      <c r="H78" s="55">
        <f>Orders!H78</f>
        <v/>
      </c>
      <c r="I78" s="55">
        <f>Orders!I78</f>
        <v/>
      </c>
      <c r="J78" s="55">
        <f>Orders!J78</f>
        <v/>
      </c>
      <c r="K78" s="55">
        <f>Orders!K78</f>
        <v/>
      </c>
      <c r="L78" s="55">
        <f>VLOOKUP(D78,Products!$A$2:$F$61,3,FALSE())</f>
        <v/>
      </c>
      <c r="M78" s="55">
        <f>VLOOKUP(C78,Customers!$A$2:$F$301,5,FALSE())</f>
        <v/>
      </c>
      <c r="N78" s="55">
        <f>VLOOKUP(E78,Sales_Reps!$A$2:$E$31,3,FALSE())</f>
        <v/>
      </c>
      <c r="O78" s="55">
        <f>VLOOKUP(D78,Products!$A$2:$F$61,4,FALSE())</f>
        <v/>
      </c>
      <c r="P78" s="55">
        <f>VLOOKUP(C78,Customers!$A$2:$F$301,3,FALSE())</f>
        <v/>
      </c>
      <c r="Q78" s="55">
        <f>UPPER(TRIM(K78))</f>
        <v/>
      </c>
      <c r="R78" s="55">
        <f>(G78-O78)/G78</f>
        <v/>
      </c>
      <c r="S78" s="55">
        <f>VLOOKUP(D78,Products!$A$2:$F$61,6,FALSE())</f>
        <v/>
      </c>
      <c r="U78" s="55">
        <f>TRIM(Customers!B78)</f>
        <v/>
      </c>
      <c r="V78" s="55">
        <f>UPPER(TRIM(Customers!D78))</f>
        <v/>
      </c>
      <c r="W78" s="55">
        <f>LEN(Customers!B78)&lt;&gt;LEN(TRIM(Customers!B78))</f>
        <v/>
      </c>
    </row>
    <row r="79" ht="15" customHeight="1" s="56">
      <c r="A79" s="55">
        <f>Orders!A79</f>
        <v/>
      </c>
      <c r="B79" s="103">
        <f>Orders!B79</f>
        <v/>
      </c>
      <c r="C79" s="55">
        <f>Orders!C79</f>
        <v/>
      </c>
      <c r="D79" s="55">
        <f>Orders!D79</f>
        <v/>
      </c>
      <c r="E79" s="55">
        <f>Orders!E79</f>
        <v/>
      </c>
      <c r="F79" s="55">
        <f>Orders!F79</f>
        <v/>
      </c>
      <c r="G79" s="55">
        <f>Orders!G79</f>
        <v/>
      </c>
      <c r="H79" s="55">
        <f>Orders!H79</f>
        <v/>
      </c>
      <c r="I79" s="55">
        <f>Orders!I79</f>
        <v/>
      </c>
      <c r="J79" s="55">
        <f>Orders!J79</f>
        <v/>
      </c>
      <c r="K79" s="55">
        <f>Orders!K79</f>
        <v/>
      </c>
      <c r="L79" s="55">
        <f>VLOOKUP(D79,Products!$A$2:$F$61,3,FALSE())</f>
        <v/>
      </c>
      <c r="M79" s="55">
        <f>VLOOKUP(C79,Customers!$A$2:$F$301,5,FALSE())</f>
        <v/>
      </c>
      <c r="N79" s="55">
        <f>VLOOKUP(E79,Sales_Reps!$A$2:$E$31,3,FALSE())</f>
        <v/>
      </c>
      <c r="O79" s="55">
        <f>VLOOKUP(D79,Products!$A$2:$F$61,4,FALSE())</f>
        <v/>
      </c>
      <c r="P79" s="55">
        <f>VLOOKUP(C79,Customers!$A$2:$F$301,3,FALSE())</f>
        <v/>
      </c>
      <c r="Q79" s="55">
        <f>UPPER(TRIM(K79))</f>
        <v/>
      </c>
      <c r="R79" s="55">
        <f>(G79-O79)/G79</f>
        <v/>
      </c>
      <c r="S79" s="55">
        <f>VLOOKUP(D79,Products!$A$2:$F$61,6,FALSE())</f>
        <v/>
      </c>
      <c r="U79" s="55">
        <f>TRIM(Customers!B79)</f>
        <v/>
      </c>
      <c r="V79" s="55">
        <f>UPPER(TRIM(Customers!D79))</f>
        <v/>
      </c>
      <c r="W79" s="55">
        <f>LEN(Customers!B79)&lt;&gt;LEN(TRIM(Customers!B79))</f>
        <v/>
      </c>
    </row>
    <row r="80" ht="15" customHeight="1" s="56">
      <c r="A80" s="55">
        <f>Orders!A80</f>
        <v/>
      </c>
      <c r="B80" s="103">
        <f>Orders!B80</f>
        <v/>
      </c>
      <c r="C80" s="55">
        <f>Orders!C80</f>
        <v/>
      </c>
      <c r="D80" s="55">
        <f>Orders!D80</f>
        <v/>
      </c>
      <c r="E80" s="55">
        <f>Orders!E80</f>
        <v/>
      </c>
      <c r="F80" s="55">
        <f>Orders!F80</f>
        <v/>
      </c>
      <c r="G80" s="55">
        <f>Orders!G80</f>
        <v/>
      </c>
      <c r="H80" s="55">
        <f>Orders!H80</f>
        <v/>
      </c>
      <c r="I80" s="55">
        <f>Orders!I80</f>
        <v/>
      </c>
      <c r="J80" s="55">
        <f>Orders!J80</f>
        <v/>
      </c>
      <c r="K80" s="55">
        <f>Orders!K80</f>
        <v/>
      </c>
      <c r="L80" s="55">
        <f>VLOOKUP(D80,Products!$A$2:$F$61,3,FALSE())</f>
        <v/>
      </c>
      <c r="M80" s="55">
        <f>VLOOKUP(C80,Customers!$A$2:$F$301,5,FALSE())</f>
        <v/>
      </c>
      <c r="N80" s="55">
        <f>VLOOKUP(E80,Sales_Reps!$A$2:$E$31,3,FALSE())</f>
        <v/>
      </c>
      <c r="O80" s="55">
        <f>VLOOKUP(D80,Products!$A$2:$F$61,4,FALSE())</f>
        <v/>
      </c>
      <c r="P80" s="55">
        <f>VLOOKUP(C80,Customers!$A$2:$F$301,3,FALSE())</f>
        <v/>
      </c>
      <c r="Q80" s="55">
        <f>UPPER(TRIM(K80))</f>
        <v/>
      </c>
      <c r="R80" s="55">
        <f>(G80-O80)/G80</f>
        <v/>
      </c>
      <c r="S80" s="55">
        <f>VLOOKUP(D80,Products!$A$2:$F$61,6,FALSE())</f>
        <v/>
      </c>
      <c r="U80" s="55">
        <f>TRIM(Customers!B80)</f>
        <v/>
      </c>
      <c r="V80" s="55">
        <f>UPPER(TRIM(Customers!D80))</f>
        <v/>
      </c>
      <c r="W80" s="55">
        <f>LEN(Customers!B80)&lt;&gt;LEN(TRIM(Customers!B80))</f>
        <v/>
      </c>
    </row>
    <row r="81" ht="15" customHeight="1" s="56">
      <c r="A81" s="55">
        <f>Orders!A81</f>
        <v/>
      </c>
      <c r="B81" s="103">
        <f>Orders!B81</f>
        <v/>
      </c>
      <c r="C81" s="55">
        <f>Orders!C81</f>
        <v/>
      </c>
      <c r="D81" s="55">
        <f>Orders!D81</f>
        <v/>
      </c>
      <c r="E81" s="55">
        <f>Orders!E81</f>
        <v/>
      </c>
      <c r="F81" s="55">
        <f>Orders!F81</f>
        <v/>
      </c>
      <c r="G81" s="55">
        <f>Orders!G81</f>
        <v/>
      </c>
      <c r="H81" s="55">
        <f>Orders!H81</f>
        <v/>
      </c>
      <c r="I81" s="55">
        <f>Orders!I81</f>
        <v/>
      </c>
      <c r="J81" s="55">
        <f>Orders!J81</f>
        <v/>
      </c>
      <c r="K81" s="55">
        <f>Orders!K81</f>
        <v/>
      </c>
      <c r="L81" s="55">
        <f>VLOOKUP(D81,Products!$A$2:$F$61,3,FALSE())</f>
        <v/>
      </c>
      <c r="M81" s="55">
        <f>VLOOKUP(C81,Customers!$A$2:$F$301,5,FALSE())</f>
        <v/>
      </c>
      <c r="N81" s="55">
        <f>VLOOKUP(E81,Sales_Reps!$A$2:$E$31,3,FALSE())</f>
        <v/>
      </c>
      <c r="O81" s="55">
        <f>VLOOKUP(D81,Products!$A$2:$F$61,4,FALSE())</f>
        <v/>
      </c>
      <c r="P81" s="55">
        <f>VLOOKUP(C81,Customers!$A$2:$F$301,3,FALSE())</f>
        <v/>
      </c>
      <c r="Q81" s="55">
        <f>UPPER(TRIM(K81))</f>
        <v/>
      </c>
      <c r="R81" s="55">
        <f>(G81-O81)/G81</f>
        <v/>
      </c>
      <c r="S81" s="55">
        <f>VLOOKUP(D81,Products!$A$2:$F$61,6,FALSE())</f>
        <v/>
      </c>
      <c r="U81" s="55">
        <f>TRIM(Customers!B81)</f>
        <v/>
      </c>
      <c r="V81" s="55">
        <f>UPPER(TRIM(Customers!D81))</f>
        <v/>
      </c>
      <c r="W81" s="55">
        <f>LEN(Customers!B81)&lt;&gt;LEN(TRIM(Customers!B81))</f>
        <v/>
      </c>
    </row>
    <row r="82" ht="15" customHeight="1" s="56">
      <c r="A82" s="55">
        <f>Orders!A82</f>
        <v/>
      </c>
      <c r="B82" s="103">
        <f>Orders!B82</f>
        <v/>
      </c>
      <c r="C82" s="55">
        <f>Orders!C82</f>
        <v/>
      </c>
      <c r="D82" s="55">
        <f>Orders!D82</f>
        <v/>
      </c>
      <c r="E82" s="55">
        <f>Orders!E82</f>
        <v/>
      </c>
      <c r="F82" s="55">
        <f>Orders!F82</f>
        <v/>
      </c>
      <c r="G82" s="55">
        <f>Orders!G82</f>
        <v/>
      </c>
      <c r="H82" s="55">
        <f>Orders!H82</f>
        <v/>
      </c>
      <c r="I82" s="55">
        <f>Orders!I82</f>
        <v/>
      </c>
      <c r="J82" s="55">
        <f>Orders!J82</f>
        <v/>
      </c>
      <c r="K82" s="55">
        <f>Orders!K82</f>
        <v/>
      </c>
      <c r="L82" s="55">
        <f>VLOOKUP(D82,Products!$A$2:$F$61,3,FALSE())</f>
        <v/>
      </c>
      <c r="M82" s="55">
        <f>VLOOKUP(C82,Customers!$A$2:$F$301,5,FALSE())</f>
        <v/>
      </c>
      <c r="N82" s="55">
        <f>VLOOKUP(E82,Sales_Reps!$A$2:$E$31,3,FALSE())</f>
        <v/>
      </c>
      <c r="O82" s="55">
        <f>VLOOKUP(D82,Products!$A$2:$F$61,4,FALSE())</f>
        <v/>
      </c>
      <c r="P82" s="55">
        <f>VLOOKUP(C82,Customers!$A$2:$F$301,3,FALSE())</f>
        <v/>
      </c>
      <c r="Q82" s="55">
        <f>UPPER(TRIM(K82))</f>
        <v/>
      </c>
      <c r="R82" s="55">
        <f>(G82-O82)/G82</f>
        <v/>
      </c>
      <c r="S82" s="55">
        <f>VLOOKUP(D82,Products!$A$2:$F$61,6,FALSE())</f>
        <v/>
      </c>
      <c r="U82" s="55">
        <f>TRIM(Customers!B82)</f>
        <v/>
      </c>
      <c r="V82" s="55">
        <f>UPPER(TRIM(Customers!D82))</f>
        <v/>
      </c>
      <c r="W82" s="55">
        <f>LEN(Customers!B82)&lt;&gt;LEN(TRIM(Customers!B82))</f>
        <v/>
      </c>
    </row>
    <row r="83" ht="15" customHeight="1" s="56">
      <c r="A83" s="55">
        <f>Orders!A83</f>
        <v/>
      </c>
      <c r="B83" s="103">
        <f>Orders!B83</f>
        <v/>
      </c>
      <c r="C83" s="55">
        <f>Orders!C83</f>
        <v/>
      </c>
      <c r="D83" s="55">
        <f>Orders!D83</f>
        <v/>
      </c>
      <c r="E83" s="55">
        <f>Orders!E83</f>
        <v/>
      </c>
      <c r="F83" s="55">
        <f>Orders!F83</f>
        <v/>
      </c>
      <c r="G83" s="55">
        <f>Orders!G83</f>
        <v/>
      </c>
      <c r="H83" s="55">
        <f>Orders!H83</f>
        <v/>
      </c>
      <c r="I83" s="55">
        <f>Orders!I83</f>
        <v/>
      </c>
      <c r="J83" s="55">
        <f>Orders!J83</f>
        <v/>
      </c>
      <c r="K83" s="55">
        <f>Orders!K83</f>
        <v/>
      </c>
      <c r="L83" s="55">
        <f>VLOOKUP(D83,Products!$A$2:$F$61,3,FALSE())</f>
        <v/>
      </c>
      <c r="M83" s="55">
        <f>VLOOKUP(C83,Customers!$A$2:$F$301,5,FALSE())</f>
        <v/>
      </c>
      <c r="N83" s="55">
        <f>VLOOKUP(E83,Sales_Reps!$A$2:$E$31,3,FALSE())</f>
        <v/>
      </c>
      <c r="O83" s="55">
        <f>VLOOKUP(D83,Products!$A$2:$F$61,4,FALSE())</f>
        <v/>
      </c>
      <c r="P83" s="55">
        <f>VLOOKUP(C83,Customers!$A$2:$F$301,3,FALSE())</f>
        <v/>
      </c>
      <c r="Q83" s="55">
        <f>UPPER(TRIM(K83))</f>
        <v/>
      </c>
      <c r="R83" s="55">
        <f>(G83-O83)/G83</f>
        <v/>
      </c>
      <c r="S83" s="55">
        <f>VLOOKUP(D83,Products!$A$2:$F$61,6,FALSE())</f>
        <v/>
      </c>
      <c r="U83" s="55">
        <f>TRIM(Customers!B83)</f>
        <v/>
      </c>
      <c r="V83" s="55">
        <f>UPPER(TRIM(Customers!D83))</f>
        <v/>
      </c>
      <c r="W83" s="55">
        <f>LEN(Customers!B83)&lt;&gt;LEN(TRIM(Customers!B83))</f>
        <v/>
      </c>
    </row>
    <row r="84" ht="15" customHeight="1" s="56">
      <c r="A84" s="55">
        <f>Orders!A84</f>
        <v/>
      </c>
      <c r="B84" s="103">
        <f>Orders!B84</f>
        <v/>
      </c>
      <c r="C84" s="55">
        <f>Orders!C84</f>
        <v/>
      </c>
      <c r="D84" s="55">
        <f>Orders!D84</f>
        <v/>
      </c>
      <c r="E84" s="55">
        <f>Orders!E84</f>
        <v/>
      </c>
      <c r="F84" s="55">
        <f>Orders!F84</f>
        <v/>
      </c>
      <c r="G84" s="55">
        <f>Orders!G84</f>
        <v/>
      </c>
      <c r="H84" s="55">
        <f>Orders!H84</f>
        <v/>
      </c>
      <c r="I84" s="55">
        <f>Orders!I84</f>
        <v/>
      </c>
      <c r="J84" s="55">
        <f>Orders!J84</f>
        <v/>
      </c>
      <c r="K84" s="55">
        <f>Orders!K84</f>
        <v/>
      </c>
      <c r="L84" s="55">
        <f>VLOOKUP(D84,Products!$A$2:$F$61,3,FALSE())</f>
        <v/>
      </c>
      <c r="M84" s="55">
        <f>VLOOKUP(C84,Customers!$A$2:$F$301,5,FALSE())</f>
        <v/>
      </c>
      <c r="N84" s="55">
        <f>VLOOKUP(E84,Sales_Reps!$A$2:$E$31,3,FALSE())</f>
        <v/>
      </c>
      <c r="O84" s="55">
        <f>VLOOKUP(D84,Products!$A$2:$F$61,4,FALSE())</f>
        <v/>
      </c>
      <c r="P84" s="55">
        <f>VLOOKUP(C84,Customers!$A$2:$F$301,3,FALSE())</f>
        <v/>
      </c>
      <c r="Q84" s="55">
        <f>UPPER(TRIM(K84))</f>
        <v/>
      </c>
      <c r="R84" s="55">
        <f>(G84-O84)/G84</f>
        <v/>
      </c>
      <c r="S84" s="55">
        <f>VLOOKUP(D84,Products!$A$2:$F$61,6,FALSE())</f>
        <v/>
      </c>
      <c r="U84" s="55">
        <f>TRIM(Customers!B84)</f>
        <v/>
      </c>
      <c r="V84" s="55">
        <f>UPPER(TRIM(Customers!D84))</f>
        <v/>
      </c>
      <c r="W84" s="55">
        <f>LEN(Customers!B84)&lt;&gt;LEN(TRIM(Customers!B84))</f>
        <v/>
      </c>
    </row>
    <row r="85" ht="15" customHeight="1" s="56">
      <c r="A85" s="55">
        <f>Orders!A85</f>
        <v/>
      </c>
      <c r="B85" s="103">
        <f>Orders!B85</f>
        <v/>
      </c>
      <c r="C85" s="55">
        <f>Orders!C85</f>
        <v/>
      </c>
      <c r="D85" s="55">
        <f>Orders!D85</f>
        <v/>
      </c>
      <c r="E85" s="55">
        <f>Orders!E85</f>
        <v/>
      </c>
      <c r="F85" s="55">
        <f>Orders!F85</f>
        <v/>
      </c>
      <c r="G85" s="55">
        <f>Orders!G85</f>
        <v/>
      </c>
      <c r="H85" s="55">
        <f>Orders!H85</f>
        <v/>
      </c>
      <c r="I85" s="55">
        <f>Orders!I85</f>
        <v/>
      </c>
      <c r="J85" s="55">
        <f>Orders!J85</f>
        <v/>
      </c>
      <c r="K85" s="55">
        <f>Orders!K85</f>
        <v/>
      </c>
      <c r="L85" s="55">
        <f>VLOOKUP(D85,Products!$A$2:$F$61,3,FALSE())</f>
        <v/>
      </c>
      <c r="M85" s="55">
        <f>VLOOKUP(C85,Customers!$A$2:$F$301,5,FALSE())</f>
        <v/>
      </c>
      <c r="N85" s="55">
        <f>VLOOKUP(E85,Sales_Reps!$A$2:$E$31,3,FALSE())</f>
        <v/>
      </c>
      <c r="O85" s="55">
        <f>VLOOKUP(D85,Products!$A$2:$F$61,4,FALSE())</f>
        <v/>
      </c>
      <c r="P85" s="55">
        <f>VLOOKUP(C85,Customers!$A$2:$F$301,3,FALSE())</f>
        <v/>
      </c>
      <c r="Q85" s="55">
        <f>UPPER(TRIM(K85))</f>
        <v/>
      </c>
      <c r="R85" s="55">
        <f>(G85-O85)/G85</f>
        <v/>
      </c>
      <c r="S85" s="55">
        <f>VLOOKUP(D85,Products!$A$2:$F$61,6,FALSE())</f>
        <v/>
      </c>
      <c r="U85" s="55">
        <f>TRIM(Customers!B85)</f>
        <v/>
      </c>
      <c r="V85" s="55">
        <f>UPPER(TRIM(Customers!D85))</f>
        <v/>
      </c>
      <c r="W85" s="55">
        <f>LEN(Customers!B85)&lt;&gt;LEN(TRIM(Customers!B85))</f>
        <v/>
      </c>
    </row>
    <row r="86" ht="15" customHeight="1" s="56">
      <c r="A86" s="55">
        <f>Orders!A86</f>
        <v/>
      </c>
      <c r="B86" s="103">
        <f>Orders!B86</f>
        <v/>
      </c>
      <c r="C86" s="55">
        <f>Orders!C86</f>
        <v/>
      </c>
      <c r="D86" s="55">
        <f>Orders!D86</f>
        <v/>
      </c>
      <c r="E86" s="55">
        <f>Orders!E86</f>
        <v/>
      </c>
      <c r="F86" s="55">
        <f>Orders!F86</f>
        <v/>
      </c>
      <c r="G86" s="55">
        <f>Orders!G86</f>
        <v/>
      </c>
      <c r="H86" s="55">
        <f>Orders!H86</f>
        <v/>
      </c>
      <c r="I86" s="55">
        <f>Orders!I86</f>
        <v/>
      </c>
      <c r="J86" s="55">
        <f>Orders!J86</f>
        <v/>
      </c>
      <c r="K86" s="55">
        <f>Orders!K86</f>
        <v/>
      </c>
      <c r="L86" s="55">
        <f>VLOOKUP(D86,Products!$A$2:$F$61,3,FALSE())</f>
        <v/>
      </c>
      <c r="M86" s="55">
        <f>VLOOKUP(C86,Customers!$A$2:$F$301,5,FALSE())</f>
        <v/>
      </c>
      <c r="N86" s="55">
        <f>VLOOKUP(E86,Sales_Reps!$A$2:$E$31,3,FALSE())</f>
        <v/>
      </c>
      <c r="O86" s="55">
        <f>VLOOKUP(D86,Products!$A$2:$F$61,4,FALSE())</f>
        <v/>
      </c>
      <c r="P86" s="55">
        <f>VLOOKUP(C86,Customers!$A$2:$F$301,3,FALSE())</f>
        <v/>
      </c>
      <c r="Q86" s="55">
        <f>UPPER(TRIM(K86))</f>
        <v/>
      </c>
      <c r="R86" s="55">
        <f>(G86-O86)/G86</f>
        <v/>
      </c>
      <c r="S86" s="55">
        <f>VLOOKUP(D86,Products!$A$2:$F$61,6,FALSE())</f>
        <v/>
      </c>
      <c r="U86" s="55">
        <f>TRIM(Customers!B86)</f>
        <v/>
      </c>
      <c r="V86" s="55">
        <f>UPPER(TRIM(Customers!D86))</f>
        <v/>
      </c>
      <c r="W86" s="55">
        <f>LEN(Customers!B86)&lt;&gt;LEN(TRIM(Customers!B86))</f>
        <v/>
      </c>
    </row>
    <row r="87" ht="15" customHeight="1" s="56">
      <c r="A87" s="55">
        <f>Orders!A87</f>
        <v/>
      </c>
      <c r="B87" s="103">
        <f>Orders!B87</f>
        <v/>
      </c>
      <c r="C87" s="55">
        <f>Orders!C87</f>
        <v/>
      </c>
      <c r="D87" s="55">
        <f>Orders!D87</f>
        <v/>
      </c>
      <c r="E87" s="55">
        <f>Orders!E87</f>
        <v/>
      </c>
      <c r="F87" s="55">
        <f>Orders!F87</f>
        <v/>
      </c>
      <c r="G87" s="55">
        <f>Orders!G87</f>
        <v/>
      </c>
      <c r="H87" s="55">
        <f>Orders!H87</f>
        <v/>
      </c>
      <c r="I87" s="55">
        <f>Orders!I87</f>
        <v/>
      </c>
      <c r="J87" s="55">
        <f>Orders!J87</f>
        <v/>
      </c>
      <c r="K87" s="55">
        <f>Orders!K87</f>
        <v/>
      </c>
      <c r="L87" s="55">
        <f>VLOOKUP(D87,Products!$A$2:$F$61,3,FALSE())</f>
        <v/>
      </c>
      <c r="M87" s="55">
        <f>VLOOKUP(C87,Customers!$A$2:$F$301,5,FALSE())</f>
        <v/>
      </c>
      <c r="N87" s="55">
        <f>VLOOKUP(E87,Sales_Reps!$A$2:$E$31,3,FALSE())</f>
        <v/>
      </c>
      <c r="O87" s="55">
        <f>VLOOKUP(D87,Products!$A$2:$F$61,4,FALSE())</f>
        <v/>
      </c>
      <c r="P87" s="55">
        <f>VLOOKUP(C87,Customers!$A$2:$F$301,3,FALSE())</f>
        <v/>
      </c>
      <c r="Q87" s="55">
        <f>UPPER(TRIM(K87))</f>
        <v/>
      </c>
      <c r="R87" s="55">
        <f>(G87-O87)/G87</f>
        <v/>
      </c>
      <c r="S87" s="55">
        <f>VLOOKUP(D87,Products!$A$2:$F$61,6,FALSE())</f>
        <v/>
      </c>
      <c r="U87" s="55">
        <f>TRIM(Customers!B87)</f>
        <v/>
      </c>
      <c r="V87" s="55">
        <f>UPPER(TRIM(Customers!D87))</f>
        <v/>
      </c>
      <c r="W87" s="55">
        <f>LEN(Customers!B87)&lt;&gt;LEN(TRIM(Customers!B87))</f>
        <v/>
      </c>
    </row>
    <row r="88" ht="15" customHeight="1" s="56">
      <c r="A88" s="55">
        <f>Orders!A88</f>
        <v/>
      </c>
      <c r="B88" s="103">
        <f>Orders!B88</f>
        <v/>
      </c>
      <c r="C88" s="55">
        <f>Orders!C88</f>
        <v/>
      </c>
      <c r="D88" s="55">
        <f>Orders!D88</f>
        <v/>
      </c>
      <c r="E88" s="55">
        <f>Orders!E88</f>
        <v/>
      </c>
      <c r="F88" s="55">
        <f>Orders!F88</f>
        <v/>
      </c>
      <c r="G88" s="55">
        <f>Orders!G88</f>
        <v/>
      </c>
      <c r="H88" s="55">
        <f>Orders!H88</f>
        <v/>
      </c>
      <c r="I88" s="55">
        <f>Orders!I88</f>
        <v/>
      </c>
      <c r="J88" s="55">
        <f>Orders!J88</f>
        <v/>
      </c>
      <c r="K88" s="55">
        <f>Orders!K88</f>
        <v/>
      </c>
      <c r="L88" s="55">
        <f>VLOOKUP(D88,Products!$A$2:$F$61,3,FALSE())</f>
        <v/>
      </c>
      <c r="M88" s="55">
        <f>VLOOKUP(C88,Customers!$A$2:$F$301,5,FALSE())</f>
        <v/>
      </c>
      <c r="N88" s="55">
        <f>VLOOKUP(E88,Sales_Reps!$A$2:$E$31,3,FALSE())</f>
        <v/>
      </c>
      <c r="O88" s="55">
        <f>VLOOKUP(D88,Products!$A$2:$F$61,4,FALSE())</f>
        <v/>
      </c>
      <c r="P88" s="55">
        <f>VLOOKUP(C88,Customers!$A$2:$F$301,3,FALSE())</f>
        <v/>
      </c>
      <c r="Q88" s="55">
        <f>UPPER(TRIM(K88))</f>
        <v/>
      </c>
      <c r="R88" s="55">
        <f>(G88-O88)/G88</f>
        <v/>
      </c>
      <c r="S88" s="55">
        <f>VLOOKUP(D88,Products!$A$2:$F$61,6,FALSE())</f>
        <v/>
      </c>
      <c r="U88" s="55">
        <f>TRIM(Customers!B88)</f>
        <v/>
      </c>
      <c r="V88" s="55">
        <f>UPPER(TRIM(Customers!D88))</f>
        <v/>
      </c>
      <c r="W88" s="55">
        <f>LEN(Customers!B88)&lt;&gt;LEN(TRIM(Customers!B88))</f>
        <v/>
      </c>
    </row>
    <row r="89" ht="15" customHeight="1" s="56">
      <c r="A89" s="55">
        <f>Orders!A89</f>
        <v/>
      </c>
      <c r="B89" s="103">
        <f>Orders!B89</f>
        <v/>
      </c>
      <c r="C89" s="55">
        <f>Orders!C89</f>
        <v/>
      </c>
      <c r="D89" s="55">
        <f>Orders!D89</f>
        <v/>
      </c>
      <c r="E89" s="55">
        <f>Orders!E89</f>
        <v/>
      </c>
      <c r="F89" s="55">
        <f>Orders!F89</f>
        <v/>
      </c>
      <c r="G89" s="55">
        <f>Orders!G89</f>
        <v/>
      </c>
      <c r="H89" s="55">
        <f>Orders!H89</f>
        <v/>
      </c>
      <c r="I89" s="55">
        <f>Orders!I89</f>
        <v/>
      </c>
      <c r="J89" s="55">
        <f>Orders!J89</f>
        <v/>
      </c>
      <c r="K89" s="55">
        <f>Orders!K89</f>
        <v/>
      </c>
      <c r="L89" s="55">
        <f>VLOOKUP(D89,Products!$A$2:$F$61,3,FALSE())</f>
        <v/>
      </c>
      <c r="M89" s="55">
        <f>VLOOKUP(C89,Customers!$A$2:$F$301,5,FALSE())</f>
        <v/>
      </c>
      <c r="N89" s="55">
        <f>VLOOKUP(E89,Sales_Reps!$A$2:$E$31,3,FALSE())</f>
        <v/>
      </c>
      <c r="O89" s="55">
        <f>VLOOKUP(D89,Products!$A$2:$F$61,4,FALSE())</f>
        <v/>
      </c>
      <c r="P89" s="55">
        <f>VLOOKUP(C89,Customers!$A$2:$F$301,3,FALSE())</f>
        <v/>
      </c>
      <c r="Q89" s="55">
        <f>UPPER(TRIM(K89))</f>
        <v/>
      </c>
      <c r="R89" s="55">
        <f>(G89-O89)/G89</f>
        <v/>
      </c>
      <c r="S89" s="55">
        <f>VLOOKUP(D89,Products!$A$2:$F$61,6,FALSE())</f>
        <v/>
      </c>
      <c r="U89" s="55">
        <f>TRIM(Customers!B89)</f>
        <v/>
      </c>
      <c r="V89" s="55">
        <f>UPPER(TRIM(Customers!D89))</f>
        <v/>
      </c>
      <c r="W89" s="55">
        <f>LEN(Customers!B89)&lt;&gt;LEN(TRIM(Customers!B89))</f>
        <v/>
      </c>
    </row>
    <row r="90" ht="15" customHeight="1" s="56">
      <c r="A90" s="55">
        <f>Orders!A90</f>
        <v/>
      </c>
      <c r="B90" s="103">
        <f>Orders!B90</f>
        <v/>
      </c>
      <c r="C90" s="55">
        <f>Orders!C90</f>
        <v/>
      </c>
      <c r="D90" s="55">
        <f>Orders!D90</f>
        <v/>
      </c>
      <c r="E90" s="55">
        <f>Orders!E90</f>
        <v/>
      </c>
      <c r="F90" s="55">
        <f>Orders!F90</f>
        <v/>
      </c>
      <c r="G90" s="55">
        <f>Orders!G90</f>
        <v/>
      </c>
      <c r="H90" s="55">
        <f>Orders!H90</f>
        <v/>
      </c>
      <c r="I90" s="55">
        <f>Orders!I90</f>
        <v/>
      </c>
      <c r="J90" s="55">
        <f>Orders!J90</f>
        <v/>
      </c>
      <c r="K90" s="55">
        <f>Orders!K90</f>
        <v/>
      </c>
      <c r="L90" s="55">
        <f>VLOOKUP(D90,Products!$A$2:$F$61,3,FALSE())</f>
        <v/>
      </c>
      <c r="M90" s="55">
        <f>VLOOKUP(C90,Customers!$A$2:$F$301,5,FALSE())</f>
        <v/>
      </c>
      <c r="N90" s="55">
        <f>VLOOKUP(E90,Sales_Reps!$A$2:$E$31,3,FALSE())</f>
        <v/>
      </c>
      <c r="O90" s="55">
        <f>VLOOKUP(D90,Products!$A$2:$F$61,4,FALSE())</f>
        <v/>
      </c>
      <c r="P90" s="55">
        <f>VLOOKUP(C90,Customers!$A$2:$F$301,3,FALSE())</f>
        <v/>
      </c>
      <c r="Q90" s="55">
        <f>UPPER(TRIM(K90))</f>
        <v/>
      </c>
      <c r="R90" s="55">
        <f>(G90-O90)/G90</f>
        <v/>
      </c>
      <c r="S90" s="55">
        <f>VLOOKUP(D90,Products!$A$2:$F$61,6,FALSE())</f>
        <v/>
      </c>
      <c r="U90" s="55">
        <f>TRIM(Customers!B90)</f>
        <v/>
      </c>
      <c r="V90" s="55">
        <f>UPPER(TRIM(Customers!D90))</f>
        <v/>
      </c>
      <c r="W90" s="55">
        <f>LEN(Customers!B90)&lt;&gt;LEN(TRIM(Customers!B90))</f>
        <v/>
      </c>
    </row>
    <row r="91" ht="15" customHeight="1" s="56">
      <c r="A91" s="55">
        <f>Orders!A91</f>
        <v/>
      </c>
      <c r="B91" s="103">
        <f>Orders!B91</f>
        <v/>
      </c>
      <c r="C91" s="55">
        <f>Orders!C91</f>
        <v/>
      </c>
      <c r="D91" s="55">
        <f>Orders!D91</f>
        <v/>
      </c>
      <c r="E91" s="55">
        <f>Orders!E91</f>
        <v/>
      </c>
      <c r="F91" s="55">
        <f>Orders!F91</f>
        <v/>
      </c>
      <c r="G91" s="55">
        <f>Orders!G91</f>
        <v/>
      </c>
      <c r="H91" s="55">
        <f>Orders!H91</f>
        <v/>
      </c>
      <c r="I91" s="55">
        <f>Orders!I91</f>
        <v/>
      </c>
      <c r="J91" s="55">
        <f>Orders!J91</f>
        <v/>
      </c>
      <c r="K91" s="55">
        <f>Orders!K91</f>
        <v/>
      </c>
      <c r="L91" s="55">
        <f>VLOOKUP(D91,Products!$A$2:$F$61,3,FALSE())</f>
        <v/>
      </c>
      <c r="M91" s="55">
        <f>VLOOKUP(C91,Customers!$A$2:$F$301,5,FALSE())</f>
        <v/>
      </c>
      <c r="N91" s="55">
        <f>VLOOKUP(E91,Sales_Reps!$A$2:$E$31,3,FALSE())</f>
        <v/>
      </c>
      <c r="O91" s="55">
        <f>VLOOKUP(D91,Products!$A$2:$F$61,4,FALSE())</f>
        <v/>
      </c>
      <c r="P91" s="55">
        <f>VLOOKUP(C91,Customers!$A$2:$F$301,3,FALSE())</f>
        <v/>
      </c>
      <c r="Q91" s="55">
        <f>UPPER(TRIM(K91))</f>
        <v/>
      </c>
      <c r="R91" s="55">
        <f>(G91-O91)/G91</f>
        <v/>
      </c>
      <c r="S91" s="55">
        <f>VLOOKUP(D91,Products!$A$2:$F$61,6,FALSE())</f>
        <v/>
      </c>
      <c r="U91" s="55">
        <f>TRIM(Customers!B91)</f>
        <v/>
      </c>
      <c r="V91" s="55">
        <f>UPPER(TRIM(Customers!D91))</f>
        <v/>
      </c>
      <c r="W91" s="55">
        <f>LEN(Customers!B91)&lt;&gt;LEN(TRIM(Customers!B91))</f>
        <v/>
      </c>
    </row>
    <row r="92" ht="15" customHeight="1" s="56">
      <c r="A92" s="55">
        <f>Orders!A92</f>
        <v/>
      </c>
      <c r="B92" s="103">
        <f>Orders!B92</f>
        <v/>
      </c>
      <c r="C92" s="55">
        <f>Orders!C92</f>
        <v/>
      </c>
      <c r="D92" s="55">
        <f>Orders!D92</f>
        <v/>
      </c>
      <c r="E92" s="55">
        <f>Orders!E92</f>
        <v/>
      </c>
      <c r="F92" s="55">
        <f>Orders!F92</f>
        <v/>
      </c>
      <c r="G92" s="55">
        <f>Orders!G92</f>
        <v/>
      </c>
      <c r="H92" s="55">
        <f>Orders!H92</f>
        <v/>
      </c>
      <c r="I92" s="55">
        <f>Orders!I92</f>
        <v/>
      </c>
      <c r="J92" s="55">
        <f>Orders!J92</f>
        <v/>
      </c>
      <c r="K92" s="55">
        <f>Orders!K92</f>
        <v/>
      </c>
      <c r="L92" s="55">
        <f>VLOOKUP(D92,Products!$A$2:$F$61,3,FALSE())</f>
        <v/>
      </c>
      <c r="M92" s="55">
        <f>VLOOKUP(C92,Customers!$A$2:$F$301,5,FALSE())</f>
        <v/>
      </c>
      <c r="N92" s="55">
        <f>VLOOKUP(E92,Sales_Reps!$A$2:$E$31,3,FALSE())</f>
        <v/>
      </c>
      <c r="O92" s="55">
        <f>VLOOKUP(D92,Products!$A$2:$F$61,4,FALSE())</f>
        <v/>
      </c>
      <c r="P92" s="55">
        <f>VLOOKUP(C92,Customers!$A$2:$F$301,3,FALSE())</f>
        <v/>
      </c>
      <c r="Q92" s="55">
        <f>UPPER(TRIM(K92))</f>
        <v/>
      </c>
      <c r="R92" s="55">
        <f>(G92-O92)/G92</f>
        <v/>
      </c>
      <c r="S92" s="55">
        <f>VLOOKUP(D92,Products!$A$2:$F$61,6,FALSE())</f>
        <v/>
      </c>
      <c r="U92" s="55">
        <f>TRIM(Customers!B92)</f>
        <v/>
      </c>
      <c r="V92" s="55">
        <f>UPPER(TRIM(Customers!D92))</f>
        <v/>
      </c>
      <c r="W92" s="55">
        <f>LEN(Customers!B92)&lt;&gt;LEN(TRIM(Customers!B92))</f>
        <v/>
      </c>
    </row>
    <row r="93" ht="15" customHeight="1" s="56">
      <c r="A93" s="55">
        <f>Orders!A93</f>
        <v/>
      </c>
      <c r="B93" s="103">
        <f>Orders!B93</f>
        <v/>
      </c>
      <c r="C93" s="55">
        <f>Orders!C93</f>
        <v/>
      </c>
      <c r="D93" s="55">
        <f>Orders!D93</f>
        <v/>
      </c>
      <c r="E93" s="55">
        <f>Orders!E93</f>
        <v/>
      </c>
      <c r="F93" s="55">
        <f>Orders!F93</f>
        <v/>
      </c>
      <c r="G93" s="55">
        <f>Orders!G93</f>
        <v/>
      </c>
      <c r="H93" s="55">
        <f>Orders!H93</f>
        <v/>
      </c>
      <c r="I93" s="55">
        <f>Orders!I93</f>
        <v/>
      </c>
      <c r="J93" s="55">
        <f>Orders!J93</f>
        <v/>
      </c>
      <c r="K93" s="55">
        <f>Orders!K93</f>
        <v/>
      </c>
      <c r="L93" s="55">
        <f>VLOOKUP(D93,Products!$A$2:$F$61,3,FALSE())</f>
        <v/>
      </c>
      <c r="M93" s="55">
        <f>VLOOKUP(C93,Customers!$A$2:$F$301,5,FALSE())</f>
        <v/>
      </c>
      <c r="N93" s="55">
        <f>VLOOKUP(E93,Sales_Reps!$A$2:$E$31,3,FALSE())</f>
        <v/>
      </c>
      <c r="O93" s="55">
        <f>VLOOKUP(D93,Products!$A$2:$F$61,4,FALSE())</f>
        <v/>
      </c>
      <c r="P93" s="55">
        <f>VLOOKUP(C93,Customers!$A$2:$F$301,3,FALSE())</f>
        <v/>
      </c>
      <c r="Q93" s="55">
        <f>UPPER(TRIM(K93))</f>
        <v/>
      </c>
      <c r="R93" s="55">
        <f>(G93-O93)/G93</f>
        <v/>
      </c>
      <c r="S93" s="55">
        <f>VLOOKUP(D93,Products!$A$2:$F$61,6,FALSE())</f>
        <v/>
      </c>
      <c r="U93" s="55">
        <f>TRIM(Customers!B93)</f>
        <v/>
      </c>
      <c r="V93" s="55">
        <f>UPPER(TRIM(Customers!D93))</f>
        <v/>
      </c>
      <c r="W93" s="55">
        <f>LEN(Customers!B93)&lt;&gt;LEN(TRIM(Customers!B93))</f>
        <v/>
      </c>
    </row>
    <row r="94" ht="15" customHeight="1" s="56">
      <c r="A94" s="55">
        <f>Orders!A94</f>
        <v/>
      </c>
      <c r="B94" s="103">
        <f>Orders!B94</f>
        <v/>
      </c>
      <c r="C94" s="55">
        <f>Orders!C94</f>
        <v/>
      </c>
      <c r="D94" s="55">
        <f>Orders!D94</f>
        <v/>
      </c>
      <c r="E94" s="55">
        <f>Orders!E94</f>
        <v/>
      </c>
      <c r="F94" s="55">
        <f>Orders!F94</f>
        <v/>
      </c>
      <c r="G94" s="55">
        <f>Orders!G94</f>
        <v/>
      </c>
      <c r="H94" s="55">
        <f>Orders!H94</f>
        <v/>
      </c>
      <c r="I94" s="55">
        <f>Orders!I94</f>
        <v/>
      </c>
      <c r="J94" s="55">
        <f>Orders!J94</f>
        <v/>
      </c>
      <c r="K94" s="55">
        <f>Orders!K94</f>
        <v/>
      </c>
      <c r="L94" s="55">
        <f>VLOOKUP(D94,Products!$A$2:$F$61,3,FALSE())</f>
        <v/>
      </c>
      <c r="M94" s="55">
        <f>VLOOKUP(C94,Customers!$A$2:$F$301,5,FALSE())</f>
        <v/>
      </c>
      <c r="N94" s="55">
        <f>VLOOKUP(E94,Sales_Reps!$A$2:$E$31,3,FALSE())</f>
        <v/>
      </c>
      <c r="O94" s="55">
        <f>VLOOKUP(D94,Products!$A$2:$F$61,4,FALSE())</f>
        <v/>
      </c>
      <c r="P94" s="55">
        <f>VLOOKUP(C94,Customers!$A$2:$F$301,3,FALSE())</f>
        <v/>
      </c>
      <c r="Q94" s="55">
        <f>UPPER(TRIM(K94))</f>
        <v/>
      </c>
      <c r="R94" s="55">
        <f>(G94-O94)/G94</f>
        <v/>
      </c>
      <c r="S94" s="55">
        <f>VLOOKUP(D94,Products!$A$2:$F$61,6,FALSE())</f>
        <v/>
      </c>
      <c r="U94" s="55">
        <f>TRIM(Customers!B94)</f>
        <v/>
      </c>
      <c r="V94" s="55">
        <f>UPPER(TRIM(Customers!D94))</f>
        <v/>
      </c>
      <c r="W94" s="55">
        <f>LEN(Customers!B94)&lt;&gt;LEN(TRIM(Customers!B94))</f>
        <v/>
      </c>
    </row>
    <row r="95" ht="15" customHeight="1" s="56">
      <c r="A95" s="55">
        <f>Orders!A95</f>
        <v/>
      </c>
      <c r="B95" s="103">
        <f>Orders!B95</f>
        <v/>
      </c>
      <c r="C95" s="55">
        <f>Orders!C95</f>
        <v/>
      </c>
      <c r="D95" s="55">
        <f>Orders!D95</f>
        <v/>
      </c>
      <c r="E95" s="55">
        <f>Orders!E95</f>
        <v/>
      </c>
      <c r="F95" s="55">
        <f>Orders!F95</f>
        <v/>
      </c>
      <c r="G95" s="55">
        <f>Orders!G95</f>
        <v/>
      </c>
      <c r="H95" s="55">
        <f>Orders!H95</f>
        <v/>
      </c>
      <c r="I95" s="55">
        <f>Orders!I95</f>
        <v/>
      </c>
      <c r="J95" s="55">
        <f>Orders!J95</f>
        <v/>
      </c>
      <c r="K95" s="55">
        <f>Orders!K95</f>
        <v/>
      </c>
      <c r="L95" s="55">
        <f>VLOOKUP(D95,Products!$A$2:$F$61,3,FALSE())</f>
        <v/>
      </c>
      <c r="M95" s="55">
        <f>VLOOKUP(C95,Customers!$A$2:$F$301,5,FALSE())</f>
        <v/>
      </c>
      <c r="N95" s="55">
        <f>VLOOKUP(E95,Sales_Reps!$A$2:$E$31,3,FALSE())</f>
        <v/>
      </c>
      <c r="O95" s="55">
        <f>VLOOKUP(D95,Products!$A$2:$F$61,4,FALSE())</f>
        <v/>
      </c>
      <c r="P95" s="55">
        <f>VLOOKUP(C95,Customers!$A$2:$F$301,3,FALSE())</f>
        <v/>
      </c>
      <c r="Q95" s="55">
        <f>UPPER(TRIM(K95))</f>
        <v/>
      </c>
      <c r="R95" s="55">
        <f>(G95-O95)/G95</f>
        <v/>
      </c>
      <c r="S95" s="55">
        <f>VLOOKUP(D95,Products!$A$2:$F$61,6,FALSE())</f>
        <v/>
      </c>
      <c r="U95" s="55">
        <f>TRIM(Customers!B95)</f>
        <v/>
      </c>
      <c r="V95" s="55">
        <f>UPPER(TRIM(Customers!D95))</f>
        <v/>
      </c>
      <c r="W95" s="55">
        <f>LEN(Customers!B95)&lt;&gt;LEN(TRIM(Customers!B95))</f>
        <v/>
      </c>
    </row>
    <row r="96" ht="15" customHeight="1" s="56">
      <c r="A96" s="55">
        <f>Orders!A96</f>
        <v/>
      </c>
      <c r="B96" s="103">
        <f>Orders!B96</f>
        <v/>
      </c>
      <c r="C96" s="55">
        <f>Orders!C96</f>
        <v/>
      </c>
      <c r="D96" s="55">
        <f>Orders!D96</f>
        <v/>
      </c>
      <c r="E96" s="55">
        <f>Orders!E96</f>
        <v/>
      </c>
      <c r="F96" s="55">
        <f>Orders!F96</f>
        <v/>
      </c>
      <c r="G96" s="55">
        <f>Orders!G96</f>
        <v/>
      </c>
      <c r="H96" s="55">
        <f>Orders!H96</f>
        <v/>
      </c>
      <c r="I96" s="55">
        <f>Orders!I96</f>
        <v/>
      </c>
      <c r="J96" s="55">
        <f>Orders!J96</f>
        <v/>
      </c>
      <c r="K96" s="55">
        <f>Orders!K96</f>
        <v/>
      </c>
      <c r="L96" s="55">
        <f>VLOOKUP(D96,Products!$A$2:$F$61,3,FALSE())</f>
        <v/>
      </c>
      <c r="M96" s="55">
        <f>VLOOKUP(C96,Customers!$A$2:$F$301,5,FALSE())</f>
        <v/>
      </c>
      <c r="N96" s="55">
        <f>VLOOKUP(E96,Sales_Reps!$A$2:$E$31,3,FALSE())</f>
        <v/>
      </c>
      <c r="O96" s="55">
        <f>VLOOKUP(D96,Products!$A$2:$F$61,4,FALSE())</f>
        <v/>
      </c>
      <c r="P96" s="55">
        <f>VLOOKUP(C96,Customers!$A$2:$F$301,3,FALSE())</f>
        <v/>
      </c>
      <c r="Q96" s="55">
        <f>UPPER(TRIM(K96))</f>
        <v/>
      </c>
      <c r="R96" s="55">
        <f>(G96-O96)/G96</f>
        <v/>
      </c>
      <c r="S96" s="55">
        <f>VLOOKUP(D96,Products!$A$2:$F$61,6,FALSE())</f>
        <v/>
      </c>
      <c r="U96" s="55">
        <f>TRIM(Customers!B96)</f>
        <v/>
      </c>
      <c r="V96" s="55">
        <f>UPPER(TRIM(Customers!D96))</f>
        <v/>
      </c>
      <c r="W96" s="55">
        <f>LEN(Customers!B96)&lt;&gt;LEN(TRIM(Customers!B96))</f>
        <v/>
      </c>
    </row>
    <row r="97" ht="15" customHeight="1" s="56">
      <c r="A97" s="55">
        <f>Orders!A97</f>
        <v/>
      </c>
      <c r="B97" s="103">
        <f>Orders!B97</f>
        <v/>
      </c>
      <c r="C97" s="55">
        <f>Orders!C97</f>
        <v/>
      </c>
      <c r="D97" s="55">
        <f>Orders!D97</f>
        <v/>
      </c>
      <c r="E97" s="55">
        <f>Orders!E97</f>
        <v/>
      </c>
      <c r="F97" s="55">
        <f>Orders!F97</f>
        <v/>
      </c>
      <c r="G97" s="55">
        <f>Orders!G97</f>
        <v/>
      </c>
      <c r="H97" s="55">
        <f>Orders!H97</f>
        <v/>
      </c>
      <c r="I97" s="55">
        <f>Orders!I97</f>
        <v/>
      </c>
      <c r="J97" s="55">
        <f>Orders!J97</f>
        <v/>
      </c>
      <c r="K97" s="55">
        <f>Orders!K97</f>
        <v/>
      </c>
      <c r="L97" s="55">
        <f>VLOOKUP(D97,Products!$A$2:$F$61,3,FALSE())</f>
        <v/>
      </c>
      <c r="M97" s="55">
        <f>VLOOKUP(C97,Customers!$A$2:$F$301,5,FALSE())</f>
        <v/>
      </c>
      <c r="N97" s="55">
        <f>VLOOKUP(E97,Sales_Reps!$A$2:$E$31,3,FALSE())</f>
        <v/>
      </c>
      <c r="O97" s="55">
        <f>VLOOKUP(D97,Products!$A$2:$F$61,4,FALSE())</f>
        <v/>
      </c>
      <c r="P97" s="55">
        <f>VLOOKUP(C97,Customers!$A$2:$F$301,3,FALSE())</f>
        <v/>
      </c>
      <c r="Q97" s="55">
        <f>UPPER(TRIM(K97))</f>
        <v/>
      </c>
      <c r="R97" s="55">
        <f>(G97-O97)/G97</f>
        <v/>
      </c>
      <c r="S97" s="55">
        <f>VLOOKUP(D97,Products!$A$2:$F$61,6,FALSE())</f>
        <v/>
      </c>
      <c r="U97" s="55">
        <f>TRIM(Customers!B97)</f>
        <v/>
      </c>
      <c r="V97" s="55">
        <f>UPPER(TRIM(Customers!D97))</f>
        <v/>
      </c>
      <c r="W97" s="55">
        <f>LEN(Customers!B97)&lt;&gt;LEN(TRIM(Customers!B97))</f>
        <v/>
      </c>
    </row>
    <row r="98" ht="15" customHeight="1" s="56">
      <c r="A98" s="55">
        <f>Orders!A98</f>
        <v/>
      </c>
      <c r="B98" s="103">
        <f>Orders!B98</f>
        <v/>
      </c>
      <c r="C98" s="55">
        <f>Orders!C98</f>
        <v/>
      </c>
      <c r="D98" s="55">
        <f>Orders!D98</f>
        <v/>
      </c>
      <c r="E98" s="55">
        <f>Orders!E98</f>
        <v/>
      </c>
      <c r="F98" s="55">
        <f>Orders!F98</f>
        <v/>
      </c>
      <c r="G98" s="55">
        <f>Orders!G98</f>
        <v/>
      </c>
      <c r="H98" s="55">
        <f>Orders!H98</f>
        <v/>
      </c>
      <c r="I98" s="55">
        <f>Orders!I98</f>
        <v/>
      </c>
      <c r="J98" s="55">
        <f>Orders!J98</f>
        <v/>
      </c>
      <c r="K98" s="55">
        <f>Orders!K98</f>
        <v/>
      </c>
      <c r="L98" s="55">
        <f>VLOOKUP(D98,Products!$A$2:$F$61,3,FALSE())</f>
        <v/>
      </c>
      <c r="M98" s="55">
        <f>VLOOKUP(C98,Customers!$A$2:$F$301,5,FALSE())</f>
        <v/>
      </c>
      <c r="N98" s="55">
        <f>VLOOKUP(E98,Sales_Reps!$A$2:$E$31,3,FALSE())</f>
        <v/>
      </c>
      <c r="O98" s="55">
        <f>VLOOKUP(D98,Products!$A$2:$F$61,4,FALSE())</f>
        <v/>
      </c>
      <c r="P98" s="55">
        <f>VLOOKUP(C98,Customers!$A$2:$F$301,3,FALSE())</f>
        <v/>
      </c>
      <c r="Q98" s="55">
        <f>UPPER(TRIM(K98))</f>
        <v/>
      </c>
      <c r="R98" s="55">
        <f>(G98-O98)/G98</f>
        <v/>
      </c>
      <c r="S98" s="55">
        <f>VLOOKUP(D98,Products!$A$2:$F$61,6,FALSE())</f>
        <v/>
      </c>
      <c r="U98" s="55">
        <f>TRIM(Customers!B98)</f>
        <v/>
      </c>
      <c r="V98" s="55">
        <f>UPPER(TRIM(Customers!D98))</f>
        <v/>
      </c>
      <c r="W98" s="55">
        <f>LEN(Customers!B98)&lt;&gt;LEN(TRIM(Customers!B98))</f>
        <v/>
      </c>
    </row>
    <row r="99" ht="15" customHeight="1" s="56">
      <c r="A99" s="55">
        <f>Orders!A99</f>
        <v/>
      </c>
      <c r="B99" s="103">
        <f>Orders!B99</f>
        <v/>
      </c>
      <c r="C99" s="55">
        <f>Orders!C99</f>
        <v/>
      </c>
      <c r="D99" s="55">
        <f>Orders!D99</f>
        <v/>
      </c>
      <c r="E99" s="55">
        <f>Orders!E99</f>
        <v/>
      </c>
      <c r="F99" s="55">
        <f>Orders!F99</f>
        <v/>
      </c>
      <c r="G99" s="55">
        <f>Orders!G99</f>
        <v/>
      </c>
      <c r="H99" s="55">
        <f>Orders!H99</f>
        <v/>
      </c>
      <c r="I99" s="55">
        <f>Orders!I99</f>
        <v/>
      </c>
      <c r="J99" s="55">
        <f>Orders!J99</f>
        <v/>
      </c>
      <c r="K99" s="55">
        <f>Orders!K99</f>
        <v/>
      </c>
      <c r="L99" s="55">
        <f>VLOOKUP(D99,Products!$A$2:$F$61,3,FALSE())</f>
        <v/>
      </c>
      <c r="M99" s="55">
        <f>VLOOKUP(C99,Customers!$A$2:$F$301,5,FALSE())</f>
        <v/>
      </c>
      <c r="N99" s="55">
        <f>VLOOKUP(E99,Sales_Reps!$A$2:$E$31,3,FALSE())</f>
        <v/>
      </c>
      <c r="O99" s="55">
        <f>VLOOKUP(D99,Products!$A$2:$F$61,4,FALSE())</f>
        <v/>
      </c>
      <c r="P99" s="55">
        <f>VLOOKUP(C99,Customers!$A$2:$F$301,3,FALSE())</f>
        <v/>
      </c>
      <c r="Q99" s="55">
        <f>UPPER(TRIM(K99))</f>
        <v/>
      </c>
      <c r="R99" s="55">
        <f>(G99-O99)/G99</f>
        <v/>
      </c>
      <c r="S99" s="55">
        <f>VLOOKUP(D99,Products!$A$2:$F$61,6,FALSE())</f>
        <v/>
      </c>
      <c r="U99" s="55">
        <f>TRIM(Customers!B99)</f>
        <v/>
      </c>
      <c r="V99" s="55">
        <f>UPPER(TRIM(Customers!D99))</f>
        <v/>
      </c>
      <c r="W99" s="55">
        <f>LEN(Customers!B99)&lt;&gt;LEN(TRIM(Customers!B99))</f>
        <v/>
      </c>
    </row>
    <row r="100" ht="15" customHeight="1" s="56">
      <c r="A100" s="55">
        <f>Orders!A100</f>
        <v/>
      </c>
      <c r="B100" s="103">
        <f>Orders!B100</f>
        <v/>
      </c>
      <c r="C100" s="55">
        <f>Orders!C100</f>
        <v/>
      </c>
      <c r="D100" s="55">
        <f>Orders!D100</f>
        <v/>
      </c>
      <c r="E100" s="55">
        <f>Orders!E100</f>
        <v/>
      </c>
      <c r="F100" s="55">
        <f>Orders!F100</f>
        <v/>
      </c>
      <c r="G100" s="55">
        <f>Orders!G100</f>
        <v/>
      </c>
      <c r="H100" s="55">
        <f>Orders!H100</f>
        <v/>
      </c>
      <c r="I100" s="55">
        <f>Orders!I100</f>
        <v/>
      </c>
      <c r="J100" s="55">
        <f>Orders!J100</f>
        <v/>
      </c>
      <c r="K100" s="55">
        <f>Orders!K100</f>
        <v/>
      </c>
      <c r="L100" s="55">
        <f>VLOOKUP(D100,Products!$A$2:$F$61,3,FALSE())</f>
        <v/>
      </c>
      <c r="M100" s="55">
        <f>VLOOKUP(C100,Customers!$A$2:$F$301,5,FALSE())</f>
        <v/>
      </c>
      <c r="N100" s="55">
        <f>VLOOKUP(E100,Sales_Reps!$A$2:$E$31,3,FALSE())</f>
        <v/>
      </c>
      <c r="O100" s="55">
        <f>VLOOKUP(D100,Products!$A$2:$F$61,4,FALSE())</f>
        <v/>
      </c>
      <c r="P100" s="55">
        <f>VLOOKUP(C100,Customers!$A$2:$F$301,3,FALSE())</f>
        <v/>
      </c>
      <c r="Q100" s="55">
        <f>UPPER(TRIM(K100))</f>
        <v/>
      </c>
      <c r="R100" s="55">
        <f>(G100-O100)/G100</f>
        <v/>
      </c>
      <c r="S100" s="55">
        <f>VLOOKUP(D100,Products!$A$2:$F$61,6,FALSE())</f>
        <v/>
      </c>
      <c r="U100" s="55">
        <f>TRIM(Customers!B100)</f>
        <v/>
      </c>
      <c r="V100" s="55">
        <f>UPPER(TRIM(Customers!D100))</f>
        <v/>
      </c>
      <c r="W100" s="55">
        <f>LEN(Customers!B100)&lt;&gt;LEN(TRIM(Customers!B100))</f>
        <v/>
      </c>
    </row>
    <row r="101" ht="15" customHeight="1" s="56">
      <c r="A101" s="55">
        <f>Orders!A101</f>
        <v/>
      </c>
      <c r="B101" s="103">
        <f>Orders!B101</f>
        <v/>
      </c>
      <c r="C101" s="55">
        <f>Orders!C101</f>
        <v/>
      </c>
      <c r="D101" s="55">
        <f>Orders!D101</f>
        <v/>
      </c>
      <c r="E101" s="55">
        <f>Orders!E101</f>
        <v/>
      </c>
      <c r="F101" s="55">
        <f>Orders!F101</f>
        <v/>
      </c>
      <c r="G101" s="55">
        <f>Orders!G101</f>
        <v/>
      </c>
      <c r="H101" s="55">
        <f>Orders!H101</f>
        <v/>
      </c>
      <c r="I101" s="55">
        <f>Orders!I101</f>
        <v/>
      </c>
      <c r="J101" s="55">
        <f>Orders!J101</f>
        <v/>
      </c>
      <c r="K101" s="55">
        <f>Orders!K101</f>
        <v/>
      </c>
      <c r="L101" s="55">
        <f>VLOOKUP(D101,Products!$A$2:$F$61,3,FALSE())</f>
        <v/>
      </c>
      <c r="M101" s="55">
        <f>VLOOKUP(C101,Customers!$A$2:$F$301,5,FALSE())</f>
        <v/>
      </c>
      <c r="N101" s="55">
        <f>VLOOKUP(E101,Sales_Reps!$A$2:$E$31,3,FALSE())</f>
        <v/>
      </c>
      <c r="O101" s="55">
        <f>VLOOKUP(D101,Products!$A$2:$F$61,4,FALSE())</f>
        <v/>
      </c>
      <c r="P101" s="55">
        <f>VLOOKUP(C101,Customers!$A$2:$F$301,3,FALSE())</f>
        <v/>
      </c>
      <c r="Q101" s="55">
        <f>UPPER(TRIM(K101))</f>
        <v/>
      </c>
      <c r="R101" s="55">
        <f>(G101-O101)/G101</f>
        <v/>
      </c>
      <c r="S101" s="55">
        <f>VLOOKUP(D101,Products!$A$2:$F$61,6,FALSE())</f>
        <v/>
      </c>
      <c r="U101" s="55">
        <f>TRIM(Customers!B101)</f>
        <v/>
      </c>
      <c r="V101" s="55">
        <f>UPPER(TRIM(Customers!D101))</f>
        <v/>
      </c>
      <c r="W101" s="55">
        <f>LEN(Customers!B101)&lt;&gt;LEN(TRIM(Customers!B101))</f>
        <v/>
      </c>
    </row>
    <row r="102" ht="15" customHeight="1" s="56">
      <c r="A102" s="55">
        <f>Orders!A102</f>
        <v/>
      </c>
      <c r="B102" s="103">
        <f>Orders!B102</f>
        <v/>
      </c>
      <c r="C102" s="55">
        <f>Orders!C102</f>
        <v/>
      </c>
      <c r="D102" s="55">
        <f>Orders!D102</f>
        <v/>
      </c>
      <c r="E102" s="55">
        <f>Orders!E102</f>
        <v/>
      </c>
      <c r="F102" s="55">
        <f>Orders!F102</f>
        <v/>
      </c>
      <c r="G102" s="55">
        <f>Orders!G102</f>
        <v/>
      </c>
      <c r="H102" s="55">
        <f>Orders!H102</f>
        <v/>
      </c>
      <c r="I102" s="55">
        <f>Orders!I102</f>
        <v/>
      </c>
      <c r="J102" s="55">
        <f>Orders!J102</f>
        <v/>
      </c>
      <c r="K102" s="55">
        <f>Orders!K102</f>
        <v/>
      </c>
      <c r="L102" s="55">
        <f>VLOOKUP(D102,Products!$A$2:$F$61,3,FALSE())</f>
        <v/>
      </c>
      <c r="M102" s="55">
        <f>VLOOKUP(C102,Customers!$A$2:$F$301,5,FALSE())</f>
        <v/>
      </c>
      <c r="N102" s="55">
        <f>VLOOKUP(E102,Sales_Reps!$A$2:$E$31,3,FALSE())</f>
        <v/>
      </c>
      <c r="O102" s="55">
        <f>VLOOKUP(D102,Products!$A$2:$F$61,4,FALSE())</f>
        <v/>
      </c>
      <c r="P102" s="55">
        <f>VLOOKUP(C102,Customers!$A$2:$F$301,3,FALSE())</f>
        <v/>
      </c>
      <c r="Q102" s="55">
        <f>UPPER(TRIM(K102))</f>
        <v/>
      </c>
      <c r="R102" s="55">
        <f>(G102-O102)/G102</f>
        <v/>
      </c>
      <c r="S102" s="55">
        <f>VLOOKUP(D102,Products!$A$2:$F$61,6,FALSE())</f>
        <v/>
      </c>
      <c r="U102" s="55">
        <f>TRIM(Customers!B102)</f>
        <v/>
      </c>
      <c r="V102" s="55">
        <f>UPPER(TRIM(Customers!D102))</f>
        <v/>
      </c>
      <c r="W102" s="55">
        <f>LEN(Customers!B102)&lt;&gt;LEN(TRIM(Customers!B102))</f>
        <v/>
      </c>
    </row>
    <row r="103" ht="15" customHeight="1" s="56">
      <c r="A103" s="55">
        <f>Orders!A103</f>
        <v/>
      </c>
      <c r="B103" s="103">
        <f>Orders!B103</f>
        <v/>
      </c>
      <c r="C103" s="55">
        <f>Orders!C103</f>
        <v/>
      </c>
      <c r="D103" s="55">
        <f>Orders!D103</f>
        <v/>
      </c>
      <c r="E103" s="55">
        <f>Orders!E103</f>
        <v/>
      </c>
      <c r="F103" s="55">
        <f>Orders!F103</f>
        <v/>
      </c>
      <c r="G103" s="55">
        <f>Orders!G103</f>
        <v/>
      </c>
      <c r="H103" s="55">
        <f>Orders!H103</f>
        <v/>
      </c>
      <c r="I103" s="55">
        <f>Orders!I103</f>
        <v/>
      </c>
      <c r="J103" s="55">
        <f>Orders!J103</f>
        <v/>
      </c>
      <c r="K103" s="55">
        <f>Orders!K103</f>
        <v/>
      </c>
      <c r="L103" s="55">
        <f>VLOOKUP(D103,Products!$A$2:$F$61,3,FALSE())</f>
        <v/>
      </c>
      <c r="M103" s="55">
        <f>VLOOKUP(C103,Customers!$A$2:$F$301,5,FALSE())</f>
        <v/>
      </c>
      <c r="N103" s="55">
        <f>VLOOKUP(E103,Sales_Reps!$A$2:$E$31,3,FALSE())</f>
        <v/>
      </c>
      <c r="O103" s="55">
        <f>VLOOKUP(D103,Products!$A$2:$F$61,4,FALSE())</f>
        <v/>
      </c>
      <c r="P103" s="55">
        <f>VLOOKUP(C103,Customers!$A$2:$F$301,3,FALSE())</f>
        <v/>
      </c>
      <c r="Q103" s="55">
        <f>UPPER(TRIM(K103))</f>
        <v/>
      </c>
      <c r="R103" s="55">
        <f>(G103-O103)/G103</f>
        <v/>
      </c>
      <c r="S103" s="55">
        <f>VLOOKUP(D103,Products!$A$2:$F$61,6,FALSE())</f>
        <v/>
      </c>
      <c r="U103" s="55">
        <f>TRIM(Customers!B103)</f>
        <v/>
      </c>
      <c r="V103" s="55">
        <f>UPPER(TRIM(Customers!D103))</f>
        <v/>
      </c>
      <c r="W103" s="55">
        <f>LEN(Customers!B103)&lt;&gt;LEN(TRIM(Customers!B103))</f>
        <v/>
      </c>
    </row>
    <row r="104" ht="15" customHeight="1" s="56">
      <c r="A104" s="55">
        <f>Orders!A104</f>
        <v/>
      </c>
      <c r="B104" s="103">
        <f>Orders!B104</f>
        <v/>
      </c>
      <c r="C104" s="55">
        <f>Orders!C104</f>
        <v/>
      </c>
      <c r="D104" s="55">
        <f>Orders!D104</f>
        <v/>
      </c>
      <c r="E104" s="55">
        <f>Orders!E104</f>
        <v/>
      </c>
      <c r="F104" s="55">
        <f>Orders!F104</f>
        <v/>
      </c>
      <c r="G104" s="55">
        <f>Orders!G104</f>
        <v/>
      </c>
      <c r="H104" s="55">
        <f>Orders!H104</f>
        <v/>
      </c>
      <c r="I104" s="55">
        <f>Orders!I104</f>
        <v/>
      </c>
      <c r="J104" s="55">
        <f>Orders!J104</f>
        <v/>
      </c>
      <c r="K104" s="55">
        <f>Orders!K104</f>
        <v/>
      </c>
      <c r="L104" s="55">
        <f>VLOOKUP(D104,Products!$A$2:$F$61,3,FALSE())</f>
        <v/>
      </c>
      <c r="M104" s="55">
        <f>VLOOKUP(C104,Customers!$A$2:$F$301,5,FALSE())</f>
        <v/>
      </c>
      <c r="N104" s="55">
        <f>VLOOKUP(E104,Sales_Reps!$A$2:$E$31,3,FALSE())</f>
        <v/>
      </c>
      <c r="O104" s="55">
        <f>VLOOKUP(D104,Products!$A$2:$F$61,4,FALSE())</f>
        <v/>
      </c>
      <c r="P104" s="55">
        <f>VLOOKUP(C104,Customers!$A$2:$F$301,3,FALSE())</f>
        <v/>
      </c>
      <c r="Q104" s="55">
        <f>UPPER(TRIM(K104))</f>
        <v/>
      </c>
      <c r="R104" s="55">
        <f>(G104-O104)/G104</f>
        <v/>
      </c>
      <c r="S104" s="55">
        <f>VLOOKUP(D104,Products!$A$2:$F$61,6,FALSE())</f>
        <v/>
      </c>
      <c r="U104" s="55">
        <f>TRIM(Customers!B104)</f>
        <v/>
      </c>
      <c r="V104" s="55">
        <f>UPPER(TRIM(Customers!D104))</f>
        <v/>
      </c>
      <c r="W104" s="55">
        <f>LEN(Customers!B104)&lt;&gt;LEN(TRIM(Customers!B104))</f>
        <v/>
      </c>
    </row>
    <row r="105" ht="15" customHeight="1" s="56">
      <c r="A105" s="55">
        <f>Orders!A105</f>
        <v/>
      </c>
      <c r="B105" s="103">
        <f>Orders!B105</f>
        <v/>
      </c>
      <c r="C105" s="55">
        <f>Orders!C105</f>
        <v/>
      </c>
      <c r="D105" s="55">
        <f>Orders!D105</f>
        <v/>
      </c>
      <c r="E105" s="55">
        <f>Orders!E105</f>
        <v/>
      </c>
      <c r="F105" s="55">
        <f>Orders!F105</f>
        <v/>
      </c>
      <c r="G105" s="55">
        <f>Orders!G105</f>
        <v/>
      </c>
      <c r="H105" s="55">
        <f>Orders!H105</f>
        <v/>
      </c>
      <c r="I105" s="55">
        <f>Orders!I105</f>
        <v/>
      </c>
      <c r="J105" s="55">
        <f>Orders!J105</f>
        <v/>
      </c>
      <c r="K105" s="55">
        <f>Orders!K105</f>
        <v/>
      </c>
      <c r="L105" s="55">
        <f>VLOOKUP(D105,Products!$A$2:$F$61,3,FALSE())</f>
        <v/>
      </c>
      <c r="M105" s="55">
        <f>VLOOKUP(C105,Customers!$A$2:$F$301,5,FALSE())</f>
        <v/>
      </c>
      <c r="N105" s="55">
        <f>VLOOKUP(E105,Sales_Reps!$A$2:$E$31,3,FALSE())</f>
        <v/>
      </c>
      <c r="O105" s="55">
        <f>VLOOKUP(D105,Products!$A$2:$F$61,4,FALSE())</f>
        <v/>
      </c>
      <c r="P105" s="55">
        <f>VLOOKUP(C105,Customers!$A$2:$F$301,3,FALSE())</f>
        <v/>
      </c>
      <c r="Q105" s="55">
        <f>UPPER(TRIM(K105))</f>
        <v/>
      </c>
      <c r="R105" s="55">
        <f>(G105-O105)/G105</f>
        <v/>
      </c>
      <c r="S105" s="55">
        <f>VLOOKUP(D105,Products!$A$2:$F$61,6,FALSE())</f>
        <v/>
      </c>
      <c r="U105" s="55">
        <f>TRIM(Customers!B105)</f>
        <v/>
      </c>
      <c r="V105" s="55">
        <f>UPPER(TRIM(Customers!D105))</f>
        <v/>
      </c>
      <c r="W105" s="55">
        <f>LEN(Customers!B105)&lt;&gt;LEN(TRIM(Customers!B105))</f>
        <v/>
      </c>
    </row>
    <row r="106" ht="15" customHeight="1" s="56">
      <c r="A106" s="55">
        <f>Orders!A106</f>
        <v/>
      </c>
      <c r="B106" s="103">
        <f>Orders!B106</f>
        <v/>
      </c>
      <c r="C106" s="55">
        <f>Orders!C106</f>
        <v/>
      </c>
      <c r="D106" s="55">
        <f>Orders!D106</f>
        <v/>
      </c>
      <c r="E106" s="55">
        <f>Orders!E106</f>
        <v/>
      </c>
      <c r="F106" s="55">
        <f>Orders!F106</f>
        <v/>
      </c>
      <c r="G106" s="55">
        <f>Orders!G106</f>
        <v/>
      </c>
      <c r="H106" s="55">
        <f>Orders!H106</f>
        <v/>
      </c>
      <c r="I106" s="55">
        <f>Orders!I106</f>
        <v/>
      </c>
      <c r="J106" s="55">
        <f>Orders!J106</f>
        <v/>
      </c>
      <c r="K106" s="55">
        <f>Orders!K106</f>
        <v/>
      </c>
      <c r="L106" s="55">
        <f>VLOOKUP(D106,Products!$A$2:$F$61,3,FALSE())</f>
        <v/>
      </c>
      <c r="M106" s="55">
        <f>VLOOKUP(C106,Customers!$A$2:$F$301,5,FALSE())</f>
        <v/>
      </c>
      <c r="N106" s="55">
        <f>VLOOKUP(E106,Sales_Reps!$A$2:$E$31,3,FALSE())</f>
        <v/>
      </c>
      <c r="O106" s="55">
        <f>VLOOKUP(D106,Products!$A$2:$F$61,4,FALSE())</f>
        <v/>
      </c>
      <c r="P106" s="55">
        <f>VLOOKUP(C106,Customers!$A$2:$F$301,3,FALSE())</f>
        <v/>
      </c>
      <c r="Q106" s="55">
        <f>UPPER(TRIM(K106))</f>
        <v/>
      </c>
      <c r="R106" s="55">
        <f>(G106-O106)/G106</f>
        <v/>
      </c>
      <c r="S106" s="55">
        <f>VLOOKUP(D106,Products!$A$2:$F$61,6,FALSE())</f>
        <v/>
      </c>
      <c r="U106" s="55">
        <f>TRIM(Customers!B106)</f>
        <v/>
      </c>
      <c r="V106" s="55">
        <f>UPPER(TRIM(Customers!D106))</f>
        <v/>
      </c>
      <c r="W106" s="55">
        <f>LEN(Customers!B106)&lt;&gt;LEN(TRIM(Customers!B106))</f>
        <v/>
      </c>
    </row>
    <row r="107" ht="15" customHeight="1" s="56">
      <c r="A107" s="55">
        <f>Orders!A107</f>
        <v/>
      </c>
      <c r="B107" s="103">
        <f>Orders!B107</f>
        <v/>
      </c>
      <c r="C107" s="55">
        <f>Orders!C107</f>
        <v/>
      </c>
      <c r="D107" s="55">
        <f>Orders!D107</f>
        <v/>
      </c>
      <c r="E107" s="55">
        <f>Orders!E107</f>
        <v/>
      </c>
      <c r="F107" s="55">
        <f>Orders!F107</f>
        <v/>
      </c>
      <c r="G107" s="55">
        <f>Orders!G107</f>
        <v/>
      </c>
      <c r="H107" s="55">
        <f>Orders!H107</f>
        <v/>
      </c>
      <c r="I107" s="55">
        <f>Orders!I107</f>
        <v/>
      </c>
      <c r="J107" s="55">
        <f>Orders!J107</f>
        <v/>
      </c>
      <c r="K107" s="55">
        <f>Orders!K107</f>
        <v/>
      </c>
      <c r="L107" s="55">
        <f>VLOOKUP(D107,Products!$A$2:$F$61,3,FALSE())</f>
        <v/>
      </c>
      <c r="M107" s="55">
        <f>VLOOKUP(C107,Customers!$A$2:$F$301,5,FALSE())</f>
        <v/>
      </c>
      <c r="N107" s="55">
        <f>VLOOKUP(E107,Sales_Reps!$A$2:$E$31,3,FALSE())</f>
        <v/>
      </c>
      <c r="O107" s="55">
        <f>VLOOKUP(D107,Products!$A$2:$F$61,4,FALSE())</f>
        <v/>
      </c>
      <c r="P107" s="55">
        <f>VLOOKUP(C107,Customers!$A$2:$F$301,3,FALSE())</f>
        <v/>
      </c>
      <c r="Q107" s="55">
        <f>UPPER(TRIM(K107))</f>
        <v/>
      </c>
      <c r="R107" s="55">
        <f>(G107-O107)/G107</f>
        <v/>
      </c>
      <c r="S107" s="55">
        <f>VLOOKUP(D107,Products!$A$2:$F$61,6,FALSE())</f>
        <v/>
      </c>
      <c r="U107" s="55">
        <f>TRIM(Customers!B107)</f>
        <v/>
      </c>
      <c r="V107" s="55">
        <f>UPPER(TRIM(Customers!D107))</f>
        <v/>
      </c>
      <c r="W107" s="55">
        <f>LEN(Customers!B107)&lt;&gt;LEN(TRIM(Customers!B107))</f>
        <v/>
      </c>
    </row>
    <row r="108" ht="15" customHeight="1" s="56">
      <c r="A108" s="55">
        <f>Orders!A108</f>
        <v/>
      </c>
      <c r="B108" s="103">
        <f>Orders!B108</f>
        <v/>
      </c>
      <c r="C108" s="55">
        <f>Orders!C108</f>
        <v/>
      </c>
      <c r="D108" s="55">
        <f>Orders!D108</f>
        <v/>
      </c>
      <c r="E108" s="55">
        <f>Orders!E108</f>
        <v/>
      </c>
      <c r="F108" s="55">
        <f>Orders!F108</f>
        <v/>
      </c>
      <c r="G108" s="55">
        <f>Orders!G108</f>
        <v/>
      </c>
      <c r="H108" s="55">
        <f>Orders!H108</f>
        <v/>
      </c>
      <c r="I108" s="55">
        <f>Orders!I108</f>
        <v/>
      </c>
      <c r="J108" s="55">
        <f>Orders!J108</f>
        <v/>
      </c>
      <c r="K108" s="55">
        <f>Orders!K108</f>
        <v/>
      </c>
      <c r="L108" s="55">
        <f>VLOOKUP(D108,Products!$A$2:$F$61,3,FALSE())</f>
        <v/>
      </c>
      <c r="M108" s="55">
        <f>VLOOKUP(C108,Customers!$A$2:$F$301,5,FALSE())</f>
        <v/>
      </c>
      <c r="N108" s="55">
        <f>VLOOKUP(E108,Sales_Reps!$A$2:$E$31,3,FALSE())</f>
        <v/>
      </c>
      <c r="O108" s="55">
        <f>VLOOKUP(D108,Products!$A$2:$F$61,4,FALSE())</f>
        <v/>
      </c>
      <c r="P108" s="55">
        <f>VLOOKUP(C108,Customers!$A$2:$F$301,3,FALSE())</f>
        <v/>
      </c>
      <c r="Q108" s="55">
        <f>UPPER(TRIM(K108))</f>
        <v/>
      </c>
      <c r="R108" s="55">
        <f>(G108-O108)/G108</f>
        <v/>
      </c>
      <c r="S108" s="55">
        <f>VLOOKUP(D108,Products!$A$2:$F$61,6,FALSE())</f>
        <v/>
      </c>
      <c r="U108" s="55">
        <f>TRIM(Customers!B108)</f>
        <v/>
      </c>
      <c r="V108" s="55">
        <f>UPPER(TRIM(Customers!D108))</f>
        <v/>
      </c>
      <c r="W108" s="55">
        <f>LEN(Customers!B108)&lt;&gt;LEN(TRIM(Customers!B108))</f>
        <v/>
      </c>
    </row>
    <row r="109" ht="15" customHeight="1" s="56">
      <c r="A109" s="55">
        <f>Orders!A109</f>
        <v/>
      </c>
      <c r="B109" s="103">
        <f>Orders!B109</f>
        <v/>
      </c>
      <c r="C109" s="55">
        <f>Orders!C109</f>
        <v/>
      </c>
      <c r="D109" s="55">
        <f>Orders!D109</f>
        <v/>
      </c>
      <c r="E109" s="55">
        <f>Orders!E109</f>
        <v/>
      </c>
      <c r="F109" s="55">
        <f>Orders!F109</f>
        <v/>
      </c>
      <c r="G109" s="55">
        <f>Orders!G109</f>
        <v/>
      </c>
      <c r="H109" s="55">
        <f>Orders!H109</f>
        <v/>
      </c>
      <c r="I109" s="55">
        <f>Orders!I109</f>
        <v/>
      </c>
      <c r="J109" s="55">
        <f>Orders!J109</f>
        <v/>
      </c>
      <c r="K109" s="55">
        <f>Orders!K109</f>
        <v/>
      </c>
      <c r="L109" s="55">
        <f>VLOOKUP(D109,Products!$A$2:$F$61,3,FALSE())</f>
        <v/>
      </c>
      <c r="M109" s="55">
        <f>VLOOKUP(C109,Customers!$A$2:$F$301,5,FALSE())</f>
        <v/>
      </c>
      <c r="N109" s="55">
        <f>VLOOKUP(E109,Sales_Reps!$A$2:$E$31,3,FALSE())</f>
        <v/>
      </c>
      <c r="O109" s="55">
        <f>VLOOKUP(D109,Products!$A$2:$F$61,4,FALSE())</f>
        <v/>
      </c>
      <c r="P109" s="55">
        <f>VLOOKUP(C109,Customers!$A$2:$F$301,3,FALSE())</f>
        <v/>
      </c>
      <c r="Q109" s="55">
        <f>UPPER(TRIM(K109))</f>
        <v/>
      </c>
      <c r="R109" s="55">
        <f>(G109-O109)/G109</f>
        <v/>
      </c>
      <c r="S109" s="55">
        <f>VLOOKUP(D109,Products!$A$2:$F$61,6,FALSE())</f>
        <v/>
      </c>
      <c r="U109" s="55">
        <f>TRIM(Customers!B109)</f>
        <v/>
      </c>
      <c r="V109" s="55">
        <f>UPPER(TRIM(Customers!D109))</f>
        <v/>
      </c>
      <c r="W109" s="55">
        <f>LEN(Customers!B109)&lt;&gt;LEN(TRIM(Customers!B109))</f>
        <v/>
      </c>
    </row>
    <row r="110" ht="15" customHeight="1" s="56">
      <c r="A110" s="55">
        <f>Orders!A110</f>
        <v/>
      </c>
      <c r="B110" s="103">
        <f>Orders!B110</f>
        <v/>
      </c>
      <c r="C110" s="55">
        <f>Orders!C110</f>
        <v/>
      </c>
      <c r="D110" s="55">
        <f>Orders!D110</f>
        <v/>
      </c>
      <c r="E110" s="55">
        <f>Orders!E110</f>
        <v/>
      </c>
      <c r="F110" s="55">
        <f>Orders!F110</f>
        <v/>
      </c>
      <c r="G110" s="55">
        <f>Orders!G110</f>
        <v/>
      </c>
      <c r="H110" s="55">
        <f>Orders!H110</f>
        <v/>
      </c>
      <c r="I110" s="55">
        <f>Orders!I110</f>
        <v/>
      </c>
      <c r="J110" s="55">
        <f>Orders!J110</f>
        <v/>
      </c>
      <c r="K110" s="55">
        <f>Orders!K110</f>
        <v/>
      </c>
      <c r="L110" s="55">
        <f>VLOOKUP(D110,Products!$A$2:$F$61,3,FALSE())</f>
        <v/>
      </c>
      <c r="M110" s="55">
        <f>VLOOKUP(C110,Customers!$A$2:$F$301,5,FALSE())</f>
        <v/>
      </c>
      <c r="N110" s="55">
        <f>VLOOKUP(E110,Sales_Reps!$A$2:$E$31,3,FALSE())</f>
        <v/>
      </c>
      <c r="O110" s="55">
        <f>VLOOKUP(D110,Products!$A$2:$F$61,4,FALSE())</f>
        <v/>
      </c>
      <c r="P110" s="55">
        <f>VLOOKUP(C110,Customers!$A$2:$F$301,3,FALSE())</f>
        <v/>
      </c>
      <c r="Q110" s="55">
        <f>UPPER(TRIM(K110))</f>
        <v/>
      </c>
      <c r="R110" s="55">
        <f>(G110-O110)/G110</f>
        <v/>
      </c>
      <c r="S110" s="55">
        <f>VLOOKUP(D110,Products!$A$2:$F$61,6,FALSE())</f>
        <v/>
      </c>
      <c r="U110" s="55">
        <f>TRIM(Customers!B110)</f>
        <v/>
      </c>
      <c r="V110" s="55">
        <f>UPPER(TRIM(Customers!D110))</f>
        <v/>
      </c>
      <c r="W110" s="55">
        <f>LEN(Customers!B110)&lt;&gt;LEN(TRIM(Customers!B110))</f>
        <v/>
      </c>
    </row>
    <row r="111" ht="15" customHeight="1" s="56">
      <c r="A111" s="55">
        <f>Orders!A111</f>
        <v/>
      </c>
      <c r="B111" s="103">
        <f>Orders!B111</f>
        <v/>
      </c>
      <c r="C111" s="55">
        <f>Orders!C111</f>
        <v/>
      </c>
      <c r="D111" s="55">
        <f>Orders!D111</f>
        <v/>
      </c>
      <c r="E111" s="55">
        <f>Orders!E111</f>
        <v/>
      </c>
      <c r="F111" s="55">
        <f>Orders!F111</f>
        <v/>
      </c>
      <c r="G111" s="55">
        <f>Orders!G111</f>
        <v/>
      </c>
      <c r="H111" s="55">
        <f>Orders!H111</f>
        <v/>
      </c>
      <c r="I111" s="55">
        <f>Orders!I111</f>
        <v/>
      </c>
      <c r="J111" s="55">
        <f>Orders!J111</f>
        <v/>
      </c>
      <c r="K111" s="55">
        <f>Orders!K111</f>
        <v/>
      </c>
      <c r="L111" s="55">
        <f>VLOOKUP(D111,Products!$A$2:$F$61,3,FALSE())</f>
        <v/>
      </c>
      <c r="M111" s="55">
        <f>VLOOKUP(C111,Customers!$A$2:$F$301,5,FALSE())</f>
        <v/>
      </c>
      <c r="N111" s="55">
        <f>VLOOKUP(E111,Sales_Reps!$A$2:$E$31,3,FALSE())</f>
        <v/>
      </c>
      <c r="O111" s="55">
        <f>VLOOKUP(D111,Products!$A$2:$F$61,4,FALSE())</f>
        <v/>
      </c>
      <c r="P111" s="55">
        <f>VLOOKUP(C111,Customers!$A$2:$F$301,3,FALSE())</f>
        <v/>
      </c>
      <c r="Q111" s="55">
        <f>UPPER(TRIM(K111))</f>
        <v/>
      </c>
      <c r="R111" s="55">
        <f>(G111-O111)/G111</f>
        <v/>
      </c>
      <c r="S111" s="55">
        <f>VLOOKUP(D111,Products!$A$2:$F$61,6,FALSE())</f>
        <v/>
      </c>
      <c r="U111" s="55">
        <f>TRIM(Customers!B111)</f>
        <v/>
      </c>
      <c r="V111" s="55">
        <f>UPPER(TRIM(Customers!D111))</f>
        <v/>
      </c>
      <c r="W111" s="55">
        <f>LEN(Customers!B111)&lt;&gt;LEN(TRIM(Customers!B111))</f>
        <v/>
      </c>
    </row>
    <row r="112" ht="15" customHeight="1" s="56">
      <c r="A112" s="55">
        <f>Orders!A112</f>
        <v/>
      </c>
      <c r="B112" s="103">
        <f>Orders!B112</f>
        <v/>
      </c>
      <c r="C112" s="55">
        <f>Orders!C112</f>
        <v/>
      </c>
      <c r="D112" s="55">
        <f>Orders!D112</f>
        <v/>
      </c>
      <c r="E112" s="55">
        <f>Orders!E112</f>
        <v/>
      </c>
      <c r="F112" s="55">
        <f>Orders!F112</f>
        <v/>
      </c>
      <c r="G112" s="55">
        <f>Orders!G112</f>
        <v/>
      </c>
      <c r="H112" s="55">
        <f>Orders!H112</f>
        <v/>
      </c>
      <c r="I112" s="55">
        <f>Orders!I112</f>
        <v/>
      </c>
      <c r="J112" s="55">
        <f>Orders!J112</f>
        <v/>
      </c>
      <c r="K112" s="55">
        <f>Orders!K112</f>
        <v/>
      </c>
      <c r="L112" s="55">
        <f>VLOOKUP(D112,Products!$A$2:$F$61,3,FALSE())</f>
        <v/>
      </c>
      <c r="M112" s="55">
        <f>VLOOKUP(C112,Customers!$A$2:$F$301,5,FALSE())</f>
        <v/>
      </c>
      <c r="N112" s="55">
        <f>VLOOKUP(E112,Sales_Reps!$A$2:$E$31,3,FALSE())</f>
        <v/>
      </c>
      <c r="O112" s="55">
        <f>VLOOKUP(D112,Products!$A$2:$F$61,4,FALSE())</f>
        <v/>
      </c>
      <c r="P112" s="55">
        <f>VLOOKUP(C112,Customers!$A$2:$F$301,3,FALSE())</f>
        <v/>
      </c>
      <c r="Q112" s="55">
        <f>UPPER(TRIM(K112))</f>
        <v/>
      </c>
      <c r="R112" s="55">
        <f>(G112-O112)/G112</f>
        <v/>
      </c>
      <c r="S112" s="55">
        <f>VLOOKUP(D112,Products!$A$2:$F$61,6,FALSE())</f>
        <v/>
      </c>
      <c r="U112" s="55">
        <f>TRIM(Customers!B112)</f>
        <v/>
      </c>
      <c r="V112" s="55">
        <f>UPPER(TRIM(Customers!D112))</f>
        <v/>
      </c>
      <c r="W112" s="55">
        <f>LEN(Customers!B112)&lt;&gt;LEN(TRIM(Customers!B112))</f>
        <v/>
      </c>
    </row>
    <row r="113" ht="15" customHeight="1" s="56">
      <c r="A113" s="55">
        <f>Orders!A113</f>
        <v/>
      </c>
      <c r="B113" s="103">
        <f>Orders!B113</f>
        <v/>
      </c>
      <c r="C113" s="55">
        <f>Orders!C113</f>
        <v/>
      </c>
      <c r="D113" s="55">
        <f>Orders!D113</f>
        <v/>
      </c>
      <c r="E113" s="55">
        <f>Orders!E113</f>
        <v/>
      </c>
      <c r="F113" s="55">
        <f>Orders!F113</f>
        <v/>
      </c>
      <c r="G113" s="55">
        <f>Orders!G113</f>
        <v/>
      </c>
      <c r="H113" s="55">
        <f>Orders!H113</f>
        <v/>
      </c>
      <c r="I113" s="55">
        <f>Orders!I113</f>
        <v/>
      </c>
      <c r="J113" s="55">
        <f>Orders!J113</f>
        <v/>
      </c>
      <c r="K113" s="55">
        <f>Orders!K113</f>
        <v/>
      </c>
      <c r="L113" s="55">
        <f>VLOOKUP(D113,Products!$A$2:$F$61,3,FALSE())</f>
        <v/>
      </c>
      <c r="M113" s="55">
        <f>VLOOKUP(C113,Customers!$A$2:$F$301,5,FALSE())</f>
        <v/>
      </c>
      <c r="N113" s="55">
        <f>VLOOKUP(E113,Sales_Reps!$A$2:$E$31,3,FALSE())</f>
        <v/>
      </c>
      <c r="O113" s="55">
        <f>VLOOKUP(D113,Products!$A$2:$F$61,4,FALSE())</f>
        <v/>
      </c>
      <c r="P113" s="55">
        <f>VLOOKUP(C113,Customers!$A$2:$F$301,3,FALSE())</f>
        <v/>
      </c>
      <c r="Q113" s="55">
        <f>UPPER(TRIM(K113))</f>
        <v/>
      </c>
      <c r="R113" s="55">
        <f>(G113-O113)/G113</f>
        <v/>
      </c>
      <c r="S113" s="55">
        <f>VLOOKUP(D113,Products!$A$2:$F$61,6,FALSE())</f>
        <v/>
      </c>
      <c r="U113" s="55">
        <f>TRIM(Customers!B113)</f>
        <v/>
      </c>
      <c r="V113" s="55">
        <f>UPPER(TRIM(Customers!D113))</f>
        <v/>
      </c>
      <c r="W113" s="55">
        <f>LEN(Customers!B113)&lt;&gt;LEN(TRIM(Customers!B113))</f>
        <v/>
      </c>
    </row>
    <row r="114" ht="15" customHeight="1" s="56">
      <c r="A114" s="55">
        <f>Orders!A114</f>
        <v/>
      </c>
      <c r="B114" s="103">
        <f>Orders!B114</f>
        <v/>
      </c>
      <c r="C114" s="55">
        <f>Orders!C114</f>
        <v/>
      </c>
      <c r="D114" s="55">
        <f>Orders!D114</f>
        <v/>
      </c>
      <c r="E114" s="55">
        <f>Orders!E114</f>
        <v/>
      </c>
      <c r="F114" s="55">
        <f>Orders!F114</f>
        <v/>
      </c>
      <c r="G114" s="55">
        <f>Orders!G114</f>
        <v/>
      </c>
      <c r="H114" s="55">
        <f>Orders!H114</f>
        <v/>
      </c>
      <c r="I114" s="55">
        <f>Orders!I114</f>
        <v/>
      </c>
      <c r="J114" s="55">
        <f>Orders!J114</f>
        <v/>
      </c>
      <c r="K114" s="55">
        <f>Orders!K114</f>
        <v/>
      </c>
      <c r="L114" s="55">
        <f>VLOOKUP(D114,Products!$A$2:$F$61,3,FALSE())</f>
        <v/>
      </c>
      <c r="M114" s="55">
        <f>VLOOKUP(C114,Customers!$A$2:$F$301,5,FALSE())</f>
        <v/>
      </c>
      <c r="N114" s="55">
        <f>VLOOKUP(E114,Sales_Reps!$A$2:$E$31,3,FALSE())</f>
        <v/>
      </c>
      <c r="O114" s="55">
        <f>VLOOKUP(D114,Products!$A$2:$F$61,4,FALSE())</f>
        <v/>
      </c>
      <c r="P114" s="55">
        <f>VLOOKUP(C114,Customers!$A$2:$F$301,3,FALSE())</f>
        <v/>
      </c>
      <c r="Q114" s="55">
        <f>UPPER(TRIM(K114))</f>
        <v/>
      </c>
      <c r="R114" s="55">
        <f>(G114-O114)/G114</f>
        <v/>
      </c>
      <c r="S114" s="55">
        <f>VLOOKUP(D114,Products!$A$2:$F$61,6,FALSE())</f>
        <v/>
      </c>
      <c r="U114" s="55">
        <f>TRIM(Customers!B114)</f>
        <v/>
      </c>
      <c r="V114" s="55">
        <f>UPPER(TRIM(Customers!D114))</f>
        <v/>
      </c>
      <c r="W114" s="55">
        <f>LEN(Customers!B114)&lt;&gt;LEN(TRIM(Customers!B114))</f>
        <v/>
      </c>
    </row>
    <row r="115" ht="15" customHeight="1" s="56">
      <c r="A115" s="55">
        <f>Orders!A115</f>
        <v/>
      </c>
      <c r="B115" s="103">
        <f>Orders!B115</f>
        <v/>
      </c>
      <c r="C115" s="55">
        <f>Orders!C115</f>
        <v/>
      </c>
      <c r="D115" s="55">
        <f>Orders!D115</f>
        <v/>
      </c>
      <c r="E115" s="55">
        <f>Orders!E115</f>
        <v/>
      </c>
      <c r="F115" s="55">
        <f>Orders!F115</f>
        <v/>
      </c>
      <c r="G115" s="55">
        <f>Orders!G115</f>
        <v/>
      </c>
      <c r="H115" s="55">
        <f>Orders!H115</f>
        <v/>
      </c>
      <c r="I115" s="55">
        <f>Orders!I115</f>
        <v/>
      </c>
      <c r="J115" s="55">
        <f>Orders!J115</f>
        <v/>
      </c>
      <c r="K115" s="55">
        <f>Orders!K115</f>
        <v/>
      </c>
      <c r="L115" s="55">
        <f>VLOOKUP(D115,Products!$A$2:$F$61,3,FALSE())</f>
        <v/>
      </c>
      <c r="M115" s="55">
        <f>VLOOKUP(C115,Customers!$A$2:$F$301,5,FALSE())</f>
        <v/>
      </c>
      <c r="N115" s="55">
        <f>VLOOKUP(E115,Sales_Reps!$A$2:$E$31,3,FALSE())</f>
        <v/>
      </c>
      <c r="O115" s="55">
        <f>VLOOKUP(D115,Products!$A$2:$F$61,4,FALSE())</f>
        <v/>
      </c>
      <c r="P115" s="55">
        <f>VLOOKUP(C115,Customers!$A$2:$F$301,3,FALSE())</f>
        <v/>
      </c>
      <c r="Q115" s="55">
        <f>UPPER(TRIM(K115))</f>
        <v/>
      </c>
      <c r="R115" s="55">
        <f>(G115-O115)/G115</f>
        <v/>
      </c>
      <c r="S115" s="55">
        <f>VLOOKUP(D115,Products!$A$2:$F$61,6,FALSE())</f>
        <v/>
      </c>
      <c r="U115" s="55">
        <f>TRIM(Customers!B115)</f>
        <v/>
      </c>
      <c r="V115" s="55">
        <f>UPPER(TRIM(Customers!D115))</f>
        <v/>
      </c>
      <c r="W115" s="55">
        <f>LEN(Customers!B115)&lt;&gt;LEN(TRIM(Customers!B115))</f>
        <v/>
      </c>
    </row>
    <row r="116" ht="15" customHeight="1" s="56">
      <c r="A116" s="55">
        <f>Orders!A116</f>
        <v/>
      </c>
      <c r="B116" s="103">
        <f>Orders!B116</f>
        <v/>
      </c>
      <c r="C116" s="55">
        <f>Orders!C116</f>
        <v/>
      </c>
      <c r="D116" s="55">
        <f>Orders!D116</f>
        <v/>
      </c>
      <c r="E116" s="55">
        <f>Orders!E116</f>
        <v/>
      </c>
      <c r="F116" s="55">
        <f>Orders!F116</f>
        <v/>
      </c>
      <c r="G116" s="55">
        <f>Orders!G116</f>
        <v/>
      </c>
      <c r="H116" s="55">
        <f>Orders!H116</f>
        <v/>
      </c>
      <c r="I116" s="55">
        <f>Orders!I116</f>
        <v/>
      </c>
      <c r="J116" s="55">
        <f>Orders!J116</f>
        <v/>
      </c>
      <c r="K116" s="55">
        <f>Orders!K116</f>
        <v/>
      </c>
      <c r="L116" s="55">
        <f>VLOOKUP(D116,Products!$A$2:$F$61,3,FALSE())</f>
        <v/>
      </c>
      <c r="M116" s="55">
        <f>VLOOKUP(C116,Customers!$A$2:$F$301,5,FALSE())</f>
        <v/>
      </c>
      <c r="N116" s="55">
        <f>VLOOKUP(E116,Sales_Reps!$A$2:$E$31,3,FALSE())</f>
        <v/>
      </c>
      <c r="O116" s="55">
        <f>VLOOKUP(D116,Products!$A$2:$F$61,4,FALSE())</f>
        <v/>
      </c>
      <c r="P116" s="55">
        <f>VLOOKUP(C116,Customers!$A$2:$F$301,3,FALSE())</f>
        <v/>
      </c>
      <c r="Q116" s="55">
        <f>UPPER(TRIM(K116))</f>
        <v/>
      </c>
      <c r="R116" s="55">
        <f>(G116-O116)/G116</f>
        <v/>
      </c>
      <c r="S116" s="55">
        <f>VLOOKUP(D116,Products!$A$2:$F$61,6,FALSE())</f>
        <v/>
      </c>
      <c r="U116" s="55">
        <f>TRIM(Customers!B116)</f>
        <v/>
      </c>
      <c r="V116" s="55">
        <f>UPPER(TRIM(Customers!D116))</f>
        <v/>
      </c>
      <c r="W116" s="55">
        <f>LEN(Customers!B116)&lt;&gt;LEN(TRIM(Customers!B116))</f>
        <v/>
      </c>
    </row>
    <row r="117" ht="15" customHeight="1" s="56">
      <c r="A117" s="55">
        <f>Orders!A117</f>
        <v/>
      </c>
      <c r="B117" s="103">
        <f>Orders!B117</f>
        <v/>
      </c>
      <c r="C117" s="55">
        <f>Orders!C117</f>
        <v/>
      </c>
      <c r="D117" s="55">
        <f>Orders!D117</f>
        <v/>
      </c>
      <c r="E117" s="55">
        <f>Orders!E117</f>
        <v/>
      </c>
      <c r="F117" s="55">
        <f>Orders!F117</f>
        <v/>
      </c>
      <c r="G117" s="55">
        <f>Orders!G117</f>
        <v/>
      </c>
      <c r="H117" s="55">
        <f>Orders!H117</f>
        <v/>
      </c>
      <c r="I117" s="55">
        <f>Orders!I117</f>
        <v/>
      </c>
      <c r="J117" s="55">
        <f>Orders!J117</f>
        <v/>
      </c>
      <c r="K117" s="55">
        <f>Orders!K117</f>
        <v/>
      </c>
      <c r="L117" s="55">
        <f>VLOOKUP(D117,Products!$A$2:$F$61,3,FALSE())</f>
        <v/>
      </c>
      <c r="M117" s="55">
        <f>VLOOKUP(C117,Customers!$A$2:$F$301,5,FALSE())</f>
        <v/>
      </c>
      <c r="N117" s="55">
        <f>VLOOKUP(E117,Sales_Reps!$A$2:$E$31,3,FALSE())</f>
        <v/>
      </c>
      <c r="O117" s="55">
        <f>VLOOKUP(D117,Products!$A$2:$F$61,4,FALSE())</f>
        <v/>
      </c>
      <c r="P117" s="55">
        <f>VLOOKUP(C117,Customers!$A$2:$F$301,3,FALSE())</f>
        <v/>
      </c>
      <c r="Q117" s="55">
        <f>UPPER(TRIM(K117))</f>
        <v/>
      </c>
      <c r="R117" s="55">
        <f>(G117-O117)/G117</f>
        <v/>
      </c>
      <c r="S117" s="55">
        <f>VLOOKUP(D117,Products!$A$2:$F$61,6,FALSE())</f>
        <v/>
      </c>
      <c r="U117" s="55">
        <f>TRIM(Customers!B117)</f>
        <v/>
      </c>
      <c r="V117" s="55">
        <f>UPPER(TRIM(Customers!D117))</f>
        <v/>
      </c>
      <c r="W117" s="55">
        <f>LEN(Customers!B117)&lt;&gt;LEN(TRIM(Customers!B117))</f>
        <v/>
      </c>
    </row>
    <row r="118" ht="15" customHeight="1" s="56">
      <c r="A118" s="55">
        <f>Orders!A118</f>
        <v/>
      </c>
      <c r="B118" s="103">
        <f>Orders!B118</f>
        <v/>
      </c>
      <c r="C118" s="55">
        <f>Orders!C118</f>
        <v/>
      </c>
      <c r="D118" s="55">
        <f>Orders!D118</f>
        <v/>
      </c>
      <c r="E118" s="55">
        <f>Orders!E118</f>
        <v/>
      </c>
      <c r="F118" s="55">
        <f>Orders!F118</f>
        <v/>
      </c>
      <c r="G118" s="55">
        <f>Orders!G118</f>
        <v/>
      </c>
      <c r="H118" s="55">
        <f>Orders!H118</f>
        <v/>
      </c>
      <c r="I118" s="55">
        <f>Orders!I118</f>
        <v/>
      </c>
      <c r="J118" s="55">
        <f>Orders!J118</f>
        <v/>
      </c>
      <c r="K118" s="55">
        <f>Orders!K118</f>
        <v/>
      </c>
      <c r="L118" s="55">
        <f>VLOOKUP(D118,Products!$A$2:$F$61,3,FALSE())</f>
        <v/>
      </c>
      <c r="M118" s="55">
        <f>VLOOKUP(C118,Customers!$A$2:$F$301,5,FALSE())</f>
        <v/>
      </c>
      <c r="N118" s="55">
        <f>VLOOKUP(E118,Sales_Reps!$A$2:$E$31,3,FALSE())</f>
        <v/>
      </c>
      <c r="O118" s="55">
        <f>VLOOKUP(D118,Products!$A$2:$F$61,4,FALSE())</f>
        <v/>
      </c>
      <c r="P118" s="55">
        <f>VLOOKUP(C118,Customers!$A$2:$F$301,3,FALSE())</f>
        <v/>
      </c>
      <c r="Q118" s="55">
        <f>UPPER(TRIM(K118))</f>
        <v/>
      </c>
      <c r="R118" s="55">
        <f>(G118-O118)/G118</f>
        <v/>
      </c>
      <c r="S118" s="55">
        <f>VLOOKUP(D118,Products!$A$2:$F$61,6,FALSE())</f>
        <v/>
      </c>
      <c r="U118" s="55">
        <f>TRIM(Customers!B118)</f>
        <v/>
      </c>
      <c r="V118" s="55">
        <f>UPPER(TRIM(Customers!D118))</f>
        <v/>
      </c>
      <c r="W118" s="55">
        <f>LEN(Customers!B118)&lt;&gt;LEN(TRIM(Customers!B118))</f>
        <v/>
      </c>
    </row>
    <row r="119" ht="15" customHeight="1" s="56">
      <c r="A119" s="55">
        <f>Orders!A119</f>
        <v/>
      </c>
      <c r="B119" s="103">
        <f>Orders!B119</f>
        <v/>
      </c>
      <c r="C119" s="55">
        <f>Orders!C119</f>
        <v/>
      </c>
      <c r="D119" s="55">
        <f>Orders!D119</f>
        <v/>
      </c>
      <c r="E119" s="55">
        <f>Orders!E119</f>
        <v/>
      </c>
      <c r="F119" s="55">
        <f>Orders!F119</f>
        <v/>
      </c>
      <c r="G119" s="55">
        <f>Orders!G119</f>
        <v/>
      </c>
      <c r="H119" s="55">
        <f>Orders!H119</f>
        <v/>
      </c>
      <c r="I119" s="55">
        <f>Orders!I119</f>
        <v/>
      </c>
      <c r="J119" s="55">
        <f>Orders!J119</f>
        <v/>
      </c>
      <c r="K119" s="55">
        <f>Orders!K119</f>
        <v/>
      </c>
      <c r="L119" s="55">
        <f>VLOOKUP(D119,Products!$A$2:$F$61,3,FALSE())</f>
        <v/>
      </c>
      <c r="M119" s="55">
        <f>VLOOKUP(C119,Customers!$A$2:$F$301,5,FALSE())</f>
        <v/>
      </c>
      <c r="N119" s="55">
        <f>VLOOKUP(E119,Sales_Reps!$A$2:$E$31,3,FALSE())</f>
        <v/>
      </c>
      <c r="O119" s="55">
        <f>VLOOKUP(D119,Products!$A$2:$F$61,4,FALSE())</f>
        <v/>
      </c>
      <c r="P119" s="55">
        <f>VLOOKUP(C119,Customers!$A$2:$F$301,3,FALSE())</f>
        <v/>
      </c>
      <c r="Q119" s="55">
        <f>UPPER(TRIM(K119))</f>
        <v/>
      </c>
      <c r="R119" s="55">
        <f>(G119-O119)/G119</f>
        <v/>
      </c>
      <c r="S119" s="55">
        <f>VLOOKUP(D119,Products!$A$2:$F$61,6,FALSE())</f>
        <v/>
      </c>
      <c r="U119" s="55">
        <f>TRIM(Customers!B119)</f>
        <v/>
      </c>
      <c r="V119" s="55">
        <f>UPPER(TRIM(Customers!D119))</f>
        <v/>
      </c>
      <c r="W119" s="55">
        <f>LEN(Customers!B119)&lt;&gt;LEN(TRIM(Customers!B119))</f>
        <v/>
      </c>
    </row>
    <row r="120" ht="15" customHeight="1" s="56">
      <c r="A120" s="55">
        <f>Orders!A120</f>
        <v/>
      </c>
      <c r="B120" s="103">
        <f>Orders!B120</f>
        <v/>
      </c>
      <c r="C120" s="55">
        <f>Orders!C120</f>
        <v/>
      </c>
      <c r="D120" s="55">
        <f>Orders!D120</f>
        <v/>
      </c>
      <c r="E120" s="55">
        <f>Orders!E120</f>
        <v/>
      </c>
      <c r="F120" s="55">
        <f>Orders!F120</f>
        <v/>
      </c>
      <c r="G120" s="55">
        <f>Orders!G120</f>
        <v/>
      </c>
      <c r="H120" s="55">
        <f>Orders!H120</f>
        <v/>
      </c>
      <c r="I120" s="55">
        <f>Orders!I120</f>
        <v/>
      </c>
      <c r="J120" s="55">
        <f>Orders!J120</f>
        <v/>
      </c>
      <c r="K120" s="55">
        <f>Orders!K120</f>
        <v/>
      </c>
      <c r="L120" s="55">
        <f>VLOOKUP(D120,Products!$A$2:$F$61,3,FALSE())</f>
        <v/>
      </c>
      <c r="M120" s="55">
        <f>VLOOKUP(C120,Customers!$A$2:$F$301,5,FALSE())</f>
        <v/>
      </c>
      <c r="N120" s="55">
        <f>VLOOKUP(E120,Sales_Reps!$A$2:$E$31,3,FALSE())</f>
        <v/>
      </c>
      <c r="O120" s="55">
        <f>VLOOKUP(D120,Products!$A$2:$F$61,4,FALSE())</f>
        <v/>
      </c>
      <c r="P120" s="55">
        <f>VLOOKUP(C120,Customers!$A$2:$F$301,3,FALSE())</f>
        <v/>
      </c>
      <c r="Q120" s="55">
        <f>UPPER(TRIM(K120))</f>
        <v/>
      </c>
      <c r="R120" s="55">
        <f>(G120-O120)/G120</f>
        <v/>
      </c>
      <c r="S120" s="55">
        <f>VLOOKUP(D120,Products!$A$2:$F$61,6,FALSE())</f>
        <v/>
      </c>
      <c r="U120" s="55">
        <f>TRIM(Customers!B120)</f>
        <v/>
      </c>
      <c r="V120" s="55">
        <f>UPPER(TRIM(Customers!D120))</f>
        <v/>
      </c>
      <c r="W120" s="55">
        <f>LEN(Customers!B120)&lt;&gt;LEN(TRIM(Customers!B120))</f>
        <v/>
      </c>
    </row>
    <row r="121" ht="15" customHeight="1" s="56">
      <c r="A121" s="55">
        <f>Orders!A121</f>
        <v/>
      </c>
      <c r="B121" s="103">
        <f>Orders!B121</f>
        <v/>
      </c>
      <c r="C121" s="55">
        <f>Orders!C121</f>
        <v/>
      </c>
      <c r="D121" s="55">
        <f>Orders!D121</f>
        <v/>
      </c>
      <c r="E121" s="55">
        <f>Orders!E121</f>
        <v/>
      </c>
      <c r="F121" s="55">
        <f>Orders!F121</f>
        <v/>
      </c>
      <c r="G121" s="55">
        <f>Orders!G121</f>
        <v/>
      </c>
      <c r="H121" s="55">
        <f>Orders!H121</f>
        <v/>
      </c>
      <c r="I121" s="55">
        <f>Orders!I121</f>
        <v/>
      </c>
      <c r="J121" s="55">
        <f>Orders!J121</f>
        <v/>
      </c>
      <c r="K121" s="55">
        <f>Orders!K121</f>
        <v/>
      </c>
      <c r="L121" s="55">
        <f>VLOOKUP(D121,Products!$A$2:$F$61,3,FALSE())</f>
        <v/>
      </c>
      <c r="M121" s="55">
        <f>VLOOKUP(C121,Customers!$A$2:$F$301,5,FALSE())</f>
        <v/>
      </c>
      <c r="N121" s="55">
        <f>VLOOKUP(E121,Sales_Reps!$A$2:$E$31,3,FALSE())</f>
        <v/>
      </c>
      <c r="O121" s="55">
        <f>VLOOKUP(D121,Products!$A$2:$F$61,4,FALSE())</f>
        <v/>
      </c>
      <c r="P121" s="55">
        <f>VLOOKUP(C121,Customers!$A$2:$F$301,3,FALSE())</f>
        <v/>
      </c>
      <c r="Q121" s="55">
        <f>UPPER(TRIM(K121))</f>
        <v/>
      </c>
      <c r="R121" s="55">
        <f>(G121-O121)/G121</f>
        <v/>
      </c>
      <c r="S121" s="55">
        <f>VLOOKUP(D121,Products!$A$2:$F$61,6,FALSE())</f>
        <v/>
      </c>
      <c r="U121" s="55">
        <f>TRIM(Customers!B121)</f>
        <v/>
      </c>
      <c r="V121" s="55">
        <f>UPPER(TRIM(Customers!D121))</f>
        <v/>
      </c>
      <c r="W121" s="55">
        <f>LEN(Customers!B121)&lt;&gt;LEN(TRIM(Customers!B121))</f>
        <v/>
      </c>
    </row>
    <row r="122" ht="15" customHeight="1" s="56">
      <c r="A122" s="55">
        <f>Orders!A122</f>
        <v/>
      </c>
      <c r="B122" s="103">
        <f>Orders!B122</f>
        <v/>
      </c>
      <c r="C122" s="55">
        <f>Orders!C122</f>
        <v/>
      </c>
      <c r="D122" s="55">
        <f>Orders!D122</f>
        <v/>
      </c>
      <c r="E122" s="55">
        <f>Orders!E122</f>
        <v/>
      </c>
      <c r="F122" s="55">
        <f>Orders!F122</f>
        <v/>
      </c>
      <c r="G122" s="55">
        <f>Orders!G122</f>
        <v/>
      </c>
      <c r="H122" s="55">
        <f>Orders!H122</f>
        <v/>
      </c>
      <c r="I122" s="55">
        <f>Orders!I122</f>
        <v/>
      </c>
      <c r="J122" s="55">
        <f>Orders!J122</f>
        <v/>
      </c>
      <c r="K122" s="55">
        <f>Orders!K122</f>
        <v/>
      </c>
      <c r="L122" s="55">
        <f>VLOOKUP(D122,Products!$A$2:$F$61,3,FALSE())</f>
        <v/>
      </c>
      <c r="M122" s="55">
        <f>VLOOKUP(C122,Customers!$A$2:$F$301,5,FALSE())</f>
        <v/>
      </c>
      <c r="N122" s="55">
        <f>VLOOKUP(E122,Sales_Reps!$A$2:$E$31,3,FALSE())</f>
        <v/>
      </c>
      <c r="O122" s="55">
        <f>VLOOKUP(D122,Products!$A$2:$F$61,4,FALSE())</f>
        <v/>
      </c>
      <c r="P122" s="55">
        <f>VLOOKUP(C122,Customers!$A$2:$F$301,3,FALSE())</f>
        <v/>
      </c>
      <c r="Q122" s="55">
        <f>UPPER(TRIM(K122))</f>
        <v/>
      </c>
      <c r="R122" s="55">
        <f>(G122-O122)/G122</f>
        <v/>
      </c>
      <c r="S122" s="55">
        <f>VLOOKUP(D122,Products!$A$2:$F$61,6,FALSE())</f>
        <v/>
      </c>
      <c r="U122" s="55">
        <f>TRIM(Customers!B122)</f>
        <v/>
      </c>
      <c r="V122" s="55">
        <f>UPPER(TRIM(Customers!D122))</f>
        <v/>
      </c>
      <c r="W122" s="55">
        <f>LEN(Customers!B122)&lt;&gt;LEN(TRIM(Customers!B122))</f>
        <v/>
      </c>
    </row>
    <row r="123" ht="15" customHeight="1" s="56">
      <c r="A123" s="55">
        <f>Orders!A123</f>
        <v/>
      </c>
      <c r="B123" s="103">
        <f>Orders!B123</f>
        <v/>
      </c>
      <c r="C123" s="55">
        <f>Orders!C123</f>
        <v/>
      </c>
      <c r="D123" s="55">
        <f>Orders!D123</f>
        <v/>
      </c>
      <c r="E123" s="55">
        <f>Orders!E123</f>
        <v/>
      </c>
      <c r="F123" s="55">
        <f>Orders!F123</f>
        <v/>
      </c>
      <c r="G123" s="55">
        <f>Orders!G123</f>
        <v/>
      </c>
      <c r="H123" s="55">
        <f>Orders!H123</f>
        <v/>
      </c>
      <c r="I123" s="55">
        <f>Orders!I123</f>
        <v/>
      </c>
      <c r="J123" s="55">
        <f>Orders!J123</f>
        <v/>
      </c>
      <c r="K123" s="55">
        <f>Orders!K123</f>
        <v/>
      </c>
      <c r="L123" s="55">
        <f>VLOOKUP(D123,Products!$A$2:$F$61,3,FALSE())</f>
        <v/>
      </c>
      <c r="M123" s="55">
        <f>VLOOKUP(C123,Customers!$A$2:$F$301,5,FALSE())</f>
        <v/>
      </c>
      <c r="N123" s="55">
        <f>VLOOKUP(E123,Sales_Reps!$A$2:$E$31,3,FALSE())</f>
        <v/>
      </c>
      <c r="O123" s="55">
        <f>VLOOKUP(D123,Products!$A$2:$F$61,4,FALSE())</f>
        <v/>
      </c>
      <c r="P123" s="55">
        <f>VLOOKUP(C123,Customers!$A$2:$F$301,3,FALSE())</f>
        <v/>
      </c>
      <c r="Q123" s="55">
        <f>UPPER(TRIM(K123))</f>
        <v/>
      </c>
      <c r="R123" s="55">
        <f>(G123-O123)/G123</f>
        <v/>
      </c>
      <c r="S123" s="55">
        <f>VLOOKUP(D123,Products!$A$2:$F$61,6,FALSE())</f>
        <v/>
      </c>
      <c r="U123" s="55">
        <f>TRIM(Customers!B123)</f>
        <v/>
      </c>
      <c r="V123" s="55">
        <f>UPPER(TRIM(Customers!D123))</f>
        <v/>
      </c>
      <c r="W123" s="55">
        <f>LEN(Customers!B123)&lt;&gt;LEN(TRIM(Customers!B123))</f>
        <v/>
      </c>
    </row>
    <row r="124" ht="15" customHeight="1" s="56">
      <c r="A124" s="55">
        <f>Orders!A124</f>
        <v/>
      </c>
      <c r="B124" s="103">
        <f>Orders!B124</f>
        <v/>
      </c>
      <c r="C124" s="55">
        <f>Orders!C124</f>
        <v/>
      </c>
      <c r="D124" s="55">
        <f>Orders!D124</f>
        <v/>
      </c>
      <c r="E124" s="55">
        <f>Orders!E124</f>
        <v/>
      </c>
      <c r="F124" s="55">
        <f>Orders!F124</f>
        <v/>
      </c>
      <c r="G124" s="55">
        <f>Orders!G124</f>
        <v/>
      </c>
      <c r="H124" s="55">
        <f>Orders!H124</f>
        <v/>
      </c>
      <c r="I124" s="55">
        <f>Orders!I124</f>
        <v/>
      </c>
      <c r="J124" s="55">
        <f>Orders!J124</f>
        <v/>
      </c>
      <c r="K124" s="55">
        <f>Orders!K124</f>
        <v/>
      </c>
      <c r="L124" s="55">
        <f>VLOOKUP(D124,Products!$A$2:$F$61,3,FALSE())</f>
        <v/>
      </c>
      <c r="M124" s="55">
        <f>VLOOKUP(C124,Customers!$A$2:$F$301,5,FALSE())</f>
        <v/>
      </c>
      <c r="N124" s="55">
        <f>VLOOKUP(E124,Sales_Reps!$A$2:$E$31,3,FALSE())</f>
        <v/>
      </c>
      <c r="O124" s="55">
        <f>VLOOKUP(D124,Products!$A$2:$F$61,4,FALSE())</f>
        <v/>
      </c>
      <c r="P124" s="55">
        <f>VLOOKUP(C124,Customers!$A$2:$F$301,3,FALSE())</f>
        <v/>
      </c>
      <c r="Q124" s="55">
        <f>UPPER(TRIM(K124))</f>
        <v/>
      </c>
      <c r="R124" s="55">
        <f>(G124-O124)/G124</f>
        <v/>
      </c>
      <c r="S124" s="55">
        <f>VLOOKUP(D124,Products!$A$2:$F$61,6,FALSE())</f>
        <v/>
      </c>
      <c r="U124" s="55">
        <f>TRIM(Customers!B124)</f>
        <v/>
      </c>
      <c r="V124" s="55">
        <f>UPPER(TRIM(Customers!D124))</f>
        <v/>
      </c>
      <c r="W124" s="55">
        <f>LEN(Customers!B124)&lt;&gt;LEN(TRIM(Customers!B124))</f>
        <v/>
      </c>
    </row>
    <row r="125" ht="15" customHeight="1" s="56">
      <c r="A125" s="55">
        <f>Orders!A125</f>
        <v/>
      </c>
      <c r="B125" s="103">
        <f>Orders!B125</f>
        <v/>
      </c>
      <c r="C125" s="55">
        <f>Orders!C125</f>
        <v/>
      </c>
      <c r="D125" s="55">
        <f>Orders!D125</f>
        <v/>
      </c>
      <c r="E125" s="55">
        <f>Orders!E125</f>
        <v/>
      </c>
      <c r="F125" s="55">
        <f>Orders!F125</f>
        <v/>
      </c>
      <c r="G125" s="55">
        <f>Orders!G125</f>
        <v/>
      </c>
      <c r="H125" s="55">
        <f>Orders!H125</f>
        <v/>
      </c>
      <c r="I125" s="55">
        <f>Orders!I125</f>
        <v/>
      </c>
      <c r="J125" s="55">
        <f>Orders!J125</f>
        <v/>
      </c>
      <c r="K125" s="55">
        <f>Orders!K125</f>
        <v/>
      </c>
      <c r="L125" s="55">
        <f>VLOOKUP(D125,Products!$A$2:$F$61,3,FALSE())</f>
        <v/>
      </c>
      <c r="M125" s="55">
        <f>VLOOKUP(C125,Customers!$A$2:$F$301,5,FALSE())</f>
        <v/>
      </c>
      <c r="N125" s="55">
        <f>VLOOKUP(E125,Sales_Reps!$A$2:$E$31,3,FALSE())</f>
        <v/>
      </c>
      <c r="O125" s="55">
        <f>VLOOKUP(D125,Products!$A$2:$F$61,4,FALSE())</f>
        <v/>
      </c>
      <c r="P125" s="55">
        <f>VLOOKUP(C125,Customers!$A$2:$F$301,3,FALSE())</f>
        <v/>
      </c>
      <c r="Q125" s="55">
        <f>UPPER(TRIM(K125))</f>
        <v/>
      </c>
      <c r="R125" s="55">
        <f>(G125-O125)/G125</f>
        <v/>
      </c>
      <c r="S125" s="55">
        <f>VLOOKUP(D125,Products!$A$2:$F$61,6,FALSE())</f>
        <v/>
      </c>
      <c r="U125" s="55">
        <f>TRIM(Customers!B125)</f>
        <v/>
      </c>
      <c r="V125" s="55">
        <f>UPPER(TRIM(Customers!D125))</f>
        <v/>
      </c>
      <c r="W125" s="55">
        <f>LEN(Customers!B125)&lt;&gt;LEN(TRIM(Customers!B125))</f>
        <v/>
      </c>
    </row>
    <row r="126" ht="15" customHeight="1" s="56">
      <c r="A126" s="55">
        <f>Orders!A126</f>
        <v/>
      </c>
      <c r="B126" s="103">
        <f>Orders!B126</f>
        <v/>
      </c>
      <c r="C126" s="55">
        <f>Orders!C126</f>
        <v/>
      </c>
      <c r="D126" s="55">
        <f>Orders!D126</f>
        <v/>
      </c>
      <c r="E126" s="55">
        <f>Orders!E126</f>
        <v/>
      </c>
      <c r="F126" s="55">
        <f>Orders!F126</f>
        <v/>
      </c>
      <c r="G126" s="55">
        <f>Orders!G126</f>
        <v/>
      </c>
      <c r="H126" s="55">
        <f>Orders!H126</f>
        <v/>
      </c>
      <c r="I126" s="55">
        <f>Orders!I126</f>
        <v/>
      </c>
      <c r="J126" s="55">
        <f>Orders!J126</f>
        <v/>
      </c>
      <c r="K126" s="55">
        <f>Orders!K126</f>
        <v/>
      </c>
      <c r="L126" s="55">
        <f>VLOOKUP(D126,Products!$A$2:$F$61,3,FALSE())</f>
        <v/>
      </c>
      <c r="M126" s="55">
        <f>VLOOKUP(C126,Customers!$A$2:$F$301,5,FALSE())</f>
        <v/>
      </c>
      <c r="N126" s="55">
        <f>VLOOKUP(E126,Sales_Reps!$A$2:$E$31,3,FALSE())</f>
        <v/>
      </c>
      <c r="O126" s="55">
        <f>VLOOKUP(D126,Products!$A$2:$F$61,4,FALSE())</f>
        <v/>
      </c>
      <c r="P126" s="55">
        <f>VLOOKUP(C126,Customers!$A$2:$F$301,3,FALSE())</f>
        <v/>
      </c>
      <c r="Q126" s="55">
        <f>UPPER(TRIM(K126))</f>
        <v/>
      </c>
      <c r="R126" s="55">
        <f>(G126-O126)/G126</f>
        <v/>
      </c>
      <c r="S126" s="55">
        <f>VLOOKUP(D126,Products!$A$2:$F$61,6,FALSE())</f>
        <v/>
      </c>
      <c r="U126" s="55">
        <f>TRIM(Customers!B126)</f>
        <v/>
      </c>
      <c r="V126" s="55">
        <f>UPPER(TRIM(Customers!D126))</f>
        <v/>
      </c>
      <c r="W126" s="55">
        <f>LEN(Customers!B126)&lt;&gt;LEN(TRIM(Customers!B126))</f>
        <v/>
      </c>
    </row>
    <row r="127" ht="15" customHeight="1" s="56">
      <c r="A127" s="55">
        <f>Orders!A127</f>
        <v/>
      </c>
      <c r="B127" s="103">
        <f>Orders!B127</f>
        <v/>
      </c>
      <c r="C127" s="55">
        <f>Orders!C127</f>
        <v/>
      </c>
      <c r="D127" s="55">
        <f>Orders!D127</f>
        <v/>
      </c>
      <c r="E127" s="55">
        <f>Orders!E127</f>
        <v/>
      </c>
      <c r="F127" s="55">
        <f>Orders!F127</f>
        <v/>
      </c>
      <c r="G127" s="55">
        <f>Orders!G127</f>
        <v/>
      </c>
      <c r="H127" s="55">
        <f>Orders!H127</f>
        <v/>
      </c>
      <c r="I127" s="55">
        <f>Orders!I127</f>
        <v/>
      </c>
      <c r="J127" s="55">
        <f>Orders!J127</f>
        <v/>
      </c>
      <c r="K127" s="55">
        <f>Orders!K127</f>
        <v/>
      </c>
      <c r="L127" s="55">
        <f>VLOOKUP(D127,Products!$A$2:$F$61,3,FALSE())</f>
        <v/>
      </c>
      <c r="M127" s="55">
        <f>VLOOKUP(C127,Customers!$A$2:$F$301,5,FALSE())</f>
        <v/>
      </c>
      <c r="N127" s="55">
        <f>VLOOKUP(E127,Sales_Reps!$A$2:$E$31,3,FALSE())</f>
        <v/>
      </c>
      <c r="O127" s="55">
        <f>VLOOKUP(D127,Products!$A$2:$F$61,4,FALSE())</f>
        <v/>
      </c>
      <c r="P127" s="55">
        <f>VLOOKUP(C127,Customers!$A$2:$F$301,3,FALSE())</f>
        <v/>
      </c>
      <c r="Q127" s="55">
        <f>UPPER(TRIM(K127))</f>
        <v/>
      </c>
      <c r="R127" s="55">
        <f>(G127-O127)/G127</f>
        <v/>
      </c>
      <c r="S127" s="55">
        <f>VLOOKUP(D127,Products!$A$2:$F$61,6,FALSE())</f>
        <v/>
      </c>
      <c r="U127" s="55">
        <f>TRIM(Customers!B127)</f>
        <v/>
      </c>
      <c r="V127" s="55">
        <f>UPPER(TRIM(Customers!D127))</f>
        <v/>
      </c>
      <c r="W127" s="55">
        <f>LEN(Customers!B127)&lt;&gt;LEN(TRIM(Customers!B127))</f>
        <v/>
      </c>
    </row>
    <row r="128" ht="15" customHeight="1" s="56">
      <c r="A128" s="55">
        <f>Orders!A128</f>
        <v/>
      </c>
      <c r="B128" s="103">
        <f>Orders!B128</f>
        <v/>
      </c>
      <c r="C128" s="55">
        <f>Orders!C128</f>
        <v/>
      </c>
      <c r="D128" s="55">
        <f>Orders!D128</f>
        <v/>
      </c>
      <c r="E128" s="55">
        <f>Orders!E128</f>
        <v/>
      </c>
      <c r="F128" s="55">
        <f>Orders!F128</f>
        <v/>
      </c>
      <c r="G128" s="55">
        <f>Orders!G128</f>
        <v/>
      </c>
      <c r="H128" s="55">
        <f>Orders!H128</f>
        <v/>
      </c>
      <c r="I128" s="55">
        <f>Orders!I128</f>
        <v/>
      </c>
      <c r="J128" s="55">
        <f>Orders!J128</f>
        <v/>
      </c>
      <c r="K128" s="55">
        <f>Orders!K128</f>
        <v/>
      </c>
      <c r="L128" s="55">
        <f>VLOOKUP(D128,Products!$A$2:$F$61,3,FALSE())</f>
        <v/>
      </c>
      <c r="M128" s="55">
        <f>VLOOKUP(C128,Customers!$A$2:$F$301,5,FALSE())</f>
        <v/>
      </c>
      <c r="N128" s="55">
        <f>VLOOKUP(E128,Sales_Reps!$A$2:$E$31,3,FALSE())</f>
        <v/>
      </c>
      <c r="O128" s="55">
        <f>VLOOKUP(D128,Products!$A$2:$F$61,4,FALSE())</f>
        <v/>
      </c>
      <c r="P128" s="55">
        <f>VLOOKUP(C128,Customers!$A$2:$F$301,3,FALSE())</f>
        <v/>
      </c>
      <c r="Q128" s="55">
        <f>UPPER(TRIM(K128))</f>
        <v/>
      </c>
      <c r="R128" s="55">
        <f>(G128-O128)/G128</f>
        <v/>
      </c>
      <c r="S128" s="55">
        <f>VLOOKUP(D128,Products!$A$2:$F$61,6,FALSE())</f>
        <v/>
      </c>
      <c r="U128" s="55">
        <f>TRIM(Customers!B128)</f>
        <v/>
      </c>
      <c r="V128" s="55">
        <f>UPPER(TRIM(Customers!D128))</f>
        <v/>
      </c>
      <c r="W128" s="55">
        <f>LEN(Customers!B128)&lt;&gt;LEN(TRIM(Customers!B128))</f>
        <v/>
      </c>
    </row>
    <row r="129" ht="15" customHeight="1" s="56">
      <c r="A129" s="55">
        <f>Orders!A129</f>
        <v/>
      </c>
      <c r="B129" s="103">
        <f>Orders!B129</f>
        <v/>
      </c>
      <c r="C129" s="55">
        <f>Orders!C129</f>
        <v/>
      </c>
      <c r="D129" s="55">
        <f>Orders!D129</f>
        <v/>
      </c>
      <c r="E129" s="55">
        <f>Orders!E129</f>
        <v/>
      </c>
      <c r="F129" s="55">
        <f>Orders!F129</f>
        <v/>
      </c>
      <c r="G129" s="55">
        <f>Orders!G129</f>
        <v/>
      </c>
      <c r="H129" s="55">
        <f>Orders!H129</f>
        <v/>
      </c>
      <c r="I129" s="55">
        <f>Orders!I129</f>
        <v/>
      </c>
      <c r="J129" s="55">
        <f>Orders!J129</f>
        <v/>
      </c>
      <c r="K129" s="55">
        <f>Orders!K129</f>
        <v/>
      </c>
      <c r="L129" s="55">
        <f>VLOOKUP(D129,Products!$A$2:$F$61,3,FALSE())</f>
        <v/>
      </c>
      <c r="M129" s="55">
        <f>VLOOKUP(C129,Customers!$A$2:$F$301,5,FALSE())</f>
        <v/>
      </c>
      <c r="N129" s="55">
        <f>VLOOKUP(E129,Sales_Reps!$A$2:$E$31,3,FALSE())</f>
        <v/>
      </c>
      <c r="O129" s="55">
        <f>VLOOKUP(D129,Products!$A$2:$F$61,4,FALSE())</f>
        <v/>
      </c>
      <c r="P129" s="55">
        <f>VLOOKUP(C129,Customers!$A$2:$F$301,3,FALSE())</f>
        <v/>
      </c>
      <c r="Q129" s="55">
        <f>UPPER(TRIM(K129))</f>
        <v/>
      </c>
      <c r="R129" s="55">
        <f>(G129-O129)/G129</f>
        <v/>
      </c>
      <c r="S129" s="55">
        <f>VLOOKUP(D129,Products!$A$2:$F$61,6,FALSE())</f>
        <v/>
      </c>
      <c r="U129" s="55">
        <f>TRIM(Customers!B129)</f>
        <v/>
      </c>
      <c r="V129" s="55">
        <f>UPPER(TRIM(Customers!D129))</f>
        <v/>
      </c>
      <c r="W129" s="55">
        <f>LEN(Customers!B129)&lt;&gt;LEN(TRIM(Customers!B129))</f>
        <v/>
      </c>
    </row>
    <row r="130" ht="15" customHeight="1" s="56">
      <c r="A130" s="55">
        <f>Orders!A130</f>
        <v/>
      </c>
      <c r="B130" s="103">
        <f>Orders!B130</f>
        <v/>
      </c>
      <c r="C130" s="55">
        <f>Orders!C130</f>
        <v/>
      </c>
      <c r="D130" s="55">
        <f>Orders!D130</f>
        <v/>
      </c>
      <c r="E130" s="55">
        <f>Orders!E130</f>
        <v/>
      </c>
      <c r="F130" s="55">
        <f>Orders!F130</f>
        <v/>
      </c>
      <c r="G130" s="55">
        <f>Orders!G130</f>
        <v/>
      </c>
      <c r="H130" s="55">
        <f>Orders!H130</f>
        <v/>
      </c>
      <c r="I130" s="55">
        <f>Orders!I130</f>
        <v/>
      </c>
      <c r="J130" s="55">
        <f>Orders!J130</f>
        <v/>
      </c>
      <c r="K130" s="55">
        <f>Orders!K130</f>
        <v/>
      </c>
      <c r="L130" s="55">
        <f>VLOOKUP(D130,Products!$A$2:$F$61,3,FALSE())</f>
        <v/>
      </c>
      <c r="M130" s="55">
        <f>VLOOKUP(C130,Customers!$A$2:$F$301,5,FALSE())</f>
        <v/>
      </c>
      <c r="N130" s="55">
        <f>VLOOKUP(E130,Sales_Reps!$A$2:$E$31,3,FALSE())</f>
        <v/>
      </c>
      <c r="O130" s="55">
        <f>VLOOKUP(D130,Products!$A$2:$F$61,4,FALSE())</f>
        <v/>
      </c>
      <c r="P130" s="55">
        <f>VLOOKUP(C130,Customers!$A$2:$F$301,3,FALSE())</f>
        <v/>
      </c>
      <c r="Q130" s="55">
        <f>UPPER(TRIM(K130))</f>
        <v/>
      </c>
      <c r="R130" s="55">
        <f>(G130-O130)/G130</f>
        <v/>
      </c>
      <c r="S130" s="55">
        <f>VLOOKUP(D130,Products!$A$2:$F$61,6,FALSE())</f>
        <v/>
      </c>
      <c r="U130" s="55">
        <f>TRIM(Customers!B130)</f>
        <v/>
      </c>
      <c r="V130" s="55">
        <f>UPPER(TRIM(Customers!D130))</f>
        <v/>
      </c>
      <c r="W130" s="55">
        <f>LEN(Customers!B130)&lt;&gt;LEN(TRIM(Customers!B130))</f>
        <v/>
      </c>
    </row>
    <row r="131" ht="15" customHeight="1" s="56">
      <c r="A131" s="55">
        <f>Orders!A131</f>
        <v/>
      </c>
      <c r="B131" s="103">
        <f>Orders!B131</f>
        <v/>
      </c>
      <c r="C131" s="55">
        <f>Orders!C131</f>
        <v/>
      </c>
      <c r="D131" s="55">
        <f>Orders!D131</f>
        <v/>
      </c>
      <c r="E131" s="55">
        <f>Orders!E131</f>
        <v/>
      </c>
      <c r="F131" s="55">
        <f>Orders!F131</f>
        <v/>
      </c>
      <c r="G131" s="55">
        <f>Orders!G131</f>
        <v/>
      </c>
      <c r="H131" s="55">
        <f>Orders!H131</f>
        <v/>
      </c>
      <c r="I131" s="55">
        <f>Orders!I131</f>
        <v/>
      </c>
      <c r="J131" s="55">
        <f>Orders!J131</f>
        <v/>
      </c>
      <c r="K131" s="55">
        <f>Orders!K131</f>
        <v/>
      </c>
      <c r="L131" s="55">
        <f>VLOOKUP(D131,Products!$A$2:$F$61,3,FALSE())</f>
        <v/>
      </c>
      <c r="M131" s="55">
        <f>VLOOKUP(C131,Customers!$A$2:$F$301,5,FALSE())</f>
        <v/>
      </c>
      <c r="N131" s="55">
        <f>VLOOKUP(E131,Sales_Reps!$A$2:$E$31,3,FALSE())</f>
        <v/>
      </c>
      <c r="O131" s="55">
        <f>VLOOKUP(D131,Products!$A$2:$F$61,4,FALSE())</f>
        <v/>
      </c>
      <c r="P131" s="55">
        <f>VLOOKUP(C131,Customers!$A$2:$F$301,3,FALSE())</f>
        <v/>
      </c>
      <c r="Q131" s="55">
        <f>UPPER(TRIM(K131))</f>
        <v/>
      </c>
      <c r="R131" s="55">
        <f>(G131-O131)/G131</f>
        <v/>
      </c>
      <c r="S131" s="55">
        <f>VLOOKUP(D131,Products!$A$2:$F$61,6,FALSE())</f>
        <v/>
      </c>
      <c r="U131" s="55">
        <f>TRIM(Customers!B131)</f>
        <v/>
      </c>
      <c r="V131" s="55">
        <f>UPPER(TRIM(Customers!D131))</f>
        <v/>
      </c>
      <c r="W131" s="55">
        <f>LEN(Customers!B131)&lt;&gt;LEN(TRIM(Customers!B131))</f>
        <v/>
      </c>
    </row>
    <row r="132" ht="15" customHeight="1" s="56">
      <c r="A132" s="55">
        <f>Orders!A132</f>
        <v/>
      </c>
      <c r="B132" s="103">
        <f>Orders!B132</f>
        <v/>
      </c>
      <c r="C132" s="55">
        <f>Orders!C132</f>
        <v/>
      </c>
      <c r="D132" s="55">
        <f>Orders!D132</f>
        <v/>
      </c>
      <c r="E132" s="55">
        <f>Orders!E132</f>
        <v/>
      </c>
      <c r="F132" s="55">
        <f>Orders!F132</f>
        <v/>
      </c>
      <c r="G132" s="55">
        <f>Orders!G132</f>
        <v/>
      </c>
      <c r="H132" s="55">
        <f>Orders!H132</f>
        <v/>
      </c>
      <c r="I132" s="55">
        <f>Orders!I132</f>
        <v/>
      </c>
      <c r="J132" s="55">
        <f>Orders!J132</f>
        <v/>
      </c>
      <c r="K132" s="55">
        <f>Orders!K132</f>
        <v/>
      </c>
      <c r="L132" s="55">
        <f>VLOOKUP(D132,Products!$A$2:$F$61,3,FALSE())</f>
        <v/>
      </c>
      <c r="M132" s="55">
        <f>VLOOKUP(C132,Customers!$A$2:$F$301,5,FALSE())</f>
        <v/>
      </c>
      <c r="N132" s="55">
        <f>VLOOKUP(E132,Sales_Reps!$A$2:$E$31,3,FALSE())</f>
        <v/>
      </c>
      <c r="O132" s="55">
        <f>VLOOKUP(D132,Products!$A$2:$F$61,4,FALSE())</f>
        <v/>
      </c>
      <c r="P132" s="55">
        <f>VLOOKUP(C132,Customers!$A$2:$F$301,3,FALSE())</f>
        <v/>
      </c>
      <c r="Q132" s="55">
        <f>UPPER(TRIM(K132))</f>
        <v/>
      </c>
      <c r="R132" s="55">
        <f>(G132-O132)/G132</f>
        <v/>
      </c>
      <c r="S132" s="55">
        <f>VLOOKUP(D132,Products!$A$2:$F$61,6,FALSE())</f>
        <v/>
      </c>
      <c r="U132" s="55">
        <f>TRIM(Customers!B132)</f>
        <v/>
      </c>
      <c r="V132" s="55">
        <f>UPPER(TRIM(Customers!D132))</f>
        <v/>
      </c>
      <c r="W132" s="55">
        <f>LEN(Customers!B132)&lt;&gt;LEN(TRIM(Customers!B132))</f>
        <v/>
      </c>
    </row>
    <row r="133" ht="15" customHeight="1" s="56">
      <c r="A133" s="55">
        <f>Orders!A133</f>
        <v/>
      </c>
      <c r="B133" s="103">
        <f>Orders!B133</f>
        <v/>
      </c>
      <c r="C133" s="55">
        <f>Orders!C133</f>
        <v/>
      </c>
      <c r="D133" s="55">
        <f>Orders!D133</f>
        <v/>
      </c>
      <c r="E133" s="55">
        <f>Orders!E133</f>
        <v/>
      </c>
      <c r="F133" s="55">
        <f>Orders!F133</f>
        <v/>
      </c>
      <c r="G133" s="55">
        <f>Orders!G133</f>
        <v/>
      </c>
      <c r="H133" s="55">
        <f>Orders!H133</f>
        <v/>
      </c>
      <c r="I133" s="55">
        <f>Orders!I133</f>
        <v/>
      </c>
      <c r="J133" s="55">
        <f>Orders!J133</f>
        <v/>
      </c>
      <c r="K133" s="55">
        <f>Orders!K133</f>
        <v/>
      </c>
      <c r="L133" s="55">
        <f>VLOOKUP(D133,Products!$A$2:$F$61,3,FALSE())</f>
        <v/>
      </c>
      <c r="M133" s="55">
        <f>VLOOKUP(C133,Customers!$A$2:$F$301,5,FALSE())</f>
        <v/>
      </c>
      <c r="N133" s="55">
        <f>VLOOKUP(E133,Sales_Reps!$A$2:$E$31,3,FALSE())</f>
        <v/>
      </c>
      <c r="O133" s="55">
        <f>VLOOKUP(D133,Products!$A$2:$F$61,4,FALSE())</f>
        <v/>
      </c>
      <c r="P133" s="55">
        <f>VLOOKUP(C133,Customers!$A$2:$F$301,3,FALSE())</f>
        <v/>
      </c>
      <c r="Q133" s="55">
        <f>UPPER(TRIM(K133))</f>
        <v/>
      </c>
      <c r="R133" s="55">
        <f>(G133-O133)/G133</f>
        <v/>
      </c>
      <c r="S133" s="55">
        <f>VLOOKUP(D133,Products!$A$2:$F$61,6,FALSE())</f>
        <v/>
      </c>
      <c r="U133" s="55">
        <f>TRIM(Customers!B133)</f>
        <v/>
      </c>
      <c r="V133" s="55">
        <f>UPPER(TRIM(Customers!D133))</f>
        <v/>
      </c>
      <c r="W133" s="55">
        <f>LEN(Customers!B133)&lt;&gt;LEN(TRIM(Customers!B133))</f>
        <v/>
      </c>
    </row>
    <row r="134" ht="15" customHeight="1" s="56">
      <c r="A134" s="55">
        <f>Orders!A134</f>
        <v/>
      </c>
      <c r="B134" s="103">
        <f>Orders!B134</f>
        <v/>
      </c>
      <c r="C134" s="55">
        <f>Orders!C134</f>
        <v/>
      </c>
      <c r="D134" s="55">
        <f>Orders!D134</f>
        <v/>
      </c>
      <c r="E134" s="55">
        <f>Orders!E134</f>
        <v/>
      </c>
      <c r="F134" s="55">
        <f>Orders!F134</f>
        <v/>
      </c>
      <c r="G134" s="55">
        <f>Orders!G134</f>
        <v/>
      </c>
      <c r="H134" s="55">
        <f>Orders!H134</f>
        <v/>
      </c>
      <c r="I134" s="55">
        <f>Orders!I134</f>
        <v/>
      </c>
      <c r="J134" s="55">
        <f>Orders!J134</f>
        <v/>
      </c>
      <c r="K134" s="55">
        <f>Orders!K134</f>
        <v/>
      </c>
      <c r="L134" s="55">
        <f>VLOOKUP(D134,Products!$A$2:$F$61,3,FALSE())</f>
        <v/>
      </c>
      <c r="M134" s="55">
        <f>VLOOKUP(C134,Customers!$A$2:$F$301,5,FALSE())</f>
        <v/>
      </c>
      <c r="N134" s="55">
        <f>VLOOKUP(E134,Sales_Reps!$A$2:$E$31,3,FALSE())</f>
        <v/>
      </c>
      <c r="O134" s="55">
        <f>VLOOKUP(D134,Products!$A$2:$F$61,4,FALSE())</f>
        <v/>
      </c>
      <c r="P134" s="55">
        <f>VLOOKUP(C134,Customers!$A$2:$F$301,3,FALSE())</f>
        <v/>
      </c>
      <c r="Q134" s="55">
        <f>UPPER(TRIM(K134))</f>
        <v/>
      </c>
      <c r="R134" s="55">
        <f>(G134-O134)/G134</f>
        <v/>
      </c>
      <c r="S134" s="55">
        <f>VLOOKUP(D134,Products!$A$2:$F$61,6,FALSE())</f>
        <v/>
      </c>
      <c r="U134" s="55">
        <f>TRIM(Customers!B134)</f>
        <v/>
      </c>
      <c r="V134" s="55">
        <f>UPPER(TRIM(Customers!D134))</f>
        <v/>
      </c>
      <c r="W134" s="55">
        <f>LEN(Customers!B134)&lt;&gt;LEN(TRIM(Customers!B134))</f>
        <v/>
      </c>
    </row>
    <row r="135" ht="15" customHeight="1" s="56">
      <c r="A135" s="55">
        <f>Orders!A135</f>
        <v/>
      </c>
      <c r="B135" s="103">
        <f>Orders!B135</f>
        <v/>
      </c>
      <c r="C135" s="55">
        <f>Orders!C135</f>
        <v/>
      </c>
      <c r="D135" s="55">
        <f>Orders!D135</f>
        <v/>
      </c>
      <c r="E135" s="55">
        <f>Orders!E135</f>
        <v/>
      </c>
      <c r="F135" s="55">
        <f>Orders!F135</f>
        <v/>
      </c>
      <c r="G135" s="55">
        <f>Orders!G135</f>
        <v/>
      </c>
      <c r="H135" s="55">
        <f>Orders!H135</f>
        <v/>
      </c>
      <c r="I135" s="55">
        <f>Orders!I135</f>
        <v/>
      </c>
      <c r="J135" s="55">
        <f>Orders!J135</f>
        <v/>
      </c>
      <c r="K135" s="55">
        <f>Orders!K135</f>
        <v/>
      </c>
      <c r="L135" s="55">
        <f>VLOOKUP(D135,Products!$A$2:$F$61,3,FALSE())</f>
        <v/>
      </c>
      <c r="M135" s="55">
        <f>VLOOKUP(C135,Customers!$A$2:$F$301,5,FALSE())</f>
        <v/>
      </c>
      <c r="N135" s="55">
        <f>VLOOKUP(E135,Sales_Reps!$A$2:$E$31,3,FALSE())</f>
        <v/>
      </c>
      <c r="O135" s="55">
        <f>VLOOKUP(D135,Products!$A$2:$F$61,4,FALSE())</f>
        <v/>
      </c>
      <c r="P135" s="55">
        <f>VLOOKUP(C135,Customers!$A$2:$F$301,3,FALSE())</f>
        <v/>
      </c>
      <c r="Q135" s="55">
        <f>UPPER(TRIM(K135))</f>
        <v/>
      </c>
      <c r="R135" s="55">
        <f>(G135-O135)/G135</f>
        <v/>
      </c>
      <c r="S135" s="55">
        <f>VLOOKUP(D135,Products!$A$2:$F$61,6,FALSE())</f>
        <v/>
      </c>
      <c r="U135" s="55">
        <f>TRIM(Customers!B135)</f>
        <v/>
      </c>
      <c r="V135" s="55">
        <f>UPPER(TRIM(Customers!D135))</f>
        <v/>
      </c>
      <c r="W135" s="55">
        <f>LEN(Customers!B135)&lt;&gt;LEN(TRIM(Customers!B135))</f>
        <v/>
      </c>
    </row>
    <row r="136" ht="15" customHeight="1" s="56">
      <c r="A136" s="55">
        <f>Orders!A136</f>
        <v/>
      </c>
      <c r="B136" s="103">
        <f>Orders!B136</f>
        <v/>
      </c>
      <c r="C136" s="55">
        <f>Orders!C136</f>
        <v/>
      </c>
      <c r="D136" s="55">
        <f>Orders!D136</f>
        <v/>
      </c>
      <c r="E136" s="55">
        <f>Orders!E136</f>
        <v/>
      </c>
      <c r="F136" s="55">
        <f>Orders!F136</f>
        <v/>
      </c>
      <c r="G136" s="55">
        <f>Orders!G136</f>
        <v/>
      </c>
      <c r="H136" s="55">
        <f>Orders!H136</f>
        <v/>
      </c>
      <c r="I136" s="55">
        <f>Orders!I136</f>
        <v/>
      </c>
      <c r="J136" s="55">
        <f>Orders!J136</f>
        <v/>
      </c>
      <c r="K136" s="55">
        <f>Orders!K136</f>
        <v/>
      </c>
      <c r="L136" s="55">
        <f>VLOOKUP(D136,Products!$A$2:$F$61,3,FALSE())</f>
        <v/>
      </c>
      <c r="M136" s="55">
        <f>VLOOKUP(C136,Customers!$A$2:$F$301,5,FALSE())</f>
        <v/>
      </c>
      <c r="N136" s="55">
        <f>VLOOKUP(E136,Sales_Reps!$A$2:$E$31,3,FALSE())</f>
        <v/>
      </c>
      <c r="O136" s="55">
        <f>VLOOKUP(D136,Products!$A$2:$F$61,4,FALSE())</f>
        <v/>
      </c>
      <c r="P136" s="55">
        <f>VLOOKUP(C136,Customers!$A$2:$F$301,3,FALSE())</f>
        <v/>
      </c>
      <c r="Q136" s="55">
        <f>UPPER(TRIM(K136))</f>
        <v/>
      </c>
      <c r="R136" s="55">
        <f>(G136-O136)/G136</f>
        <v/>
      </c>
      <c r="S136" s="55">
        <f>VLOOKUP(D136,Products!$A$2:$F$61,6,FALSE())</f>
        <v/>
      </c>
      <c r="U136" s="55">
        <f>TRIM(Customers!B136)</f>
        <v/>
      </c>
      <c r="V136" s="55">
        <f>UPPER(TRIM(Customers!D136))</f>
        <v/>
      </c>
      <c r="W136" s="55">
        <f>LEN(Customers!B136)&lt;&gt;LEN(TRIM(Customers!B136))</f>
        <v/>
      </c>
    </row>
    <row r="137" ht="15" customHeight="1" s="56">
      <c r="A137" s="55">
        <f>Orders!A137</f>
        <v/>
      </c>
      <c r="B137" s="103">
        <f>Orders!B137</f>
        <v/>
      </c>
      <c r="C137" s="55">
        <f>Orders!C137</f>
        <v/>
      </c>
      <c r="D137" s="55">
        <f>Orders!D137</f>
        <v/>
      </c>
      <c r="E137" s="55">
        <f>Orders!E137</f>
        <v/>
      </c>
      <c r="F137" s="55">
        <f>Orders!F137</f>
        <v/>
      </c>
      <c r="G137" s="55">
        <f>Orders!G137</f>
        <v/>
      </c>
      <c r="H137" s="55">
        <f>Orders!H137</f>
        <v/>
      </c>
      <c r="I137" s="55">
        <f>Orders!I137</f>
        <v/>
      </c>
      <c r="J137" s="55">
        <f>Orders!J137</f>
        <v/>
      </c>
      <c r="K137" s="55">
        <f>Orders!K137</f>
        <v/>
      </c>
      <c r="L137" s="55">
        <f>VLOOKUP(D137,Products!$A$2:$F$61,3,FALSE())</f>
        <v/>
      </c>
      <c r="M137" s="55">
        <f>VLOOKUP(C137,Customers!$A$2:$F$301,5,FALSE())</f>
        <v/>
      </c>
      <c r="N137" s="55">
        <f>VLOOKUP(E137,Sales_Reps!$A$2:$E$31,3,FALSE())</f>
        <v/>
      </c>
      <c r="O137" s="55">
        <f>VLOOKUP(D137,Products!$A$2:$F$61,4,FALSE())</f>
        <v/>
      </c>
      <c r="P137" s="55">
        <f>VLOOKUP(C137,Customers!$A$2:$F$301,3,FALSE())</f>
        <v/>
      </c>
      <c r="Q137" s="55">
        <f>UPPER(TRIM(K137))</f>
        <v/>
      </c>
      <c r="R137" s="55">
        <f>(G137-O137)/G137</f>
        <v/>
      </c>
      <c r="S137" s="55">
        <f>VLOOKUP(D137,Products!$A$2:$F$61,6,FALSE())</f>
        <v/>
      </c>
      <c r="U137" s="55">
        <f>TRIM(Customers!B137)</f>
        <v/>
      </c>
      <c r="V137" s="55">
        <f>UPPER(TRIM(Customers!D137))</f>
        <v/>
      </c>
      <c r="W137" s="55">
        <f>LEN(Customers!B137)&lt;&gt;LEN(TRIM(Customers!B137))</f>
        <v/>
      </c>
    </row>
    <row r="138" ht="15" customHeight="1" s="56">
      <c r="A138" s="55">
        <f>Orders!A138</f>
        <v/>
      </c>
      <c r="B138" s="103">
        <f>Orders!B138</f>
        <v/>
      </c>
      <c r="C138" s="55">
        <f>Orders!C138</f>
        <v/>
      </c>
      <c r="D138" s="55">
        <f>Orders!D138</f>
        <v/>
      </c>
      <c r="E138" s="55">
        <f>Orders!E138</f>
        <v/>
      </c>
      <c r="F138" s="55">
        <f>Orders!F138</f>
        <v/>
      </c>
      <c r="G138" s="55">
        <f>Orders!G138</f>
        <v/>
      </c>
      <c r="H138" s="55">
        <f>Orders!H138</f>
        <v/>
      </c>
      <c r="I138" s="55">
        <f>Orders!I138</f>
        <v/>
      </c>
      <c r="J138" s="55">
        <f>Orders!J138</f>
        <v/>
      </c>
      <c r="K138" s="55">
        <f>Orders!K138</f>
        <v/>
      </c>
      <c r="L138" s="55">
        <f>VLOOKUP(D138,Products!$A$2:$F$61,3,FALSE())</f>
        <v/>
      </c>
      <c r="M138" s="55">
        <f>VLOOKUP(C138,Customers!$A$2:$F$301,5,FALSE())</f>
        <v/>
      </c>
      <c r="N138" s="55">
        <f>VLOOKUP(E138,Sales_Reps!$A$2:$E$31,3,FALSE())</f>
        <v/>
      </c>
      <c r="O138" s="55">
        <f>VLOOKUP(D138,Products!$A$2:$F$61,4,FALSE())</f>
        <v/>
      </c>
      <c r="P138" s="55">
        <f>VLOOKUP(C138,Customers!$A$2:$F$301,3,FALSE())</f>
        <v/>
      </c>
      <c r="Q138" s="55">
        <f>UPPER(TRIM(K138))</f>
        <v/>
      </c>
      <c r="R138" s="55">
        <f>(G138-O138)/G138</f>
        <v/>
      </c>
      <c r="S138" s="55">
        <f>VLOOKUP(D138,Products!$A$2:$F$61,6,FALSE())</f>
        <v/>
      </c>
      <c r="U138" s="55">
        <f>TRIM(Customers!B138)</f>
        <v/>
      </c>
      <c r="V138" s="55">
        <f>UPPER(TRIM(Customers!D138))</f>
        <v/>
      </c>
      <c r="W138" s="55">
        <f>LEN(Customers!B138)&lt;&gt;LEN(TRIM(Customers!B138))</f>
        <v/>
      </c>
    </row>
    <row r="139" ht="15" customHeight="1" s="56">
      <c r="A139" s="55">
        <f>Orders!A139</f>
        <v/>
      </c>
      <c r="B139" s="103">
        <f>Orders!B139</f>
        <v/>
      </c>
      <c r="C139" s="55">
        <f>Orders!C139</f>
        <v/>
      </c>
      <c r="D139" s="55">
        <f>Orders!D139</f>
        <v/>
      </c>
      <c r="E139" s="55">
        <f>Orders!E139</f>
        <v/>
      </c>
      <c r="F139" s="55">
        <f>Orders!F139</f>
        <v/>
      </c>
      <c r="G139" s="55">
        <f>Orders!G139</f>
        <v/>
      </c>
      <c r="H139" s="55">
        <f>Orders!H139</f>
        <v/>
      </c>
      <c r="I139" s="55">
        <f>Orders!I139</f>
        <v/>
      </c>
      <c r="J139" s="55">
        <f>Orders!J139</f>
        <v/>
      </c>
      <c r="K139" s="55">
        <f>Orders!K139</f>
        <v/>
      </c>
      <c r="L139" s="55">
        <f>VLOOKUP(D139,Products!$A$2:$F$61,3,FALSE())</f>
        <v/>
      </c>
      <c r="M139" s="55">
        <f>VLOOKUP(C139,Customers!$A$2:$F$301,5,FALSE())</f>
        <v/>
      </c>
      <c r="N139" s="55">
        <f>VLOOKUP(E139,Sales_Reps!$A$2:$E$31,3,FALSE())</f>
        <v/>
      </c>
      <c r="O139" s="55">
        <f>VLOOKUP(D139,Products!$A$2:$F$61,4,FALSE())</f>
        <v/>
      </c>
      <c r="P139" s="55">
        <f>VLOOKUP(C139,Customers!$A$2:$F$301,3,FALSE())</f>
        <v/>
      </c>
      <c r="Q139" s="55">
        <f>UPPER(TRIM(K139))</f>
        <v/>
      </c>
      <c r="R139" s="55">
        <f>(G139-O139)/G139</f>
        <v/>
      </c>
      <c r="S139" s="55">
        <f>VLOOKUP(D139,Products!$A$2:$F$61,6,FALSE())</f>
        <v/>
      </c>
      <c r="U139" s="55">
        <f>TRIM(Customers!B139)</f>
        <v/>
      </c>
      <c r="V139" s="55">
        <f>UPPER(TRIM(Customers!D139))</f>
        <v/>
      </c>
      <c r="W139" s="55">
        <f>LEN(Customers!B139)&lt;&gt;LEN(TRIM(Customers!B139))</f>
        <v/>
      </c>
    </row>
    <row r="140" ht="15" customHeight="1" s="56">
      <c r="A140" s="55">
        <f>Orders!A140</f>
        <v/>
      </c>
      <c r="B140" s="103">
        <f>Orders!B140</f>
        <v/>
      </c>
      <c r="C140" s="55">
        <f>Orders!C140</f>
        <v/>
      </c>
      <c r="D140" s="55">
        <f>Orders!D140</f>
        <v/>
      </c>
      <c r="E140" s="55">
        <f>Orders!E140</f>
        <v/>
      </c>
      <c r="F140" s="55">
        <f>Orders!F140</f>
        <v/>
      </c>
      <c r="G140" s="55">
        <f>Orders!G140</f>
        <v/>
      </c>
      <c r="H140" s="55">
        <f>Orders!H140</f>
        <v/>
      </c>
      <c r="I140" s="55">
        <f>Orders!I140</f>
        <v/>
      </c>
      <c r="J140" s="55">
        <f>Orders!J140</f>
        <v/>
      </c>
      <c r="K140" s="55">
        <f>Orders!K140</f>
        <v/>
      </c>
      <c r="L140" s="55">
        <f>VLOOKUP(D140,Products!$A$2:$F$61,3,FALSE())</f>
        <v/>
      </c>
      <c r="M140" s="55">
        <f>VLOOKUP(C140,Customers!$A$2:$F$301,5,FALSE())</f>
        <v/>
      </c>
      <c r="N140" s="55">
        <f>VLOOKUP(E140,Sales_Reps!$A$2:$E$31,3,FALSE())</f>
        <v/>
      </c>
      <c r="O140" s="55">
        <f>VLOOKUP(D140,Products!$A$2:$F$61,4,FALSE())</f>
        <v/>
      </c>
      <c r="P140" s="55">
        <f>VLOOKUP(C140,Customers!$A$2:$F$301,3,FALSE())</f>
        <v/>
      </c>
      <c r="Q140" s="55">
        <f>UPPER(TRIM(K140))</f>
        <v/>
      </c>
      <c r="R140" s="55">
        <f>(G140-O140)/G140</f>
        <v/>
      </c>
      <c r="S140" s="55">
        <f>VLOOKUP(D140,Products!$A$2:$F$61,6,FALSE())</f>
        <v/>
      </c>
      <c r="U140" s="55">
        <f>TRIM(Customers!B140)</f>
        <v/>
      </c>
      <c r="V140" s="55">
        <f>UPPER(TRIM(Customers!D140))</f>
        <v/>
      </c>
      <c r="W140" s="55">
        <f>LEN(Customers!B140)&lt;&gt;LEN(TRIM(Customers!B140))</f>
        <v/>
      </c>
    </row>
    <row r="141" ht="15" customHeight="1" s="56">
      <c r="A141" s="55">
        <f>Orders!A141</f>
        <v/>
      </c>
      <c r="B141" s="103">
        <f>Orders!B141</f>
        <v/>
      </c>
      <c r="C141" s="55">
        <f>Orders!C141</f>
        <v/>
      </c>
      <c r="D141" s="55">
        <f>Orders!D141</f>
        <v/>
      </c>
      <c r="E141" s="55">
        <f>Orders!E141</f>
        <v/>
      </c>
      <c r="F141" s="55">
        <f>Orders!F141</f>
        <v/>
      </c>
      <c r="G141" s="55">
        <f>Orders!G141</f>
        <v/>
      </c>
      <c r="H141" s="55">
        <f>Orders!H141</f>
        <v/>
      </c>
      <c r="I141" s="55">
        <f>Orders!I141</f>
        <v/>
      </c>
      <c r="J141" s="55">
        <f>Orders!J141</f>
        <v/>
      </c>
      <c r="K141" s="55">
        <f>Orders!K141</f>
        <v/>
      </c>
      <c r="L141" s="55">
        <f>VLOOKUP(D141,Products!$A$2:$F$61,3,FALSE())</f>
        <v/>
      </c>
      <c r="M141" s="55">
        <f>VLOOKUP(C141,Customers!$A$2:$F$301,5,FALSE())</f>
        <v/>
      </c>
      <c r="N141" s="55">
        <f>VLOOKUP(E141,Sales_Reps!$A$2:$E$31,3,FALSE())</f>
        <v/>
      </c>
      <c r="O141" s="55">
        <f>VLOOKUP(D141,Products!$A$2:$F$61,4,FALSE())</f>
        <v/>
      </c>
      <c r="P141" s="55">
        <f>VLOOKUP(C141,Customers!$A$2:$F$301,3,FALSE())</f>
        <v/>
      </c>
      <c r="Q141" s="55">
        <f>UPPER(TRIM(K141))</f>
        <v/>
      </c>
      <c r="R141" s="55">
        <f>(G141-O141)/G141</f>
        <v/>
      </c>
      <c r="S141" s="55">
        <f>VLOOKUP(D141,Products!$A$2:$F$61,6,FALSE())</f>
        <v/>
      </c>
      <c r="U141" s="55">
        <f>TRIM(Customers!B141)</f>
        <v/>
      </c>
      <c r="V141" s="55">
        <f>UPPER(TRIM(Customers!D141))</f>
        <v/>
      </c>
      <c r="W141" s="55">
        <f>LEN(Customers!B141)&lt;&gt;LEN(TRIM(Customers!B141))</f>
        <v/>
      </c>
    </row>
    <row r="142" ht="15" customHeight="1" s="56">
      <c r="A142" s="55">
        <f>Orders!A142</f>
        <v/>
      </c>
      <c r="B142" s="103">
        <f>Orders!B142</f>
        <v/>
      </c>
      <c r="C142" s="55">
        <f>Orders!C142</f>
        <v/>
      </c>
      <c r="D142" s="55">
        <f>Orders!D142</f>
        <v/>
      </c>
      <c r="E142" s="55">
        <f>Orders!E142</f>
        <v/>
      </c>
      <c r="F142" s="55">
        <f>Orders!F142</f>
        <v/>
      </c>
      <c r="G142" s="55">
        <f>Orders!G142</f>
        <v/>
      </c>
      <c r="H142" s="55">
        <f>Orders!H142</f>
        <v/>
      </c>
      <c r="I142" s="55">
        <f>Orders!I142</f>
        <v/>
      </c>
      <c r="J142" s="55">
        <f>Orders!J142</f>
        <v/>
      </c>
      <c r="K142" s="55">
        <f>Orders!K142</f>
        <v/>
      </c>
      <c r="L142" s="55">
        <f>VLOOKUP(D142,Products!$A$2:$F$61,3,FALSE())</f>
        <v/>
      </c>
      <c r="M142" s="55">
        <f>VLOOKUP(C142,Customers!$A$2:$F$301,5,FALSE())</f>
        <v/>
      </c>
      <c r="N142" s="55">
        <f>VLOOKUP(E142,Sales_Reps!$A$2:$E$31,3,FALSE())</f>
        <v/>
      </c>
      <c r="O142" s="55">
        <f>VLOOKUP(D142,Products!$A$2:$F$61,4,FALSE())</f>
        <v/>
      </c>
      <c r="P142" s="55">
        <f>VLOOKUP(C142,Customers!$A$2:$F$301,3,FALSE())</f>
        <v/>
      </c>
      <c r="Q142" s="55">
        <f>UPPER(TRIM(K142))</f>
        <v/>
      </c>
      <c r="R142" s="55">
        <f>(G142-O142)/G142</f>
        <v/>
      </c>
      <c r="S142" s="55">
        <f>VLOOKUP(D142,Products!$A$2:$F$61,6,FALSE())</f>
        <v/>
      </c>
      <c r="U142" s="55">
        <f>TRIM(Customers!B142)</f>
        <v/>
      </c>
      <c r="V142" s="55">
        <f>UPPER(TRIM(Customers!D142))</f>
        <v/>
      </c>
      <c r="W142" s="55">
        <f>LEN(Customers!B142)&lt;&gt;LEN(TRIM(Customers!B142))</f>
        <v/>
      </c>
    </row>
    <row r="143" ht="15" customHeight="1" s="56">
      <c r="A143" s="55">
        <f>Orders!A143</f>
        <v/>
      </c>
      <c r="B143" s="103">
        <f>Orders!B143</f>
        <v/>
      </c>
      <c r="C143" s="55">
        <f>Orders!C143</f>
        <v/>
      </c>
      <c r="D143" s="55">
        <f>Orders!D143</f>
        <v/>
      </c>
      <c r="E143" s="55">
        <f>Orders!E143</f>
        <v/>
      </c>
      <c r="F143" s="55">
        <f>Orders!F143</f>
        <v/>
      </c>
      <c r="G143" s="55">
        <f>Orders!G143</f>
        <v/>
      </c>
      <c r="H143" s="55">
        <f>Orders!H143</f>
        <v/>
      </c>
      <c r="I143" s="55">
        <f>Orders!I143</f>
        <v/>
      </c>
      <c r="J143" s="55">
        <f>Orders!J143</f>
        <v/>
      </c>
      <c r="K143" s="55">
        <f>Orders!K143</f>
        <v/>
      </c>
      <c r="L143" s="55">
        <f>VLOOKUP(D143,Products!$A$2:$F$61,3,FALSE())</f>
        <v/>
      </c>
      <c r="M143" s="55">
        <f>VLOOKUP(C143,Customers!$A$2:$F$301,5,FALSE())</f>
        <v/>
      </c>
      <c r="N143" s="55">
        <f>VLOOKUP(E143,Sales_Reps!$A$2:$E$31,3,FALSE())</f>
        <v/>
      </c>
      <c r="O143" s="55">
        <f>VLOOKUP(D143,Products!$A$2:$F$61,4,FALSE())</f>
        <v/>
      </c>
      <c r="P143" s="55">
        <f>VLOOKUP(C143,Customers!$A$2:$F$301,3,FALSE())</f>
        <v/>
      </c>
      <c r="Q143" s="55">
        <f>UPPER(TRIM(K143))</f>
        <v/>
      </c>
      <c r="R143" s="55">
        <f>(G143-O143)/G143</f>
        <v/>
      </c>
      <c r="S143" s="55">
        <f>VLOOKUP(D143,Products!$A$2:$F$61,6,FALSE())</f>
        <v/>
      </c>
      <c r="U143" s="55">
        <f>TRIM(Customers!B143)</f>
        <v/>
      </c>
      <c r="V143" s="55">
        <f>UPPER(TRIM(Customers!D143))</f>
        <v/>
      </c>
      <c r="W143" s="55">
        <f>LEN(Customers!B143)&lt;&gt;LEN(TRIM(Customers!B143))</f>
        <v/>
      </c>
    </row>
    <row r="144" ht="15" customHeight="1" s="56">
      <c r="A144" s="55">
        <f>Orders!A144</f>
        <v/>
      </c>
      <c r="B144" s="103">
        <f>Orders!B144</f>
        <v/>
      </c>
      <c r="C144" s="55">
        <f>Orders!C144</f>
        <v/>
      </c>
      <c r="D144" s="55">
        <f>Orders!D144</f>
        <v/>
      </c>
      <c r="E144" s="55">
        <f>Orders!E144</f>
        <v/>
      </c>
      <c r="F144" s="55">
        <f>Orders!F144</f>
        <v/>
      </c>
      <c r="G144" s="55">
        <f>Orders!G144</f>
        <v/>
      </c>
      <c r="H144" s="55">
        <f>Orders!H144</f>
        <v/>
      </c>
      <c r="I144" s="55">
        <f>Orders!I144</f>
        <v/>
      </c>
      <c r="J144" s="55">
        <f>Orders!J144</f>
        <v/>
      </c>
      <c r="K144" s="55">
        <f>Orders!K144</f>
        <v/>
      </c>
      <c r="L144" s="55">
        <f>VLOOKUP(D144,Products!$A$2:$F$61,3,FALSE())</f>
        <v/>
      </c>
      <c r="M144" s="55">
        <f>VLOOKUP(C144,Customers!$A$2:$F$301,5,FALSE())</f>
        <v/>
      </c>
      <c r="N144" s="55">
        <f>VLOOKUP(E144,Sales_Reps!$A$2:$E$31,3,FALSE())</f>
        <v/>
      </c>
      <c r="O144" s="55">
        <f>VLOOKUP(D144,Products!$A$2:$F$61,4,FALSE())</f>
        <v/>
      </c>
      <c r="P144" s="55">
        <f>VLOOKUP(C144,Customers!$A$2:$F$301,3,FALSE())</f>
        <v/>
      </c>
      <c r="Q144" s="55">
        <f>UPPER(TRIM(K144))</f>
        <v/>
      </c>
      <c r="R144" s="55">
        <f>(G144-O144)/G144</f>
        <v/>
      </c>
      <c r="S144" s="55">
        <f>VLOOKUP(D144,Products!$A$2:$F$61,6,FALSE())</f>
        <v/>
      </c>
      <c r="U144" s="55">
        <f>TRIM(Customers!B144)</f>
        <v/>
      </c>
      <c r="V144" s="55">
        <f>UPPER(TRIM(Customers!D144))</f>
        <v/>
      </c>
      <c r="W144" s="55">
        <f>LEN(Customers!B144)&lt;&gt;LEN(TRIM(Customers!B144))</f>
        <v/>
      </c>
    </row>
    <row r="145" ht="15" customHeight="1" s="56">
      <c r="A145" s="55">
        <f>Orders!A145</f>
        <v/>
      </c>
      <c r="B145" s="103">
        <f>Orders!B145</f>
        <v/>
      </c>
      <c r="C145" s="55">
        <f>Orders!C145</f>
        <v/>
      </c>
      <c r="D145" s="55">
        <f>Orders!D145</f>
        <v/>
      </c>
      <c r="E145" s="55">
        <f>Orders!E145</f>
        <v/>
      </c>
      <c r="F145" s="55">
        <f>Orders!F145</f>
        <v/>
      </c>
      <c r="G145" s="55">
        <f>Orders!G145</f>
        <v/>
      </c>
      <c r="H145" s="55">
        <f>Orders!H145</f>
        <v/>
      </c>
      <c r="I145" s="55">
        <f>Orders!I145</f>
        <v/>
      </c>
      <c r="J145" s="55">
        <f>Orders!J145</f>
        <v/>
      </c>
      <c r="K145" s="55">
        <f>Orders!K145</f>
        <v/>
      </c>
      <c r="L145" s="55">
        <f>VLOOKUP(D145,Products!$A$2:$F$61,3,FALSE())</f>
        <v/>
      </c>
      <c r="M145" s="55">
        <f>VLOOKUP(C145,Customers!$A$2:$F$301,5,FALSE())</f>
        <v/>
      </c>
      <c r="N145" s="55">
        <f>VLOOKUP(E145,Sales_Reps!$A$2:$E$31,3,FALSE())</f>
        <v/>
      </c>
      <c r="O145" s="55">
        <f>VLOOKUP(D145,Products!$A$2:$F$61,4,FALSE())</f>
        <v/>
      </c>
      <c r="P145" s="55">
        <f>VLOOKUP(C145,Customers!$A$2:$F$301,3,FALSE())</f>
        <v/>
      </c>
      <c r="Q145" s="55">
        <f>UPPER(TRIM(K145))</f>
        <v/>
      </c>
      <c r="R145" s="55">
        <f>(G145-O145)/G145</f>
        <v/>
      </c>
      <c r="S145" s="55">
        <f>VLOOKUP(D145,Products!$A$2:$F$61,6,FALSE())</f>
        <v/>
      </c>
      <c r="U145" s="55">
        <f>TRIM(Customers!B145)</f>
        <v/>
      </c>
      <c r="V145" s="55">
        <f>UPPER(TRIM(Customers!D145))</f>
        <v/>
      </c>
      <c r="W145" s="55">
        <f>LEN(Customers!B145)&lt;&gt;LEN(TRIM(Customers!B145))</f>
        <v/>
      </c>
    </row>
    <row r="146" ht="15" customHeight="1" s="56">
      <c r="A146" s="55">
        <f>Orders!A146</f>
        <v/>
      </c>
      <c r="B146" s="103">
        <f>Orders!B146</f>
        <v/>
      </c>
      <c r="C146" s="55">
        <f>Orders!C146</f>
        <v/>
      </c>
      <c r="D146" s="55">
        <f>Orders!D146</f>
        <v/>
      </c>
      <c r="E146" s="55">
        <f>Orders!E146</f>
        <v/>
      </c>
      <c r="F146" s="55">
        <f>Orders!F146</f>
        <v/>
      </c>
      <c r="G146" s="55">
        <f>Orders!G146</f>
        <v/>
      </c>
      <c r="H146" s="55">
        <f>Orders!H146</f>
        <v/>
      </c>
      <c r="I146" s="55">
        <f>Orders!I146</f>
        <v/>
      </c>
      <c r="J146" s="55">
        <f>Orders!J146</f>
        <v/>
      </c>
      <c r="K146" s="55">
        <f>Orders!K146</f>
        <v/>
      </c>
      <c r="L146" s="55">
        <f>VLOOKUP(D146,Products!$A$2:$F$61,3,FALSE())</f>
        <v/>
      </c>
      <c r="M146" s="55">
        <f>VLOOKUP(C146,Customers!$A$2:$F$301,5,FALSE())</f>
        <v/>
      </c>
      <c r="N146" s="55">
        <f>VLOOKUP(E146,Sales_Reps!$A$2:$E$31,3,FALSE())</f>
        <v/>
      </c>
      <c r="O146" s="55">
        <f>VLOOKUP(D146,Products!$A$2:$F$61,4,FALSE())</f>
        <v/>
      </c>
      <c r="P146" s="55">
        <f>VLOOKUP(C146,Customers!$A$2:$F$301,3,FALSE())</f>
        <v/>
      </c>
      <c r="Q146" s="55">
        <f>UPPER(TRIM(K146))</f>
        <v/>
      </c>
      <c r="R146" s="55">
        <f>(G146-O146)/G146</f>
        <v/>
      </c>
      <c r="S146" s="55">
        <f>VLOOKUP(D146,Products!$A$2:$F$61,6,FALSE())</f>
        <v/>
      </c>
      <c r="U146" s="55">
        <f>TRIM(Customers!B146)</f>
        <v/>
      </c>
      <c r="V146" s="55">
        <f>UPPER(TRIM(Customers!D146))</f>
        <v/>
      </c>
      <c r="W146" s="55">
        <f>LEN(Customers!B146)&lt;&gt;LEN(TRIM(Customers!B146))</f>
        <v/>
      </c>
    </row>
    <row r="147" ht="15" customHeight="1" s="56">
      <c r="A147" s="55">
        <f>Orders!A147</f>
        <v/>
      </c>
      <c r="B147" s="103">
        <f>Orders!B147</f>
        <v/>
      </c>
      <c r="C147" s="55">
        <f>Orders!C147</f>
        <v/>
      </c>
      <c r="D147" s="55">
        <f>Orders!D147</f>
        <v/>
      </c>
      <c r="E147" s="55">
        <f>Orders!E147</f>
        <v/>
      </c>
      <c r="F147" s="55">
        <f>Orders!F147</f>
        <v/>
      </c>
      <c r="G147" s="55">
        <f>Orders!G147</f>
        <v/>
      </c>
      <c r="H147" s="55">
        <f>Orders!H147</f>
        <v/>
      </c>
      <c r="I147" s="55">
        <f>Orders!I147</f>
        <v/>
      </c>
      <c r="J147" s="55">
        <f>Orders!J147</f>
        <v/>
      </c>
      <c r="K147" s="55">
        <f>Orders!K147</f>
        <v/>
      </c>
      <c r="L147" s="55">
        <f>VLOOKUP(D147,Products!$A$2:$F$61,3,FALSE())</f>
        <v/>
      </c>
      <c r="M147" s="55">
        <f>VLOOKUP(C147,Customers!$A$2:$F$301,5,FALSE())</f>
        <v/>
      </c>
      <c r="N147" s="55">
        <f>VLOOKUP(E147,Sales_Reps!$A$2:$E$31,3,FALSE())</f>
        <v/>
      </c>
      <c r="O147" s="55">
        <f>VLOOKUP(D147,Products!$A$2:$F$61,4,FALSE())</f>
        <v/>
      </c>
      <c r="P147" s="55">
        <f>VLOOKUP(C147,Customers!$A$2:$F$301,3,FALSE())</f>
        <v/>
      </c>
      <c r="Q147" s="55">
        <f>UPPER(TRIM(K147))</f>
        <v/>
      </c>
      <c r="R147" s="55">
        <f>(G147-O147)/G147</f>
        <v/>
      </c>
      <c r="S147" s="55">
        <f>VLOOKUP(D147,Products!$A$2:$F$61,6,FALSE())</f>
        <v/>
      </c>
      <c r="U147" s="55">
        <f>TRIM(Customers!B147)</f>
        <v/>
      </c>
      <c r="V147" s="55">
        <f>UPPER(TRIM(Customers!D147))</f>
        <v/>
      </c>
      <c r="W147" s="55">
        <f>LEN(Customers!B147)&lt;&gt;LEN(TRIM(Customers!B147))</f>
        <v/>
      </c>
    </row>
    <row r="148" ht="15" customHeight="1" s="56">
      <c r="A148" s="55">
        <f>Orders!A148</f>
        <v/>
      </c>
      <c r="B148" s="103">
        <f>Orders!B148</f>
        <v/>
      </c>
      <c r="C148" s="55">
        <f>Orders!C148</f>
        <v/>
      </c>
      <c r="D148" s="55">
        <f>Orders!D148</f>
        <v/>
      </c>
      <c r="E148" s="55">
        <f>Orders!E148</f>
        <v/>
      </c>
      <c r="F148" s="55">
        <f>Orders!F148</f>
        <v/>
      </c>
      <c r="G148" s="55">
        <f>Orders!G148</f>
        <v/>
      </c>
      <c r="H148" s="55">
        <f>Orders!H148</f>
        <v/>
      </c>
      <c r="I148" s="55">
        <f>Orders!I148</f>
        <v/>
      </c>
      <c r="J148" s="55">
        <f>Orders!J148</f>
        <v/>
      </c>
      <c r="K148" s="55">
        <f>Orders!K148</f>
        <v/>
      </c>
      <c r="L148" s="55">
        <f>VLOOKUP(D148,Products!$A$2:$F$61,3,FALSE())</f>
        <v/>
      </c>
      <c r="M148" s="55">
        <f>VLOOKUP(C148,Customers!$A$2:$F$301,5,FALSE())</f>
        <v/>
      </c>
      <c r="N148" s="55">
        <f>VLOOKUP(E148,Sales_Reps!$A$2:$E$31,3,FALSE())</f>
        <v/>
      </c>
      <c r="O148" s="55">
        <f>VLOOKUP(D148,Products!$A$2:$F$61,4,FALSE())</f>
        <v/>
      </c>
      <c r="P148" s="55">
        <f>VLOOKUP(C148,Customers!$A$2:$F$301,3,FALSE())</f>
        <v/>
      </c>
      <c r="Q148" s="55">
        <f>UPPER(TRIM(K148))</f>
        <v/>
      </c>
      <c r="R148" s="55">
        <f>(G148-O148)/G148</f>
        <v/>
      </c>
      <c r="S148" s="55">
        <f>VLOOKUP(D148,Products!$A$2:$F$61,6,FALSE())</f>
        <v/>
      </c>
      <c r="U148" s="55">
        <f>TRIM(Customers!B148)</f>
        <v/>
      </c>
      <c r="V148" s="55">
        <f>UPPER(TRIM(Customers!D148))</f>
        <v/>
      </c>
      <c r="W148" s="55">
        <f>LEN(Customers!B148)&lt;&gt;LEN(TRIM(Customers!B148))</f>
        <v/>
      </c>
    </row>
    <row r="149" ht="15" customHeight="1" s="56">
      <c r="A149" s="55">
        <f>Orders!A149</f>
        <v/>
      </c>
      <c r="B149" s="103">
        <f>Orders!B149</f>
        <v/>
      </c>
      <c r="C149" s="55">
        <f>Orders!C149</f>
        <v/>
      </c>
      <c r="D149" s="55">
        <f>Orders!D149</f>
        <v/>
      </c>
      <c r="E149" s="55">
        <f>Orders!E149</f>
        <v/>
      </c>
      <c r="F149" s="55">
        <f>Orders!F149</f>
        <v/>
      </c>
      <c r="G149" s="55">
        <f>Orders!G149</f>
        <v/>
      </c>
      <c r="H149" s="55">
        <f>Orders!H149</f>
        <v/>
      </c>
      <c r="I149" s="55">
        <f>Orders!I149</f>
        <v/>
      </c>
      <c r="J149" s="55">
        <f>Orders!J149</f>
        <v/>
      </c>
      <c r="K149" s="55">
        <f>Orders!K149</f>
        <v/>
      </c>
      <c r="L149" s="55">
        <f>VLOOKUP(D149,Products!$A$2:$F$61,3,FALSE())</f>
        <v/>
      </c>
      <c r="M149" s="55">
        <f>VLOOKUP(C149,Customers!$A$2:$F$301,5,FALSE())</f>
        <v/>
      </c>
      <c r="N149" s="55">
        <f>VLOOKUP(E149,Sales_Reps!$A$2:$E$31,3,FALSE())</f>
        <v/>
      </c>
      <c r="O149" s="55">
        <f>VLOOKUP(D149,Products!$A$2:$F$61,4,FALSE())</f>
        <v/>
      </c>
      <c r="P149" s="55">
        <f>VLOOKUP(C149,Customers!$A$2:$F$301,3,FALSE())</f>
        <v/>
      </c>
      <c r="Q149" s="55">
        <f>UPPER(TRIM(K149))</f>
        <v/>
      </c>
      <c r="R149" s="55">
        <f>(G149-O149)/G149</f>
        <v/>
      </c>
      <c r="S149" s="55">
        <f>VLOOKUP(D149,Products!$A$2:$F$61,6,FALSE())</f>
        <v/>
      </c>
      <c r="U149" s="55">
        <f>TRIM(Customers!B149)</f>
        <v/>
      </c>
      <c r="V149" s="55">
        <f>UPPER(TRIM(Customers!D149))</f>
        <v/>
      </c>
      <c r="W149" s="55">
        <f>LEN(Customers!B149)&lt;&gt;LEN(TRIM(Customers!B149))</f>
        <v/>
      </c>
    </row>
    <row r="150" ht="15" customHeight="1" s="56">
      <c r="A150" s="55">
        <f>Orders!A150</f>
        <v/>
      </c>
      <c r="B150" s="103">
        <f>Orders!B150</f>
        <v/>
      </c>
      <c r="C150" s="55">
        <f>Orders!C150</f>
        <v/>
      </c>
      <c r="D150" s="55">
        <f>Orders!D150</f>
        <v/>
      </c>
      <c r="E150" s="55">
        <f>Orders!E150</f>
        <v/>
      </c>
      <c r="F150" s="55">
        <f>Orders!F150</f>
        <v/>
      </c>
      <c r="G150" s="55">
        <f>Orders!G150</f>
        <v/>
      </c>
      <c r="H150" s="55">
        <f>Orders!H150</f>
        <v/>
      </c>
      <c r="I150" s="55">
        <f>Orders!I150</f>
        <v/>
      </c>
      <c r="J150" s="55">
        <f>Orders!J150</f>
        <v/>
      </c>
      <c r="K150" s="55">
        <f>Orders!K150</f>
        <v/>
      </c>
      <c r="L150" s="55">
        <f>VLOOKUP(D150,Products!$A$2:$F$61,3,FALSE())</f>
        <v/>
      </c>
      <c r="M150" s="55">
        <f>VLOOKUP(C150,Customers!$A$2:$F$301,5,FALSE())</f>
        <v/>
      </c>
      <c r="N150" s="55">
        <f>VLOOKUP(E150,Sales_Reps!$A$2:$E$31,3,FALSE())</f>
        <v/>
      </c>
      <c r="O150" s="55">
        <f>VLOOKUP(D150,Products!$A$2:$F$61,4,FALSE())</f>
        <v/>
      </c>
      <c r="P150" s="55">
        <f>VLOOKUP(C150,Customers!$A$2:$F$301,3,FALSE())</f>
        <v/>
      </c>
      <c r="Q150" s="55">
        <f>UPPER(TRIM(K150))</f>
        <v/>
      </c>
      <c r="R150" s="55">
        <f>(G150-O150)/G150</f>
        <v/>
      </c>
      <c r="S150" s="55">
        <f>VLOOKUP(D150,Products!$A$2:$F$61,6,FALSE())</f>
        <v/>
      </c>
      <c r="U150" s="55">
        <f>TRIM(Customers!B150)</f>
        <v/>
      </c>
      <c r="V150" s="55">
        <f>UPPER(TRIM(Customers!D150))</f>
        <v/>
      </c>
      <c r="W150" s="55">
        <f>LEN(Customers!B150)&lt;&gt;LEN(TRIM(Customers!B150))</f>
        <v/>
      </c>
    </row>
    <row r="151" ht="15" customHeight="1" s="56">
      <c r="A151" s="55">
        <f>Orders!A151</f>
        <v/>
      </c>
      <c r="B151" s="103">
        <f>Orders!B151</f>
        <v/>
      </c>
      <c r="C151" s="55">
        <f>Orders!C151</f>
        <v/>
      </c>
      <c r="D151" s="55">
        <f>Orders!D151</f>
        <v/>
      </c>
      <c r="E151" s="55">
        <f>Orders!E151</f>
        <v/>
      </c>
      <c r="F151" s="55">
        <f>Orders!F151</f>
        <v/>
      </c>
      <c r="G151" s="55">
        <f>Orders!G151</f>
        <v/>
      </c>
      <c r="H151" s="55">
        <f>Orders!H151</f>
        <v/>
      </c>
      <c r="I151" s="55">
        <f>Orders!I151</f>
        <v/>
      </c>
      <c r="J151" s="55">
        <f>Orders!J151</f>
        <v/>
      </c>
      <c r="K151" s="55">
        <f>Orders!K151</f>
        <v/>
      </c>
      <c r="L151" s="55">
        <f>VLOOKUP(D151,Products!$A$2:$F$61,3,FALSE())</f>
        <v/>
      </c>
      <c r="M151" s="55">
        <f>VLOOKUP(C151,Customers!$A$2:$F$301,5,FALSE())</f>
        <v/>
      </c>
      <c r="N151" s="55">
        <f>VLOOKUP(E151,Sales_Reps!$A$2:$E$31,3,FALSE())</f>
        <v/>
      </c>
      <c r="O151" s="55">
        <f>VLOOKUP(D151,Products!$A$2:$F$61,4,FALSE())</f>
        <v/>
      </c>
      <c r="P151" s="55">
        <f>VLOOKUP(C151,Customers!$A$2:$F$301,3,FALSE())</f>
        <v/>
      </c>
      <c r="Q151" s="55">
        <f>UPPER(TRIM(K151))</f>
        <v/>
      </c>
      <c r="R151" s="55">
        <f>(G151-O151)/G151</f>
        <v/>
      </c>
      <c r="S151" s="55">
        <f>VLOOKUP(D151,Products!$A$2:$F$61,6,FALSE())</f>
        <v/>
      </c>
      <c r="U151" s="55">
        <f>TRIM(Customers!B151)</f>
        <v/>
      </c>
      <c r="V151" s="55">
        <f>UPPER(TRIM(Customers!D151))</f>
        <v/>
      </c>
      <c r="W151" s="55">
        <f>LEN(Customers!B151)&lt;&gt;LEN(TRIM(Customers!B151))</f>
        <v/>
      </c>
    </row>
    <row r="152" ht="15" customHeight="1" s="56">
      <c r="A152" s="55">
        <f>Orders!A152</f>
        <v/>
      </c>
      <c r="B152" s="103">
        <f>Orders!B152</f>
        <v/>
      </c>
      <c r="C152" s="55">
        <f>Orders!C152</f>
        <v/>
      </c>
      <c r="D152" s="55">
        <f>Orders!D152</f>
        <v/>
      </c>
      <c r="E152" s="55">
        <f>Orders!E152</f>
        <v/>
      </c>
      <c r="F152" s="55">
        <f>Orders!F152</f>
        <v/>
      </c>
      <c r="G152" s="55">
        <f>Orders!G152</f>
        <v/>
      </c>
      <c r="H152" s="55">
        <f>Orders!H152</f>
        <v/>
      </c>
      <c r="I152" s="55">
        <f>Orders!I152</f>
        <v/>
      </c>
      <c r="J152" s="55">
        <f>Orders!J152</f>
        <v/>
      </c>
      <c r="K152" s="55">
        <f>Orders!K152</f>
        <v/>
      </c>
      <c r="L152" s="55">
        <f>VLOOKUP(D152,Products!$A$2:$F$61,3,FALSE())</f>
        <v/>
      </c>
      <c r="M152" s="55">
        <f>VLOOKUP(C152,Customers!$A$2:$F$301,5,FALSE())</f>
        <v/>
      </c>
      <c r="N152" s="55">
        <f>VLOOKUP(E152,Sales_Reps!$A$2:$E$31,3,FALSE())</f>
        <v/>
      </c>
      <c r="O152" s="55">
        <f>VLOOKUP(D152,Products!$A$2:$F$61,4,FALSE())</f>
        <v/>
      </c>
      <c r="P152" s="55">
        <f>VLOOKUP(C152,Customers!$A$2:$F$301,3,FALSE())</f>
        <v/>
      </c>
      <c r="Q152" s="55">
        <f>UPPER(TRIM(K152))</f>
        <v/>
      </c>
      <c r="R152" s="55">
        <f>(G152-O152)/G152</f>
        <v/>
      </c>
      <c r="S152" s="55">
        <f>VLOOKUP(D152,Products!$A$2:$F$61,6,FALSE())</f>
        <v/>
      </c>
      <c r="U152" s="55">
        <f>TRIM(Customers!B152)</f>
        <v/>
      </c>
      <c r="V152" s="55">
        <f>UPPER(TRIM(Customers!D152))</f>
        <v/>
      </c>
      <c r="W152" s="55">
        <f>LEN(Customers!B152)&lt;&gt;LEN(TRIM(Customers!B152))</f>
        <v/>
      </c>
    </row>
    <row r="153" ht="15" customHeight="1" s="56">
      <c r="A153" s="55">
        <f>Orders!A153</f>
        <v/>
      </c>
      <c r="B153" s="103">
        <f>Orders!B153</f>
        <v/>
      </c>
      <c r="C153" s="55">
        <f>Orders!C153</f>
        <v/>
      </c>
      <c r="D153" s="55">
        <f>Orders!D153</f>
        <v/>
      </c>
      <c r="E153" s="55">
        <f>Orders!E153</f>
        <v/>
      </c>
      <c r="F153" s="55">
        <f>Orders!F153</f>
        <v/>
      </c>
      <c r="G153" s="55">
        <f>Orders!G153</f>
        <v/>
      </c>
      <c r="H153" s="55">
        <f>Orders!H153</f>
        <v/>
      </c>
      <c r="I153" s="55">
        <f>Orders!I153</f>
        <v/>
      </c>
      <c r="J153" s="55">
        <f>Orders!J153</f>
        <v/>
      </c>
      <c r="K153" s="55">
        <f>Orders!K153</f>
        <v/>
      </c>
      <c r="L153" s="55">
        <f>VLOOKUP(D153,Products!$A$2:$F$61,3,FALSE())</f>
        <v/>
      </c>
      <c r="M153" s="55">
        <f>VLOOKUP(C153,Customers!$A$2:$F$301,5,FALSE())</f>
        <v/>
      </c>
      <c r="N153" s="55">
        <f>VLOOKUP(E153,Sales_Reps!$A$2:$E$31,3,FALSE())</f>
        <v/>
      </c>
      <c r="O153" s="55">
        <f>VLOOKUP(D153,Products!$A$2:$F$61,4,FALSE())</f>
        <v/>
      </c>
      <c r="P153" s="55">
        <f>VLOOKUP(C153,Customers!$A$2:$F$301,3,FALSE())</f>
        <v/>
      </c>
      <c r="Q153" s="55">
        <f>UPPER(TRIM(K153))</f>
        <v/>
      </c>
      <c r="R153" s="55">
        <f>(G153-O153)/G153</f>
        <v/>
      </c>
      <c r="S153" s="55">
        <f>VLOOKUP(D153,Products!$A$2:$F$61,6,FALSE())</f>
        <v/>
      </c>
      <c r="U153" s="55">
        <f>TRIM(Customers!B153)</f>
        <v/>
      </c>
      <c r="V153" s="55">
        <f>UPPER(TRIM(Customers!D153))</f>
        <v/>
      </c>
      <c r="W153" s="55">
        <f>LEN(Customers!B153)&lt;&gt;LEN(TRIM(Customers!B153))</f>
        <v/>
      </c>
    </row>
    <row r="154" ht="15" customHeight="1" s="56">
      <c r="A154" s="55">
        <f>Orders!A154</f>
        <v/>
      </c>
      <c r="B154" s="103">
        <f>Orders!B154</f>
        <v/>
      </c>
      <c r="C154" s="55">
        <f>Orders!C154</f>
        <v/>
      </c>
      <c r="D154" s="55">
        <f>Orders!D154</f>
        <v/>
      </c>
      <c r="E154" s="55">
        <f>Orders!E154</f>
        <v/>
      </c>
      <c r="F154" s="55">
        <f>Orders!F154</f>
        <v/>
      </c>
      <c r="G154" s="55">
        <f>Orders!G154</f>
        <v/>
      </c>
      <c r="H154" s="55">
        <f>Orders!H154</f>
        <v/>
      </c>
      <c r="I154" s="55">
        <f>Orders!I154</f>
        <v/>
      </c>
      <c r="J154" s="55">
        <f>Orders!J154</f>
        <v/>
      </c>
      <c r="K154" s="55">
        <f>Orders!K154</f>
        <v/>
      </c>
      <c r="L154" s="55">
        <f>VLOOKUP(D154,Products!$A$2:$F$61,3,FALSE())</f>
        <v/>
      </c>
      <c r="M154" s="55">
        <f>VLOOKUP(C154,Customers!$A$2:$F$301,5,FALSE())</f>
        <v/>
      </c>
      <c r="N154" s="55">
        <f>VLOOKUP(E154,Sales_Reps!$A$2:$E$31,3,FALSE())</f>
        <v/>
      </c>
      <c r="O154" s="55">
        <f>VLOOKUP(D154,Products!$A$2:$F$61,4,FALSE())</f>
        <v/>
      </c>
      <c r="P154" s="55">
        <f>VLOOKUP(C154,Customers!$A$2:$F$301,3,FALSE())</f>
        <v/>
      </c>
      <c r="Q154" s="55">
        <f>UPPER(TRIM(K154))</f>
        <v/>
      </c>
      <c r="R154" s="55">
        <f>(G154-O154)/G154</f>
        <v/>
      </c>
      <c r="S154" s="55">
        <f>VLOOKUP(D154,Products!$A$2:$F$61,6,FALSE())</f>
        <v/>
      </c>
      <c r="U154" s="55">
        <f>TRIM(Customers!B154)</f>
        <v/>
      </c>
      <c r="V154" s="55">
        <f>UPPER(TRIM(Customers!D154))</f>
        <v/>
      </c>
      <c r="W154" s="55">
        <f>LEN(Customers!B154)&lt;&gt;LEN(TRIM(Customers!B154))</f>
        <v/>
      </c>
    </row>
    <row r="155" ht="15" customHeight="1" s="56">
      <c r="A155" s="55">
        <f>Orders!A155</f>
        <v/>
      </c>
      <c r="B155" s="103">
        <f>Orders!B155</f>
        <v/>
      </c>
      <c r="C155" s="55">
        <f>Orders!C155</f>
        <v/>
      </c>
      <c r="D155" s="55">
        <f>Orders!D155</f>
        <v/>
      </c>
      <c r="E155" s="55">
        <f>Orders!E155</f>
        <v/>
      </c>
      <c r="F155" s="55">
        <f>Orders!F155</f>
        <v/>
      </c>
      <c r="G155" s="55">
        <f>Orders!G155</f>
        <v/>
      </c>
      <c r="H155" s="55">
        <f>Orders!H155</f>
        <v/>
      </c>
      <c r="I155" s="55">
        <f>Orders!I155</f>
        <v/>
      </c>
      <c r="J155" s="55">
        <f>Orders!J155</f>
        <v/>
      </c>
      <c r="K155" s="55">
        <f>Orders!K155</f>
        <v/>
      </c>
      <c r="L155" s="55">
        <f>VLOOKUP(D155,Products!$A$2:$F$61,3,FALSE())</f>
        <v/>
      </c>
      <c r="M155" s="55">
        <f>VLOOKUP(C155,Customers!$A$2:$F$301,5,FALSE())</f>
        <v/>
      </c>
      <c r="N155" s="55">
        <f>VLOOKUP(E155,Sales_Reps!$A$2:$E$31,3,FALSE())</f>
        <v/>
      </c>
      <c r="O155" s="55">
        <f>VLOOKUP(D155,Products!$A$2:$F$61,4,FALSE())</f>
        <v/>
      </c>
      <c r="P155" s="55">
        <f>VLOOKUP(C155,Customers!$A$2:$F$301,3,FALSE())</f>
        <v/>
      </c>
      <c r="Q155" s="55">
        <f>UPPER(TRIM(K155))</f>
        <v/>
      </c>
      <c r="R155" s="55">
        <f>(G155-O155)/G155</f>
        <v/>
      </c>
      <c r="S155" s="55">
        <f>VLOOKUP(D155,Products!$A$2:$F$61,6,FALSE())</f>
        <v/>
      </c>
      <c r="U155" s="55">
        <f>TRIM(Customers!B155)</f>
        <v/>
      </c>
      <c r="V155" s="55">
        <f>UPPER(TRIM(Customers!D155))</f>
        <v/>
      </c>
      <c r="W155" s="55">
        <f>LEN(Customers!B155)&lt;&gt;LEN(TRIM(Customers!B155))</f>
        <v/>
      </c>
    </row>
    <row r="156" ht="15" customHeight="1" s="56">
      <c r="A156" s="55">
        <f>Orders!A156</f>
        <v/>
      </c>
      <c r="B156" s="103">
        <f>Orders!B156</f>
        <v/>
      </c>
      <c r="C156" s="55">
        <f>Orders!C156</f>
        <v/>
      </c>
      <c r="D156" s="55">
        <f>Orders!D156</f>
        <v/>
      </c>
      <c r="E156" s="55">
        <f>Orders!E156</f>
        <v/>
      </c>
      <c r="F156" s="55">
        <f>Orders!F156</f>
        <v/>
      </c>
      <c r="G156" s="55">
        <f>Orders!G156</f>
        <v/>
      </c>
      <c r="H156" s="55">
        <f>Orders!H156</f>
        <v/>
      </c>
      <c r="I156" s="55">
        <f>Orders!I156</f>
        <v/>
      </c>
      <c r="J156" s="55">
        <f>Orders!J156</f>
        <v/>
      </c>
      <c r="K156" s="55">
        <f>Orders!K156</f>
        <v/>
      </c>
      <c r="L156" s="55">
        <f>VLOOKUP(D156,Products!$A$2:$F$61,3,FALSE())</f>
        <v/>
      </c>
      <c r="M156" s="55">
        <f>VLOOKUP(C156,Customers!$A$2:$F$301,5,FALSE())</f>
        <v/>
      </c>
      <c r="N156" s="55">
        <f>VLOOKUP(E156,Sales_Reps!$A$2:$E$31,3,FALSE())</f>
        <v/>
      </c>
      <c r="O156" s="55">
        <f>VLOOKUP(D156,Products!$A$2:$F$61,4,FALSE())</f>
        <v/>
      </c>
      <c r="P156" s="55">
        <f>VLOOKUP(C156,Customers!$A$2:$F$301,3,FALSE())</f>
        <v/>
      </c>
      <c r="Q156" s="55">
        <f>UPPER(TRIM(K156))</f>
        <v/>
      </c>
      <c r="R156" s="55">
        <f>(G156-O156)/G156</f>
        <v/>
      </c>
      <c r="S156" s="55">
        <f>VLOOKUP(D156,Products!$A$2:$F$61,6,FALSE())</f>
        <v/>
      </c>
      <c r="U156" s="55">
        <f>TRIM(Customers!B156)</f>
        <v/>
      </c>
      <c r="V156" s="55">
        <f>UPPER(TRIM(Customers!D156))</f>
        <v/>
      </c>
      <c r="W156" s="55">
        <f>LEN(Customers!B156)&lt;&gt;LEN(TRIM(Customers!B156))</f>
        <v/>
      </c>
    </row>
    <row r="157" ht="15" customHeight="1" s="56">
      <c r="A157" s="55">
        <f>Orders!A157</f>
        <v/>
      </c>
      <c r="B157" s="103">
        <f>Orders!B157</f>
        <v/>
      </c>
      <c r="C157" s="55">
        <f>Orders!C157</f>
        <v/>
      </c>
      <c r="D157" s="55">
        <f>Orders!D157</f>
        <v/>
      </c>
      <c r="E157" s="55">
        <f>Orders!E157</f>
        <v/>
      </c>
      <c r="F157" s="55">
        <f>Orders!F157</f>
        <v/>
      </c>
      <c r="G157" s="55">
        <f>Orders!G157</f>
        <v/>
      </c>
      <c r="H157" s="55">
        <f>Orders!H157</f>
        <v/>
      </c>
      <c r="I157" s="55">
        <f>Orders!I157</f>
        <v/>
      </c>
      <c r="J157" s="55">
        <f>Orders!J157</f>
        <v/>
      </c>
      <c r="K157" s="55">
        <f>Orders!K157</f>
        <v/>
      </c>
      <c r="L157" s="55">
        <f>VLOOKUP(D157,Products!$A$2:$F$61,3,FALSE())</f>
        <v/>
      </c>
      <c r="M157" s="55">
        <f>VLOOKUP(C157,Customers!$A$2:$F$301,5,FALSE())</f>
        <v/>
      </c>
      <c r="N157" s="55">
        <f>VLOOKUP(E157,Sales_Reps!$A$2:$E$31,3,FALSE())</f>
        <v/>
      </c>
      <c r="O157" s="55">
        <f>VLOOKUP(D157,Products!$A$2:$F$61,4,FALSE())</f>
        <v/>
      </c>
      <c r="P157" s="55">
        <f>VLOOKUP(C157,Customers!$A$2:$F$301,3,FALSE())</f>
        <v/>
      </c>
      <c r="Q157" s="55">
        <f>UPPER(TRIM(K157))</f>
        <v/>
      </c>
      <c r="R157" s="55">
        <f>(G157-O157)/G157</f>
        <v/>
      </c>
      <c r="S157" s="55">
        <f>VLOOKUP(D157,Products!$A$2:$F$61,6,FALSE())</f>
        <v/>
      </c>
      <c r="U157" s="55">
        <f>TRIM(Customers!B157)</f>
        <v/>
      </c>
      <c r="V157" s="55">
        <f>UPPER(TRIM(Customers!D157))</f>
        <v/>
      </c>
      <c r="W157" s="55">
        <f>LEN(Customers!B157)&lt;&gt;LEN(TRIM(Customers!B157))</f>
        <v/>
      </c>
    </row>
    <row r="158" ht="15" customHeight="1" s="56">
      <c r="A158" s="55">
        <f>Orders!A158</f>
        <v/>
      </c>
      <c r="B158" s="103">
        <f>Orders!B158</f>
        <v/>
      </c>
      <c r="C158" s="55">
        <f>Orders!C158</f>
        <v/>
      </c>
      <c r="D158" s="55">
        <f>Orders!D158</f>
        <v/>
      </c>
      <c r="E158" s="55">
        <f>Orders!E158</f>
        <v/>
      </c>
      <c r="F158" s="55">
        <f>Orders!F158</f>
        <v/>
      </c>
      <c r="G158" s="55">
        <f>Orders!G158</f>
        <v/>
      </c>
      <c r="H158" s="55">
        <f>Orders!H158</f>
        <v/>
      </c>
      <c r="I158" s="55">
        <f>Orders!I158</f>
        <v/>
      </c>
      <c r="J158" s="55">
        <f>Orders!J158</f>
        <v/>
      </c>
      <c r="K158" s="55">
        <f>Orders!K158</f>
        <v/>
      </c>
      <c r="L158" s="55">
        <f>VLOOKUP(D158,Products!$A$2:$F$61,3,FALSE())</f>
        <v/>
      </c>
      <c r="M158" s="55">
        <f>VLOOKUP(C158,Customers!$A$2:$F$301,5,FALSE())</f>
        <v/>
      </c>
      <c r="N158" s="55">
        <f>VLOOKUP(E158,Sales_Reps!$A$2:$E$31,3,FALSE())</f>
        <v/>
      </c>
      <c r="O158" s="55">
        <f>VLOOKUP(D158,Products!$A$2:$F$61,4,FALSE())</f>
        <v/>
      </c>
      <c r="P158" s="55">
        <f>VLOOKUP(C158,Customers!$A$2:$F$301,3,FALSE())</f>
        <v/>
      </c>
      <c r="Q158" s="55">
        <f>UPPER(TRIM(K158))</f>
        <v/>
      </c>
      <c r="R158" s="55">
        <f>(G158-O158)/G158</f>
        <v/>
      </c>
      <c r="S158" s="55">
        <f>VLOOKUP(D158,Products!$A$2:$F$61,6,FALSE())</f>
        <v/>
      </c>
      <c r="U158" s="55">
        <f>TRIM(Customers!B158)</f>
        <v/>
      </c>
      <c r="V158" s="55">
        <f>UPPER(TRIM(Customers!D158))</f>
        <v/>
      </c>
      <c r="W158" s="55">
        <f>LEN(Customers!B158)&lt;&gt;LEN(TRIM(Customers!B158))</f>
        <v/>
      </c>
    </row>
    <row r="159" ht="15" customHeight="1" s="56">
      <c r="A159" s="55">
        <f>Orders!A159</f>
        <v/>
      </c>
      <c r="B159" s="103">
        <f>Orders!B159</f>
        <v/>
      </c>
      <c r="C159" s="55">
        <f>Orders!C159</f>
        <v/>
      </c>
      <c r="D159" s="55">
        <f>Orders!D159</f>
        <v/>
      </c>
      <c r="E159" s="55">
        <f>Orders!E159</f>
        <v/>
      </c>
      <c r="F159" s="55">
        <f>Orders!F159</f>
        <v/>
      </c>
      <c r="G159" s="55">
        <f>Orders!G159</f>
        <v/>
      </c>
      <c r="H159" s="55">
        <f>Orders!H159</f>
        <v/>
      </c>
      <c r="I159" s="55">
        <f>Orders!I159</f>
        <v/>
      </c>
      <c r="J159" s="55">
        <f>Orders!J159</f>
        <v/>
      </c>
      <c r="K159" s="55">
        <f>Orders!K159</f>
        <v/>
      </c>
      <c r="L159" s="55">
        <f>VLOOKUP(D159,Products!$A$2:$F$61,3,FALSE())</f>
        <v/>
      </c>
      <c r="M159" s="55">
        <f>VLOOKUP(C159,Customers!$A$2:$F$301,5,FALSE())</f>
        <v/>
      </c>
      <c r="N159" s="55">
        <f>VLOOKUP(E159,Sales_Reps!$A$2:$E$31,3,FALSE())</f>
        <v/>
      </c>
      <c r="O159" s="55">
        <f>VLOOKUP(D159,Products!$A$2:$F$61,4,FALSE())</f>
        <v/>
      </c>
      <c r="P159" s="55">
        <f>VLOOKUP(C159,Customers!$A$2:$F$301,3,FALSE())</f>
        <v/>
      </c>
      <c r="Q159" s="55">
        <f>UPPER(TRIM(K159))</f>
        <v/>
      </c>
      <c r="R159" s="55">
        <f>(G159-O159)/G159</f>
        <v/>
      </c>
      <c r="S159" s="55">
        <f>VLOOKUP(D159,Products!$A$2:$F$61,6,FALSE())</f>
        <v/>
      </c>
      <c r="U159" s="55">
        <f>TRIM(Customers!B159)</f>
        <v/>
      </c>
      <c r="V159" s="55">
        <f>UPPER(TRIM(Customers!D159))</f>
        <v/>
      </c>
      <c r="W159" s="55">
        <f>LEN(Customers!B159)&lt;&gt;LEN(TRIM(Customers!B159))</f>
        <v/>
      </c>
    </row>
    <row r="160" ht="15" customHeight="1" s="56">
      <c r="A160" s="55">
        <f>Orders!A160</f>
        <v/>
      </c>
      <c r="B160" s="103">
        <f>Orders!B160</f>
        <v/>
      </c>
      <c r="C160" s="55">
        <f>Orders!C160</f>
        <v/>
      </c>
      <c r="D160" s="55">
        <f>Orders!D160</f>
        <v/>
      </c>
      <c r="E160" s="55">
        <f>Orders!E160</f>
        <v/>
      </c>
      <c r="F160" s="55">
        <f>Orders!F160</f>
        <v/>
      </c>
      <c r="G160" s="55">
        <f>Orders!G160</f>
        <v/>
      </c>
      <c r="H160" s="55">
        <f>Orders!H160</f>
        <v/>
      </c>
      <c r="I160" s="55">
        <f>Orders!I160</f>
        <v/>
      </c>
      <c r="J160" s="55">
        <f>Orders!J160</f>
        <v/>
      </c>
      <c r="K160" s="55">
        <f>Orders!K160</f>
        <v/>
      </c>
      <c r="L160" s="55">
        <f>VLOOKUP(D160,Products!$A$2:$F$61,3,FALSE())</f>
        <v/>
      </c>
      <c r="M160" s="55">
        <f>VLOOKUP(C160,Customers!$A$2:$F$301,5,FALSE())</f>
        <v/>
      </c>
      <c r="N160" s="55">
        <f>VLOOKUP(E160,Sales_Reps!$A$2:$E$31,3,FALSE())</f>
        <v/>
      </c>
      <c r="O160" s="55">
        <f>VLOOKUP(D160,Products!$A$2:$F$61,4,FALSE())</f>
        <v/>
      </c>
      <c r="P160" s="55">
        <f>VLOOKUP(C160,Customers!$A$2:$F$301,3,FALSE())</f>
        <v/>
      </c>
      <c r="Q160" s="55">
        <f>UPPER(TRIM(K160))</f>
        <v/>
      </c>
      <c r="R160" s="55">
        <f>(G160-O160)/G160</f>
        <v/>
      </c>
      <c r="S160" s="55">
        <f>VLOOKUP(D160,Products!$A$2:$F$61,6,FALSE())</f>
        <v/>
      </c>
      <c r="U160" s="55">
        <f>TRIM(Customers!B160)</f>
        <v/>
      </c>
      <c r="V160" s="55">
        <f>UPPER(TRIM(Customers!D160))</f>
        <v/>
      </c>
      <c r="W160" s="55">
        <f>LEN(Customers!B160)&lt;&gt;LEN(TRIM(Customers!B160))</f>
        <v/>
      </c>
    </row>
    <row r="161" ht="15" customHeight="1" s="56">
      <c r="A161" s="55">
        <f>Orders!A161</f>
        <v/>
      </c>
      <c r="B161" s="103">
        <f>Orders!B161</f>
        <v/>
      </c>
      <c r="C161" s="55">
        <f>Orders!C161</f>
        <v/>
      </c>
      <c r="D161" s="55">
        <f>Orders!D161</f>
        <v/>
      </c>
      <c r="E161" s="55">
        <f>Orders!E161</f>
        <v/>
      </c>
      <c r="F161" s="55">
        <f>Orders!F161</f>
        <v/>
      </c>
      <c r="G161" s="55">
        <f>Orders!G161</f>
        <v/>
      </c>
      <c r="H161" s="55">
        <f>Orders!H161</f>
        <v/>
      </c>
      <c r="I161" s="55">
        <f>Orders!I161</f>
        <v/>
      </c>
      <c r="J161" s="55">
        <f>Orders!J161</f>
        <v/>
      </c>
      <c r="K161" s="55">
        <f>Orders!K161</f>
        <v/>
      </c>
      <c r="L161" s="55">
        <f>VLOOKUP(D161,Products!$A$2:$F$61,3,FALSE())</f>
        <v/>
      </c>
      <c r="M161" s="55">
        <f>VLOOKUP(C161,Customers!$A$2:$F$301,5,FALSE())</f>
        <v/>
      </c>
      <c r="N161" s="55">
        <f>VLOOKUP(E161,Sales_Reps!$A$2:$E$31,3,FALSE())</f>
        <v/>
      </c>
      <c r="O161" s="55">
        <f>VLOOKUP(D161,Products!$A$2:$F$61,4,FALSE())</f>
        <v/>
      </c>
      <c r="P161" s="55">
        <f>VLOOKUP(C161,Customers!$A$2:$F$301,3,FALSE())</f>
        <v/>
      </c>
      <c r="Q161" s="55">
        <f>UPPER(TRIM(K161))</f>
        <v/>
      </c>
      <c r="R161" s="55">
        <f>(G161-O161)/G161</f>
        <v/>
      </c>
      <c r="S161" s="55">
        <f>VLOOKUP(D161,Products!$A$2:$F$61,6,FALSE())</f>
        <v/>
      </c>
      <c r="U161" s="55">
        <f>TRIM(Customers!B161)</f>
        <v/>
      </c>
      <c r="V161" s="55">
        <f>UPPER(TRIM(Customers!D161))</f>
        <v/>
      </c>
      <c r="W161" s="55">
        <f>LEN(Customers!B161)&lt;&gt;LEN(TRIM(Customers!B161))</f>
        <v/>
      </c>
    </row>
    <row r="162" ht="15" customHeight="1" s="56">
      <c r="A162" s="55">
        <f>Orders!A162</f>
        <v/>
      </c>
      <c r="B162" s="103">
        <f>Orders!B162</f>
        <v/>
      </c>
      <c r="C162" s="55">
        <f>Orders!C162</f>
        <v/>
      </c>
      <c r="D162" s="55">
        <f>Orders!D162</f>
        <v/>
      </c>
      <c r="E162" s="55">
        <f>Orders!E162</f>
        <v/>
      </c>
      <c r="F162" s="55">
        <f>Orders!F162</f>
        <v/>
      </c>
      <c r="G162" s="55">
        <f>Orders!G162</f>
        <v/>
      </c>
      <c r="H162" s="55">
        <f>Orders!H162</f>
        <v/>
      </c>
      <c r="I162" s="55">
        <f>Orders!I162</f>
        <v/>
      </c>
      <c r="J162" s="55">
        <f>Orders!J162</f>
        <v/>
      </c>
      <c r="K162" s="55">
        <f>Orders!K162</f>
        <v/>
      </c>
      <c r="L162" s="55">
        <f>VLOOKUP(D162,Products!$A$2:$F$61,3,FALSE())</f>
        <v/>
      </c>
      <c r="M162" s="55">
        <f>VLOOKUP(C162,Customers!$A$2:$F$301,5,FALSE())</f>
        <v/>
      </c>
      <c r="N162" s="55">
        <f>VLOOKUP(E162,Sales_Reps!$A$2:$E$31,3,FALSE())</f>
        <v/>
      </c>
      <c r="O162" s="55">
        <f>VLOOKUP(D162,Products!$A$2:$F$61,4,FALSE())</f>
        <v/>
      </c>
      <c r="P162" s="55">
        <f>VLOOKUP(C162,Customers!$A$2:$F$301,3,FALSE())</f>
        <v/>
      </c>
      <c r="Q162" s="55">
        <f>UPPER(TRIM(K162))</f>
        <v/>
      </c>
      <c r="R162" s="55">
        <f>(G162-O162)/G162</f>
        <v/>
      </c>
      <c r="S162" s="55">
        <f>VLOOKUP(D162,Products!$A$2:$F$61,6,FALSE())</f>
        <v/>
      </c>
      <c r="U162" s="55">
        <f>TRIM(Customers!B162)</f>
        <v/>
      </c>
      <c r="V162" s="55">
        <f>UPPER(TRIM(Customers!D162))</f>
        <v/>
      </c>
      <c r="W162" s="55">
        <f>LEN(Customers!B162)&lt;&gt;LEN(TRIM(Customers!B162))</f>
        <v/>
      </c>
    </row>
    <row r="163" ht="15" customHeight="1" s="56">
      <c r="A163" s="55">
        <f>Orders!A163</f>
        <v/>
      </c>
      <c r="B163" s="103">
        <f>Orders!B163</f>
        <v/>
      </c>
      <c r="C163" s="55">
        <f>Orders!C163</f>
        <v/>
      </c>
      <c r="D163" s="55">
        <f>Orders!D163</f>
        <v/>
      </c>
      <c r="E163" s="55">
        <f>Orders!E163</f>
        <v/>
      </c>
      <c r="F163" s="55">
        <f>Orders!F163</f>
        <v/>
      </c>
      <c r="G163" s="55">
        <f>Orders!G163</f>
        <v/>
      </c>
      <c r="H163" s="55">
        <f>Orders!H163</f>
        <v/>
      </c>
      <c r="I163" s="55">
        <f>Orders!I163</f>
        <v/>
      </c>
      <c r="J163" s="55">
        <f>Orders!J163</f>
        <v/>
      </c>
      <c r="K163" s="55">
        <f>Orders!K163</f>
        <v/>
      </c>
      <c r="L163" s="55">
        <f>VLOOKUP(D163,Products!$A$2:$F$61,3,FALSE())</f>
        <v/>
      </c>
      <c r="M163" s="55">
        <f>VLOOKUP(C163,Customers!$A$2:$F$301,5,FALSE())</f>
        <v/>
      </c>
      <c r="N163" s="55">
        <f>VLOOKUP(E163,Sales_Reps!$A$2:$E$31,3,FALSE())</f>
        <v/>
      </c>
      <c r="O163" s="55">
        <f>VLOOKUP(D163,Products!$A$2:$F$61,4,FALSE())</f>
        <v/>
      </c>
      <c r="P163" s="55">
        <f>VLOOKUP(C163,Customers!$A$2:$F$301,3,FALSE())</f>
        <v/>
      </c>
      <c r="Q163" s="55">
        <f>UPPER(TRIM(K163))</f>
        <v/>
      </c>
      <c r="R163" s="55">
        <f>(G163-O163)/G163</f>
        <v/>
      </c>
      <c r="S163" s="55">
        <f>VLOOKUP(D163,Products!$A$2:$F$61,6,FALSE())</f>
        <v/>
      </c>
      <c r="U163" s="55">
        <f>TRIM(Customers!B163)</f>
        <v/>
      </c>
      <c r="V163" s="55">
        <f>UPPER(TRIM(Customers!D163))</f>
        <v/>
      </c>
      <c r="W163" s="55">
        <f>LEN(Customers!B163)&lt;&gt;LEN(TRIM(Customers!B163))</f>
        <v/>
      </c>
    </row>
    <row r="164" ht="15" customHeight="1" s="56">
      <c r="A164" s="55">
        <f>Orders!A164</f>
        <v/>
      </c>
      <c r="B164" s="103">
        <f>Orders!B164</f>
        <v/>
      </c>
      <c r="C164" s="55">
        <f>Orders!C164</f>
        <v/>
      </c>
      <c r="D164" s="55">
        <f>Orders!D164</f>
        <v/>
      </c>
      <c r="E164" s="55">
        <f>Orders!E164</f>
        <v/>
      </c>
      <c r="F164" s="55">
        <f>Orders!F164</f>
        <v/>
      </c>
      <c r="G164" s="55">
        <f>Orders!G164</f>
        <v/>
      </c>
      <c r="H164" s="55">
        <f>Orders!H164</f>
        <v/>
      </c>
      <c r="I164" s="55">
        <f>Orders!I164</f>
        <v/>
      </c>
      <c r="J164" s="55">
        <f>Orders!J164</f>
        <v/>
      </c>
      <c r="K164" s="55">
        <f>Orders!K164</f>
        <v/>
      </c>
      <c r="L164" s="55">
        <f>VLOOKUP(D164,Products!$A$2:$F$61,3,FALSE())</f>
        <v/>
      </c>
      <c r="M164" s="55">
        <f>VLOOKUP(C164,Customers!$A$2:$F$301,5,FALSE())</f>
        <v/>
      </c>
      <c r="N164" s="55">
        <f>VLOOKUP(E164,Sales_Reps!$A$2:$E$31,3,FALSE())</f>
        <v/>
      </c>
      <c r="O164" s="55">
        <f>VLOOKUP(D164,Products!$A$2:$F$61,4,FALSE())</f>
        <v/>
      </c>
      <c r="P164" s="55">
        <f>VLOOKUP(C164,Customers!$A$2:$F$301,3,FALSE())</f>
        <v/>
      </c>
      <c r="Q164" s="55">
        <f>UPPER(TRIM(K164))</f>
        <v/>
      </c>
      <c r="R164" s="55">
        <f>(G164-O164)/G164</f>
        <v/>
      </c>
      <c r="S164" s="55">
        <f>VLOOKUP(D164,Products!$A$2:$F$61,6,FALSE())</f>
        <v/>
      </c>
      <c r="U164" s="55">
        <f>TRIM(Customers!B164)</f>
        <v/>
      </c>
      <c r="V164" s="55">
        <f>UPPER(TRIM(Customers!D164))</f>
        <v/>
      </c>
      <c r="W164" s="55">
        <f>LEN(Customers!B164)&lt;&gt;LEN(TRIM(Customers!B164))</f>
        <v/>
      </c>
    </row>
    <row r="165" ht="15" customHeight="1" s="56">
      <c r="A165" s="55">
        <f>Orders!A165</f>
        <v/>
      </c>
      <c r="B165" s="103">
        <f>Orders!B165</f>
        <v/>
      </c>
      <c r="C165" s="55">
        <f>Orders!C165</f>
        <v/>
      </c>
      <c r="D165" s="55">
        <f>Orders!D165</f>
        <v/>
      </c>
      <c r="E165" s="55">
        <f>Orders!E165</f>
        <v/>
      </c>
      <c r="F165" s="55">
        <f>Orders!F165</f>
        <v/>
      </c>
      <c r="G165" s="55">
        <f>Orders!G165</f>
        <v/>
      </c>
      <c r="H165" s="55">
        <f>Orders!H165</f>
        <v/>
      </c>
      <c r="I165" s="55">
        <f>Orders!I165</f>
        <v/>
      </c>
      <c r="J165" s="55">
        <f>Orders!J165</f>
        <v/>
      </c>
      <c r="K165" s="55">
        <f>Orders!K165</f>
        <v/>
      </c>
      <c r="L165" s="55">
        <f>VLOOKUP(D165,Products!$A$2:$F$61,3,FALSE())</f>
        <v/>
      </c>
      <c r="M165" s="55">
        <f>VLOOKUP(C165,Customers!$A$2:$F$301,5,FALSE())</f>
        <v/>
      </c>
      <c r="N165" s="55">
        <f>VLOOKUP(E165,Sales_Reps!$A$2:$E$31,3,FALSE())</f>
        <v/>
      </c>
      <c r="O165" s="55">
        <f>VLOOKUP(D165,Products!$A$2:$F$61,4,FALSE())</f>
        <v/>
      </c>
      <c r="P165" s="55">
        <f>VLOOKUP(C165,Customers!$A$2:$F$301,3,FALSE())</f>
        <v/>
      </c>
      <c r="Q165" s="55">
        <f>UPPER(TRIM(K165))</f>
        <v/>
      </c>
      <c r="R165" s="55">
        <f>(G165-O165)/G165</f>
        <v/>
      </c>
      <c r="S165" s="55">
        <f>VLOOKUP(D165,Products!$A$2:$F$61,6,FALSE())</f>
        <v/>
      </c>
      <c r="U165" s="55">
        <f>TRIM(Customers!B165)</f>
        <v/>
      </c>
      <c r="V165" s="55">
        <f>UPPER(TRIM(Customers!D165))</f>
        <v/>
      </c>
      <c r="W165" s="55">
        <f>LEN(Customers!B165)&lt;&gt;LEN(TRIM(Customers!B165))</f>
        <v/>
      </c>
    </row>
    <row r="166" ht="15" customHeight="1" s="56">
      <c r="A166" s="55">
        <f>Orders!A166</f>
        <v/>
      </c>
      <c r="B166" s="103">
        <f>Orders!B166</f>
        <v/>
      </c>
      <c r="C166" s="55">
        <f>Orders!C166</f>
        <v/>
      </c>
      <c r="D166" s="55">
        <f>Orders!D166</f>
        <v/>
      </c>
      <c r="E166" s="55">
        <f>Orders!E166</f>
        <v/>
      </c>
      <c r="F166" s="55">
        <f>Orders!F166</f>
        <v/>
      </c>
      <c r="G166" s="55">
        <f>Orders!G166</f>
        <v/>
      </c>
      <c r="H166" s="55">
        <f>Orders!H166</f>
        <v/>
      </c>
      <c r="I166" s="55">
        <f>Orders!I166</f>
        <v/>
      </c>
      <c r="J166" s="55">
        <f>Orders!J166</f>
        <v/>
      </c>
      <c r="K166" s="55">
        <f>Orders!K166</f>
        <v/>
      </c>
      <c r="L166" s="55">
        <f>VLOOKUP(D166,Products!$A$2:$F$61,3,FALSE())</f>
        <v/>
      </c>
      <c r="M166" s="55">
        <f>VLOOKUP(C166,Customers!$A$2:$F$301,5,FALSE())</f>
        <v/>
      </c>
      <c r="N166" s="55">
        <f>VLOOKUP(E166,Sales_Reps!$A$2:$E$31,3,FALSE())</f>
        <v/>
      </c>
      <c r="O166" s="55">
        <f>VLOOKUP(D166,Products!$A$2:$F$61,4,FALSE())</f>
        <v/>
      </c>
      <c r="P166" s="55">
        <f>VLOOKUP(C166,Customers!$A$2:$F$301,3,FALSE())</f>
        <v/>
      </c>
      <c r="Q166" s="55">
        <f>UPPER(TRIM(K166))</f>
        <v/>
      </c>
      <c r="R166" s="55">
        <f>(G166-O166)/G166</f>
        <v/>
      </c>
      <c r="S166" s="55">
        <f>VLOOKUP(D166,Products!$A$2:$F$61,6,FALSE())</f>
        <v/>
      </c>
      <c r="U166" s="55">
        <f>TRIM(Customers!B166)</f>
        <v/>
      </c>
      <c r="V166" s="55">
        <f>UPPER(TRIM(Customers!D166))</f>
        <v/>
      </c>
      <c r="W166" s="55">
        <f>LEN(Customers!B166)&lt;&gt;LEN(TRIM(Customers!B166))</f>
        <v/>
      </c>
    </row>
    <row r="167" ht="15" customHeight="1" s="56">
      <c r="A167" s="55">
        <f>Orders!A167</f>
        <v/>
      </c>
      <c r="B167" s="103">
        <f>Orders!B167</f>
        <v/>
      </c>
      <c r="C167" s="55">
        <f>Orders!C167</f>
        <v/>
      </c>
      <c r="D167" s="55">
        <f>Orders!D167</f>
        <v/>
      </c>
      <c r="E167" s="55">
        <f>Orders!E167</f>
        <v/>
      </c>
      <c r="F167" s="55">
        <f>Orders!F167</f>
        <v/>
      </c>
      <c r="G167" s="55">
        <f>Orders!G167</f>
        <v/>
      </c>
      <c r="H167" s="55">
        <f>Orders!H167</f>
        <v/>
      </c>
      <c r="I167" s="55">
        <f>Orders!I167</f>
        <v/>
      </c>
      <c r="J167" s="55">
        <f>Orders!J167</f>
        <v/>
      </c>
      <c r="K167" s="55">
        <f>Orders!K167</f>
        <v/>
      </c>
      <c r="L167" s="55">
        <f>VLOOKUP(D167,Products!$A$2:$F$61,3,FALSE())</f>
        <v/>
      </c>
      <c r="M167" s="55">
        <f>VLOOKUP(C167,Customers!$A$2:$F$301,5,FALSE())</f>
        <v/>
      </c>
      <c r="N167" s="55">
        <f>VLOOKUP(E167,Sales_Reps!$A$2:$E$31,3,FALSE())</f>
        <v/>
      </c>
      <c r="O167" s="55">
        <f>VLOOKUP(D167,Products!$A$2:$F$61,4,FALSE())</f>
        <v/>
      </c>
      <c r="P167" s="55">
        <f>VLOOKUP(C167,Customers!$A$2:$F$301,3,FALSE())</f>
        <v/>
      </c>
      <c r="Q167" s="55">
        <f>UPPER(TRIM(K167))</f>
        <v/>
      </c>
      <c r="R167" s="55">
        <f>(G167-O167)/G167</f>
        <v/>
      </c>
      <c r="S167" s="55">
        <f>VLOOKUP(D167,Products!$A$2:$F$61,6,FALSE())</f>
        <v/>
      </c>
      <c r="U167" s="55">
        <f>TRIM(Customers!B167)</f>
        <v/>
      </c>
      <c r="V167" s="55">
        <f>UPPER(TRIM(Customers!D167))</f>
        <v/>
      </c>
      <c r="W167" s="55">
        <f>LEN(Customers!B167)&lt;&gt;LEN(TRIM(Customers!B167))</f>
        <v/>
      </c>
    </row>
    <row r="168" ht="15" customHeight="1" s="56">
      <c r="A168" s="55">
        <f>Orders!A168</f>
        <v/>
      </c>
      <c r="B168" s="103">
        <f>Orders!B168</f>
        <v/>
      </c>
      <c r="C168" s="55">
        <f>Orders!C168</f>
        <v/>
      </c>
      <c r="D168" s="55">
        <f>Orders!D168</f>
        <v/>
      </c>
      <c r="E168" s="55">
        <f>Orders!E168</f>
        <v/>
      </c>
      <c r="F168" s="55">
        <f>Orders!F168</f>
        <v/>
      </c>
      <c r="G168" s="55">
        <f>Orders!G168</f>
        <v/>
      </c>
      <c r="H168" s="55">
        <f>Orders!H168</f>
        <v/>
      </c>
      <c r="I168" s="55">
        <f>Orders!I168</f>
        <v/>
      </c>
      <c r="J168" s="55">
        <f>Orders!J168</f>
        <v/>
      </c>
      <c r="K168" s="55">
        <f>Orders!K168</f>
        <v/>
      </c>
      <c r="L168" s="55">
        <f>VLOOKUP(D168,Products!$A$2:$F$61,3,FALSE())</f>
        <v/>
      </c>
      <c r="M168" s="55">
        <f>VLOOKUP(C168,Customers!$A$2:$F$301,5,FALSE())</f>
        <v/>
      </c>
      <c r="N168" s="55">
        <f>VLOOKUP(E168,Sales_Reps!$A$2:$E$31,3,FALSE())</f>
        <v/>
      </c>
      <c r="O168" s="55">
        <f>VLOOKUP(D168,Products!$A$2:$F$61,4,FALSE())</f>
        <v/>
      </c>
      <c r="P168" s="55">
        <f>VLOOKUP(C168,Customers!$A$2:$F$301,3,FALSE())</f>
        <v/>
      </c>
      <c r="Q168" s="55">
        <f>UPPER(TRIM(K168))</f>
        <v/>
      </c>
      <c r="R168" s="55">
        <f>(G168-O168)/G168</f>
        <v/>
      </c>
      <c r="S168" s="55">
        <f>VLOOKUP(D168,Products!$A$2:$F$61,6,FALSE())</f>
        <v/>
      </c>
      <c r="U168" s="55">
        <f>TRIM(Customers!B168)</f>
        <v/>
      </c>
      <c r="V168" s="55">
        <f>UPPER(TRIM(Customers!D168))</f>
        <v/>
      </c>
      <c r="W168" s="55">
        <f>LEN(Customers!B168)&lt;&gt;LEN(TRIM(Customers!B168))</f>
        <v/>
      </c>
    </row>
    <row r="169" ht="15" customHeight="1" s="56">
      <c r="A169" s="55">
        <f>Orders!A169</f>
        <v/>
      </c>
      <c r="B169" s="103">
        <f>Orders!B169</f>
        <v/>
      </c>
      <c r="C169" s="55">
        <f>Orders!C169</f>
        <v/>
      </c>
      <c r="D169" s="55">
        <f>Orders!D169</f>
        <v/>
      </c>
      <c r="E169" s="55">
        <f>Orders!E169</f>
        <v/>
      </c>
      <c r="F169" s="55">
        <f>Orders!F169</f>
        <v/>
      </c>
      <c r="G169" s="55">
        <f>Orders!G169</f>
        <v/>
      </c>
      <c r="H169" s="55">
        <f>Orders!H169</f>
        <v/>
      </c>
      <c r="I169" s="55">
        <f>Orders!I169</f>
        <v/>
      </c>
      <c r="J169" s="55">
        <f>Orders!J169</f>
        <v/>
      </c>
      <c r="K169" s="55">
        <f>Orders!K169</f>
        <v/>
      </c>
      <c r="L169" s="55">
        <f>VLOOKUP(D169,Products!$A$2:$F$61,3,FALSE())</f>
        <v/>
      </c>
      <c r="M169" s="55">
        <f>VLOOKUP(C169,Customers!$A$2:$F$301,5,FALSE())</f>
        <v/>
      </c>
      <c r="N169" s="55">
        <f>VLOOKUP(E169,Sales_Reps!$A$2:$E$31,3,FALSE())</f>
        <v/>
      </c>
      <c r="O169" s="55">
        <f>VLOOKUP(D169,Products!$A$2:$F$61,4,FALSE())</f>
        <v/>
      </c>
      <c r="P169" s="55">
        <f>VLOOKUP(C169,Customers!$A$2:$F$301,3,FALSE())</f>
        <v/>
      </c>
      <c r="Q169" s="55">
        <f>UPPER(TRIM(K169))</f>
        <v/>
      </c>
      <c r="R169" s="55">
        <f>(G169-O169)/G169</f>
        <v/>
      </c>
      <c r="S169" s="55">
        <f>VLOOKUP(D169,Products!$A$2:$F$61,6,FALSE())</f>
        <v/>
      </c>
      <c r="U169" s="55">
        <f>TRIM(Customers!B169)</f>
        <v/>
      </c>
      <c r="V169" s="55">
        <f>UPPER(TRIM(Customers!D169))</f>
        <v/>
      </c>
      <c r="W169" s="55">
        <f>LEN(Customers!B169)&lt;&gt;LEN(TRIM(Customers!B169))</f>
        <v/>
      </c>
    </row>
    <row r="170" ht="15" customHeight="1" s="56">
      <c r="A170" s="55">
        <f>Orders!A170</f>
        <v/>
      </c>
      <c r="B170" s="103">
        <f>Orders!B170</f>
        <v/>
      </c>
      <c r="C170" s="55">
        <f>Orders!C170</f>
        <v/>
      </c>
      <c r="D170" s="55">
        <f>Orders!D170</f>
        <v/>
      </c>
      <c r="E170" s="55">
        <f>Orders!E170</f>
        <v/>
      </c>
      <c r="F170" s="55">
        <f>Orders!F170</f>
        <v/>
      </c>
      <c r="G170" s="55">
        <f>Orders!G170</f>
        <v/>
      </c>
      <c r="H170" s="55">
        <f>Orders!H170</f>
        <v/>
      </c>
      <c r="I170" s="55">
        <f>Orders!I170</f>
        <v/>
      </c>
      <c r="J170" s="55">
        <f>Orders!J170</f>
        <v/>
      </c>
      <c r="K170" s="55">
        <f>Orders!K170</f>
        <v/>
      </c>
      <c r="L170" s="55">
        <f>VLOOKUP(D170,Products!$A$2:$F$61,3,FALSE())</f>
        <v/>
      </c>
      <c r="M170" s="55">
        <f>VLOOKUP(C170,Customers!$A$2:$F$301,5,FALSE())</f>
        <v/>
      </c>
      <c r="N170" s="55">
        <f>VLOOKUP(E170,Sales_Reps!$A$2:$E$31,3,FALSE())</f>
        <v/>
      </c>
      <c r="O170" s="55">
        <f>VLOOKUP(D170,Products!$A$2:$F$61,4,FALSE())</f>
        <v/>
      </c>
      <c r="P170" s="55">
        <f>VLOOKUP(C170,Customers!$A$2:$F$301,3,FALSE())</f>
        <v/>
      </c>
      <c r="Q170" s="55">
        <f>UPPER(TRIM(K170))</f>
        <v/>
      </c>
      <c r="R170" s="55">
        <f>(G170-O170)/G170</f>
        <v/>
      </c>
      <c r="S170" s="55">
        <f>VLOOKUP(D170,Products!$A$2:$F$61,6,FALSE())</f>
        <v/>
      </c>
      <c r="U170" s="55">
        <f>TRIM(Customers!B170)</f>
        <v/>
      </c>
      <c r="V170" s="55">
        <f>UPPER(TRIM(Customers!D170))</f>
        <v/>
      </c>
      <c r="W170" s="55">
        <f>LEN(Customers!B170)&lt;&gt;LEN(TRIM(Customers!B170))</f>
        <v/>
      </c>
    </row>
    <row r="171" ht="15" customHeight="1" s="56">
      <c r="A171" s="55">
        <f>Orders!A171</f>
        <v/>
      </c>
      <c r="B171" s="103">
        <f>Orders!B171</f>
        <v/>
      </c>
      <c r="C171" s="55">
        <f>Orders!C171</f>
        <v/>
      </c>
      <c r="D171" s="55">
        <f>Orders!D171</f>
        <v/>
      </c>
      <c r="E171" s="55">
        <f>Orders!E171</f>
        <v/>
      </c>
      <c r="F171" s="55">
        <f>Orders!F171</f>
        <v/>
      </c>
      <c r="G171" s="55">
        <f>Orders!G171</f>
        <v/>
      </c>
      <c r="H171" s="55">
        <f>Orders!H171</f>
        <v/>
      </c>
      <c r="I171" s="55">
        <f>Orders!I171</f>
        <v/>
      </c>
      <c r="J171" s="55">
        <f>Orders!J171</f>
        <v/>
      </c>
      <c r="K171" s="55">
        <f>Orders!K171</f>
        <v/>
      </c>
      <c r="L171" s="55">
        <f>VLOOKUP(D171,Products!$A$2:$F$61,3,FALSE())</f>
        <v/>
      </c>
      <c r="M171" s="55">
        <f>VLOOKUP(C171,Customers!$A$2:$F$301,5,FALSE())</f>
        <v/>
      </c>
      <c r="N171" s="55">
        <f>VLOOKUP(E171,Sales_Reps!$A$2:$E$31,3,FALSE())</f>
        <v/>
      </c>
      <c r="O171" s="55">
        <f>VLOOKUP(D171,Products!$A$2:$F$61,4,FALSE())</f>
        <v/>
      </c>
      <c r="P171" s="55">
        <f>VLOOKUP(C171,Customers!$A$2:$F$301,3,FALSE())</f>
        <v/>
      </c>
      <c r="Q171" s="55">
        <f>UPPER(TRIM(K171))</f>
        <v/>
      </c>
      <c r="R171" s="55">
        <f>(G171-O171)/G171</f>
        <v/>
      </c>
      <c r="S171" s="55">
        <f>VLOOKUP(D171,Products!$A$2:$F$61,6,FALSE())</f>
        <v/>
      </c>
      <c r="U171" s="55">
        <f>TRIM(Customers!B171)</f>
        <v/>
      </c>
      <c r="V171" s="55">
        <f>UPPER(TRIM(Customers!D171))</f>
        <v/>
      </c>
      <c r="W171" s="55">
        <f>LEN(Customers!B171)&lt;&gt;LEN(TRIM(Customers!B171))</f>
        <v/>
      </c>
    </row>
    <row r="172" ht="15" customHeight="1" s="56">
      <c r="A172" s="55">
        <f>Orders!A172</f>
        <v/>
      </c>
      <c r="B172" s="103">
        <f>Orders!B172</f>
        <v/>
      </c>
      <c r="C172" s="55">
        <f>Orders!C172</f>
        <v/>
      </c>
      <c r="D172" s="55">
        <f>Orders!D172</f>
        <v/>
      </c>
      <c r="E172" s="55">
        <f>Orders!E172</f>
        <v/>
      </c>
      <c r="F172" s="55">
        <f>Orders!F172</f>
        <v/>
      </c>
      <c r="G172" s="55">
        <f>Orders!G172</f>
        <v/>
      </c>
      <c r="H172" s="55">
        <f>Orders!H172</f>
        <v/>
      </c>
      <c r="I172" s="55">
        <f>Orders!I172</f>
        <v/>
      </c>
      <c r="J172" s="55">
        <f>Orders!J172</f>
        <v/>
      </c>
      <c r="K172" s="55">
        <f>Orders!K172</f>
        <v/>
      </c>
      <c r="L172" s="55">
        <f>VLOOKUP(D172,Products!$A$2:$F$61,3,FALSE())</f>
        <v/>
      </c>
      <c r="M172" s="55">
        <f>VLOOKUP(C172,Customers!$A$2:$F$301,5,FALSE())</f>
        <v/>
      </c>
      <c r="N172" s="55">
        <f>VLOOKUP(E172,Sales_Reps!$A$2:$E$31,3,FALSE())</f>
        <v/>
      </c>
      <c r="O172" s="55">
        <f>VLOOKUP(D172,Products!$A$2:$F$61,4,FALSE())</f>
        <v/>
      </c>
      <c r="P172" s="55">
        <f>VLOOKUP(C172,Customers!$A$2:$F$301,3,FALSE())</f>
        <v/>
      </c>
      <c r="Q172" s="55">
        <f>UPPER(TRIM(K172))</f>
        <v/>
      </c>
      <c r="R172" s="55">
        <f>(G172-O172)/G172</f>
        <v/>
      </c>
      <c r="S172" s="55">
        <f>VLOOKUP(D172,Products!$A$2:$F$61,6,FALSE())</f>
        <v/>
      </c>
      <c r="U172" s="55">
        <f>TRIM(Customers!B172)</f>
        <v/>
      </c>
      <c r="V172" s="55">
        <f>UPPER(TRIM(Customers!D172))</f>
        <v/>
      </c>
      <c r="W172" s="55">
        <f>LEN(Customers!B172)&lt;&gt;LEN(TRIM(Customers!B172))</f>
        <v/>
      </c>
    </row>
    <row r="173" ht="15" customHeight="1" s="56">
      <c r="A173" s="55">
        <f>Orders!A173</f>
        <v/>
      </c>
      <c r="B173" s="103">
        <f>Orders!B173</f>
        <v/>
      </c>
      <c r="C173" s="55">
        <f>Orders!C173</f>
        <v/>
      </c>
      <c r="D173" s="55">
        <f>Orders!D173</f>
        <v/>
      </c>
      <c r="E173" s="55">
        <f>Orders!E173</f>
        <v/>
      </c>
      <c r="F173" s="55">
        <f>Orders!F173</f>
        <v/>
      </c>
      <c r="G173" s="55">
        <f>Orders!G173</f>
        <v/>
      </c>
      <c r="H173" s="55">
        <f>Orders!H173</f>
        <v/>
      </c>
      <c r="I173" s="55">
        <f>Orders!I173</f>
        <v/>
      </c>
      <c r="J173" s="55">
        <f>Orders!J173</f>
        <v/>
      </c>
      <c r="K173" s="55">
        <f>Orders!K173</f>
        <v/>
      </c>
      <c r="L173" s="55">
        <f>VLOOKUP(D173,Products!$A$2:$F$61,3,FALSE())</f>
        <v/>
      </c>
      <c r="M173" s="55">
        <f>VLOOKUP(C173,Customers!$A$2:$F$301,5,FALSE())</f>
        <v/>
      </c>
      <c r="N173" s="55">
        <f>VLOOKUP(E173,Sales_Reps!$A$2:$E$31,3,FALSE())</f>
        <v/>
      </c>
      <c r="O173" s="55">
        <f>VLOOKUP(D173,Products!$A$2:$F$61,4,FALSE())</f>
        <v/>
      </c>
      <c r="P173" s="55">
        <f>VLOOKUP(C173,Customers!$A$2:$F$301,3,FALSE())</f>
        <v/>
      </c>
      <c r="Q173" s="55">
        <f>UPPER(TRIM(K173))</f>
        <v/>
      </c>
      <c r="R173" s="55">
        <f>(G173-O173)/G173</f>
        <v/>
      </c>
      <c r="S173" s="55">
        <f>VLOOKUP(D173,Products!$A$2:$F$61,6,FALSE())</f>
        <v/>
      </c>
      <c r="U173" s="55">
        <f>TRIM(Customers!B173)</f>
        <v/>
      </c>
      <c r="V173" s="55">
        <f>UPPER(TRIM(Customers!D173))</f>
        <v/>
      </c>
      <c r="W173" s="55">
        <f>LEN(Customers!B173)&lt;&gt;LEN(TRIM(Customers!B173))</f>
        <v/>
      </c>
    </row>
    <row r="174" ht="15" customHeight="1" s="56">
      <c r="A174" s="55">
        <f>Orders!A174</f>
        <v/>
      </c>
      <c r="B174" s="103">
        <f>Orders!B174</f>
        <v/>
      </c>
      <c r="C174" s="55">
        <f>Orders!C174</f>
        <v/>
      </c>
      <c r="D174" s="55">
        <f>Orders!D174</f>
        <v/>
      </c>
      <c r="E174" s="55">
        <f>Orders!E174</f>
        <v/>
      </c>
      <c r="F174" s="55">
        <f>Orders!F174</f>
        <v/>
      </c>
      <c r="G174" s="55">
        <f>Orders!G174</f>
        <v/>
      </c>
      <c r="H174" s="55">
        <f>Orders!H174</f>
        <v/>
      </c>
      <c r="I174" s="55">
        <f>Orders!I174</f>
        <v/>
      </c>
      <c r="J174" s="55">
        <f>Orders!J174</f>
        <v/>
      </c>
      <c r="K174" s="55">
        <f>Orders!K174</f>
        <v/>
      </c>
      <c r="L174" s="55">
        <f>VLOOKUP(D174,Products!$A$2:$F$61,3,FALSE())</f>
        <v/>
      </c>
      <c r="M174" s="55">
        <f>VLOOKUP(C174,Customers!$A$2:$F$301,5,FALSE())</f>
        <v/>
      </c>
      <c r="N174" s="55">
        <f>VLOOKUP(E174,Sales_Reps!$A$2:$E$31,3,FALSE())</f>
        <v/>
      </c>
      <c r="O174" s="55">
        <f>VLOOKUP(D174,Products!$A$2:$F$61,4,FALSE())</f>
        <v/>
      </c>
      <c r="P174" s="55">
        <f>VLOOKUP(C174,Customers!$A$2:$F$301,3,FALSE())</f>
        <v/>
      </c>
      <c r="Q174" s="55">
        <f>UPPER(TRIM(K174))</f>
        <v/>
      </c>
      <c r="R174" s="55">
        <f>(G174-O174)/G174</f>
        <v/>
      </c>
      <c r="S174" s="55">
        <f>VLOOKUP(D174,Products!$A$2:$F$61,6,FALSE())</f>
        <v/>
      </c>
      <c r="U174" s="55">
        <f>TRIM(Customers!B174)</f>
        <v/>
      </c>
      <c r="V174" s="55">
        <f>UPPER(TRIM(Customers!D174))</f>
        <v/>
      </c>
      <c r="W174" s="55">
        <f>LEN(Customers!B174)&lt;&gt;LEN(TRIM(Customers!B174))</f>
        <v/>
      </c>
    </row>
    <row r="175" ht="15" customHeight="1" s="56">
      <c r="A175" s="55">
        <f>Orders!A175</f>
        <v/>
      </c>
      <c r="B175" s="103">
        <f>Orders!B175</f>
        <v/>
      </c>
      <c r="C175" s="55">
        <f>Orders!C175</f>
        <v/>
      </c>
      <c r="D175" s="55">
        <f>Orders!D175</f>
        <v/>
      </c>
      <c r="E175" s="55">
        <f>Orders!E175</f>
        <v/>
      </c>
      <c r="F175" s="55">
        <f>Orders!F175</f>
        <v/>
      </c>
      <c r="G175" s="55">
        <f>Orders!G175</f>
        <v/>
      </c>
      <c r="H175" s="55">
        <f>Orders!H175</f>
        <v/>
      </c>
      <c r="I175" s="55">
        <f>Orders!I175</f>
        <v/>
      </c>
      <c r="J175" s="55">
        <f>Orders!J175</f>
        <v/>
      </c>
      <c r="K175" s="55">
        <f>Orders!K175</f>
        <v/>
      </c>
      <c r="L175" s="55">
        <f>VLOOKUP(D175,Products!$A$2:$F$61,3,FALSE())</f>
        <v/>
      </c>
      <c r="M175" s="55">
        <f>VLOOKUP(C175,Customers!$A$2:$F$301,5,FALSE())</f>
        <v/>
      </c>
      <c r="N175" s="55">
        <f>VLOOKUP(E175,Sales_Reps!$A$2:$E$31,3,FALSE())</f>
        <v/>
      </c>
      <c r="O175" s="55">
        <f>VLOOKUP(D175,Products!$A$2:$F$61,4,FALSE())</f>
        <v/>
      </c>
      <c r="P175" s="55">
        <f>VLOOKUP(C175,Customers!$A$2:$F$301,3,FALSE())</f>
        <v/>
      </c>
      <c r="Q175" s="55">
        <f>UPPER(TRIM(K175))</f>
        <v/>
      </c>
      <c r="R175" s="55">
        <f>(G175-O175)/G175</f>
        <v/>
      </c>
      <c r="S175" s="55">
        <f>VLOOKUP(D175,Products!$A$2:$F$61,6,FALSE())</f>
        <v/>
      </c>
      <c r="U175" s="55">
        <f>TRIM(Customers!B175)</f>
        <v/>
      </c>
      <c r="V175" s="55">
        <f>UPPER(TRIM(Customers!D175))</f>
        <v/>
      </c>
      <c r="W175" s="55">
        <f>LEN(Customers!B175)&lt;&gt;LEN(TRIM(Customers!B175))</f>
        <v/>
      </c>
    </row>
    <row r="176" ht="15" customHeight="1" s="56">
      <c r="A176" s="55">
        <f>Orders!A176</f>
        <v/>
      </c>
      <c r="B176" s="103">
        <f>Orders!B176</f>
        <v/>
      </c>
      <c r="C176" s="55">
        <f>Orders!C176</f>
        <v/>
      </c>
      <c r="D176" s="55">
        <f>Orders!D176</f>
        <v/>
      </c>
      <c r="E176" s="55">
        <f>Orders!E176</f>
        <v/>
      </c>
      <c r="F176" s="55">
        <f>Orders!F176</f>
        <v/>
      </c>
      <c r="G176" s="55">
        <f>Orders!G176</f>
        <v/>
      </c>
      <c r="H176" s="55">
        <f>Orders!H176</f>
        <v/>
      </c>
      <c r="I176" s="55">
        <f>Orders!I176</f>
        <v/>
      </c>
      <c r="J176" s="55">
        <f>Orders!J176</f>
        <v/>
      </c>
      <c r="K176" s="55">
        <f>Orders!K176</f>
        <v/>
      </c>
      <c r="L176" s="55">
        <f>VLOOKUP(D176,Products!$A$2:$F$61,3,FALSE())</f>
        <v/>
      </c>
      <c r="M176" s="55">
        <f>VLOOKUP(C176,Customers!$A$2:$F$301,5,FALSE())</f>
        <v/>
      </c>
      <c r="N176" s="55">
        <f>VLOOKUP(E176,Sales_Reps!$A$2:$E$31,3,FALSE())</f>
        <v/>
      </c>
      <c r="O176" s="55">
        <f>VLOOKUP(D176,Products!$A$2:$F$61,4,FALSE())</f>
        <v/>
      </c>
      <c r="P176" s="55">
        <f>VLOOKUP(C176,Customers!$A$2:$F$301,3,FALSE())</f>
        <v/>
      </c>
      <c r="Q176" s="55">
        <f>UPPER(TRIM(K176))</f>
        <v/>
      </c>
      <c r="R176" s="55">
        <f>(G176-O176)/G176</f>
        <v/>
      </c>
      <c r="S176" s="55">
        <f>VLOOKUP(D176,Products!$A$2:$F$61,6,FALSE())</f>
        <v/>
      </c>
      <c r="U176" s="55">
        <f>TRIM(Customers!B176)</f>
        <v/>
      </c>
      <c r="V176" s="55">
        <f>UPPER(TRIM(Customers!D176))</f>
        <v/>
      </c>
      <c r="W176" s="55">
        <f>LEN(Customers!B176)&lt;&gt;LEN(TRIM(Customers!B176))</f>
        <v/>
      </c>
    </row>
    <row r="177" ht="15" customHeight="1" s="56">
      <c r="A177" s="55">
        <f>Orders!A177</f>
        <v/>
      </c>
      <c r="B177" s="103">
        <f>Orders!B177</f>
        <v/>
      </c>
      <c r="C177" s="55">
        <f>Orders!C177</f>
        <v/>
      </c>
      <c r="D177" s="55">
        <f>Orders!D177</f>
        <v/>
      </c>
      <c r="E177" s="55">
        <f>Orders!E177</f>
        <v/>
      </c>
      <c r="F177" s="55">
        <f>Orders!F177</f>
        <v/>
      </c>
      <c r="G177" s="55">
        <f>Orders!G177</f>
        <v/>
      </c>
      <c r="H177" s="55">
        <f>Orders!H177</f>
        <v/>
      </c>
      <c r="I177" s="55">
        <f>Orders!I177</f>
        <v/>
      </c>
      <c r="J177" s="55">
        <f>Orders!J177</f>
        <v/>
      </c>
      <c r="K177" s="55">
        <f>Orders!K177</f>
        <v/>
      </c>
      <c r="L177" s="55">
        <f>VLOOKUP(D177,Products!$A$2:$F$61,3,FALSE())</f>
        <v/>
      </c>
      <c r="M177" s="55">
        <f>VLOOKUP(C177,Customers!$A$2:$F$301,5,FALSE())</f>
        <v/>
      </c>
      <c r="N177" s="55">
        <f>VLOOKUP(E177,Sales_Reps!$A$2:$E$31,3,FALSE())</f>
        <v/>
      </c>
      <c r="O177" s="55">
        <f>VLOOKUP(D177,Products!$A$2:$F$61,4,FALSE())</f>
        <v/>
      </c>
      <c r="P177" s="55">
        <f>VLOOKUP(C177,Customers!$A$2:$F$301,3,FALSE())</f>
        <v/>
      </c>
      <c r="Q177" s="55">
        <f>UPPER(TRIM(K177))</f>
        <v/>
      </c>
      <c r="R177" s="55">
        <f>(G177-O177)/G177</f>
        <v/>
      </c>
      <c r="S177" s="55">
        <f>VLOOKUP(D177,Products!$A$2:$F$61,6,FALSE())</f>
        <v/>
      </c>
      <c r="U177" s="55">
        <f>TRIM(Customers!B177)</f>
        <v/>
      </c>
      <c r="V177" s="55">
        <f>UPPER(TRIM(Customers!D177))</f>
        <v/>
      </c>
      <c r="W177" s="55">
        <f>LEN(Customers!B177)&lt;&gt;LEN(TRIM(Customers!B177))</f>
        <v/>
      </c>
    </row>
    <row r="178" ht="15" customHeight="1" s="56">
      <c r="A178" s="55">
        <f>Orders!A178</f>
        <v/>
      </c>
      <c r="B178" s="103">
        <f>Orders!B178</f>
        <v/>
      </c>
      <c r="C178" s="55">
        <f>Orders!C178</f>
        <v/>
      </c>
      <c r="D178" s="55">
        <f>Orders!D178</f>
        <v/>
      </c>
      <c r="E178" s="55">
        <f>Orders!E178</f>
        <v/>
      </c>
      <c r="F178" s="55">
        <f>Orders!F178</f>
        <v/>
      </c>
      <c r="G178" s="55">
        <f>Orders!G178</f>
        <v/>
      </c>
      <c r="H178" s="55">
        <f>Orders!H178</f>
        <v/>
      </c>
      <c r="I178" s="55">
        <f>Orders!I178</f>
        <v/>
      </c>
      <c r="J178" s="55">
        <f>Orders!J178</f>
        <v/>
      </c>
      <c r="K178" s="55">
        <f>Orders!K178</f>
        <v/>
      </c>
      <c r="L178" s="55">
        <f>VLOOKUP(D178,Products!$A$2:$F$61,3,FALSE())</f>
        <v/>
      </c>
      <c r="M178" s="55">
        <f>VLOOKUP(C178,Customers!$A$2:$F$301,5,FALSE())</f>
        <v/>
      </c>
      <c r="N178" s="55">
        <f>VLOOKUP(E178,Sales_Reps!$A$2:$E$31,3,FALSE())</f>
        <v/>
      </c>
      <c r="O178" s="55">
        <f>VLOOKUP(D178,Products!$A$2:$F$61,4,FALSE())</f>
        <v/>
      </c>
      <c r="P178" s="55">
        <f>VLOOKUP(C178,Customers!$A$2:$F$301,3,FALSE())</f>
        <v/>
      </c>
      <c r="Q178" s="55">
        <f>UPPER(TRIM(K178))</f>
        <v/>
      </c>
      <c r="R178" s="55">
        <f>(G178-O178)/G178</f>
        <v/>
      </c>
      <c r="S178" s="55">
        <f>VLOOKUP(D178,Products!$A$2:$F$61,6,FALSE())</f>
        <v/>
      </c>
      <c r="U178" s="55">
        <f>TRIM(Customers!B178)</f>
        <v/>
      </c>
      <c r="V178" s="55">
        <f>UPPER(TRIM(Customers!D178))</f>
        <v/>
      </c>
      <c r="W178" s="55">
        <f>LEN(Customers!B178)&lt;&gt;LEN(TRIM(Customers!B178))</f>
        <v/>
      </c>
    </row>
    <row r="179" ht="15" customHeight="1" s="56">
      <c r="A179" s="55">
        <f>Orders!A179</f>
        <v/>
      </c>
      <c r="B179" s="103">
        <f>Orders!B179</f>
        <v/>
      </c>
      <c r="C179" s="55">
        <f>Orders!C179</f>
        <v/>
      </c>
      <c r="D179" s="55">
        <f>Orders!D179</f>
        <v/>
      </c>
      <c r="E179" s="55">
        <f>Orders!E179</f>
        <v/>
      </c>
      <c r="F179" s="55">
        <f>Orders!F179</f>
        <v/>
      </c>
      <c r="G179" s="55">
        <f>Orders!G179</f>
        <v/>
      </c>
      <c r="H179" s="55">
        <f>Orders!H179</f>
        <v/>
      </c>
      <c r="I179" s="55">
        <f>Orders!I179</f>
        <v/>
      </c>
      <c r="J179" s="55">
        <f>Orders!J179</f>
        <v/>
      </c>
      <c r="K179" s="55">
        <f>Orders!K179</f>
        <v/>
      </c>
      <c r="L179" s="55">
        <f>VLOOKUP(D179,Products!$A$2:$F$61,3,FALSE())</f>
        <v/>
      </c>
      <c r="M179" s="55">
        <f>VLOOKUP(C179,Customers!$A$2:$F$301,5,FALSE())</f>
        <v/>
      </c>
      <c r="N179" s="55">
        <f>VLOOKUP(E179,Sales_Reps!$A$2:$E$31,3,FALSE())</f>
        <v/>
      </c>
      <c r="O179" s="55">
        <f>VLOOKUP(D179,Products!$A$2:$F$61,4,FALSE())</f>
        <v/>
      </c>
      <c r="P179" s="55">
        <f>VLOOKUP(C179,Customers!$A$2:$F$301,3,FALSE())</f>
        <v/>
      </c>
      <c r="Q179" s="55">
        <f>UPPER(TRIM(K179))</f>
        <v/>
      </c>
      <c r="R179" s="55">
        <f>(G179-O179)/G179</f>
        <v/>
      </c>
      <c r="S179" s="55">
        <f>VLOOKUP(D179,Products!$A$2:$F$61,6,FALSE())</f>
        <v/>
      </c>
      <c r="U179" s="55">
        <f>TRIM(Customers!B179)</f>
        <v/>
      </c>
      <c r="V179" s="55">
        <f>UPPER(TRIM(Customers!D179))</f>
        <v/>
      </c>
      <c r="W179" s="55">
        <f>LEN(Customers!B179)&lt;&gt;LEN(TRIM(Customers!B179))</f>
        <v/>
      </c>
    </row>
    <row r="180" ht="15" customHeight="1" s="56">
      <c r="A180" s="55">
        <f>Orders!A180</f>
        <v/>
      </c>
      <c r="B180" s="103">
        <f>Orders!B180</f>
        <v/>
      </c>
      <c r="C180" s="55">
        <f>Orders!C180</f>
        <v/>
      </c>
      <c r="D180" s="55">
        <f>Orders!D180</f>
        <v/>
      </c>
      <c r="E180" s="55">
        <f>Orders!E180</f>
        <v/>
      </c>
      <c r="F180" s="55">
        <f>Orders!F180</f>
        <v/>
      </c>
      <c r="G180" s="55">
        <f>Orders!G180</f>
        <v/>
      </c>
      <c r="H180" s="55">
        <f>Orders!H180</f>
        <v/>
      </c>
      <c r="I180" s="55">
        <f>Orders!I180</f>
        <v/>
      </c>
      <c r="J180" s="55">
        <f>Orders!J180</f>
        <v/>
      </c>
      <c r="K180" s="55">
        <f>Orders!K180</f>
        <v/>
      </c>
      <c r="L180" s="55">
        <f>VLOOKUP(D180,Products!$A$2:$F$61,3,FALSE())</f>
        <v/>
      </c>
      <c r="M180" s="55">
        <f>VLOOKUP(C180,Customers!$A$2:$F$301,5,FALSE())</f>
        <v/>
      </c>
      <c r="N180" s="55">
        <f>VLOOKUP(E180,Sales_Reps!$A$2:$E$31,3,FALSE())</f>
        <v/>
      </c>
      <c r="O180" s="55">
        <f>VLOOKUP(D180,Products!$A$2:$F$61,4,FALSE())</f>
        <v/>
      </c>
      <c r="P180" s="55">
        <f>VLOOKUP(C180,Customers!$A$2:$F$301,3,FALSE())</f>
        <v/>
      </c>
      <c r="Q180" s="55">
        <f>UPPER(TRIM(K180))</f>
        <v/>
      </c>
      <c r="R180" s="55">
        <f>(G180-O180)/G180</f>
        <v/>
      </c>
      <c r="S180" s="55">
        <f>VLOOKUP(D180,Products!$A$2:$F$61,6,FALSE())</f>
        <v/>
      </c>
      <c r="U180" s="55">
        <f>TRIM(Customers!B180)</f>
        <v/>
      </c>
      <c r="V180" s="55">
        <f>UPPER(TRIM(Customers!D180))</f>
        <v/>
      </c>
      <c r="W180" s="55">
        <f>LEN(Customers!B180)&lt;&gt;LEN(TRIM(Customers!B180))</f>
        <v/>
      </c>
    </row>
    <row r="181" ht="15" customHeight="1" s="56">
      <c r="A181" s="55">
        <f>Orders!A181</f>
        <v/>
      </c>
      <c r="B181" s="103">
        <f>Orders!B181</f>
        <v/>
      </c>
      <c r="C181" s="55">
        <f>Orders!C181</f>
        <v/>
      </c>
      <c r="D181" s="55">
        <f>Orders!D181</f>
        <v/>
      </c>
      <c r="E181" s="55">
        <f>Orders!E181</f>
        <v/>
      </c>
      <c r="F181" s="55">
        <f>Orders!F181</f>
        <v/>
      </c>
      <c r="G181" s="55">
        <f>Orders!G181</f>
        <v/>
      </c>
      <c r="H181" s="55">
        <f>Orders!H181</f>
        <v/>
      </c>
      <c r="I181" s="55">
        <f>Orders!I181</f>
        <v/>
      </c>
      <c r="J181" s="55">
        <f>Orders!J181</f>
        <v/>
      </c>
      <c r="K181" s="55">
        <f>Orders!K181</f>
        <v/>
      </c>
      <c r="L181" s="55">
        <f>VLOOKUP(D181,Products!$A$2:$F$61,3,FALSE())</f>
        <v/>
      </c>
      <c r="M181" s="55">
        <f>VLOOKUP(C181,Customers!$A$2:$F$301,5,FALSE())</f>
        <v/>
      </c>
      <c r="N181" s="55">
        <f>VLOOKUP(E181,Sales_Reps!$A$2:$E$31,3,FALSE())</f>
        <v/>
      </c>
      <c r="O181" s="55">
        <f>VLOOKUP(D181,Products!$A$2:$F$61,4,FALSE())</f>
        <v/>
      </c>
      <c r="P181" s="55">
        <f>VLOOKUP(C181,Customers!$A$2:$F$301,3,FALSE())</f>
        <v/>
      </c>
      <c r="Q181" s="55">
        <f>UPPER(TRIM(K181))</f>
        <v/>
      </c>
      <c r="R181" s="55">
        <f>(G181-O181)/G181</f>
        <v/>
      </c>
      <c r="S181" s="55">
        <f>VLOOKUP(D181,Products!$A$2:$F$61,6,FALSE())</f>
        <v/>
      </c>
      <c r="U181" s="55">
        <f>TRIM(Customers!B181)</f>
        <v/>
      </c>
      <c r="V181" s="55">
        <f>UPPER(TRIM(Customers!D181))</f>
        <v/>
      </c>
      <c r="W181" s="55">
        <f>LEN(Customers!B181)&lt;&gt;LEN(TRIM(Customers!B181))</f>
        <v/>
      </c>
    </row>
    <row r="182" ht="15" customHeight="1" s="56">
      <c r="A182" s="55">
        <f>Orders!A182</f>
        <v/>
      </c>
      <c r="B182" s="103">
        <f>Orders!B182</f>
        <v/>
      </c>
      <c r="C182" s="55">
        <f>Orders!C182</f>
        <v/>
      </c>
      <c r="D182" s="55">
        <f>Orders!D182</f>
        <v/>
      </c>
      <c r="E182" s="55">
        <f>Orders!E182</f>
        <v/>
      </c>
      <c r="F182" s="55">
        <f>Orders!F182</f>
        <v/>
      </c>
      <c r="G182" s="55">
        <f>Orders!G182</f>
        <v/>
      </c>
      <c r="H182" s="55">
        <f>Orders!H182</f>
        <v/>
      </c>
      <c r="I182" s="55">
        <f>Orders!I182</f>
        <v/>
      </c>
      <c r="J182" s="55">
        <f>Orders!J182</f>
        <v/>
      </c>
      <c r="K182" s="55">
        <f>Orders!K182</f>
        <v/>
      </c>
      <c r="L182" s="55">
        <f>VLOOKUP(D182,Products!$A$2:$F$61,3,FALSE())</f>
        <v/>
      </c>
      <c r="M182" s="55">
        <f>VLOOKUP(C182,Customers!$A$2:$F$301,5,FALSE())</f>
        <v/>
      </c>
      <c r="N182" s="55">
        <f>VLOOKUP(E182,Sales_Reps!$A$2:$E$31,3,FALSE())</f>
        <v/>
      </c>
      <c r="O182" s="55">
        <f>VLOOKUP(D182,Products!$A$2:$F$61,4,FALSE())</f>
        <v/>
      </c>
      <c r="P182" s="55">
        <f>VLOOKUP(C182,Customers!$A$2:$F$301,3,FALSE())</f>
        <v/>
      </c>
      <c r="Q182" s="55">
        <f>UPPER(TRIM(K182))</f>
        <v/>
      </c>
      <c r="R182" s="55">
        <f>(G182-O182)/G182</f>
        <v/>
      </c>
      <c r="S182" s="55">
        <f>VLOOKUP(D182,Products!$A$2:$F$61,6,FALSE())</f>
        <v/>
      </c>
      <c r="U182" s="55">
        <f>TRIM(Customers!B182)</f>
        <v/>
      </c>
      <c r="V182" s="55">
        <f>UPPER(TRIM(Customers!D182))</f>
        <v/>
      </c>
      <c r="W182" s="55">
        <f>LEN(Customers!B182)&lt;&gt;LEN(TRIM(Customers!B182))</f>
        <v/>
      </c>
    </row>
    <row r="183" ht="15" customHeight="1" s="56">
      <c r="A183" s="55">
        <f>Orders!A183</f>
        <v/>
      </c>
      <c r="B183" s="103">
        <f>Orders!B183</f>
        <v/>
      </c>
      <c r="C183" s="55">
        <f>Orders!C183</f>
        <v/>
      </c>
      <c r="D183" s="55">
        <f>Orders!D183</f>
        <v/>
      </c>
      <c r="E183" s="55">
        <f>Orders!E183</f>
        <v/>
      </c>
      <c r="F183" s="55">
        <f>Orders!F183</f>
        <v/>
      </c>
      <c r="G183" s="55">
        <f>Orders!G183</f>
        <v/>
      </c>
      <c r="H183" s="55">
        <f>Orders!H183</f>
        <v/>
      </c>
      <c r="I183" s="55">
        <f>Orders!I183</f>
        <v/>
      </c>
      <c r="J183" s="55">
        <f>Orders!J183</f>
        <v/>
      </c>
      <c r="K183" s="55">
        <f>Orders!K183</f>
        <v/>
      </c>
      <c r="L183" s="55">
        <f>VLOOKUP(D183,Products!$A$2:$F$61,3,FALSE())</f>
        <v/>
      </c>
      <c r="M183" s="55">
        <f>VLOOKUP(C183,Customers!$A$2:$F$301,5,FALSE())</f>
        <v/>
      </c>
      <c r="N183" s="55">
        <f>VLOOKUP(E183,Sales_Reps!$A$2:$E$31,3,FALSE())</f>
        <v/>
      </c>
      <c r="O183" s="55">
        <f>VLOOKUP(D183,Products!$A$2:$F$61,4,FALSE())</f>
        <v/>
      </c>
      <c r="P183" s="55">
        <f>VLOOKUP(C183,Customers!$A$2:$F$301,3,FALSE())</f>
        <v/>
      </c>
      <c r="Q183" s="55">
        <f>UPPER(TRIM(K183))</f>
        <v/>
      </c>
      <c r="R183" s="55">
        <f>(G183-O183)/G183</f>
        <v/>
      </c>
      <c r="S183" s="55">
        <f>VLOOKUP(D183,Products!$A$2:$F$61,6,FALSE())</f>
        <v/>
      </c>
      <c r="U183" s="55">
        <f>TRIM(Customers!B183)</f>
        <v/>
      </c>
      <c r="V183" s="55">
        <f>UPPER(TRIM(Customers!D183))</f>
        <v/>
      </c>
      <c r="W183" s="55">
        <f>LEN(Customers!B183)&lt;&gt;LEN(TRIM(Customers!B183))</f>
        <v/>
      </c>
    </row>
    <row r="184" ht="15" customHeight="1" s="56">
      <c r="A184" s="55">
        <f>Orders!A184</f>
        <v/>
      </c>
      <c r="B184" s="103">
        <f>Orders!B184</f>
        <v/>
      </c>
      <c r="C184" s="55">
        <f>Orders!C184</f>
        <v/>
      </c>
      <c r="D184" s="55">
        <f>Orders!D184</f>
        <v/>
      </c>
      <c r="E184" s="55">
        <f>Orders!E184</f>
        <v/>
      </c>
      <c r="F184" s="55">
        <f>Orders!F184</f>
        <v/>
      </c>
      <c r="G184" s="55">
        <f>Orders!G184</f>
        <v/>
      </c>
      <c r="H184" s="55">
        <f>Orders!H184</f>
        <v/>
      </c>
      <c r="I184" s="55">
        <f>Orders!I184</f>
        <v/>
      </c>
      <c r="J184" s="55">
        <f>Orders!J184</f>
        <v/>
      </c>
      <c r="K184" s="55">
        <f>Orders!K184</f>
        <v/>
      </c>
      <c r="L184" s="55">
        <f>VLOOKUP(D184,Products!$A$2:$F$61,3,FALSE())</f>
        <v/>
      </c>
      <c r="M184" s="55">
        <f>VLOOKUP(C184,Customers!$A$2:$F$301,5,FALSE())</f>
        <v/>
      </c>
      <c r="N184" s="55">
        <f>VLOOKUP(E184,Sales_Reps!$A$2:$E$31,3,FALSE())</f>
        <v/>
      </c>
      <c r="O184" s="55">
        <f>VLOOKUP(D184,Products!$A$2:$F$61,4,FALSE())</f>
        <v/>
      </c>
      <c r="P184" s="55">
        <f>VLOOKUP(C184,Customers!$A$2:$F$301,3,FALSE())</f>
        <v/>
      </c>
      <c r="Q184" s="55">
        <f>UPPER(TRIM(K184))</f>
        <v/>
      </c>
      <c r="R184" s="55">
        <f>(G184-O184)/G184</f>
        <v/>
      </c>
      <c r="S184" s="55">
        <f>VLOOKUP(D184,Products!$A$2:$F$61,6,FALSE())</f>
        <v/>
      </c>
      <c r="U184" s="55">
        <f>TRIM(Customers!B184)</f>
        <v/>
      </c>
      <c r="V184" s="55">
        <f>UPPER(TRIM(Customers!D184))</f>
        <v/>
      </c>
      <c r="W184" s="55">
        <f>LEN(Customers!B184)&lt;&gt;LEN(TRIM(Customers!B184))</f>
        <v/>
      </c>
    </row>
    <row r="185" ht="15" customHeight="1" s="56">
      <c r="A185" s="55">
        <f>Orders!A185</f>
        <v/>
      </c>
      <c r="B185" s="103">
        <f>Orders!B185</f>
        <v/>
      </c>
      <c r="C185" s="55">
        <f>Orders!C185</f>
        <v/>
      </c>
      <c r="D185" s="55">
        <f>Orders!D185</f>
        <v/>
      </c>
      <c r="E185" s="55">
        <f>Orders!E185</f>
        <v/>
      </c>
      <c r="F185" s="55">
        <f>Orders!F185</f>
        <v/>
      </c>
      <c r="G185" s="55">
        <f>Orders!G185</f>
        <v/>
      </c>
      <c r="H185" s="55">
        <f>Orders!H185</f>
        <v/>
      </c>
      <c r="I185" s="55">
        <f>Orders!I185</f>
        <v/>
      </c>
      <c r="J185" s="55">
        <f>Orders!J185</f>
        <v/>
      </c>
      <c r="K185" s="55">
        <f>Orders!K185</f>
        <v/>
      </c>
      <c r="L185" s="55">
        <f>VLOOKUP(D185,Products!$A$2:$F$61,3,FALSE())</f>
        <v/>
      </c>
      <c r="M185" s="55">
        <f>VLOOKUP(C185,Customers!$A$2:$F$301,5,FALSE())</f>
        <v/>
      </c>
      <c r="N185" s="55">
        <f>VLOOKUP(E185,Sales_Reps!$A$2:$E$31,3,FALSE())</f>
        <v/>
      </c>
      <c r="O185" s="55">
        <f>VLOOKUP(D185,Products!$A$2:$F$61,4,FALSE())</f>
        <v/>
      </c>
      <c r="P185" s="55">
        <f>VLOOKUP(C185,Customers!$A$2:$F$301,3,FALSE())</f>
        <v/>
      </c>
      <c r="Q185" s="55">
        <f>UPPER(TRIM(K185))</f>
        <v/>
      </c>
      <c r="R185" s="55">
        <f>(G185-O185)/G185</f>
        <v/>
      </c>
      <c r="S185" s="55">
        <f>VLOOKUP(D185,Products!$A$2:$F$61,6,FALSE())</f>
        <v/>
      </c>
      <c r="U185" s="55">
        <f>TRIM(Customers!B185)</f>
        <v/>
      </c>
      <c r="V185" s="55">
        <f>UPPER(TRIM(Customers!D185))</f>
        <v/>
      </c>
      <c r="W185" s="55">
        <f>LEN(Customers!B185)&lt;&gt;LEN(TRIM(Customers!B185))</f>
        <v/>
      </c>
    </row>
    <row r="186" ht="15" customHeight="1" s="56">
      <c r="A186" s="55">
        <f>Orders!A186</f>
        <v/>
      </c>
      <c r="B186" s="103">
        <f>Orders!B186</f>
        <v/>
      </c>
      <c r="C186" s="55">
        <f>Orders!C186</f>
        <v/>
      </c>
      <c r="D186" s="55">
        <f>Orders!D186</f>
        <v/>
      </c>
      <c r="E186" s="55">
        <f>Orders!E186</f>
        <v/>
      </c>
      <c r="F186" s="55">
        <f>Orders!F186</f>
        <v/>
      </c>
      <c r="G186" s="55">
        <f>Orders!G186</f>
        <v/>
      </c>
      <c r="H186" s="55">
        <f>Orders!H186</f>
        <v/>
      </c>
      <c r="I186" s="55">
        <f>Orders!I186</f>
        <v/>
      </c>
      <c r="J186" s="55">
        <f>Orders!J186</f>
        <v/>
      </c>
      <c r="K186" s="55">
        <f>Orders!K186</f>
        <v/>
      </c>
      <c r="L186" s="55">
        <f>VLOOKUP(D186,Products!$A$2:$F$61,3,FALSE())</f>
        <v/>
      </c>
      <c r="M186" s="55">
        <f>VLOOKUP(C186,Customers!$A$2:$F$301,5,FALSE())</f>
        <v/>
      </c>
      <c r="N186" s="55">
        <f>VLOOKUP(E186,Sales_Reps!$A$2:$E$31,3,FALSE())</f>
        <v/>
      </c>
      <c r="O186" s="55">
        <f>VLOOKUP(D186,Products!$A$2:$F$61,4,FALSE())</f>
        <v/>
      </c>
      <c r="P186" s="55">
        <f>VLOOKUP(C186,Customers!$A$2:$F$301,3,FALSE())</f>
        <v/>
      </c>
      <c r="Q186" s="55">
        <f>UPPER(TRIM(K186))</f>
        <v/>
      </c>
      <c r="R186" s="55">
        <f>(G186-O186)/G186</f>
        <v/>
      </c>
      <c r="S186" s="55">
        <f>VLOOKUP(D186,Products!$A$2:$F$61,6,FALSE())</f>
        <v/>
      </c>
      <c r="U186" s="55">
        <f>TRIM(Customers!B186)</f>
        <v/>
      </c>
      <c r="V186" s="55">
        <f>UPPER(TRIM(Customers!D186))</f>
        <v/>
      </c>
      <c r="W186" s="55">
        <f>LEN(Customers!B186)&lt;&gt;LEN(TRIM(Customers!B186))</f>
        <v/>
      </c>
    </row>
    <row r="187" ht="15" customHeight="1" s="56">
      <c r="A187" s="55">
        <f>Orders!A187</f>
        <v/>
      </c>
      <c r="B187" s="103">
        <f>Orders!B187</f>
        <v/>
      </c>
      <c r="C187" s="55">
        <f>Orders!C187</f>
        <v/>
      </c>
      <c r="D187" s="55">
        <f>Orders!D187</f>
        <v/>
      </c>
      <c r="E187" s="55">
        <f>Orders!E187</f>
        <v/>
      </c>
      <c r="F187" s="55">
        <f>Orders!F187</f>
        <v/>
      </c>
      <c r="G187" s="55">
        <f>Orders!G187</f>
        <v/>
      </c>
      <c r="H187" s="55">
        <f>Orders!H187</f>
        <v/>
      </c>
      <c r="I187" s="55">
        <f>Orders!I187</f>
        <v/>
      </c>
      <c r="J187" s="55">
        <f>Orders!J187</f>
        <v/>
      </c>
      <c r="K187" s="55">
        <f>Orders!K187</f>
        <v/>
      </c>
      <c r="L187" s="55">
        <f>VLOOKUP(D187,Products!$A$2:$F$61,3,FALSE())</f>
        <v/>
      </c>
      <c r="M187" s="55">
        <f>VLOOKUP(C187,Customers!$A$2:$F$301,5,FALSE())</f>
        <v/>
      </c>
      <c r="N187" s="55">
        <f>VLOOKUP(E187,Sales_Reps!$A$2:$E$31,3,FALSE())</f>
        <v/>
      </c>
      <c r="O187" s="55">
        <f>VLOOKUP(D187,Products!$A$2:$F$61,4,FALSE())</f>
        <v/>
      </c>
      <c r="P187" s="55">
        <f>VLOOKUP(C187,Customers!$A$2:$F$301,3,FALSE())</f>
        <v/>
      </c>
      <c r="Q187" s="55">
        <f>UPPER(TRIM(K187))</f>
        <v/>
      </c>
      <c r="R187" s="55">
        <f>(G187-O187)/G187</f>
        <v/>
      </c>
      <c r="S187" s="55">
        <f>VLOOKUP(D187,Products!$A$2:$F$61,6,FALSE())</f>
        <v/>
      </c>
      <c r="U187" s="55">
        <f>TRIM(Customers!B187)</f>
        <v/>
      </c>
      <c r="V187" s="55">
        <f>UPPER(TRIM(Customers!D187))</f>
        <v/>
      </c>
      <c r="W187" s="55">
        <f>LEN(Customers!B187)&lt;&gt;LEN(TRIM(Customers!B187))</f>
        <v/>
      </c>
    </row>
    <row r="188" ht="15" customHeight="1" s="56">
      <c r="A188" s="55">
        <f>Orders!A188</f>
        <v/>
      </c>
      <c r="B188" s="103">
        <f>Orders!B188</f>
        <v/>
      </c>
      <c r="C188" s="55">
        <f>Orders!C188</f>
        <v/>
      </c>
      <c r="D188" s="55">
        <f>Orders!D188</f>
        <v/>
      </c>
      <c r="E188" s="55">
        <f>Orders!E188</f>
        <v/>
      </c>
      <c r="F188" s="55">
        <f>Orders!F188</f>
        <v/>
      </c>
      <c r="G188" s="55">
        <f>Orders!G188</f>
        <v/>
      </c>
      <c r="H188" s="55">
        <f>Orders!H188</f>
        <v/>
      </c>
      <c r="I188" s="55">
        <f>Orders!I188</f>
        <v/>
      </c>
      <c r="J188" s="55">
        <f>Orders!J188</f>
        <v/>
      </c>
      <c r="K188" s="55">
        <f>Orders!K188</f>
        <v/>
      </c>
      <c r="L188" s="55">
        <f>VLOOKUP(D188,Products!$A$2:$F$61,3,FALSE())</f>
        <v/>
      </c>
      <c r="M188" s="55">
        <f>VLOOKUP(C188,Customers!$A$2:$F$301,5,FALSE())</f>
        <v/>
      </c>
      <c r="N188" s="55">
        <f>VLOOKUP(E188,Sales_Reps!$A$2:$E$31,3,FALSE())</f>
        <v/>
      </c>
      <c r="O188" s="55">
        <f>VLOOKUP(D188,Products!$A$2:$F$61,4,FALSE())</f>
        <v/>
      </c>
      <c r="P188" s="55">
        <f>VLOOKUP(C188,Customers!$A$2:$F$301,3,FALSE())</f>
        <v/>
      </c>
      <c r="Q188" s="55">
        <f>UPPER(TRIM(K188))</f>
        <v/>
      </c>
      <c r="R188" s="55">
        <f>(G188-O188)/G188</f>
        <v/>
      </c>
      <c r="S188" s="55">
        <f>VLOOKUP(D188,Products!$A$2:$F$61,6,FALSE())</f>
        <v/>
      </c>
      <c r="U188" s="55">
        <f>TRIM(Customers!B188)</f>
        <v/>
      </c>
      <c r="V188" s="55">
        <f>UPPER(TRIM(Customers!D188))</f>
        <v/>
      </c>
      <c r="W188" s="55">
        <f>LEN(Customers!B188)&lt;&gt;LEN(TRIM(Customers!B188))</f>
        <v/>
      </c>
    </row>
    <row r="189" ht="15" customHeight="1" s="56">
      <c r="A189" s="55">
        <f>Orders!A189</f>
        <v/>
      </c>
      <c r="B189" s="103">
        <f>Orders!B189</f>
        <v/>
      </c>
      <c r="C189" s="55">
        <f>Orders!C189</f>
        <v/>
      </c>
      <c r="D189" s="55">
        <f>Orders!D189</f>
        <v/>
      </c>
      <c r="E189" s="55">
        <f>Orders!E189</f>
        <v/>
      </c>
      <c r="F189" s="55">
        <f>Orders!F189</f>
        <v/>
      </c>
      <c r="G189" s="55">
        <f>Orders!G189</f>
        <v/>
      </c>
      <c r="H189" s="55">
        <f>Orders!H189</f>
        <v/>
      </c>
      <c r="I189" s="55">
        <f>Orders!I189</f>
        <v/>
      </c>
      <c r="J189" s="55">
        <f>Orders!J189</f>
        <v/>
      </c>
      <c r="K189" s="55">
        <f>Orders!K189</f>
        <v/>
      </c>
      <c r="L189" s="55">
        <f>VLOOKUP(D189,Products!$A$2:$F$61,3,FALSE())</f>
        <v/>
      </c>
      <c r="M189" s="55">
        <f>VLOOKUP(C189,Customers!$A$2:$F$301,5,FALSE())</f>
        <v/>
      </c>
      <c r="N189" s="55">
        <f>VLOOKUP(E189,Sales_Reps!$A$2:$E$31,3,FALSE())</f>
        <v/>
      </c>
      <c r="O189" s="55">
        <f>VLOOKUP(D189,Products!$A$2:$F$61,4,FALSE())</f>
        <v/>
      </c>
      <c r="P189" s="55">
        <f>VLOOKUP(C189,Customers!$A$2:$F$301,3,FALSE())</f>
        <v/>
      </c>
      <c r="Q189" s="55">
        <f>UPPER(TRIM(K189))</f>
        <v/>
      </c>
      <c r="R189" s="55">
        <f>(G189-O189)/G189</f>
        <v/>
      </c>
      <c r="S189" s="55">
        <f>VLOOKUP(D189,Products!$A$2:$F$61,6,FALSE())</f>
        <v/>
      </c>
      <c r="U189" s="55">
        <f>TRIM(Customers!B189)</f>
        <v/>
      </c>
      <c r="V189" s="55">
        <f>UPPER(TRIM(Customers!D189))</f>
        <v/>
      </c>
      <c r="W189" s="55">
        <f>LEN(Customers!B189)&lt;&gt;LEN(TRIM(Customers!B189))</f>
        <v/>
      </c>
    </row>
    <row r="190" ht="15" customHeight="1" s="56">
      <c r="A190" s="55">
        <f>Orders!A190</f>
        <v/>
      </c>
      <c r="B190" s="103">
        <f>Orders!B190</f>
        <v/>
      </c>
      <c r="C190" s="55">
        <f>Orders!C190</f>
        <v/>
      </c>
      <c r="D190" s="55">
        <f>Orders!D190</f>
        <v/>
      </c>
      <c r="E190" s="55">
        <f>Orders!E190</f>
        <v/>
      </c>
      <c r="F190" s="55">
        <f>Orders!F190</f>
        <v/>
      </c>
      <c r="G190" s="55">
        <f>Orders!G190</f>
        <v/>
      </c>
      <c r="H190" s="55">
        <f>Orders!H190</f>
        <v/>
      </c>
      <c r="I190" s="55">
        <f>Orders!I190</f>
        <v/>
      </c>
      <c r="J190" s="55">
        <f>Orders!J190</f>
        <v/>
      </c>
      <c r="K190" s="55">
        <f>Orders!K190</f>
        <v/>
      </c>
      <c r="L190" s="55">
        <f>VLOOKUP(D190,Products!$A$2:$F$61,3,FALSE())</f>
        <v/>
      </c>
      <c r="M190" s="55">
        <f>VLOOKUP(C190,Customers!$A$2:$F$301,5,FALSE())</f>
        <v/>
      </c>
      <c r="N190" s="55">
        <f>VLOOKUP(E190,Sales_Reps!$A$2:$E$31,3,FALSE())</f>
        <v/>
      </c>
      <c r="O190" s="55">
        <f>VLOOKUP(D190,Products!$A$2:$F$61,4,FALSE())</f>
        <v/>
      </c>
      <c r="P190" s="55">
        <f>VLOOKUP(C190,Customers!$A$2:$F$301,3,FALSE())</f>
        <v/>
      </c>
      <c r="Q190" s="55">
        <f>UPPER(TRIM(K190))</f>
        <v/>
      </c>
      <c r="R190" s="55">
        <f>(G190-O190)/G190</f>
        <v/>
      </c>
      <c r="S190" s="55">
        <f>VLOOKUP(D190,Products!$A$2:$F$61,6,FALSE())</f>
        <v/>
      </c>
      <c r="U190" s="55">
        <f>TRIM(Customers!B190)</f>
        <v/>
      </c>
      <c r="V190" s="55">
        <f>UPPER(TRIM(Customers!D190))</f>
        <v/>
      </c>
      <c r="W190" s="55">
        <f>LEN(Customers!B190)&lt;&gt;LEN(TRIM(Customers!B190))</f>
        <v/>
      </c>
    </row>
    <row r="191" ht="15" customHeight="1" s="56">
      <c r="A191" s="55">
        <f>Orders!A191</f>
        <v/>
      </c>
      <c r="B191" s="103">
        <f>Orders!B191</f>
        <v/>
      </c>
      <c r="C191" s="55">
        <f>Orders!C191</f>
        <v/>
      </c>
      <c r="D191" s="55">
        <f>Orders!D191</f>
        <v/>
      </c>
      <c r="E191" s="55">
        <f>Orders!E191</f>
        <v/>
      </c>
      <c r="F191" s="55">
        <f>Orders!F191</f>
        <v/>
      </c>
      <c r="G191" s="55">
        <f>Orders!G191</f>
        <v/>
      </c>
      <c r="H191" s="55">
        <f>Orders!H191</f>
        <v/>
      </c>
      <c r="I191" s="55">
        <f>Orders!I191</f>
        <v/>
      </c>
      <c r="J191" s="55">
        <f>Orders!J191</f>
        <v/>
      </c>
      <c r="K191" s="55">
        <f>Orders!K191</f>
        <v/>
      </c>
      <c r="L191" s="55">
        <f>VLOOKUP(D191,Products!$A$2:$F$61,3,FALSE())</f>
        <v/>
      </c>
      <c r="M191" s="55">
        <f>VLOOKUP(C191,Customers!$A$2:$F$301,5,FALSE())</f>
        <v/>
      </c>
      <c r="N191" s="55">
        <f>VLOOKUP(E191,Sales_Reps!$A$2:$E$31,3,FALSE())</f>
        <v/>
      </c>
      <c r="O191" s="55">
        <f>VLOOKUP(D191,Products!$A$2:$F$61,4,FALSE())</f>
        <v/>
      </c>
      <c r="P191" s="55">
        <f>VLOOKUP(C191,Customers!$A$2:$F$301,3,FALSE())</f>
        <v/>
      </c>
      <c r="Q191" s="55">
        <f>UPPER(TRIM(K191))</f>
        <v/>
      </c>
      <c r="R191" s="55">
        <f>(G191-O191)/G191</f>
        <v/>
      </c>
      <c r="S191" s="55">
        <f>VLOOKUP(D191,Products!$A$2:$F$61,6,FALSE())</f>
        <v/>
      </c>
      <c r="U191" s="55">
        <f>TRIM(Customers!B191)</f>
        <v/>
      </c>
      <c r="V191" s="55">
        <f>UPPER(TRIM(Customers!D191))</f>
        <v/>
      </c>
      <c r="W191" s="55">
        <f>LEN(Customers!B191)&lt;&gt;LEN(TRIM(Customers!B191))</f>
        <v/>
      </c>
    </row>
    <row r="192" ht="15" customHeight="1" s="56">
      <c r="A192" s="55">
        <f>Orders!A192</f>
        <v/>
      </c>
      <c r="B192" s="103">
        <f>Orders!B192</f>
        <v/>
      </c>
      <c r="C192" s="55">
        <f>Orders!C192</f>
        <v/>
      </c>
      <c r="D192" s="55">
        <f>Orders!D192</f>
        <v/>
      </c>
      <c r="E192" s="55">
        <f>Orders!E192</f>
        <v/>
      </c>
      <c r="F192" s="55">
        <f>Orders!F192</f>
        <v/>
      </c>
      <c r="G192" s="55">
        <f>Orders!G192</f>
        <v/>
      </c>
      <c r="H192" s="55">
        <f>Orders!H192</f>
        <v/>
      </c>
      <c r="I192" s="55">
        <f>Orders!I192</f>
        <v/>
      </c>
      <c r="J192" s="55">
        <f>Orders!J192</f>
        <v/>
      </c>
      <c r="K192" s="55">
        <f>Orders!K192</f>
        <v/>
      </c>
      <c r="L192" s="55">
        <f>VLOOKUP(D192,Products!$A$2:$F$61,3,FALSE())</f>
        <v/>
      </c>
      <c r="M192" s="55">
        <f>VLOOKUP(C192,Customers!$A$2:$F$301,5,FALSE())</f>
        <v/>
      </c>
      <c r="N192" s="55">
        <f>VLOOKUP(E192,Sales_Reps!$A$2:$E$31,3,FALSE())</f>
        <v/>
      </c>
      <c r="O192" s="55">
        <f>VLOOKUP(D192,Products!$A$2:$F$61,4,FALSE())</f>
        <v/>
      </c>
      <c r="P192" s="55">
        <f>VLOOKUP(C192,Customers!$A$2:$F$301,3,FALSE())</f>
        <v/>
      </c>
      <c r="Q192" s="55">
        <f>UPPER(TRIM(K192))</f>
        <v/>
      </c>
      <c r="R192" s="55">
        <f>(G192-O192)/G192</f>
        <v/>
      </c>
      <c r="S192" s="55">
        <f>VLOOKUP(D192,Products!$A$2:$F$61,6,FALSE())</f>
        <v/>
      </c>
      <c r="U192" s="55">
        <f>TRIM(Customers!B192)</f>
        <v/>
      </c>
      <c r="V192" s="55">
        <f>UPPER(TRIM(Customers!D192))</f>
        <v/>
      </c>
      <c r="W192" s="55">
        <f>LEN(Customers!B192)&lt;&gt;LEN(TRIM(Customers!B192))</f>
        <v/>
      </c>
    </row>
    <row r="193" ht="15" customHeight="1" s="56">
      <c r="A193" s="55">
        <f>Orders!A193</f>
        <v/>
      </c>
      <c r="B193" s="103">
        <f>Orders!B193</f>
        <v/>
      </c>
      <c r="C193" s="55">
        <f>Orders!C193</f>
        <v/>
      </c>
      <c r="D193" s="55">
        <f>Orders!D193</f>
        <v/>
      </c>
      <c r="E193" s="55">
        <f>Orders!E193</f>
        <v/>
      </c>
      <c r="F193" s="55">
        <f>Orders!F193</f>
        <v/>
      </c>
      <c r="G193" s="55">
        <f>Orders!G193</f>
        <v/>
      </c>
      <c r="H193" s="55">
        <f>Orders!H193</f>
        <v/>
      </c>
      <c r="I193" s="55">
        <f>Orders!I193</f>
        <v/>
      </c>
      <c r="J193" s="55">
        <f>Orders!J193</f>
        <v/>
      </c>
      <c r="K193" s="55">
        <f>Orders!K193</f>
        <v/>
      </c>
      <c r="L193" s="55">
        <f>VLOOKUP(D193,Products!$A$2:$F$61,3,FALSE())</f>
        <v/>
      </c>
      <c r="M193" s="55">
        <f>VLOOKUP(C193,Customers!$A$2:$F$301,5,FALSE())</f>
        <v/>
      </c>
      <c r="N193" s="55">
        <f>VLOOKUP(E193,Sales_Reps!$A$2:$E$31,3,FALSE())</f>
        <v/>
      </c>
      <c r="O193" s="55">
        <f>VLOOKUP(D193,Products!$A$2:$F$61,4,FALSE())</f>
        <v/>
      </c>
      <c r="P193" s="55">
        <f>VLOOKUP(C193,Customers!$A$2:$F$301,3,FALSE())</f>
        <v/>
      </c>
      <c r="Q193" s="55">
        <f>UPPER(TRIM(K193))</f>
        <v/>
      </c>
      <c r="R193" s="55">
        <f>(G193-O193)/G193</f>
        <v/>
      </c>
      <c r="S193" s="55">
        <f>VLOOKUP(D193,Products!$A$2:$F$61,6,FALSE())</f>
        <v/>
      </c>
      <c r="U193" s="55">
        <f>TRIM(Customers!B193)</f>
        <v/>
      </c>
      <c r="V193" s="55">
        <f>UPPER(TRIM(Customers!D193))</f>
        <v/>
      </c>
      <c r="W193" s="55">
        <f>LEN(Customers!B193)&lt;&gt;LEN(TRIM(Customers!B193))</f>
        <v/>
      </c>
    </row>
    <row r="194" ht="15" customHeight="1" s="56">
      <c r="A194" s="55">
        <f>Orders!A194</f>
        <v/>
      </c>
      <c r="B194" s="103">
        <f>Orders!B194</f>
        <v/>
      </c>
      <c r="C194" s="55">
        <f>Orders!C194</f>
        <v/>
      </c>
      <c r="D194" s="55">
        <f>Orders!D194</f>
        <v/>
      </c>
      <c r="E194" s="55">
        <f>Orders!E194</f>
        <v/>
      </c>
      <c r="F194" s="55">
        <f>Orders!F194</f>
        <v/>
      </c>
      <c r="G194" s="55">
        <f>Orders!G194</f>
        <v/>
      </c>
      <c r="H194" s="55">
        <f>Orders!H194</f>
        <v/>
      </c>
      <c r="I194" s="55">
        <f>Orders!I194</f>
        <v/>
      </c>
      <c r="J194" s="55">
        <f>Orders!J194</f>
        <v/>
      </c>
      <c r="K194" s="55">
        <f>Orders!K194</f>
        <v/>
      </c>
      <c r="L194" s="55">
        <f>VLOOKUP(D194,Products!$A$2:$F$61,3,FALSE())</f>
        <v/>
      </c>
      <c r="M194" s="55">
        <f>VLOOKUP(C194,Customers!$A$2:$F$301,5,FALSE())</f>
        <v/>
      </c>
      <c r="N194" s="55">
        <f>VLOOKUP(E194,Sales_Reps!$A$2:$E$31,3,FALSE())</f>
        <v/>
      </c>
      <c r="O194" s="55">
        <f>VLOOKUP(D194,Products!$A$2:$F$61,4,FALSE())</f>
        <v/>
      </c>
      <c r="P194" s="55">
        <f>VLOOKUP(C194,Customers!$A$2:$F$301,3,FALSE())</f>
        <v/>
      </c>
      <c r="Q194" s="55">
        <f>UPPER(TRIM(K194))</f>
        <v/>
      </c>
      <c r="R194" s="55">
        <f>(G194-O194)/G194</f>
        <v/>
      </c>
      <c r="S194" s="55">
        <f>VLOOKUP(D194,Products!$A$2:$F$61,6,FALSE())</f>
        <v/>
      </c>
      <c r="U194" s="55">
        <f>TRIM(Customers!B194)</f>
        <v/>
      </c>
      <c r="V194" s="55">
        <f>UPPER(TRIM(Customers!D194))</f>
        <v/>
      </c>
      <c r="W194" s="55">
        <f>LEN(Customers!B194)&lt;&gt;LEN(TRIM(Customers!B194))</f>
        <v/>
      </c>
    </row>
    <row r="195" ht="15" customHeight="1" s="56">
      <c r="A195" s="55">
        <f>Orders!A195</f>
        <v/>
      </c>
      <c r="B195" s="103">
        <f>Orders!B195</f>
        <v/>
      </c>
      <c r="C195" s="55">
        <f>Orders!C195</f>
        <v/>
      </c>
      <c r="D195" s="55">
        <f>Orders!D195</f>
        <v/>
      </c>
      <c r="E195" s="55">
        <f>Orders!E195</f>
        <v/>
      </c>
      <c r="F195" s="55">
        <f>Orders!F195</f>
        <v/>
      </c>
      <c r="G195" s="55">
        <f>Orders!G195</f>
        <v/>
      </c>
      <c r="H195" s="55">
        <f>Orders!H195</f>
        <v/>
      </c>
      <c r="I195" s="55">
        <f>Orders!I195</f>
        <v/>
      </c>
      <c r="J195" s="55">
        <f>Orders!J195</f>
        <v/>
      </c>
      <c r="K195" s="55">
        <f>Orders!K195</f>
        <v/>
      </c>
      <c r="L195" s="55">
        <f>VLOOKUP(D195,Products!$A$2:$F$61,3,FALSE())</f>
        <v/>
      </c>
      <c r="M195" s="55">
        <f>VLOOKUP(C195,Customers!$A$2:$F$301,5,FALSE())</f>
        <v/>
      </c>
      <c r="N195" s="55">
        <f>VLOOKUP(E195,Sales_Reps!$A$2:$E$31,3,FALSE())</f>
        <v/>
      </c>
      <c r="O195" s="55">
        <f>VLOOKUP(D195,Products!$A$2:$F$61,4,FALSE())</f>
        <v/>
      </c>
      <c r="P195" s="55">
        <f>VLOOKUP(C195,Customers!$A$2:$F$301,3,FALSE())</f>
        <v/>
      </c>
      <c r="Q195" s="55">
        <f>UPPER(TRIM(K195))</f>
        <v/>
      </c>
      <c r="R195" s="55">
        <f>(G195-O195)/G195</f>
        <v/>
      </c>
      <c r="S195" s="55">
        <f>VLOOKUP(D195,Products!$A$2:$F$61,6,FALSE())</f>
        <v/>
      </c>
      <c r="U195" s="55">
        <f>TRIM(Customers!B195)</f>
        <v/>
      </c>
      <c r="V195" s="55">
        <f>UPPER(TRIM(Customers!D195))</f>
        <v/>
      </c>
      <c r="W195" s="55">
        <f>LEN(Customers!B195)&lt;&gt;LEN(TRIM(Customers!B195))</f>
        <v/>
      </c>
    </row>
    <row r="196" ht="15" customHeight="1" s="56">
      <c r="A196" s="55">
        <f>Orders!A196</f>
        <v/>
      </c>
      <c r="B196" s="103">
        <f>Orders!B196</f>
        <v/>
      </c>
      <c r="C196" s="55">
        <f>Orders!C196</f>
        <v/>
      </c>
      <c r="D196" s="55">
        <f>Orders!D196</f>
        <v/>
      </c>
      <c r="E196" s="55">
        <f>Orders!E196</f>
        <v/>
      </c>
      <c r="F196" s="55">
        <f>Orders!F196</f>
        <v/>
      </c>
      <c r="G196" s="55">
        <f>Orders!G196</f>
        <v/>
      </c>
      <c r="H196" s="55">
        <f>Orders!H196</f>
        <v/>
      </c>
      <c r="I196" s="55">
        <f>Orders!I196</f>
        <v/>
      </c>
      <c r="J196" s="55">
        <f>Orders!J196</f>
        <v/>
      </c>
      <c r="K196" s="55">
        <f>Orders!K196</f>
        <v/>
      </c>
      <c r="L196" s="55">
        <f>VLOOKUP(D196,Products!$A$2:$F$61,3,FALSE())</f>
        <v/>
      </c>
      <c r="M196" s="55">
        <f>VLOOKUP(C196,Customers!$A$2:$F$301,5,FALSE())</f>
        <v/>
      </c>
      <c r="N196" s="55">
        <f>VLOOKUP(E196,Sales_Reps!$A$2:$E$31,3,FALSE())</f>
        <v/>
      </c>
      <c r="O196" s="55">
        <f>VLOOKUP(D196,Products!$A$2:$F$61,4,FALSE())</f>
        <v/>
      </c>
      <c r="P196" s="55">
        <f>VLOOKUP(C196,Customers!$A$2:$F$301,3,FALSE())</f>
        <v/>
      </c>
      <c r="Q196" s="55">
        <f>UPPER(TRIM(K196))</f>
        <v/>
      </c>
      <c r="R196" s="55">
        <f>(G196-O196)/G196</f>
        <v/>
      </c>
      <c r="S196" s="55">
        <f>VLOOKUP(D196,Products!$A$2:$F$61,6,FALSE())</f>
        <v/>
      </c>
      <c r="U196" s="55">
        <f>TRIM(Customers!B196)</f>
        <v/>
      </c>
      <c r="V196" s="55">
        <f>UPPER(TRIM(Customers!D196))</f>
        <v/>
      </c>
      <c r="W196" s="55">
        <f>LEN(Customers!B196)&lt;&gt;LEN(TRIM(Customers!B196))</f>
        <v/>
      </c>
    </row>
    <row r="197" ht="15" customHeight="1" s="56">
      <c r="A197" s="55">
        <f>Orders!A197</f>
        <v/>
      </c>
      <c r="B197" s="103">
        <f>Orders!B197</f>
        <v/>
      </c>
      <c r="C197" s="55">
        <f>Orders!C197</f>
        <v/>
      </c>
      <c r="D197" s="55">
        <f>Orders!D197</f>
        <v/>
      </c>
      <c r="E197" s="55">
        <f>Orders!E197</f>
        <v/>
      </c>
      <c r="F197" s="55">
        <f>Orders!F197</f>
        <v/>
      </c>
      <c r="G197" s="55">
        <f>Orders!G197</f>
        <v/>
      </c>
      <c r="H197" s="55">
        <f>Orders!H197</f>
        <v/>
      </c>
      <c r="I197" s="55">
        <f>Orders!I197</f>
        <v/>
      </c>
      <c r="J197" s="55">
        <f>Orders!J197</f>
        <v/>
      </c>
      <c r="K197" s="55">
        <f>Orders!K197</f>
        <v/>
      </c>
      <c r="L197" s="55">
        <f>VLOOKUP(D197,Products!$A$2:$F$61,3,FALSE())</f>
        <v/>
      </c>
      <c r="M197" s="55">
        <f>VLOOKUP(C197,Customers!$A$2:$F$301,5,FALSE())</f>
        <v/>
      </c>
      <c r="N197" s="55">
        <f>VLOOKUP(E197,Sales_Reps!$A$2:$E$31,3,FALSE())</f>
        <v/>
      </c>
      <c r="O197" s="55">
        <f>VLOOKUP(D197,Products!$A$2:$F$61,4,FALSE())</f>
        <v/>
      </c>
      <c r="P197" s="55">
        <f>VLOOKUP(C197,Customers!$A$2:$F$301,3,FALSE())</f>
        <v/>
      </c>
      <c r="Q197" s="55">
        <f>UPPER(TRIM(K197))</f>
        <v/>
      </c>
      <c r="R197" s="55">
        <f>(G197-O197)/G197</f>
        <v/>
      </c>
      <c r="S197" s="55">
        <f>VLOOKUP(D197,Products!$A$2:$F$61,6,FALSE())</f>
        <v/>
      </c>
      <c r="U197" s="55">
        <f>TRIM(Customers!B197)</f>
        <v/>
      </c>
      <c r="V197" s="55">
        <f>UPPER(TRIM(Customers!D197))</f>
        <v/>
      </c>
      <c r="W197" s="55">
        <f>LEN(Customers!B197)&lt;&gt;LEN(TRIM(Customers!B197))</f>
        <v/>
      </c>
    </row>
    <row r="198" ht="15" customHeight="1" s="56">
      <c r="A198" s="55">
        <f>Orders!A198</f>
        <v/>
      </c>
      <c r="B198" s="103">
        <f>Orders!B198</f>
        <v/>
      </c>
      <c r="C198" s="55">
        <f>Orders!C198</f>
        <v/>
      </c>
      <c r="D198" s="55">
        <f>Orders!D198</f>
        <v/>
      </c>
      <c r="E198" s="55">
        <f>Orders!E198</f>
        <v/>
      </c>
      <c r="F198" s="55">
        <f>Orders!F198</f>
        <v/>
      </c>
      <c r="G198" s="55">
        <f>Orders!G198</f>
        <v/>
      </c>
      <c r="H198" s="55">
        <f>Orders!H198</f>
        <v/>
      </c>
      <c r="I198" s="55">
        <f>Orders!I198</f>
        <v/>
      </c>
      <c r="J198" s="55">
        <f>Orders!J198</f>
        <v/>
      </c>
      <c r="K198" s="55">
        <f>Orders!K198</f>
        <v/>
      </c>
      <c r="L198" s="55">
        <f>VLOOKUP(D198,Products!$A$2:$F$61,3,FALSE())</f>
        <v/>
      </c>
      <c r="M198" s="55">
        <f>VLOOKUP(C198,Customers!$A$2:$F$301,5,FALSE())</f>
        <v/>
      </c>
      <c r="N198" s="55">
        <f>VLOOKUP(E198,Sales_Reps!$A$2:$E$31,3,FALSE())</f>
        <v/>
      </c>
      <c r="O198" s="55">
        <f>VLOOKUP(D198,Products!$A$2:$F$61,4,FALSE())</f>
        <v/>
      </c>
      <c r="P198" s="55">
        <f>VLOOKUP(C198,Customers!$A$2:$F$301,3,FALSE())</f>
        <v/>
      </c>
      <c r="Q198" s="55">
        <f>UPPER(TRIM(K198))</f>
        <v/>
      </c>
      <c r="R198" s="55">
        <f>(G198-O198)/G198</f>
        <v/>
      </c>
      <c r="S198" s="55">
        <f>VLOOKUP(D198,Products!$A$2:$F$61,6,FALSE())</f>
        <v/>
      </c>
      <c r="U198" s="55">
        <f>TRIM(Customers!B198)</f>
        <v/>
      </c>
      <c r="V198" s="55">
        <f>UPPER(TRIM(Customers!D198))</f>
        <v/>
      </c>
      <c r="W198" s="55">
        <f>LEN(Customers!B198)&lt;&gt;LEN(TRIM(Customers!B198))</f>
        <v/>
      </c>
    </row>
    <row r="199" ht="15" customHeight="1" s="56">
      <c r="A199" s="55">
        <f>Orders!A199</f>
        <v/>
      </c>
      <c r="B199" s="103">
        <f>Orders!B199</f>
        <v/>
      </c>
      <c r="C199" s="55">
        <f>Orders!C199</f>
        <v/>
      </c>
      <c r="D199" s="55">
        <f>Orders!D199</f>
        <v/>
      </c>
      <c r="E199" s="55">
        <f>Orders!E199</f>
        <v/>
      </c>
      <c r="F199" s="55">
        <f>Orders!F199</f>
        <v/>
      </c>
      <c r="G199" s="55">
        <f>Orders!G199</f>
        <v/>
      </c>
      <c r="H199" s="55">
        <f>Orders!H199</f>
        <v/>
      </c>
      <c r="I199" s="55">
        <f>Orders!I199</f>
        <v/>
      </c>
      <c r="J199" s="55">
        <f>Orders!J199</f>
        <v/>
      </c>
      <c r="K199" s="55">
        <f>Orders!K199</f>
        <v/>
      </c>
      <c r="L199" s="55">
        <f>VLOOKUP(D199,Products!$A$2:$F$61,3,FALSE())</f>
        <v/>
      </c>
      <c r="M199" s="55">
        <f>VLOOKUP(C199,Customers!$A$2:$F$301,5,FALSE())</f>
        <v/>
      </c>
      <c r="N199" s="55">
        <f>VLOOKUP(E199,Sales_Reps!$A$2:$E$31,3,FALSE())</f>
        <v/>
      </c>
      <c r="O199" s="55">
        <f>VLOOKUP(D199,Products!$A$2:$F$61,4,FALSE())</f>
        <v/>
      </c>
      <c r="P199" s="55">
        <f>VLOOKUP(C199,Customers!$A$2:$F$301,3,FALSE())</f>
        <v/>
      </c>
      <c r="Q199" s="55">
        <f>UPPER(TRIM(K199))</f>
        <v/>
      </c>
      <c r="R199" s="55">
        <f>(G199-O199)/G199</f>
        <v/>
      </c>
      <c r="S199" s="55">
        <f>VLOOKUP(D199,Products!$A$2:$F$61,6,FALSE())</f>
        <v/>
      </c>
      <c r="U199" s="55">
        <f>TRIM(Customers!B199)</f>
        <v/>
      </c>
      <c r="V199" s="55">
        <f>UPPER(TRIM(Customers!D199))</f>
        <v/>
      </c>
      <c r="W199" s="55">
        <f>LEN(Customers!B199)&lt;&gt;LEN(TRIM(Customers!B199))</f>
        <v/>
      </c>
    </row>
    <row r="200" ht="15" customHeight="1" s="56">
      <c r="A200" s="55">
        <f>Orders!A200</f>
        <v/>
      </c>
      <c r="B200" s="103">
        <f>Orders!B200</f>
        <v/>
      </c>
      <c r="C200" s="55">
        <f>Orders!C200</f>
        <v/>
      </c>
      <c r="D200" s="55">
        <f>Orders!D200</f>
        <v/>
      </c>
      <c r="E200" s="55">
        <f>Orders!E200</f>
        <v/>
      </c>
      <c r="F200" s="55">
        <f>Orders!F200</f>
        <v/>
      </c>
      <c r="G200" s="55">
        <f>Orders!G200</f>
        <v/>
      </c>
      <c r="H200" s="55">
        <f>Orders!H200</f>
        <v/>
      </c>
      <c r="I200" s="55">
        <f>Orders!I200</f>
        <v/>
      </c>
      <c r="J200" s="55">
        <f>Orders!J200</f>
        <v/>
      </c>
      <c r="K200" s="55">
        <f>Orders!K200</f>
        <v/>
      </c>
      <c r="L200" s="55">
        <f>VLOOKUP(D200,Products!$A$2:$F$61,3,FALSE())</f>
        <v/>
      </c>
      <c r="M200" s="55">
        <f>VLOOKUP(C200,Customers!$A$2:$F$301,5,FALSE())</f>
        <v/>
      </c>
      <c r="N200" s="55">
        <f>VLOOKUP(E200,Sales_Reps!$A$2:$E$31,3,FALSE())</f>
        <v/>
      </c>
      <c r="O200" s="55">
        <f>VLOOKUP(D200,Products!$A$2:$F$61,4,FALSE())</f>
        <v/>
      </c>
      <c r="P200" s="55">
        <f>VLOOKUP(C200,Customers!$A$2:$F$301,3,FALSE())</f>
        <v/>
      </c>
      <c r="Q200" s="55">
        <f>UPPER(TRIM(K200))</f>
        <v/>
      </c>
      <c r="R200" s="55">
        <f>(G200-O200)/G200</f>
        <v/>
      </c>
      <c r="S200" s="55">
        <f>VLOOKUP(D200,Products!$A$2:$F$61,6,FALSE())</f>
        <v/>
      </c>
      <c r="U200" s="55">
        <f>TRIM(Customers!B200)</f>
        <v/>
      </c>
      <c r="V200" s="55">
        <f>UPPER(TRIM(Customers!D200))</f>
        <v/>
      </c>
      <c r="W200" s="55">
        <f>LEN(Customers!B200)&lt;&gt;LEN(TRIM(Customers!B200))</f>
        <v/>
      </c>
    </row>
    <row r="201" ht="15" customHeight="1" s="56">
      <c r="A201" s="55">
        <f>Orders!A201</f>
        <v/>
      </c>
      <c r="B201" s="103">
        <f>Orders!B201</f>
        <v/>
      </c>
      <c r="C201" s="55">
        <f>Orders!C201</f>
        <v/>
      </c>
      <c r="D201" s="55">
        <f>Orders!D201</f>
        <v/>
      </c>
      <c r="E201" s="55">
        <f>Orders!E201</f>
        <v/>
      </c>
      <c r="F201" s="55">
        <f>Orders!F201</f>
        <v/>
      </c>
      <c r="G201" s="55">
        <f>Orders!G201</f>
        <v/>
      </c>
      <c r="H201" s="55">
        <f>Orders!H201</f>
        <v/>
      </c>
      <c r="I201" s="55">
        <f>Orders!I201</f>
        <v/>
      </c>
      <c r="J201" s="55">
        <f>Orders!J201</f>
        <v/>
      </c>
      <c r="K201" s="55">
        <f>Orders!K201</f>
        <v/>
      </c>
      <c r="L201" s="55">
        <f>VLOOKUP(D201,Products!$A$2:$F$61,3,FALSE())</f>
        <v/>
      </c>
      <c r="M201" s="55">
        <f>VLOOKUP(C201,Customers!$A$2:$F$301,5,FALSE())</f>
        <v/>
      </c>
      <c r="N201" s="55">
        <f>VLOOKUP(E201,Sales_Reps!$A$2:$E$31,3,FALSE())</f>
        <v/>
      </c>
      <c r="O201" s="55">
        <f>VLOOKUP(D201,Products!$A$2:$F$61,4,FALSE())</f>
        <v/>
      </c>
      <c r="P201" s="55">
        <f>VLOOKUP(C201,Customers!$A$2:$F$301,3,FALSE())</f>
        <v/>
      </c>
      <c r="Q201" s="55">
        <f>UPPER(TRIM(K201))</f>
        <v/>
      </c>
      <c r="R201" s="55">
        <f>(G201-O201)/G201</f>
        <v/>
      </c>
      <c r="S201" s="55">
        <f>VLOOKUP(D201,Products!$A$2:$F$61,6,FALSE())</f>
        <v/>
      </c>
      <c r="U201" s="55">
        <f>TRIM(Customers!B201)</f>
        <v/>
      </c>
      <c r="V201" s="55">
        <f>UPPER(TRIM(Customers!D201))</f>
        <v/>
      </c>
      <c r="W201" s="55">
        <f>LEN(Customers!B201)&lt;&gt;LEN(TRIM(Customers!B201))</f>
        <v/>
      </c>
    </row>
    <row r="202" ht="15" customHeight="1" s="56">
      <c r="A202" s="55">
        <f>Orders!A202</f>
        <v/>
      </c>
      <c r="B202" s="103">
        <f>Orders!B202</f>
        <v/>
      </c>
      <c r="C202" s="55">
        <f>Orders!C202</f>
        <v/>
      </c>
      <c r="D202" s="55">
        <f>Orders!D202</f>
        <v/>
      </c>
      <c r="E202" s="55">
        <f>Orders!E202</f>
        <v/>
      </c>
      <c r="F202" s="55">
        <f>Orders!F202</f>
        <v/>
      </c>
      <c r="G202" s="55">
        <f>Orders!G202</f>
        <v/>
      </c>
      <c r="H202" s="55">
        <f>Orders!H202</f>
        <v/>
      </c>
      <c r="I202" s="55">
        <f>Orders!I202</f>
        <v/>
      </c>
      <c r="J202" s="55">
        <f>Orders!J202</f>
        <v/>
      </c>
      <c r="K202" s="55">
        <f>Orders!K202</f>
        <v/>
      </c>
      <c r="L202" s="55">
        <f>VLOOKUP(D202,Products!$A$2:$F$61,3,FALSE())</f>
        <v/>
      </c>
      <c r="M202" s="55">
        <f>VLOOKUP(C202,Customers!$A$2:$F$301,5,FALSE())</f>
        <v/>
      </c>
      <c r="N202" s="55">
        <f>VLOOKUP(E202,Sales_Reps!$A$2:$E$31,3,FALSE())</f>
        <v/>
      </c>
      <c r="O202" s="55">
        <f>VLOOKUP(D202,Products!$A$2:$F$61,4,FALSE())</f>
        <v/>
      </c>
      <c r="P202" s="55">
        <f>VLOOKUP(C202,Customers!$A$2:$F$301,3,FALSE())</f>
        <v/>
      </c>
      <c r="Q202" s="55">
        <f>UPPER(TRIM(K202))</f>
        <v/>
      </c>
      <c r="R202" s="55">
        <f>(G202-O202)/G202</f>
        <v/>
      </c>
      <c r="S202" s="55">
        <f>VLOOKUP(D202,Products!$A$2:$F$61,6,FALSE())</f>
        <v/>
      </c>
      <c r="U202" s="55">
        <f>TRIM(Customers!B202)</f>
        <v/>
      </c>
      <c r="V202" s="55">
        <f>UPPER(TRIM(Customers!D202))</f>
        <v/>
      </c>
      <c r="W202" s="55">
        <f>LEN(Customers!B202)&lt;&gt;LEN(TRIM(Customers!B202))</f>
        <v/>
      </c>
    </row>
    <row r="203" ht="15" customHeight="1" s="56">
      <c r="A203" s="55">
        <f>Orders!A203</f>
        <v/>
      </c>
      <c r="B203" s="103">
        <f>Orders!B203</f>
        <v/>
      </c>
      <c r="C203" s="55">
        <f>Orders!C203</f>
        <v/>
      </c>
      <c r="D203" s="55">
        <f>Orders!D203</f>
        <v/>
      </c>
      <c r="E203" s="55">
        <f>Orders!E203</f>
        <v/>
      </c>
      <c r="F203" s="55">
        <f>Orders!F203</f>
        <v/>
      </c>
      <c r="G203" s="55">
        <f>Orders!G203</f>
        <v/>
      </c>
      <c r="H203" s="55">
        <f>Orders!H203</f>
        <v/>
      </c>
      <c r="I203" s="55">
        <f>Orders!I203</f>
        <v/>
      </c>
      <c r="J203" s="55">
        <f>Orders!J203</f>
        <v/>
      </c>
      <c r="K203" s="55">
        <f>Orders!K203</f>
        <v/>
      </c>
      <c r="L203" s="55">
        <f>VLOOKUP(D203,Products!$A$2:$F$61,3,FALSE())</f>
        <v/>
      </c>
      <c r="M203" s="55">
        <f>VLOOKUP(C203,Customers!$A$2:$F$301,5,FALSE())</f>
        <v/>
      </c>
      <c r="N203" s="55">
        <f>VLOOKUP(E203,Sales_Reps!$A$2:$E$31,3,FALSE())</f>
        <v/>
      </c>
      <c r="O203" s="55">
        <f>VLOOKUP(D203,Products!$A$2:$F$61,4,FALSE())</f>
        <v/>
      </c>
      <c r="P203" s="55">
        <f>VLOOKUP(C203,Customers!$A$2:$F$301,3,FALSE())</f>
        <v/>
      </c>
      <c r="Q203" s="55">
        <f>UPPER(TRIM(K203))</f>
        <v/>
      </c>
      <c r="R203" s="55">
        <f>(G203-O203)/G203</f>
        <v/>
      </c>
      <c r="S203" s="55">
        <f>VLOOKUP(D203,Products!$A$2:$F$61,6,FALSE())</f>
        <v/>
      </c>
      <c r="U203" s="55">
        <f>TRIM(Customers!B203)</f>
        <v/>
      </c>
      <c r="V203" s="55">
        <f>UPPER(TRIM(Customers!D203))</f>
        <v/>
      </c>
      <c r="W203" s="55">
        <f>LEN(Customers!B203)&lt;&gt;LEN(TRIM(Customers!B203))</f>
        <v/>
      </c>
    </row>
    <row r="204" ht="15" customHeight="1" s="56">
      <c r="A204" s="55">
        <f>Orders!A204</f>
        <v/>
      </c>
      <c r="B204" s="103">
        <f>Orders!B204</f>
        <v/>
      </c>
      <c r="C204" s="55">
        <f>Orders!C204</f>
        <v/>
      </c>
      <c r="D204" s="55">
        <f>Orders!D204</f>
        <v/>
      </c>
      <c r="E204" s="55">
        <f>Orders!E204</f>
        <v/>
      </c>
      <c r="F204" s="55">
        <f>Orders!F204</f>
        <v/>
      </c>
      <c r="G204" s="55">
        <f>Orders!G204</f>
        <v/>
      </c>
      <c r="H204" s="55">
        <f>Orders!H204</f>
        <v/>
      </c>
      <c r="I204" s="55">
        <f>Orders!I204</f>
        <v/>
      </c>
      <c r="J204" s="55">
        <f>Orders!J204</f>
        <v/>
      </c>
      <c r="K204" s="55">
        <f>Orders!K204</f>
        <v/>
      </c>
      <c r="L204" s="55">
        <f>VLOOKUP(D204,Products!$A$2:$F$61,3,FALSE())</f>
        <v/>
      </c>
      <c r="M204" s="55">
        <f>VLOOKUP(C204,Customers!$A$2:$F$301,5,FALSE())</f>
        <v/>
      </c>
      <c r="N204" s="55">
        <f>VLOOKUP(E204,Sales_Reps!$A$2:$E$31,3,FALSE())</f>
        <v/>
      </c>
      <c r="O204" s="55">
        <f>VLOOKUP(D204,Products!$A$2:$F$61,4,FALSE())</f>
        <v/>
      </c>
      <c r="P204" s="55">
        <f>VLOOKUP(C204,Customers!$A$2:$F$301,3,FALSE())</f>
        <v/>
      </c>
      <c r="Q204" s="55">
        <f>UPPER(TRIM(K204))</f>
        <v/>
      </c>
      <c r="R204" s="55">
        <f>(G204-O204)/G204</f>
        <v/>
      </c>
      <c r="S204" s="55">
        <f>VLOOKUP(D204,Products!$A$2:$F$61,6,FALSE())</f>
        <v/>
      </c>
      <c r="U204" s="55">
        <f>TRIM(Customers!B204)</f>
        <v/>
      </c>
      <c r="V204" s="55">
        <f>UPPER(TRIM(Customers!D204))</f>
        <v/>
      </c>
      <c r="W204" s="55">
        <f>LEN(Customers!B204)&lt;&gt;LEN(TRIM(Customers!B204))</f>
        <v/>
      </c>
    </row>
    <row r="205" ht="15" customHeight="1" s="56">
      <c r="A205" s="55">
        <f>Orders!A205</f>
        <v/>
      </c>
      <c r="B205" s="103">
        <f>Orders!B205</f>
        <v/>
      </c>
      <c r="C205" s="55">
        <f>Orders!C205</f>
        <v/>
      </c>
      <c r="D205" s="55">
        <f>Orders!D205</f>
        <v/>
      </c>
      <c r="E205" s="55">
        <f>Orders!E205</f>
        <v/>
      </c>
      <c r="F205" s="55">
        <f>Orders!F205</f>
        <v/>
      </c>
      <c r="G205" s="55">
        <f>Orders!G205</f>
        <v/>
      </c>
      <c r="H205" s="55">
        <f>Orders!H205</f>
        <v/>
      </c>
      <c r="I205" s="55">
        <f>Orders!I205</f>
        <v/>
      </c>
      <c r="J205" s="55">
        <f>Orders!J205</f>
        <v/>
      </c>
      <c r="K205" s="55">
        <f>Orders!K205</f>
        <v/>
      </c>
      <c r="L205" s="55">
        <f>VLOOKUP(D205,Products!$A$2:$F$61,3,FALSE())</f>
        <v/>
      </c>
      <c r="M205" s="55">
        <f>VLOOKUP(C205,Customers!$A$2:$F$301,5,FALSE())</f>
        <v/>
      </c>
      <c r="N205" s="55">
        <f>VLOOKUP(E205,Sales_Reps!$A$2:$E$31,3,FALSE())</f>
        <v/>
      </c>
      <c r="O205" s="55">
        <f>VLOOKUP(D205,Products!$A$2:$F$61,4,FALSE())</f>
        <v/>
      </c>
      <c r="P205" s="55">
        <f>VLOOKUP(C205,Customers!$A$2:$F$301,3,FALSE())</f>
        <v/>
      </c>
      <c r="Q205" s="55">
        <f>UPPER(TRIM(K205))</f>
        <v/>
      </c>
      <c r="R205" s="55">
        <f>(G205-O205)/G205</f>
        <v/>
      </c>
      <c r="S205" s="55">
        <f>VLOOKUP(D205,Products!$A$2:$F$61,6,FALSE())</f>
        <v/>
      </c>
      <c r="U205" s="55">
        <f>TRIM(Customers!B205)</f>
        <v/>
      </c>
      <c r="V205" s="55">
        <f>UPPER(TRIM(Customers!D205))</f>
        <v/>
      </c>
      <c r="W205" s="55">
        <f>LEN(Customers!B205)&lt;&gt;LEN(TRIM(Customers!B205))</f>
        <v/>
      </c>
    </row>
    <row r="206" ht="15" customHeight="1" s="56">
      <c r="A206" s="55">
        <f>Orders!A206</f>
        <v/>
      </c>
      <c r="B206" s="103">
        <f>Orders!B206</f>
        <v/>
      </c>
      <c r="C206" s="55">
        <f>Orders!C206</f>
        <v/>
      </c>
      <c r="D206" s="55">
        <f>Orders!D206</f>
        <v/>
      </c>
      <c r="E206" s="55">
        <f>Orders!E206</f>
        <v/>
      </c>
      <c r="F206" s="55">
        <f>Orders!F206</f>
        <v/>
      </c>
      <c r="G206" s="55">
        <f>Orders!G206</f>
        <v/>
      </c>
      <c r="H206" s="55">
        <f>Orders!H206</f>
        <v/>
      </c>
      <c r="I206" s="55">
        <f>Orders!I206</f>
        <v/>
      </c>
      <c r="J206" s="55">
        <f>Orders!J206</f>
        <v/>
      </c>
      <c r="K206" s="55">
        <f>Orders!K206</f>
        <v/>
      </c>
      <c r="L206" s="55">
        <f>VLOOKUP(D206,Products!$A$2:$F$61,3,FALSE())</f>
        <v/>
      </c>
      <c r="M206" s="55">
        <f>VLOOKUP(C206,Customers!$A$2:$F$301,5,FALSE())</f>
        <v/>
      </c>
      <c r="N206" s="55">
        <f>VLOOKUP(E206,Sales_Reps!$A$2:$E$31,3,FALSE())</f>
        <v/>
      </c>
      <c r="O206" s="55">
        <f>VLOOKUP(D206,Products!$A$2:$F$61,4,FALSE())</f>
        <v/>
      </c>
      <c r="P206" s="55">
        <f>VLOOKUP(C206,Customers!$A$2:$F$301,3,FALSE())</f>
        <v/>
      </c>
      <c r="Q206" s="55">
        <f>UPPER(TRIM(K206))</f>
        <v/>
      </c>
      <c r="R206" s="55">
        <f>(G206-O206)/G206</f>
        <v/>
      </c>
      <c r="S206" s="55">
        <f>VLOOKUP(D206,Products!$A$2:$F$61,6,FALSE())</f>
        <v/>
      </c>
      <c r="U206" s="55">
        <f>TRIM(Customers!B206)</f>
        <v/>
      </c>
      <c r="V206" s="55">
        <f>UPPER(TRIM(Customers!D206))</f>
        <v/>
      </c>
      <c r="W206" s="55">
        <f>LEN(Customers!B206)&lt;&gt;LEN(TRIM(Customers!B206))</f>
        <v/>
      </c>
    </row>
    <row r="207" ht="15" customHeight="1" s="56">
      <c r="A207" s="55">
        <f>Orders!A207</f>
        <v/>
      </c>
      <c r="B207" s="103">
        <f>Orders!B207</f>
        <v/>
      </c>
      <c r="C207" s="55">
        <f>Orders!C207</f>
        <v/>
      </c>
      <c r="D207" s="55">
        <f>Orders!D207</f>
        <v/>
      </c>
      <c r="E207" s="55">
        <f>Orders!E207</f>
        <v/>
      </c>
      <c r="F207" s="55">
        <f>Orders!F207</f>
        <v/>
      </c>
      <c r="G207" s="55">
        <f>Orders!G207</f>
        <v/>
      </c>
      <c r="H207" s="55">
        <f>Orders!H207</f>
        <v/>
      </c>
      <c r="I207" s="55">
        <f>Orders!I207</f>
        <v/>
      </c>
      <c r="J207" s="55">
        <f>Orders!J207</f>
        <v/>
      </c>
      <c r="K207" s="55">
        <f>Orders!K207</f>
        <v/>
      </c>
      <c r="L207" s="55">
        <f>VLOOKUP(D207,Products!$A$2:$F$61,3,FALSE())</f>
        <v/>
      </c>
      <c r="M207" s="55">
        <f>VLOOKUP(C207,Customers!$A$2:$F$301,5,FALSE())</f>
        <v/>
      </c>
      <c r="N207" s="55">
        <f>VLOOKUP(E207,Sales_Reps!$A$2:$E$31,3,FALSE())</f>
        <v/>
      </c>
      <c r="O207" s="55">
        <f>VLOOKUP(D207,Products!$A$2:$F$61,4,FALSE())</f>
        <v/>
      </c>
      <c r="P207" s="55">
        <f>VLOOKUP(C207,Customers!$A$2:$F$301,3,FALSE())</f>
        <v/>
      </c>
      <c r="Q207" s="55">
        <f>UPPER(TRIM(K207))</f>
        <v/>
      </c>
      <c r="R207" s="55">
        <f>(G207-O207)/G207</f>
        <v/>
      </c>
      <c r="S207" s="55">
        <f>VLOOKUP(D207,Products!$A$2:$F$61,6,FALSE())</f>
        <v/>
      </c>
      <c r="U207" s="55">
        <f>TRIM(Customers!B207)</f>
        <v/>
      </c>
      <c r="V207" s="55">
        <f>UPPER(TRIM(Customers!D207))</f>
        <v/>
      </c>
      <c r="W207" s="55">
        <f>LEN(Customers!B207)&lt;&gt;LEN(TRIM(Customers!B207))</f>
        <v/>
      </c>
    </row>
    <row r="208" ht="15" customHeight="1" s="56">
      <c r="A208" s="55">
        <f>Orders!A208</f>
        <v/>
      </c>
      <c r="B208" s="103">
        <f>Orders!B208</f>
        <v/>
      </c>
      <c r="C208" s="55">
        <f>Orders!C208</f>
        <v/>
      </c>
      <c r="D208" s="55">
        <f>Orders!D208</f>
        <v/>
      </c>
      <c r="E208" s="55">
        <f>Orders!E208</f>
        <v/>
      </c>
      <c r="F208" s="55">
        <f>Orders!F208</f>
        <v/>
      </c>
      <c r="G208" s="55">
        <f>Orders!G208</f>
        <v/>
      </c>
      <c r="H208" s="55">
        <f>Orders!H208</f>
        <v/>
      </c>
      <c r="I208" s="55">
        <f>Orders!I208</f>
        <v/>
      </c>
      <c r="J208" s="55">
        <f>Orders!J208</f>
        <v/>
      </c>
      <c r="K208" s="55">
        <f>Orders!K208</f>
        <v/>
      </c>
      <c r="L208" s="55">
        <f>VLOOKUP(D208,Products!$A$2:$F$61,3,FALSE())</f>
        <v/>
      </c>
      <c r="M208" s="55">
        <f>VLOOKUP(C208,Customers!$A$2:$F$301,5,FALSE())</f>
        <v/>
      </c>
      <c r="N208" s="55">
        <f>VLOOKUP(E208,Sales_Reps!$A$2:$E$31,3,FALSE())</f>
        <v/>
      </c>
      <c r="O208" s="55">
        <f>VLOOKUP(D208,Products!$A$2:$F$61,4,FALSE())</f>
        <v/>
      </c>
      <c r="P208" s="55">
        <f>VLOOKUP(C208,Customers!$A$2:$F$301,3,FALSE())</f>
        <v/>
      </c>
      <c r="Q208" s="55">
        <f>UPPER(TRIM(K208))</f>
        <v/>
      </c>
      <c r="R208" s="55">
        <f>(G208-O208)/G208</f>
        <v/>
      </c>
      <c r="S208" s="55">
        <f>VLOOKUP(D208,Products!$A$2:$F$61,6,FALSE())</f>
        <v/>
      </c>
      <c r="U208" s="55">
        <f>TRIM(Customers!B208)</f>
        <v/>
      </c>
      <c r="V208" s="55">
        <f>UPPER(TRIM(Customers!D208))</f>
        <v/>
      </c>
      <c r="W208" s="55">
        <f>LEN(Customers!B208)&lt;&gt;LEN(TRIM(Customers!B208))</f>
        <v/>
      </c>
    </row>
    <row r="209" ht="15" customHeight="1" s="56">
      <c r="A209" s="55">
        <f>Orders!A209</f>
        <v/>
      </c>
      <c r="B209" s="103">
        <f>Orders!B209</f>
        <v/>
      </c>
      <c r="C209" s="55">
        <f>Orders!C209</f>
        <v/>
      </c>
      <c r="D209" s="55">
        <f>Orders!D209</f>
        <v/>
      </c>
      <c r="E209" s="55">
        <f>Orders!E209</f>
        <v/>
      </c>
      <c r="F209" s="55">
        <f>Orders!F209</f>
        <v/>
      </c>
      <c r="G209" s="55">
        <f>Orders!G209</f>
        <v/>
      </c>
      <c r="H209" s="55">
        <f>Orders!H209</f>
        <v/>
      </c>
      <c r="I209" s="55">
        <f>Orders!I209</f>
        <v/>
      </c>
      <c r="J209" s="55">
        <f>Orders!J209</f>
        <v/>
      </c>
      <c r="K209" s="55">
        <f>Orders!K209</f>
        <v/>
      </c>
      <c r="L209" s="55">
        <f>VLOOKUP(D209,Products!$A$2:$F$61,3,FALSE())</f>
        <v/>
      </c>
      <c r="M209" s="55">
        <f>VLOOKUP(C209,Customers!$A$2:$F$301,5,FALSE())</f>
        <v/>
      </c>
      <c r="N209" s="55">
        <f>VLOOKUP(E209,Sales_Reps!$A$2:$E$31,3,FALSE())</f>
        <v/>
      </c>
      <c r="O209" s="55">
        <f>VLOOKUP(D209,Products!$A$2:$F$61,4,FALSE())</f>
        <v/>
      </c>
      <c r="P209" s="55">
        <f>VLOOKUP(C209,Customers!$A$2:$F$301,3,FALSE())</f>
        <v/>
      </c>
      <c r="Q209" s="55">
        <f>UPPER(TRIM(K209))</f>
        <v/>
      </c>
      <c r="R209" s="55">
        <f>(G209-O209)/G209</f>
        <v/>
      </c>
      <c r="S209" s="55">
        <f>VLOOKUP(D209,Products!$A$2:$F$61,6,FALSE())</f>
        <v/>
      </c>
      <c r="U209" s="55">
        <f>TRIM(Customers!B209)</f>
        <v/>
      </c>
      <c r="V209" s="55">
        <f>UPPER(TRIM(Customers!D209))</f>
        <v/>
      </c>
      <c r="W209" s="55">
        <f>LEN(Customers!B209)&lt;&gt;LEN(TRIM(Customers!B209))</f>
        <v/>
      </c>
    </row>
    <row r="210" ht="15" customHeight="1" s="56">
      <c r="A210" s="55">
        <f>Orders!A210</f>
        <v/>
      </c>
      <c r="B210" s="103">
        <f>Orders!B210</f>
        <v/>
      </c>
      <c r="C210" s="55">
        <f>Orders!C210</f>
        <v/>
      </c>
      <c r="D210" s="55">
        <f>Orders!D210</f>
        <v/>
      </c>
      <c r="E210" s="55">
        <f>Orders!E210</f>
        <v/>
      </c>
      <c r="F210" s="55">
        <f>Orders!F210</f>
        <v/>
      </c>
      <c r="G210" s="55">
        <f>Orders!G210</f>
        <v/>
      </c>
      <c r="H210" s="55">
        <f>Orders!H210</f>
        <v/>
      </c>
      <c r="I210" s="55">
        <f>Orders!I210</f>
        <v/>
      </c>
      <c r="J210" s="55">
        <f>Orders!J210</f>
        <v/>
      </c>
      <c r="K210" s="55">
        <f>Orders!K210</f>
        <v/>
      </c>
      <c r="L210" s="55">
        <f>VLOOKUP(D210,Products!$A$2:$F$61,3,FALSE())</f>
        <v/>
      </c>
      <c r="M210" s="55">
        <f>VLOOKUP(C210,Customers!$A$2:$F$301,5,FALSE())</f>
        <v/>
      </c>
      <c r="N210" s="55">
        <f>VLOOKUP(E210,Sales_Reps!$A$2:$E$31,3,FALSE())</f>
        <v/>
      </c>
      <c r="O210" s="55">
        <f>VLOOKUP(D210,Products!$A$2:$F$61,4,FALSE())</f>
        <v/>
      </c>
      <c r="P210" s="55">
        <f>VLOOKUP(C210,Customers!$A$2:$F$301,3,FALSE())</f>
        <v/>
      </c>
      <c r="Q210" s="55">
        <f>UPPER(TRIM(K210))</f>
        <v/>
      </c>
      <c r="R210" s="55">
        <f>(G210-O210)/G210</f>
        <v/>
      </c>
      <c r="S210" s="55">
        <f>VLOOKUP(D210,Products!$A$2:$F$61,6,FALSE())</f>
        <v/>
      </c>
      <c r="U210" s="55">
        <f>TRIM(Customers!B210)</f>
        <v/>
      </c>
      <c r="V210" s="55">
        <f>UPPER(TRIM(Customers!D210))</f>
        <v/>
      </c>
      <c r="W210" s="55">
        <f>LEN(Customers!B210)&lt;&gt;LEN(TRIM(Customers!B210))</f>
        <v/>
      </c>
    </row>
    <row r="211" ht="15" customHeight="1" s="56">
      <c r="A211" s="55">
        <f>Orders!A211</f>
        <v/>
      </c>
      <c r="B211" s="103">
        <f>Orders!B211</f>
        <v/>
      </c>
      <c r="C211" s="55">
        <f>Orders!C211</f>
        <v/>
      </c>
      <c r="D211" s="55">
        <f>Orders!D211</f>
        <v/>
      </c>
      <c r="E211" s="55">
        <f>Orders!E211</f>
        <v/>
      </c>
      <c r="F211" s="55">
        <f>Orders!F211</f>
        <v/>
      </c>
      <c r="G211" s="55">
        <f>Orders!G211</f>
        <v/>
      </c>
      <c r="H211" s="55">
        <f>Orders!H211</f>
        <v/>
      </c>
      <c r="I211" s="55">
        <f>Orders!I211</f>
        <v/>
      </c>
      <c r="J211" s="55">
        <f>Orders!J211</f>
        <v/>
      </c>
      <c r="K211" s="55">
        <f>Orders!K211</f>
        <v/>
      </c>
      <c r="L211" s="55">
        <f>VLOOKUP(D211,Products!$A$2:$F$61,3,FALSE())</f>
        <v/>
      </c>
      <c r="M211" s="55">
        <f>VLOOKUP(C211,Customers!$A$2:$F$301,5,FALSE())</f>
        <v/>
      </c>
      <c r="N211" s="55">
        <f>VLOOKUP(E211,Sales_Reps!$A$2:$E$31,3,FALSE())</f>
        <v/>
      </c>
      <c r="O211" s="55">
        <f>VLOOKUP(D211,Products!$A$2:$F$61,4,FALSE())</f>
        <v/>
      </c>
      <c r="P211" s="55">
        <f>VLOOKUP(C211,Customers!$A$2:$F$301,3,FALSE())</f>
        <v/>
      </c>
      <c r="Q211" s="55">
        <f>UPPER(TRIM(K211))</f>
        <v/>
      </c>
      <c r="R211" s="55">
        <f>(G211-O211)/G211</f>
        <v/>
      </c>
      <c r="S211" s="55">
        <f>VLOOKUP(D211,Products!$A$2:$F$61,6,FALSE())</f>
        <v/>
      </c>
      <c r="U211" s="55">
        <f>TRIM(Customers!B211)</f>
        <v/>
      </c>
      <c r="V211" s="55">
        <f>UPPER(TRIM(Customers!D211))</f>
        <v/>
      </c>
      <c r="W211" s="55">
        <f>LEN(Customers!B211)&lt;&gt;LEN(TRIM(Customers!B211))</f>
        <v/>
      </c>
    </row>
    <row r="212" ht="15" customHeight="1" s="56">
      <c r="A212" s="55">
        <f>Orders!A212</f>
        <v/>
      </c>
      <c r="B212" s="103">
        <f>Orders!B212</f>
        <v/>
      </c>
      <c r="C212" s="55">
        <f>Orders!C212</f>
        <v/>
      </c>
      <c r="D212" s="55">
        <f>Orders!D212</f>
        <v/>
      </c>
      <c r="E212" s="55">
        <f>Orders!E212</f>
        <v/>
      </c>
      <c r="F212" s="55">
        <f>Orders!F212</f>
        <v/>
      </c>
      <c r="G212" s="55">
        <f>Orders!G212</f>
        <v/>
      </c>
      <c r="H212" s="55">
        <f>Orders!H212</f>
        <v/>
      </c>
      <c r="I212" s="55">
        <f>Orders!I212</f>
        <v/>
      </c>
      <c r="J212" s="55">
        <f>Orders!J212</f>
        <v/>
      </c>
      <c r="K212" s="55">
        <f>Orders!K212</f>
        <v/>
      </c>
      <c r="L212" s="55">
        <f>VLOOKUP(D212,Products!$A$2:$F$61,3,FALSE())</f>
        <v/>
      </c>
      <c r="M212" s="55">
        <f>VLOOKUP(C212,Customers!$A$2:$F$301,5,FALSE())</f>
        <v/>
      </c>
      <c r="N212" s="55">
        <f>VLOOKUP(E212,Sales_Reps!$A$2:$E$31,3,FALSE())</f>
        <v/>
      </c>
      <c r="O212" s="55">
        <f>VLOOKUP(D212,Products!$A$2:$F$61,4,FALSE())</f>
        <v/>
      </c>
      <c r="P212" s="55">
        <f>VLOOKUP(C212,Customers!$A$2:$F$301,3,FALSE())</f>
        <v/>
      </c>
      <c r="Q212" s="55">
        <f>UPPER(TRIM(K212))</f>
        <v/>
      </c>
      <c r="R212" s="55">
        <f>(G212-O212)/G212</f>
        <v/>
      </c>
      <c r="S212" s="55">
        <f>VLOOKUP(D212,Products!$A$2:$F$61,6,FALSE())</f>
        <v/>
      </c>
      <c r="U212" s="55">
        <f>TRIM(Customers!B212)</f>
        <v/>
      </c>
      <c r="V212" s="55">
        <f>UPPER(TRIM(Customers!D212))</f>
        <v/>
      </c>
      <c r="W212" s="55">
        <f>LEN(Customers!B212)&lt;&gt;LEN(TRIM(Customers!B212))</f>
        <v/>
      </c>
    </row>
    <row r="213" ht="15" customHeight="1" s="56">
      <c r="A213" s="55">
        <f>Orders!A213</f>
        <v/>
      </c>
      <c r="B213" s="103">
        <f>Orders!B213</f>
        <v/>
      </c>
      <c r="C213" s="55">
        <f>Orders!C213</f>
        <v/>
      </c>
      <c r="D213" s="55">
        <f>Orders!D213</f>
        <v/>
      </c>
      <c r="E213" s="55">
        <f>Orders!E213</f>
        <v/>
      </c>
      <c r="F213" s="55">
        <f>Orders!F213</f>
        <v/>
      </c>
      <c r="G213" s="55">
        <f>Orders!G213</f>
        <v/>
      </c>
      <c r="H213" s="55">
        <f>Orders!H213</f>
        <v/>
      </c>
      <c r="I213" s="55">
        <f>Orders!I213</f>
        <v/>
      </c>
      <c r="J213" s="55">
        <f>Orders!J213</f>
        <v/>
      </c>
      <c r="K213" s="55">
        <f>Orders!K213</f>
        <v/>
      </c>
      <c r="L213" s="55">
        <f>VLOOKUP(D213,Products!$A$2:$F$61,3,FALSE())</f>
        <v/>
      </c>
      <c r="M213" s="55">
        <f>VLOOKUP(C213,Customers!$A$2:$F$301,5,FALSE())</f>
        <v/>
      </c>
      <c r="N213" s="55">
        <f>VLOOKUP(E213,Sales_Reps!$A$2:$E$31,3,FALSE())</f>
        <v/>
      </c>
      <c r="O213" s="55">
        <f>VLOOKUP(D213,Products!$A$2:$F$61,4,FALSE())</f>
        <v/>
      </c>
      <c r="P213" s="55">
        <f>VLOOKUP(C213,Customers!$A$2:$F$301,3,FALSE())</f>
        <v/>
      </c>
      <c r="Q213" s="55">
        <f>UPPER(TRIM(K213))</f>
        <v/>
      </c>
      <c r="R213" s="55">
        <f>(G213-O213)/G213</f>
        <v/>
      </c>
      <c r="S213" s="55">
        <f>VLOOKUP(D213,Products!$A$2:$F$61,6,FALSE())</f>
        <v/>
      </c>
      <c r="U213" s="55">
        <f>TRIM(Customers!B213)</f>
        <v/>
      </c>
      <c r="V213" s="55">
        <f>UPPER(TRIM(Customers!D213))</f>
        <v/>
      </c>
      <c r="W213" s="55">
        <f>LEN(Customers!B213)&lt;&gt;LEN(TRIM(Customers!B213))</f>
        <v/>
      </c>
    </row>
    <row r="214" ht="15" customHeight="1" s="56">
      <c r="A214" s="55">
        <f>Orders!A214</f>
        <v/>
      </c>
      <c r="B214" s="103">
        <f>Orders!B214</f>
        <v/>
      </c>
      <c r="C214" s="55">
        <f>Orders!C214</f>
        <v/>
      </c>
      <c r="D214" s="55">
        <f>Orders!D214</f>
        <v/>
      </c>
      <c r="E214" s="55">
        <f>Orders!E214</f>
        <v/>
      </c>
      <c r="F214" s="55">
        <f>Orders!F214</f>
        <v/>
      </c>
      <c r="G214" s="55">
        <f>Orders!G214</f>
        <v/>
      </c>
      <c r="H214" s="55">
        <f>Orders!H214</f>
        <v/>
      </c>
      <c r="I214" s="55">
        <f>Orders!I214</f>
        <v/>
      </c>
      <c r="J214" s="55">
        <f>Orders!J214</f>
        <v/>
      </c>
      <c r="K214" s="55">
        <f>Orders!K214</f>
        <v/>
      </c>
      <c r="L214" s="55">
        <f>VLOOKUP(D214,Products!$A$2:$F$61,3,FALSE())</f>
        <v/>
      </c>
      <c r="M214" s="55">
        <f>VLOOKUP(C214,Customers!$A$2:$F$301,5,FALSE())</f>
        <v/>
      </c>
      <c r="N214" s="55">
        <f>VLOOKUP(E214,Sales_Reps!$A$2:$E$31,3,FALSE())</f>
        <v/>
      </c>
      <c r="O214" s="55">
        <f>VLOOKUP(D214,Products!$A$2:$F$61,4,FALSE())</f>
        <v/>
      </c>
      <c r="P214" s="55">
        <f>VLOOKUP(C214,Customers!$A$2:$F$301,3,FALSE())</f>
        <v/>
      </c>
      <c r="Q214" s="55">
        <f>UPPER(TRIM(K214))</f>
        <v/>
      </c>
      <c r="R214" s="55">
        <f>(G214-O214)/G214</f>
        <v/>
      </c>
      <c r="S214" s="55">
        <f>VLOOKUP(D214,Products!$A$2:$F$61,6,FALSE())</f>
        <v/>
      </c>
      <c r="U214" s="55">
        <f>TRIM(Customers!B214)</f>
        <v/>
      </c>
      <c r="V214" s="55">
        <f>UPPER(TRIM(Customers!D214))</f>
        <v/>
      </c>
      <c r="W214" s="55">
        <f>LEN(Customers!B214)&lt;&gt;LEN(TRIM(Customers!B214))</f>
        <v/>
      </c>
    </row>
    <row r="215" ht="15" customHeight="1" s="56">
      <c r="A215" s="55">
        <f>Orders!A215</f>
        <v/>
      </c>
      <c r="B215" s="103">
        <f>Orders!B215</f>
        <v/>
      </c>
      <c r="C215" s="55">
        <f>Orders!C215</f>
        <v/>
      </c>
      <c r="D215" s="55">
        <f>Orders!D215</f>
        <v/>
      </c>
      <c r="E215" s="55">
        <f>Orders!E215</f>
        <v/>
      </c>
      <c r="F215" s="55">
        <f>Orders!F215</f>
        <v/>
      </c>
      <c r="G215" s="55">
        <f>Orders!G215</f>
        <v/>
      </c>
      <c r="H215" s="55">
        <f>Orders!H215</f>
        <v/>
      </c>
      <c r="I215" s="55">
        <f>Orders!I215</f>
        <v/>
      </c>
      <c r="J215" s="55">
        <f>Orders!J215</f>
        <v/>
      </c>
      <c r="K215" s="55">
        <f>Orders!K215</f>
        <v/>
      </c>
      <c r="L215" s="55">
        <f>VLOOKUP(D215,Products!$A$2:$F$61,3,FALSE())</f>
        <v/>
      </c>
      <c r="M215" s="55">
        <f>VLOOKUP(C215,Customers!$A$2:$F$301,5,FALSE())</f>
        <v/>
      </c>
      <c r="N215" s="55">
        <f>VLOOKUP(E215,Sales_Reps!$A$2:$E$31,3,FALSE())</f>
        <v/>
      </c>
      <c r="O215" s="55">
        <f>VLOOKUP(D215,Products!$A$2:$F$61,4,FALSE())</f>
        <v/>
      </c>
      <c r="P215" s="55">
        <f>VLOOKUP(C215,Customers!$A$2:$F$301,3,FALSE())</f>
        <v/>
      </c>
      <c r="Q215" s="55">
        <f>UPPER(TRIM(K215))</f>
        <v/>
      </c>
      <c r="R215" s="55">
        <f>(G215-O215)/G215</f>
        <v/>
      </c>
      <c r="S215" s="55">
        <f>VLOOKUP(D215,Products!$A$2:$F$61,6,FALSE())</f>
        <v/>
      </c>
      <c r="U215" s="55">
        <f>TRIM(Customers!B215)</f>
        <v/>
      </c>
      <c r="V215" s="55">
        <f>UPPER(TRIM(Customers!D215))</f>
        <v/>
      </c>
      <c r="W215" s="55">
        <f>LEN(Customers!B215)&lt;&gt;LEN(TRIM(Customers!B215))</f>
        <v/>
      </c>
    </row>
    <row r="216" ht="15" customHeight="1" s="56">
      <c r="A216" s="55">
        <f>Orders!A216</f>
        <v/>
      </c>
      <c r="B216" s="103">
        <f>Orders!B216</f>
        <v/>
      </c>
      <c r="C216" s="55">
        <f>Orders!C216</f>
        <v/>
      </c>
      <c r="D216" s="55">
        <f>Orders!D216</f>
        <v/>
      </c>
      <c r="E216" s="55">
        <f>Orders!E216</f>
        <v/>
      </c>
      <c r="F216" s="55">
        <f>Orders!F216</f>
        <v/>
      </c>
      <c r="G216" s="55">
        <f>Orders!G216</f>
        <v/>
      </c>
      <c r="H216" s="55">
        <f>Orders!H216</f>
        <v/>
      </c>
      <c r="I216" s="55">
        <f>Orders!I216</f>
        <v/>
      </c>
      <c r="J216" s="55">
        <f>Orders!J216</f>
        <v/>
      </c>
      <c r="K216" s="55">
        <f>Orders!K216</f>
        <v/>
      </c>
      <c r="L216" s="55">
        <f>VLOOKUP(D216,Products!$A$2:$F$61,3,FALSE())</f>
        <v/>
      </c>
      <c r="M216" s="55">
        <f>VLOOKUP(C216,Customers!$A$2:$F$301,5,FALSE())</f>
        <v/>
      </c>
      <c r="N216" s="55">
        <f>VLOOKUP(E216,Sales_Reps!$A$2:$E$31,3,FALSE())</f>
        <v/>
      </c>
      <c r="O216" s="55">
        <f>VLOOKUP(D216,Products!$A$2:$F$61,4,FALSE())</f>
        <v/>
      </c>
      <c r="P216" s="55">
        <f>VLOOKUP(C216,Customers!$A$2:$F$301,3,FALSE())</f>
        <v/>
      </c>
      <c r="Q216" s="55">
        <f>UPPER(TRIM(K216))</f>
        <v/>
      </c>
      <c r="R216" s="55">
        <f>(G216-O216)/G216</f>
        <v/>
      </c>
      <c r="S216" s="55">
        <f>VLOOKUP(D216,Products!$A$2:$F$61,6,FALSE())</f>
        <v/>
      </c>
      <c r="U216" s="55">
        <f>TRIM(Customers!B216)</f>
        <v/>
      </c>
      <c r="V216" s="55">
        <f>UPPER(TRIM(Customers!D216))</f>
        <v/>
      </c>
      <c r="W216" s="55">
        <f>LEN(Customers!B216)&lt;&gt;LEN(TRIM(Customers!B216))</f>
        <v/>
      </c>
    </row>
    <row r="217" ht="15" customHeight="1" s="56">
      <c r="A217" s="55">
        <f>Orders!A217</f>
        <v/>
      </c>
      <c r="B217" s="103">
        <f>Orders!B217</f>
        <v/>
      </c>
      <c r="C217" s="55">
        <f>Orders!C217</f>
        <v/>
      </c>
      <c r="D217" s="55">
        <f>Orders!D217</f>
        <v/>
      </c>
      <c r="E217" s="55">
        <f>Orders!E217</f>
        <v/>
      </c>
      <c r="F217" s="55">
        <f>Orders!F217</f>
        <v/>
      </c>
      <c r="G217" s="55">
        <f>Orders!G217</f>
        <v/>
      </c>
      <c r="H217" s="55">
        <f>Orders!H217</f>
        <v/>
      </c>
      <c r="I217" s="55">
        <f>Orders!I217</f>
        <v/>
      </c>
      <c r="J217" s="55">
        <f>Orders!J217</f>
        <v/>
      </c>
      <c r="K217" s="55">
        <f>Orders!K217</f>
        <v/>
      </c>
      <c r="L217" s="55">
        <f>VLOOKUP(D217,Products!$A$2:$F$61,3,FALSE())</f>
        <v/>
      </c>
      <c r="M217" s="55">
        <f>VLOOKUP(C217,Customers!$A$2:$F$301,5,FALSE())</f>
        <v/>
      </c>
      <c r="N217" s="55">
        <f>VLOOKUP(E217,Sales_Reps!$A$2:$E$31,3,FALSE())</f>
        <v/>
      </c>
      <c r="O217" s="55">
        <f>VLOOKUP(D217,Products!$A$2:$F$61,4,FALSE())</f>
        <v/>
      </c>
      <c r="P217" s="55">
        <f>VLOOKUP(C217,Customers!$A$2:$F$301,3,FALSE())</f>
        <v/>
      </c>
      <c r="Q217" s="55">
        <f>UPPER(TRIM(K217))</f>
        <v/>
      </c>
      <c r="R217" s="55">
        <f>(G217-O217)/G217</f>
        <v/>
      </c>
      <c r="S217" s="55">
        <f>VLOOKUP(D217,Products!$A$2:$F$61,6,FALSE())</f>
        <v/>
      </c>
      <c r="U217" s="55">
        <f>TRIM(Customers!B217)</f>
        <v/>
      </c>
      <c r="V217" s="55">
        <f>UPPER(TRIM(Customers!D217))</f>
        <v/>
      </c>
      <c r="W217" s="55">
        <f>LEN(Customers!B217)&lt;&gt;LEN(TRIM(Customers!B217))</f>
        <v/>
      </c>
    </row>
    <row r="218" ht="15" customHeight="1" s="56">
      <c r="A218" s="55">
        <f>Orders!A218</f>
        <v/>
      </c>
      <c r="B218" s="103">
        <f>Orders!B218</f>
        <v/>
      </c>
      <c r="C218" s="55">
        <f>Orders!C218</f>
        <v/>
      </c>
      <c r="D218" s="55">
        <f>Orders!D218</f>
        <v/>
      </c>
      <c r="E218" s="55">
        <f>Orders!E218</f>
        <v/>
      </c>
      <c r="F218" s="55">
        <f>Orders!F218</f>
        <v/>
      </c>
      <c r="G218" s="55">
        <f>Orders!G218</f>
        <v/>
      </c>
      <c r="H218" s="55">
        <f>Orders!H218</f>
        <v/>
      </c>
      <c r="I218" s="55">
        <f>Orders!I218</f>
        <v/>
      </c>
      <c r="J218" s="55">
        <f>Orders!J218</f>
        <v/>
      </c>
      <c r="K218" s="55">
        <f>Orders!K218</f>
        <v/>
      </c>
      <c r="L218" s="55">
        <f>VLOOKUP(D218,Products!$A$2:$F$61,3,FALSE())</f>
        <v/>
      </c>
      <c r="M218" s="55">
        <f>VLOOKUP(C218,Customers!$A$2:$F$301,5,FALSE())</f>
        <v/>
      </c>
      <c r="N218" s="55">
        <f>VLOOKUP(E218,Sales_Reps!$A$2:$E$31,3,FALSE())</f>
        <v/>
      </c>
      <c r="O218" s="55">
        <f>VLOOKUP(D218,Products!$A$2:$F$61,4,FALSE())</f>
        <v/>
      </c>
      <c r="P218" s="55">
        <f>VLOOKUP(C218,Customers!$A$2:$F$301,3,FALSE())</f>
        <v/>
      </c>
      <c r="Q218" s="55">
        <f>UPPER(TRIM(K218))</f>
        <v/>
      </c>
      <c r="R218" s="55">
        <f>(G218-O218)/G218</f>
        <v/>
      </c>
      <c r="S218" s="55">
        <f>VLOOKUP(D218,Products!$A$2:$F$61,6,FALSE())</f>
        <v/>
      </c>
      <c r="U218" s="55">
        <f>TRIM(Customers!B218)</f>
        <v/>
      </c>
      <c r="V218" s="55">
        <f>UPPER(TRIM(Customers!D218))</f>
        <v/>
      </c>
      <c r="W218" s="55">
        <f>LEN(Customers!B218)&lt;&gt;LEN(TRIM(Customers!B218))</f>
        <v/>
      </c>
    </row>
    <row r="219" ht="15" customHeight="1" s="56">
      <c r="A219" s="55">
        <f>Orders!A219</f>
        <v/>
      </c>
      <c r="B219" s="103">
        <f>Orders!B219</f>
        <v/>
      </c>
      <c r="C219" s="55">
        <f>Orders!C219</f>
        <v/>
      </c>
      <c r="D219" s="55">
        <f>Orders!D219</f>
        <v/>
      </c>
      <c r="E219" s="55">
        <f>Orders!E219</f>
        <v/>
      </c>
      <c r="F219" s="55">
        <f>Orders!F219</f>
        <v/>
      </c>
      <c r="G219" s="55">
        <f>Orders!G219</f>
        <v/>
      </c>
      <c r="H219" s="55">
        <f>Orders!H219</f>
        <v/>
      </c>
      <c r="I219" s="55">
        <f>Orders!I219</f>
        <v/>
      </c>
      <c r="J219" s="55">
        <f>Orders!J219</f>
        <v/>
      </c>
      <c r="K219" s="55">
        <f>Orders!K219</f>
        <v/>
      </c>
      <c r="L219" s="55">
        <f>VLOOKUP(D219,Products!$A$2:$F$61,3,FALSE())</f>
        <v/>
      </c>
      <c r="M219" s="55">
        <f>VLOOKUP(C219,Customers!$A$2:$F$301,5,FALSE())</f>
        <v/>
      </c>
      <c r="N219" s="55">
        <f>VLOOKUP(E219,Sales_Reps!$A$2:$E$31,3,FALSE())</f>
        <v/>
      </c>
      <c r="O219" s="55">
        <f>VLOOKUP(D219,Products!$A$2:$F$61,4,FALSE())</f>
        <v/>
      </c>
      <c r="P219" s="55">
        <f>VLOOKUP(C219,Customers!$A$2:$F$301,3,FALSE())</f>
        <v/>
      </c>
      <c r="Q219" s="55">
        <f>UPPER(TRIM(K219))</f>
        <v/>
      </c>
      <c r="R219" s="55">
        <f>(G219-O219)/G219</f>
        <v/>
      </c>
      <c r="S219" s="55">
        <f>VLOOKUP(D219,Products!$A$2:$F$61,6,FALSE())</f>
        <v/>
      </c>
      <c r="U219" s="55">
        <f>TRIM(Customers!B219)</f>
        <v/>
      </c>
      <c r="V219" s="55">
        <f>UPPER(TRIM(Customers!D219))</f>
        <v/>
      </c>
      <c r="W219" s="55">
        <f>LEN(Customers!B219)&lt;&gt;LEN(TRIM(Customers!B219))</f>
        <v/>
      </c>
    </row>
    <row r="220" ht="15" customHeight="1" s="56">
      <c r="A220" s="55">
        <f>Orders!A220</f>
        <v/>
      </c>
      <c r="B220" s="103">
        <f>Orders!B220</f>
        <v/>
      </c>
      <c r="C220" s="55">
        <f>Orders!C220</f>
        <v/>
      </c>
      <c r="D220" s="55">
        <f>Orders!D220</f>
        <v/>
      </c>
      <c r="E220" s="55">
        <f>Orders!E220</f>
        <v/>
      </c>
      <c r="F220" s="55">
        <f>Orders!F220</f>
        <v/>
      </c>
      <c r="G220" s="55">
        <f>Orders!G220</f>
        <v/>
      </c>
      <c r="H220" s="55">
        <f>Orders!H220</f>
        <v/>
      </c>
      <c r="I220" s="55">
        <f>Orders!I220</f>
        <v/>
      </c>
      <c r="J220" s="55">
        <f>Orders!J220</f>
        <v/>
      </c>
      <c r="K220" s="55">
        <f>Orders!K220</f>
        <v/>
      </c>
      <c r="L220" s="55">
        <f>VLOOKUP(D220,Products!$A$2:$F$61,3,FALSE())</f>
        <v/>
      </c>
      <c r="M220" s="55">
        <f>VLOOKUP(C220,Customers!$A$2:$F$301,5,FALSE())</f>
        <v/>
      </c>
      <c r="N220" s="55">
        <f>VLOOKUP(E220,Sales_Reps!$A$2:$E$31,3,FALSE())</f>
        <v/>
      </c>
      <c r="O220" s="55">
        <f>VLOOKUP(D220,Products!$A$2:$F$61,4,FALSE())</f>
        <v/>
      </c>
      <c r="P220" s="55">
        <f>VLOOKUP(C220,Customers!$A$2:$F$301,3,FALSE())</f>
        <v/>
      </c>
      <c r="Q220" s="55">
        <f>UPPER(TRIM(K220))</f>
        <v/>
      </c>
      <c r="R220" s="55">
        <f>(G220-O220)/G220</f>
        <v/>
      </c>
      <c r="S220" s="55">
        <f>VLOOKUP(D220,Products!$A$2:$F$61,6,FALSE())</f>
        <v/>
      </c>
      <c r="U220" s="55">
        <f>TRIM(Customers!B220)</f>
        <v/>
      </c>
      <c r="V220" s="55">
        <f>UPPER(TRIM(Customers!D220))</f>
        <v/>
      </c>
      <c r="W220" s="55">
        <f>LEN(Customers!B220)&lt;&gt;LEN(TRIM(Customers!B220))</f>
        <v/>
      </c>
    </row>
    <row r="221" ht="15" customHeight="1" s="56">
      <c r="A221" s="55">
        <f>Orders!A221</f>
        <v/>
      </c>
      <c r="B221" s="103">
        <f>Orders!B221</f>
        <v/>
      </c>
      <c r="C221" s="55">
        <f>Orders!C221</f>
        <v/>
      </c>
      <c r="D221" s="55">
        <f>Orders!D221</f>
        <v/>
      </c>
      <c r="E221" s="55">
        <f>Orders!E221</f>
        <v/>
      </c>
      <c r="F221" s="55">
        <f>Orders!F221</f>
        <v/>
      </c>
      <c r="G221" s="55">
        <f>Orders!G221</f>
        <v/>
      </c>
      <c r="H221" s="55">
        <f>Orders!H221</f>
        <v/>
      </c>
      <c r="I221" s="55">
        <f>Orders!I221</f>
        <v/>
      </c>
      <c r="J221" s="55">
        <f>Orders!J221</f>
        <v/>
      </c>
      <c r="K221" s="55">
        <f>Orders!K221</f>
        <v/>
      </c>
      <c r="L221" s="55">
        <f>VLOOKUP(D221,Products!$A$2:$F$61,3,FALSE())</f>
        <v/>
      </c>
      <c r="M221" s="55">
        <f>VLOOKUP(C221,Customers!$A$2:$F$301,5,FALSE())</f>
        <v/>
      </c>
      <c r="N221" s="55">
        <f>VLOOKUP(E221,Sales_Reps!$A$2:$E$31,3,FALSE())</f>
        <v/>
      </c>
      <c r="O221" s="55">
        <f>VLOOKUP(D221,Products!$A$2:$F$61,4,FALSE())</f>
        <v/>
      </c>
      <c r="P221" s="55">
        <f>VLOOKUP(C221,Customers!$A$2:$F$301,3,FALSE())</f>
        <v/>
      </c>
      <c r="Q221" s="55">
        <f>UPPER(TRIM(K221))</f>
        <v/>
      </c>
      <c r="R221" s="55">
        <f>(G221-O221)/G221</f>
        <v/>
      </c>
      <c r="S221" s="55">
        <f>VLOOKUP(D221,Products!$A$2:$F$61,6,FALSE())</f>
        <v/>
      </c>
      <c r="U221" s="55">
        <f>TRIM(Customers!B221)</f>
        <v/>
      </c>
      <c r="V221" s="55">
        <f>UPPER(TRIM(Customers!D221))</f>
        <v/>
      </c>
      <c r="W221" s="55">
        <f>LEN(Customers!B221)&lt;&gt;LEN(TRIM(Customers!B221))</f>
        <v/>
      </c>
    </row>
    <row r="222" ht="15" customHeight="1" s="56">
      <c r="A222" s="55">
        <f>Orders!A222</f>
        <v/>
      </c>
      <c r="B222" s="103">
        <f>Orders!B222</f>
        <v/>
      </c>
      <c r="C222" s="55">
        <f>Orders!C222</f>
        <v/>
      </c>
      <c r="D222" s="55">
        <f>Orders!D222</f>
        <v/>
      </c>
      <c r="E222" s="55">
        <f>Orders!E222</f>
        <v/>
      </c>
      <c r="F222" s="55">
        <f>Orders!F222</f>
        <v/>
      </c>
      <c r="G222" s="55">
        <f>Orders!G222</f>
        <v/>
      </c>
      <c r="H222" s="55">
        <f>Orders!H222</f>
        <v/>
      </c>
      <c r="I222" s="55">
        <f>Orders!I222</f>
        <v/>
      </c>
      <c r="J222" s="55">
        <f>Orders!J222</f>
        <v/>
      </c>
      <c r="K222" s="55">
        <f>Orders!K222</f>
        <v/>
      </c>
      <c r="L222" s="55">
        <f>VLOOKUP(D222,Products!$A$2:$F$61,3,FALSE())</f>
        <v/>
      </c>
      <c r="M222" s="55">
        <f>VLOOKUP(C222,Customers!$A$2:$F$301,5,FALSE())</f>
        <v/>
      </c>
      <c r="N222" s="55">
        <f>VLOOKUP(E222,Sales_Reps!$A$2:$E$31,3,FALSE())</f>
        <v/>
      </c>
      <c r="O222" s="55">
        <f>VLOOKUP(D222,Products!$A$2:$F$61,4,FALSE())</f>
        <v/>
      </c>
      <c r="P222" s="55">
        <f>VLOOKUP(C222,Customers!$A$2:$F$301,3,FALSE())</f>
        <v/>
      </c>
      <c r="Q222" s="55">
        <f>UPPER(TRIM(K222))</f>
        <v/>
      </c>
      <c r="R222" s="55">
        <f>(G222-O222)/G222</f>
        <v/>
      </c>
      <c r="S222" s="55">
        <f>VLOOKUP(D222,Products!$A$2:$F$61,6,FALSE())</f>
        <v/>
      </c>
      <c r="U222" s="55">
        <f>TRIM(Customers!B222)</f>
        <v/>
      </c>
      <c r="V222" s="55">
        <f>UPPER(TRIM(Customers!D222))</f>
        <v/>
      </c>
      <c r="W222" s="55">
        <f>LEN(Customers!B222)&lt;&gt;LEN(TRIM(Customers!B222))</f>
        <v/>
      </c>
    </row>
    <row r="223" ht="15" customHeight="1" s="56">
      <c r="A223" s="55">
        <f>Orders!A223</f>
        <v/>
      </c>
      <c r="B223" s="103">
        <f>Orders!B223</f>
        <v/>
      </c>
      <c r="C223" s="55">
        <f>Orders!C223</f>
        <v/>
      </c>
      <c r="D223" s="55">
        <f>Orders!D223</f>
        <v/>
      </c>
      <c r="E223" s="55">
        <f>Orders!E223</f>
        <v/>
      </c>
      <c r="F223" s="55">
        <f>Orders!F223</f>
        <v/>
      </c>
      <c r="G223" s="55">
        <f>Orders!G223</f>
        <v/>
      </c>
      <c r="H223" s="55">
        <f>Orders!H223</f>
        <v/>
      </c>
      <c r="I223" s="55">
        <f>Orders!I223</f>
        <v/>
      </c>
      <c r="J223" s="55">
        <f>Orders!J223</f>
        <v/>
      </c>
      <c r="K223" s="55">
        <f>Orders!K223</f>
        <v/>
      </c>
      <c r="L223" s="55">
        <f>VLOOKUP(D223,Products!$A$2:$F$61,3,FALSE())</f>
        <v/>
      </c>
      <c r="M223" s="55">
        <f>VLOOKUP(C223,Customers!$A$2:$F$301,5,FALSE())</f>
        <v/>
      </c>
      <c r="N223" s="55">
        <f>VLOOKUP(E223,Sales_Reps!$A$2:$E$31,3,FALSE())</f>
        <v/>
      </c>
      <c r="O223" s="55">
        <f>VLOOKUP(D223,Products!$A$2:$F$61,4,FALSE())</f>
        <v/>
      </c>
      <c r="P223" s="55">
        <f>VLOOKUP(C223,Customers!$A$2:$F$301,3,FALSE())</f>
        <v/>
      </c>
      <c r="Q223" s="55">
        <f>UPPER(TRIM(K223))</f>
        <v/>
      </c>
      <c r="R223" s="55">
        <f>(G223-O223)/G223</f>
        <v/>
      </c>
      <c r="S223" s="55">
        <f>VLOOKUP(D223,Products!$A$2:$F$61,6,FALSE())</f>
        <v/>
      </c>
      <c r="U223" s="55">
        <f>TRIM(Customers!B223)</f>
        <v/>
      </c>
      <c r="V223" s="55">
        <f>UPPER(TRIM(Customers!D223))</f>
        <v/>
      </c>
      <c r="W223" s="55">
        <f>LEN(Customers!B223)&lt;&gt;LEN(TRIM(Customers!B223))</f>
        <v/>
      </c>
    </row>
    <row r="224" ht="15" customHeight="1" s="56">
      <c r="A224" s="55">
        <f>Orders!A224</f>
        <v/>
      </c>
      <c r="B224" s="103">
        <f>Orders!B224</f>
        <v/>
      </c>
      <c r="C224" s="55">
        <f>Orders!C224</f>
        <v/>
      </c>
      <c r="D224" s="55">
        <f>Orders!D224</f>
        <v/>
      </c>
      <c r="E224" s="55">
        <f>Orders!E224</f>
        <v/>
      </c>
      <c r="F224" s="55">
        <f>Orders!F224</f>
        <v/>
      </c>
      <c r="G224" s="55">
        <f>Orders!G224</f>
        <v/>
      </c>
      <c r="H224" s="55">
        <f>Orders!H224</f>
        <v/>
      </c>
      <c r="I224" s="55">
        <f>Orders!I224</f>
        <v/>
      </c>
      <c r="J224" s="55">
        <f>Orders!J224</f>
        <v/>
      </c>
      <c r="K224" s="55">
        <f>Orders!K224</f>
        <v/>
      </c>
      <c r="L224" s="55">
        <f>VLOOKUP(D224,Products!$A$2:$F$61,3,FALSE())</f>
        <v/>
      </c>
      <c r="M224" s="55">
        <f>VLOOKUP(C224,Customers!$A$2:$F$301,5,FALSE())</f>
        <v/>
      </c>
      <c r="N224" s="55">
        <f>VLOOKUP(E224,Sales_Reps!$A$2:$E$31,3,FALSE())</f>
        <v/>
      </c>
      <c r="O224" s="55">
        <f>VLOOKUP(D224,Products!$A$2:$F$61,4,FALSE())</f>
        <v/>
      </c>
      <c r="P224" s="55">
        <f>VLOOKUP(C224,Customers!$A$2:$F$301,3,FALSE())</f>
        <v/>
      </c>
      <c r="Q224" s="55">
        <f>UPPER(TRIM(K224))</f>
        <v/>
      </c>
      <c r="R224" s="55">
        <f>(G224-O224)/G224</f>
        <v/>
      </c>
      <c r="S224" s="55">
        <f>VLOOKUP(D224,Products!$A$2:$F$61,6,FALSE())</f>
        <v/>
      </c>
      <c r="U224" s="55">
        <f>TRIM(Customers!B224)</f>
        <v/>
      </c>
      <c r="V224" s="55">
        <f>UPPER(TRIM(Customers!D224))</f>
        <v/>
      </c>
      <c r="W224" s="55">
        <f>LEN(Customers!B224)&lt;&gt;LEN(TRIM(Customers!B224))</f>
        <v/>
      </c>
    </row>
    <row r="225" ht="15" customHeight="1" s="56">
      <c r="A225" s="55">
        <f>Orders!A225</f>
        <v/>
      </c>
      <c r="B225" s="103">
        <f>Orders!B225</f>
        <v/>
      </c>
      <c r="C225" s="55">
        <f>Orders!C225</f>
        <v/>
      </c>
      <c r="D225" s="55">
        <f>Orders!D225</f>
        <v/>
      </c>
      <c r="E225" s="55">
        <f>Orders!E225</f>
        <v/>
      </c>
      <c r="F225" s="55">
        <f>Orders!F225</f>
        <v/>
      </c>
      <c r="G225" s="55">
        <f>Orders!G225</f>
        <v/>
      </c>
      <c r="H225" s="55">
        <f>Orders!H225</f>
        <v/>
      </c>
      <c r="I225" s="55">
        <f>Orders!I225</f>
        <v/>
      </c>
      <c r="J225" s="55">
        <f>Orders!J225</f>
        <v/>
      </c>
      <c r="K225" s="55">
        <f>Orders!K225</f>
        <v/>
      </c>
      <c r="L225" s="55">
        <f>VLOOKUP(D225,Products!$A$2:$F$61,3,FALSE())</f>
        <v/>
      </c>
      <c r="M225" s="55">
        <f>VLOOKUP(C225,Customers!$A$2:$F$301,5,FALSE())</f>
        <v/>
      </c>
      <c r="N225" s="55">
        <f>VLOOKUP(E225,Sales_Reps!$A$2:$E$31,3,FALSE())</f>
        <v/>
      </c>
      <c r="O225" s="55">
        <f>VLOOKUP(D225,Products!$A$2:$F$61,4,FALSE())</f>
        <v/>
      </c>
      <c r="P225" s="55">
        <f>VLOOKUP(C225,Customers!$A$2:$F$301,3,FALSE())</f>
        <v/>
      </c>
      <c r="Q225" s="55">
        <f>UPPER(TRIM(K225))</f>
        <v/>
      </c>
      <c r="R225" s="55">
        <f>(G225-O225)/G225</f>
        <v/>
      </c>
      <c r="S225" s="55">
        <f>VLOOKUP(D225,Products!$A$2:$F$61,6,FALSE())</f>
        <v/>
      </c>
      <c r="U225" s="55">
        <f>TRIM(Customers!B225)</f>
        <v/>
      </c>
      <c r="V225" s="55">
        <f>UPPER(TRIM(Customers!D225))</f>
        <v/>
      </c>
      <c r="W225" s="55">
        <f>LEN(Customers!B225)&lt;&gt;LEN(TRIM(Customers!B225))</f>
        <v/>
      </c>
    </row>
    <row r="226" ht="15" customHeight="1" s="56">
      <c r="A226" s="55">
        <f>Orders!A226</f>
        <v/>
      </c>
      <c r="B226" s="103">
        <f>Orders!B226</f>
        <v/>
      </c>
      <c r="C226" s="55">
        <f>Orders!C226</f>
        <v/>
      </c>
      <c r="D226" s="55">
        <f>Orders!D226</f>
        <v/>
      </c>
      <c r="E226" s="55">
        <f>Orders!E226</f>
        <v/>
      </c>
      <c r="F226" s="55">
        <f>Orders!F226</f>
        <v/>
      </c>
      <c r="G226" s="55">
        <f>Orders!G226</f>
        <v/>
      </c>
      <c r="H226" s="55">
        <f>Orders!H226</f>
        <v/>
      </c>
      <c r="I226" s="55">
        <f>Orders!I226</f>
        <v/>
      </c>
      <c r="J226" s="55">
        <f>Orders!J226</f>
        <v/>
      </c>
      <c r="K226" s="55">
        <f>Orders!K226</f>
        <v/>
      </c>
      <c r="L226" s="55">
        <f>VLOOKUP(D226,Products!$A$2:$F$61,3,FALSE())</f>
        <v/>
      </c>
      <c r="M226" s="55">
        <f>VLOOKUP(C226,Customers!$A$2:$F$301,5,FALSE())</f>
        <v/>
      </c>
      <c r="N226" s="55">
        <f>VLOOKUP(E226,Sales_Reps!$A$2:$E$31,3,FALSE())</f>
        <v/>
      </c>
      <c r="O226" s="55">
        <f>VLOOKUP(D226,Products!$A$2:$F$61,4,FALSE())</f>
        <v/>
      </c>
      <c r="P226" s="55">
        <f>VLOOKUP(C226,Customers!$A$2:$F$301,3,FALSE())</f>
        <v/>
      </c>
      <c r="Q226" s="55">
        <f>UPPER(TRIM(K226))</f>
        <v/>
      </c>
      <c r="R226" s="55">
        <f>(G226-O226)/G226</f>
        <v/>
      </c>
      <c r="S226" s="55">
        <f>VLOOKUP(D226,Products!$A$2:$F$61,6,FALSE())</f>
        <v/>
      </c>
      <c r="U226" s="55">
        <f>TRIM(Customers!B226)</f>
        <v/>
      </c>
      <c r="V226" s="55">
        <f>UPPER(TRIM(Customers!D226))</f>
        <v/>
      </c>
      <c r="W226" s="55">
        <f>LEN(Customers!B226)&lt;&gt;LEN(TRIM(Customers!B226))</f>
        <v/>
      </c>
    </row>
    <row r="227" ht="15" customHeight="1" s="56">
      <c r="A227" s="55">
        <f>Orders!A227</f>
        <v/>
      </c>
      <c r="B227" s="103">
        <f>Orders!B227</f>
        <v/>
      </c>
      <c r="C227" s="55">
        <f>Orders!C227</f>
        <v/>
      </c>
      <c r="D227" s="55">
        <f>Orders!D227</f>
        <v/>
      </c>
      <c r="E227" s="55">
        <f>Orders!E227</f>
        <v/>
      </c>
      <c r="F227" s="55">
        <f>Orders!F227</f>
        <v/>
      </c>
      <c r="G227" s="55">
        <f>Orders!G227</f>
        <v/>
      </c>
      <c r="H227" s="55">
        <f>Orders!H227</f>
        <v/>
      </c>
      <c r="I227" s="55">
        <f>Orders!I227</f>
        <v/>
      </c>
      <c r="J227" s="55">
        <f>Orders!J227</f>
        <v/>
      </c>
      <c r="K227" s="55">
        <f>Orders!K227</f>
        <v/>
      </c>
      <c r="L227" s="55">
        <f>VLOOKUP(D227,Products!$A$2:$F$61,3,FALSE())</f>
        <v/>
      </c>
      <c r="M227" s="55">
        <f>VLOOKUP(C227,Customers!$A$2:$F$301,5,FALSE())</f>
        <v/>
      </c>
      <c r="N227" s="55">
        <f>VLOOKUP(E227,Sales_Reps!$A$2:$E$31,3,FALSE())</f>
        <v/>
      </c>
      <c r="O227" s="55">
        <f>VLOOKUP(D227,Products!$A$2:$F$61,4,FALSE())</f>
        <v/>
      </c>
      <c r="P227" s="55">
        <f>VLOOKUP(C227,Customers!$A$2:$F$301,3,FALSE())</f>
        <v/>
      </c>
      <c r="Q227" s="55">
        <f>UPPER(TRIM(K227))</f>
        <v/>
      </c>
      <c r="R227" s="55">
        <f>(G227-O227)/G227</f>
        <v/>
      </c>
      <c r="S227" s="55">
        <f>VLOOKUP(D227,Products!$A$2:$F$61,6,FALSE())</f>
        <v/>
      </c>
      <c r="U227" s="55">
        <f>TRIM(Customers!B227)</f>
        <v/>
      </c>
      <c r="V227" s="55">
        <f>UPPER(TRIM(Customers!D227))</f>
        <v/>
      </c>
      <c r="W227" s="55">
        <f>LEN(Customers!B227)&lt;&gt;LEN(TRIM(Customers!B227))</f>
        <v/>
      </c>
    </row>
    <row r="228" ht="15" customHeight="1" s="56">
      <c r="A228" s="55">
        <f>Orders!A228</f>
        <v/>
      </c>
      <c r="B228" s="103">
        <f>Orders!B228</f>
        <v/>
      </c>
      <c r="C228" s="55">
        <f>Orders!C228</f>
        <v/>
      </c>
      <c r="D228" s="55">
        <f>Orders!D228</f>
        <v/>
      </c>
      <c r="E228" s="55">
        <f>Orders!E228</f>
        <v/>
      </c>
      <c r="F228" s="55">
        <f>Orders!F228</f>
        <v/>
      </c>
      <c r="G228" s="55">
        <f>Orders!G228</f>
        <v/>
      </c>
      <c r="H228" s="55">
        <f>Orders!H228</f>
        <v/>
      </c>
      <c r="I228" s="55">
        <f>Orders!I228</f>
        <v/>
      </c>
      <c r="J228" s="55">
        <f>Orders!J228</f>
        <v/>
      </c>
      <c r="K228" s="55">
        <f>Orders!K228</f>
        <v/>
      </c>
      <c r="L228" s="55">
        <f>VLOOKUP(D228,Products!$A$2:$F$61,3,FALSE())</f>
        <v/>
      </c>
      <c r="M228" s="55">
        <f>VLOOKUP(C228,Customers!$A$2:$F$301,5,FALSE())</f>
        <v/>
      </c>
      <c r="N228" s="55">
        <f>VLOOKUP(E228,Sales_Reps!$A$2:$E$31,3,FALSE())</f>
        <v/>
      </c>
      <c r="O228" s="55">
        <f>VLOOKUP(D228,Products!$A$2:$F$61,4,FALSE())</f>
        <v/>
      </c>
      <c r="P228" s="55">
        <f>VLOOKUP(C228,Customers!$A$2:$F$301,3,FALSE())</f>
        <v/>
      </c>
      <c r="Q228" s="55">
        <f>UPPER(TRIM(K228))</f>
        <v/>
      </c>
      <c r="R228" s="55">
        <f>(G228-O228)/G228</f>
        <v/>
      </c>
      <c r="S228" s="55">
        <f>VLOOKUP(D228,Products!$A$2:$F$61,6,FALSE())</f>
        <v/>
      </c>
      <c r="U228" s="55">
        <f>TRIM(Customers!B228)</f>
        <v/>
      </c>
      <c r="V228" s="55">
        <f>UPPER(TRIM(Customers!D228))</f>
        <v/>
      </c>
      <c r="W228" s="55">
        <f>LEN(Customers!B228)&lt;&gt;LEN(TRIM(Customers!B228))</f>
        <v/>
      </c>
    </row>
    <row r="229" ht="15" customHeight="1" s="56">
      <c r="A229" s="55">
        <f>Orders!A229</f>
        <v/>
      </c>
      <c r="B229" s="103">
        <f>Orders!B229</f>
        <v/>
      </c>
      <c r="C229" s="55">
        <f>Orders!C229</f>
        <v/>
      </c>
      <c r="D229" s="55">
        <f>Orders!D229</f>
        <v/>
      </c>
      <c r="E229" s="55">
        <f>Orders!E229</f>
        <v/>
      </c>
      <c r="F229" s="55">
        <f>Orders!F229</f>
        <v/>
      </c>
      <c r="G229" s="55">
        <f>Orders!G229</f>
        <v/>
      </c>
      <c r="H229" s="55">
        <f>Orders!H229</f>
        <v/>
      </c>
      <c r="I229" s="55">
        <f>Orders!I229</f>
        <v/>
      </c>
      <c r="J229" s="55">
        <f>Orders!J229</f>
        <v/>
      </c>
      <c r="K229" s="55">
        <f>Orders!K229</f>
        <v/>
      </c>
      <c r="L229" s="55">
        <f>VLOOKUP(D229,Products!$A$2:$F$61,3,FALSE())</f>
        <v/>
      </c>
      <c r="M229" s="55">
        <f>VLOOKUP(C229,Customers!$A$2:$F$301,5,FALSE())</f>
        <v/>
      </c>
      <c r="N229" s="55">
        <f>VLOOKUP(E229,Sales_Reps!$A$2:$E$31,3,FALSE())</f>
        <v/>
      </c>
      <c r="O229" s="55">
        <f>VLOOKUP(D229,Products!$A$2:$F$61,4,FALSE())</f>
        <v/>
      </c>
      <c r="P229" s="55">
        <f>VLOOKUP(C229,Customers!$A$2:$F$301,3,FALSE())</f>
        <v/>
      </c>
      <c r="Q229" s="55">
        <f>UPPER(TRIM(K229))</f>
        <v/>
      </c>
      <c r="R229" s="55">
        <f>(G229-O229)/G229</f>
        <v/>
      </c>
      <c r="S229" s="55">
        <f>VLOOKUP(D229,Products!$A$2:$F$61,6,FALSE())</f>
        <v/>
      </c>
      <c r="U229" s="55">
        <f>TRIM(Customers!B229)</f>
        <v/>
      </c>
      <c r="V229" s="55">
        <f>UPPER(TRIM(Customers!D229))</f>
        <v/>
      </c>
      <c r="W229" s="55">
        <f>LEN(Customers!B229)&lt;&gt;LEN(TRIM(Customers!B229))</f>
        <v/>
      </c>
    </row>
    <row r="230" ht="15" customHeight="1" s="56">
      <c r="A230" s="55">
        <f>Orders!A230</f>
        <v/>
      </c>
      <c r="B230" s="103">
        <f>Orders!B230</f>
        <v/>
      </c>
      <c r="C230" s="55">
        <f>Orders!C230</f>
        <v/>
      </c>
      <c r="D230" s="55">
        <f>Orders!D230</f>
        <v/>
      </c>
      <c r="E230" s="55">
        <f>Orders!E230</f>
        <v/>
      </c>
      <c r="F230" s="55">
        <f>Orders!F230</f>
        <v/>
      </c>
      <c r="G230" s="55">
        <f>Orders!G230</f>
        <v/>
      </c>
      <c r="H230" s="55">
        <f>Orders!H230</f>
        <v/>
      </c>
      <c r="I230" s="55">
        <f>Orders!I230</f>
        <v/>
      </c>
      <c r="J230" s="55">
        <f>Orders!J230</f>
        <v/>
      </c>
      <c r="K230" s="55">
        <f>Orders!K230</f>
        <v/>
      </c>
      <c r="L230" s="55">
        <f>VLOOKUP(D230,Products!$A$2:$F$61,3,FALSE())</f>
        <v/>
      </c>
      <c r="M230" s="55">
        <f>VLOOKUP(C230,Customers!$A$2:$F$301,5,FALSE())</f>
        <v/>
      </c>
      <c r="N230" s="55">
        <f>VLOOKUP(E230,Sales_Reps!$A$2:$E$31,3,FALSE())</f>
        <v/>
      </c>
      <c r="O230" s="55">
        <f>VLOOKUP(D230,Products!$A$2:$F$61,4,FALSE())</f>
        <v/>
      </c>
      <c r="P230" s="55">
        <f>VLOOKUP(C230,Customers!$A$2:$F$301,3,FALSE())</f>
        <v/>
      </c>
      <c r="Q230" s="55">
        <f>UPPER(TRIM(K230))</f>
        <v/>
      </c>
      <c r="R230" s="55">
        <f>(G230-O230)/G230</f>
        <v/>
      </c>
      <c r="S230" s="55">
        <f>VLOOKUP(D230,Products!$A$2:$F$61,6,FALSE())</f>
        <v/>
      </c>
      <c r="U230" s="55">
        <f>TRIM(Customers!B230)</f>
        <v/>
      </c>
      <c r="V230" s="55">
        <f>UPPER(TRIM(Customers!D230))</f>
        <v/>
      </c>
      <c r="W230" s="55">
        <f>LEN(Customers!B230)&lt;&gt;LEN(TRIM(Customers!B230))</f>
        <v/>
      </c>
    </row>
    <row r="231" ht="15" customHeight="1" s="56">
      <c r="A231" s="55">
        <f>Orders!A231</f>
        <v/>
      </c>
      <c r="B231" s="103">
        <f>Orders!B231</f>
        <v/>
      </c>
      <c r="C231" s="55">
        <f>Orders!C231</f>
        <v/>
      </c>
      <c r="D231" s="55">
        <f>Orders!D231</f>
        <v/>
      </c>
      <c r="E231" s="55">
        <f>Orders!E231</f>
        <v/>
      </c>
      <c r="F231" s="55">
        <f>Orders!F231</f>
        <v/>
      </c>
      <c r="G231" s="55">
        <f>Orders!G231</f>
        <v/>
      </c>
      <c r="H231" s="55">
        <f>Orders!H231</f>
        <v/>
      </c>
      <c r="I231" s="55">
        <f>Orders!I231</f>
        <v/>
      </c>
      <c r="J231" s="55">
        <f>Orders!J231</f>
        <v/>
      </c>
      <c r="K231" s="55">
        <f>Orders!K231</f>
        <v/>
      </c>
      <c r="L231" s="55">
        <f>VLOOKUP(D231,Products!$A$2:$F$61,3,FALSE())</f>
        <v/>
      </c>
      <c r="M231" s="55">
        <f>VLOOKUP(C231,Customers!$A$2:$F$301,5,FALSE())</f>
        <v/>
      </c>
      <c r="N231" s="55">
        <f>VLOOKUP(E231,Sales_Reps!$A$2:$E$31,3,FALSE())</f>
        <v/>
      </c>
      <c r="O231" s="55">
        <f>VLOOKUP(D231,Products!$A$2:$F$61,4,FALSE())</f>
        <v/>
      </c>
      <c r="P231" s="55">
        <f>VLOOKUP(C231,Customers!$A$2:$F$301,3,FALSE())</f>
        <v/>
      </c>
      <c r="Q231" s="55">
        <f>UPPER(TRIM(K231))</f>
        <v/>
      </c>
      <c r="R231" s="55">
        <f>(G231-O231)/G231</f>
        <v/>
      </c>
      <c r="S231" s="55">
        <f>VLOOKUP(D231,Products!$A$2:$F$61,6,FALSE())</f>
        <v/>
      </c>
      <c r="U231" s="55">
        <f>TRIM(Customers!B231)</f>
        <v/>
      </c>
      <c r="V231" s="55">
        <f>UPPER(TRIM(Customers!D231))</f>
        <v/>
      </c>
      <c r="W231" s="55">
        <f>LEN(Customers!B231)&lt;&gt;LEN(TRIM(Customers!B231))</f>
        <v/>
      </c>
    </row>
    <row r="232" ht="15" customHeight="1" s="56">
      <c r="A232" s="55">
        <f>Orders!A232</f>
        <v/>
      </c>
      <c r="B232" s="103">
        <f>Orders!B232</f>
        <v/>
      </c>
      <c r="C232" s="55">
        <f>Orders!C232</f>
        <v/>
      </c>
      <c r="D232" s="55">
        <f>Orders!D232</f>
        <v/>
      </c>
      <c r="E232" s="55">
        <f>Orders!E232</f>
        <v/>
      </c>
      <c r="F232" s="55">
        <f>Orders!F232</f>
        <v/>
      </c>
      <c r="G232" s="55">
        <f>Orders!G232</f>
        <v/>
      </c>
      <c r="H232" s="55">
        <f>Orders!H232</f>
        <v/>
      </c>
      <c r="I232" s="55">
        <f>Orders!I232</f>
        <v/>
      </c>
      <c r="J232" s="55">
        <f>Orders!J232</f>
        <v/>
      </c>
      <c r="K232" s="55">
        <f>Orders!K232</f>
        <v/>
      </c>
      <c r="L232" s="55">
        <f>VLOOKUP(D232,Products!$A$2:$F$61,3,FALSE())</f>
        <v/>
      </c>
      <c r="M232" s="55">
        <f>VLOOKUP(C232,Customers!$A$2:$F$301,5,FALSE())</f>
        <v/>
      </c>
      <c r="N232" s="55">
        <f>VLOOKUP(E232,Sales_Reps!$A$2:$E$31,3,FALSE())</f>
        <v/>
      </c>
      <c r="O232" s="55">
        <f>VLOOKUP(D232,Products!$A$2:$F$61,4,FALSE())</f>
        <v/>
      </c>
      <c r="P232" s="55">
        <f>VLOOKUP(C232,Customers!$A$2:$F$301,3,FALSE())</f>
        <v/>
      </c>
      <c r="Q232" s="55">
        <f>UPPER(TRIM(K232))</f>
        <v/>
      </c>
      <c r="R232" s="55">
        <f>(G232-O232)/G232</f>
        <v/>
      </c>
      <c r="S232" s="55">
        <f>VLOOKUP(D232,Products!$A$2:$F$61,6,FALSE())</f>
        <v/>
      </c>
      <c r="U232" s="55">
        <f>TRIM(Customers!B232)</f>
        <v/>
      </c>
      <c r="V232" s="55">
        <f>UPPER(TRIM(Customers!D232))</f>
        <v/>
      </c>
      <c r="W232" s="55">
        <f>LEN(Customers!B232)&lt;&gt;LEN(TRIM(Customers!B232))</f>
        <v/>
      </c>
    </row>
    <row r="233" ht="15" customHeight="1" s="56">
      <c r="A233" s="55">
        <f>Orders!A233</f>
        <v/>
      </c>
      <c r="B233" s="103">
        <f>Orders!B233</f>
        <v/>
      </c>
      <c r="C233" s="55">
        <f>Orders!C233</f>
        <v/>
      </c>
      <c r="D233" s="55">
        <f>Orders!D233</f>
        <v/>
      </c>
      <c r="E233" s="55">
        <f>Orders!E233</f>
        <v/>
      </c>
      <c r="F233" s="55">
        <f>Orders!F233</f>
        <v/>
      </c>
      <c r="G233" s="55">
        <f>Orders!G233</f>
        <v/>
      </c>
      <c r="H233" s="55">
        <f>Orders!H233</f>
        <v/>
      </c>
      <c r="I233" s="55">
        <f>Orders!I233</f>
        <v/>
      </c>
      <c r="J233" s="55">
        <f>Orders!J233</f>
        <v/>
      </c>
      <c r="K233" s="55">
        <f>Orders!K233</f>
        <v/>
      </c>
      <c r="L233" s="55">
        <f>VLOOKUP(D233,Products!$A$2:$F$61,3,FALSE())</f>
        <v/>
      </c>
      <c r="M233" s="55">
        <f>VLOOKUP(C233,Customers!$A$2:$F$301,5,FALSE())</f>
        <v/>
      </c>
      <c r="N233" s="55">
        <f>VLOOKUP(E233,Sales_Reps!$A$2:$E$31,3,FALSE())</f>
        <v/>
      </c>
      <c r="O233" s="55">
        <f>VLOOKUP(D233,Products!$A$2:$F$61,4,FALSE())</f>
        <v/>
      </c>
      <c r="P233" s="55">
        <f>VLOOKUP(C233,Customers!$A$2:$F$301,3,FALSE())</f>
        <v/>
      </c>
      <c r="Q233" s="55">
        <f>UPPER(TRIM(K233))</f>
        <v/>
      </c>
      <c r="R233" s="55">
        <f>(G233-O233)/G233</f>
        <v/>
      </c>
      <c r="S233" s="55">
        <f>VLOOKUP(D233,Products!$A$2:$F$61,6,FALSE())</f>
        <v/>
      </c>
      <c r="U233" s="55">
        <f>TRIM(Customers!B233)</f>
        <v/>
      </c>
      <c r="V233" s="55">
        <f>UPPER(TRIM(Customers!D233))</f>
        <v/>
      </c>
      <c r="W233" s="55">
        <f>LEN(Customers!B233)&lt;&gt;LEN(TRIM(Customers!B233))</f>
        <v/>
      </c>
    </row>
    <row r="234" ht="15" customHeight="1" s="56">
      <c r="A234" s="55">
        <f>Orders!A234</f>
        <v/>
      </c>
      <c r="B234" s="103">
        <f>Orders!B234</f>
        <v/>
      </c>
      <c r="C234" s="55">
        <f>Orders!C234</f>
        <v/>
      </c>
      <c r="D234" s="55">
        <f>Orders!D234</f>
        <v/>
      </c>
      <c r="E234" s="55">
        <f>Orders!E234</f>
        <v/>
      </c>
      <c r="F234" s="55">
        <f>Orders!F234</f>
        <v/>
      </c>
      <c r="G234" s="55">
        <f>Orders!G234</f>
        <v/>
      </c>
      <c r="H234" s="55">
        <f>Orders!H234</f>
        <v/>
      </c>
      <c r="I234" s="55">
        <f>Orders!I234</f>
        <v/>
      </c>
      <c r="J234" s="55">
        <f>Orders!J234</f>
        <v/>
      </c>
      <c r="K234" s="55">
        <f>Orders!K234</f>
        <v/>
      </c>
      <c r="L234" s="55">
        <f>VLOOKUP(D234,Products!$A$2:$F$61,3,FALSE())</f>
        <v/>
      </c>
      <c r="M234" s="55">
        <f>VLOOKUP(C234,Customers!$A$2:$F$301,5,FALSE())</f>
        <v/>
      </c>
      <c r="N234" s="55">
        <f>VLOOKUP(E234,Sales_Reps!$A$2:$E$31,3,FALSE())</f>
        <v/>
      </c>
      <c r="O234" s="55">
        <f>VLOOKUP(D234,Products!$A$2:$F$61,4,FALSE())</f>
        <v/>
      </c>
      <c r="P234" s="55">
        <f>VLOOKUP(C234,Customers!$A$2:$F$301,3,FALSE())</f>
        <v/>
      </c>
      <c r="Q234" s="55">
        <f>UPPER(TRIM(K234))</f>
        <v/>
      </c>
      <c r="R234" s="55">
        <f>(G234-O234)/G234</f>
        <v/>
      </c>
      <c r="S234" s="55">
        <f>VLOOKUP(D234,Products!$A$2:$F$61,6,FALSE())</f>
        <v/>
      </c>
      <c r="U234" s="55">
        <f>TRIM(Customers!B234)</f>
        <v/>
      </c>
      <c r="V234" s="55">
        <f>UPPER(TRIM(Customers!D234))</f>
        <v/>
      </c>
      <c r="W234" s="55">
        <f>LEN(Customers!B234)&lt;&gt;LEN(TRIM(Customers!B234))</f>
        <v/>
      </c>
    </row>
    <row r="235" ht="15" customHeight="1" s="56">
      <c r="A235" s="55">
        <f>Orders!A235</f>
        <v/>
      </c>
      <c r="B235" s="103">
        <f>Orders!B235</f>
        <v/>
      </c>
      <c r="C235" s="55">
        <f>Orders!C235</f>
        <v/>
      </c>
      <c r="D235" s="55">
        <f>Orders!D235</f>
        <v/>
      </c>
      <c r="E235" s="55">
        <f>Orders!E235</f>
        <v/>
      </c>
      <c r="F235" s="55">
        <f>Orders!F235</f>
        <v/>
      </c>
      <c r="G235" s="55">
        <f>Orders!G235</f>
        <v/>
      </c>
      <c r="H235" s="55">
        <f>Orders!H235</f>
        <v/>
      </c>
      <c r="I235" s="55">
        <f>Orders!I235</f>
        <v/>
      </c>
      <c r="J235" s="55">
        <f>Orders!J235</f>
        <v/>
      </c>
      <c r="K235" s="55">
        <f>Orders!K235</f>
        <v/>
      </c>
      <c r="L235" s="55">
        <f>VLOOKUP(D235,Products!$A$2:$F$61,3,FALSE())</f>
        <v/>
      </c>
      <c r="M235" s="55">
        <f>VLOOKUP(C235,Customers!$A$2:$F$301,5,FALSE())</f>
        <v/>
      </c>
      <c r="N235" s="55">
        <f>VLOOKUP(E235,Sales_Reps!$A$2:$E$31,3,FALSE())</f>
        <v/>
      </c>
      <c r="O235" s="55">
        <f>VLOOKUP(D235,Products!$A$2:$F$61,4,FALSE())</f>
        <v/>
      </c>
      <c r="P235" s="55">
        <f>VLOOKUP(C235,Customers!$A$2:$F$301,3,FALSE())</f>
        <v/>
      </c>
      <c r="Q235" s="55">
        <f>UPPER(TRIM(K235))</f>
        <v/>
      </c>
      <c r="R235" s="55">
        <f>(G235-O235)/G235</f>
        <v/>
      </c>
      <c r="S235" s="55">
        <f>VLOOKUP(D235,Products!$A$2:$F$61,6,FALSE())</f>
        <v/>
      </c>
      <c r="U235" s="55">
        <f>TRIM(Customers!B235)</f>
        <v/>
      </c>
      <c r="V235" s="55">
        <f>UPPER(TRIM(Customers!D235))</f>
        <v/>
      </c>
      <c r="W235" s="55">
        <f>LEN(Customers!B235)&lt;&gt;LEN(TRIM(Customers!B235))</f>
        <v/>
      </c>
    </row>
    <row r="236" ht="15" customHeight="1" s="56">
      <c r="A236" s="55">
        <f>Orders!A236</f>
        <v/>
      </c>
      <c r="B236" s="103">
        <f>Orders!B236</f>
        <v/>
      </c>
      <c r="C236" s="55">
        <f>Orders!C236</f>
        <v/>
      </c>
      <c r="D236" s="55">
        <f>Orders!D236</f>
        <v/>
      </c>
      <c r="E236" s="55">
        <f>Orders!E236</f>
        <v/>
      </c>
      <c r="F236" s="55">
        <f>Orders!F236</f>
        <v/>
      </c>
      <c r="G236" s="55">
        <f>Orders!G236</f>
        <v/>
      </c>
      <c r="H236" s="55">
        <f>Orders!H236</f>
        <v/>
      </c>
      <c r="I236" s="55">
        <f>Orders!I236</f>
        <v/>
      </c>
      <c r="J236" s="55">
        <f>Orders!J236</f>
        <v/>
      </c>
      <c r="K236" s="55">
        <f>Orders!K236</f>
        <v/>
      </c>
      <c r="L236" s="55">
        <f>VLOOKUP(D236,Products!$A$2:$F$61,3,FALSE())</f>
        <v/>
      </c>
      <c r="M236" s="55">
        <f>VLOOKUP(C236,Customers!$A$2:$F$301,5,FALSE())</f>
        <v/>
      </c>
      <c r="N236" s="55">
        <f>VLOOKUP(E236,Sales_Reps!$A$2:$E$31,3,FALSE())</f>
        <v/>
      </c>
      <c r="O236" s="55">
        <f>VLOOKUP(D236,Products!$A$2:$F$61,4,FALSE())</f>
        <v/>
      </c>
      <c r="P236" s="55">
        <f>VLOOKUP(C236,Customers!$A$2:$F$301,3,FALSE())</f>
        <v/>
      </c>
      <c r="Q236" s="55">
        <f>UPPER(TRIM(K236))</f>
        <v/>
      </c>
      <c r="R236" s="55">
        <f>(G236-O236)/G236</f>
        <v/>
      </c>
      <c r="S236" s="55">
        <f>VLOOKUP(D236,Products!$A$2:$F$61,6,FALSE())</f>
        <v/>
      </c>
      <c r="U236" s="55">
        <f>TRIM(Customers!B236)</f>
        <v/>
      </c>
      <c r="V236" s="55">
        <f>UPPER(TRIM(Customers!D236))</f>
        <v/>
      </c>
      <c r="W236" s="55">
        <f>LEN(Customers!B236)&lt;&gt;LEN(TRIM(Customers!B236))</f>
        <v/>
      </c>
    </row>
    <row r="237" ht="15" customHeight="1" s="56">
      <c r="A237" s="55">
        <f>Orders!A237</f>
        <v/>
      </c>
      <c r="B237" s="103">
        <f>Orders!B237</f>
        <v/>
      </c>
      <c r="C237" s="55">
        <f>Orders!C237</f>
        <v/>
      </c>
      <c r="D237" s="55">
        <f>Orders!D237</f>
        <v/>
      </c>
      <c r="E237" s="55">
        <f>Orders!E237</f>
        <v/>
      </c>
      <c r="F237" s="55">
        <f>Orders!F237</f>
        <v/>
      </c>
      <c r="G237" s="55">
        <f>Orders!G237</f>
        <v/>
      </c>
      <c r="H237" s="55">
        <f>Orders!H237</f>
        <v/>
      </c>
      <c r="I237" s="55">
        <f>Orders!I237</f>
        <v/>
      </c>
      <c r="J237" s="55">
        <f>Orders!J237</f>
        <v/>
      </c>
      <c r="K237" s="55">
        <f>Orders!K237</f>
        <v/>
      </c>
      <c r="L237" s="55">
        <f>VLOOKUP(D237,Products!$A$2:$F$61,3,FALSE())</f>
        <v/>
      </c>
      <c r="M237" s="55">
        <f>VLOOKUP(C237,Customers!$A$2:$F$301,5,FALSE())</f>
        <v/>
      </c>
      <c r="N237" s="55">
        <f>VLOOKUP(E237,Sales_Reps!$A$2:$E$31,3,FALSE())</f>
        <v/>
      </c>
      <c r="O237" s="55">
        <f>VLOOKUP(D237,Products!$A$2:$F$61,4,FALSE())</f>
        <v/>
      </c>
      <c r="P237" s="55">
        <f>VLOOKUP(C237,Customers!$A$2:$F$301,3,FALSE())</f>
        <v/>
      </c>
      <c r="Q237" s="55">
        <f>UPPER(TRIM(K237))</f>
        <v/>
      </c>
      <c r="R237" s="55">
        <f>(G237-O237)/G237</f>
        <v/>
      </c>
      <c r="S237" s="55">
        <f>VLOOKUP(D237,Products!$A$2:$F$61,6,FALSE())</f>
        <v/>
      </c>
      <c r="U237" s="55">
        <f>TRIM(Customers!B237)</f>
        <v/>
      </c>
      <c r="V237" s="55">
        <f>UPPER(TRIM(Customers!D237))</f>
        <v/>
      </c>
      <c r="W237" s="55">
        <f>LEN(Customers!B237)&lt;&gt;LEN(TRIM(Customers!B237))</f>
        <v/>
      </c>
    </row>
    <row r="238" ht="15" customHeight="1" s="56">
      <c r="A238" s="55">
        <f>Orders!A238</f>
        <v/>
      </c>
      <c r="B238" s="103">
        <f>Orders!B238</f>
        <v/>
      </c>
      <c r="C238" s="55">
        <f>Orders!C238</f>
        <v/>
      </c>
      <c r="D238" s="55">
        <f>Orders!D238</f>
        <v/>
      </c>
      <c r="E238" s="55">
        <f>Orders!E238</f>
        <v/>
      </c>
      <c r="F238" s="55">
        <f>Orders!F238</f>
        <v/>
      </c>
      <c r="G238" s="55">
        <f>Orders!G238</f>
        <v/>
      </c>
      <c r="H238" s="55">
        <f>Orders!H238</f>
        <v/>
      </c>
      <c r="I238" s="55">
        <f>Orders!I238</f>
        <v/>
      </c>
      <c r="J238" s="55">
        <f>Orders!J238</f>
        <v/>
      </c>
      <c r="K238" s="55">
        <f>Orders!K238</f>
        <v/>
      </c>
      <c r="L238" s="55">
        <f>VLOOKUP(D238,Products!$A$2:$F$61,3,FALSE())</f>
        <v/>
      </c>
      <c r="M238" s="55">
        <f>VLOOKUP(C238,Customers!$A$2:$F$301,5,FALSE())</f>
        <v/>
      </c>
      <c r="N238" s="55">
        <f>VLOOKUP(E238,Sales_Reps!$A$2:$E$31,3,FALSE())</f>
        <v/>
      </c>
      <c r="O238" s="55">
        <f>VLOOKUP(D238,Products!$A$2:$F$61,4,FALSE())</f>
        <v/>
      </c>
      <c r="P238" s="55">
        <f>VLOOKUP(C238,Customers!$A$2:$F$301,3,FALSE())</f>
        <v/>
      </c>
      <c r="Q238" s="55">
        <f>UPPER(TRIM(K238))</f>
        <v/>
      </c>
      <c r="R238" s="55">
        <f>(G238-O238)/G238</f>
        <v/>
      </c>
      <c r="S238" s="55">
        <f>VLOOKUP(D238,Products!$A$2:$F$61,6,FALSE())</f>
        <v/>
      </c>
      <c r="U238" s="55">
        <f>TRIM(Customers!B238)</f>
        <v/>
      </c>
      <c r="V238" s="55">
        <f>UPPER(TRIM(Customers!D238))</f>
        <v/>
      </c>
      <c r="W238" s="55">
        <f>LEN(Customers!B238)&lt;&gt;LEN(TRIM(Customers!B238))</f>
        <v/>
      </c>
    </row>
    <row r="239" ht="15" customHeight="1" s="56">
      <c r="A239" s="55">
        <f>Orders!A239</f>
        <v/>
      </c>
      <c r="B239" s="103">
        <f>Orders!B239</f>
        <v/>
      </c>
      <c r="C239" s="55">
        <f>Orders!C239</f>
        <v/>
      </c>
      <c r="D239" s="55">
        <f>Orders!D239</f>
        <v/>
      </c>
      <c r="E239" s="55">
        <f>Orders!E239</f>
        <v/>
      </c>
      <c r="F239" s="55">
        <f>Orders!F239</f>
        <v/>
      </c>
      <c r="G239" s="55">
        <f>Orders!G239</f>
        <v/>
      </c>
      <c r="H239" s="55">
        <f>Orders!H239</f>
        <v/>
      </c>
      <c r="I239" s="55">
        <f>Orders!I239</f>
        <v/>
      </c>
      <c r="J239" s="55">
        <f>Orders!J239</f>
        <v/>
      </c>
      <c r="K239" s="55">
        <f>Orders!K239</f>
        <v/>
      </c>
      <c r="L239" s="55">
        <f>VLOOKUP(D239,Products!$A$2:$F$61,3,FALSE())</f>
        <v/>
      </c>
      <c r="M239" s="55">
        <f>VLOOKUP(C239,Customers!$A$2:$F$301,5,FALSE())</f>
        <v/>
      </c>
      <c r="N239" s="55">
        <f>VLOOKUP(E239,Sales_Reps!$A$2:$E$31,3,FALSE())</f>
        <v/>
      </c>
      <c r="O239" s="55">
        <f>VLOOKUP(D239,Products!$A$2:$F$61,4,FALSE())</f>
        <v/>
      </c>
      <c r="P239" s="55">
        <f>VLOOKUP(C239,Customers!$A$2:$F$301,3,FALSE())</f>
        <v/>
      </c>
      <c r="Q239" s="55">
        <f>UPPER(TRIM(K239))</f>
        <v/>
      </c>
      <c r="R239" s="55">
        <f>(G239-O239)/G239</f>
        <v/>
      </c>
      <c r="S239" s="55">
        <f>VLOOKUP(D239,Products!$A$2:$F$61,6,FALSE())</f>
        <v/>
      </c>
      <c r="U239" s="55">
        <f>TRIM(Customers!B239)</f>
        <v/>
      </c>
      <c r="V239" s="55">
        <f>UPPER(TRIM(Customers!D239))</f>
        <v/>
      </c>
      <c r="W239" s="55">
        <f>LEN(Customers!B239)&lt;&gt;LEN(TRIM(Customers!B239))</f>
        <v/>
      </c>
    </row>
    <row r="240" ht="15" customHeight="1" s="56">
      <c r="A240" s="55">
        <f>Orders!A240</f>
        <v/>
      </c>
      <c r="B240" s="103">
        <f>Orders!B240</f>
        <v/>
      </c>
      <c r="C240" s="55">
        <f>Orders!C240</f>
        <v/>
      </c>
      <c r="D240" s="55">
        <f>Orders!D240</f>
        <v/>
      </c>
      <c r="E240" s="55">
        <f>Orders!E240</f>
        <v/>
      </c>
      <c r="F240" s="55">
        <f>Orders!F240</f>
        <v/>
      </c>
      <c r="G240" s="55">
        <f>Orders!G240</f>
        <v/>
      </c>
      <c r="H240" s="55">
        <f>Orders!H240</f>
        <v/>
      </c>
      <c r="I240" s="55">
        <f>Orders!I240</f>
        <v/>
      </c>
      <c r="J240" s="55">
        <f>Orders!J240</f>
        <v/>
      </c>
      <c r="K240" s="55">
        <f>Orders!K240</f>
        <v/>
      </c>
      <c r="L240" s="55">
        <f>VLOOKUP(D240,Products!$A$2:$F$61,3,FALSE())</f>
        <v/>
      </c>
      <c r="M240" s="55">
        <f>VLOOKUP(C240,Customers!$A$2:$F$301,5,FALSE())</f>
        <v/>
      </c>
      <c r="N240" s="55">
        <f>VLOOKUP(E240,Sales_Reps!$A$2:$E$31,3,FALSE())</f>
        <v/>
      </c>
      <c r="O240" s="55">
        <f>VLOOKUP(D240,Products!$A$2:$F$61,4,FALSE())</f>
        <v/>
      </c>
      <c r="P240" s="55">
        <f>VLOOKUP(C240,Customers!$A$2:$F$301,3,FALSE())</f>
        <v/>
      </c>
      <c r="Q240" s="55">
        <f>UPPER(TRIM(K240))</f>
        <v/>
      </c>
      <c r="R240" s="55">
        <f>(G240-O240)/G240</f>
        <v/>
      </c>
      <c r="S240" s="55">
        <f>VLOOKUP(D240,Products!$A$2:$F$61,6,FALSE())</f>
        <v/>
      </c>
      <c r="U240" s="55">
        <f>TRIM(Customers!B240)</f>
        <v/>
      </c>
      <c r="V240" s="55">
        <f>UPPER(TRIM(Customers!D240))</f>
        <v/>
      </c>
      <c r="W240" s="55">
        <f>LEN(Customers!B240)&lt;&gt;LEN(TRIM(Customers!B240))</f>
        <v/>
      </c>
    </row>
    <row r="241" ht="15" customHeight="1" s="56">
      <c r="A241" s="55">
        <f>Orders!A241</f>
        <v/>
      </c>
      <c r="B241" s="103">
        <f>Orders!B241</f>
        <v/>
      </c>
      <c r="C241" s="55">
        <f>Orders!C241</f>
        <v/>
      </c>
      <c r="D241" s="55">
        <f>Orders!D241</f>
        <v/>
      </c>
      <c r="E241" s="55">
        <f>Orders!E241</f>
        <v/>
      </c>
      <c r="F241" s="55">
        <f>Orders!F241</f>
        <v/>
      </c>
      <c r="G241" s="55">
        <f>Orders!G241</f>
        <v/>
      </c>
      <c r="H241" s="55">
        <f>Orders!H241</f>
        <v/>
      </c>
      <c r="I241" s="55">
        <f>Orders!I241</f>
        <v/>
      </c>
      <c r="J241" s="55">
        <f>Orders!J241</f>
        <v/>
      </c>
      <c r="K241" s="55">
        <f>Orders!K241</f>
        <v/>
      </c>
      <c r="L241" s="55">
        <f>VLOOKUP(D241,Products!$A$2:$F$61,3,FALSE())</f>
        <v/>
      </c>
      <c r="M241" s="55">
        <f>VLOOKUP(C241,Customers!$A$2:$F$301,5,FALSE())</f>
        <v/>
      </c>
      <c r="N241" s="55">
        <f>VLOOKUP(E241,Sales_Reps!$A$2:$E$31,3,FALSE())</f>
        <v/>
      </c>
      <c r="O241" s="55">
        <f>VLOOKUP(D241,Products!$A$2:$F$61,4,FALSE())</f>
        <v/>
      </c>
      <c r="P241" s="55">
        <f>VLOOKUP(C241,Customers!$A$2:$F$301,3,FALSE())</f>
        <v/>
      </c>
      <c r="Q241" s="55">
        <f>UPPER(TRIM(K241))</f>
        <v/>
      </c>
      <c r="R241" s="55">
        <f>(G241-O241)/G241</f>
        <v/>
      </c>
      <c r="S241" s="55">
        <f>VLOOKUP(D241,Products!$A$2:$F$61,6,FALSE())</f>
        <v/>
      </c>
      <c r="U241" s="55">
        <f>TRIM(Customers!B241)</f>
        <v/>
      </c>
      <c r="V241" s="55">
        <f>UPPER(TRIM(Customers!D241))</f>
        <v/>
      </c>
      <c r="W241" s="55">
        <f>LEN(Customers!B241)&lt;&gt;LEN(TRIM(Customers!B241))</f>
        <v/>
      </c>
    </row>
    <row r="242" ht="15" customHeight="1" s="56">
      <c r="A242" s="55">
        <f>Orders!A242</f>
        <v/>
      </c>
      <c r="B242" s="103">
        <f>Orders!B242</f>
        <v/>
      </c>
      <c r="C242" s="55">
        <f>Orders!C242</f>
        <v/>
      </c>
      <c r="D242" s="55">
        <f>Orders!D242</f>
        <v/>
      </c>
      <c r="E242" s="55">
        <f>Orders!E242</f>
        <v/>
      </c>
      <c r="F242" s="55">
        <f>Orders!F242</f>
        <v/>
      </c>
      <c r="G242" s="55">
        <f>Orders!G242</f>
        <v/>
      </c>
      <c r="H242" s="55">
        <f>Orders!H242</f>
        <v/>
      </c>
      <c r="I242" s="55">
        <f>Orders!I242</f>
        <v/>
      </c>
      <c r="J242" s="55">
        <f>Orders!J242</f>
        <v/>
      </c>
      <c r="K242" s="55">
        <f>Orders!K242</f>
        <v/>
      </c>
      <c r="L242" s="55">
        <f>VLOOKUP(D242,Products!$A$2:$F$61,3,FALSE())</f>
        <v/>
      </c>
      <c r="M242" s="55">
        <f>VLOOKUP(C242,Customers!$A$2:$F$301,5,FALSE())</f>
        <v/>
      </c>
      <c r="N242" s="55">
        <f>VLOOKUP(E242,Sales_Reps!$A$2:$E$31,3,FALSE())</f>
        <v/>
      </c>
      <c r="O242" s="55">
        <f>VLOOKUP(D242,Products!$A$2:$F$61,4,FALSE())</f>
        <v/>
      </c>
      <c r="P242" s="55">
        <f>VLOOKUP(C242,Customers!$A$2:$F$301,3,FALSE())</f>
        <v/>
      </c>
      <c r="Q242" s="55">
        <f>UPPER(TRIM(K242))</f>
        <v/>
      </c>
      <c r="R242" s="55">
        <f>(G242-O242)/G242</f>
        <v/>
      </c>
      <c r="S242" s="55">
        <f>VLOOKUP(D242,Products!$A$2:$F$61,6,FALSE())</f>
        <v/>
      </c>
      <c r="U242" s="55">
        <f>TRIM(Customers!B242)</f>
        <v/>
      </c>
      <c r="V242" s="55">
        <f>UPPER(TRIM(Customers!D242))</f>
        <v/>
      </c>
      <c r="W242" s="55">
        <f>LEN(Customers!B242)&lt;&gt;LEN(TRIM(Customers!B242))</f>
        <v/>
      </c>
    </row>
    <row r="243" ht="15" customHeight="1" s="56">
      <c r="A243" s="55">
        <f>Orders!A243</f>
        <v/>
      </c>
      <c r="B243" s="103">
        <f>Orders!B243</f>
        <v/>
      </c>
      <c r="C243" s="55">
        <f>Orders!C243</f>
        <v/>
      </c>
      <c r="D243" s="55">
        <f>Orders!D243</f>
        <v/>
      </c>
      <c r="E243" s="55">
        <f>Orders!E243</f>
        <v/>
      </c>
      <c r="F243" s="55">
        <f>Orders!F243</f>
        <v/>
      </c>
      <c r="G243" s="55">
        <f>Orders!G243</f>
        <v/>
      </c>
      <c r="H243" s="55">
        <f>Orders!H243</f>
        <v/>
      </c>
      <c r="I243" s="55">
        <f>Orders!I243</f>
        <v/>
      </c>
      <c r="J243" s="55">
        <f>Orders!J243</f>
        <v/>
      </c>
      <c r="K243" s="55">
        <f>Orders!K243</f>
        <v/>
      </c>
      <c r="L243" s="55">
        <f>VLOOKUP(D243,Products!$A$2:$F$61,3,FALSE())</f>
        <v/>
      </c>
      <c r="M243" s="55">
        <f>VLOOKUP(C243,Customers!$A$2:$F$301,5,FALSE())</f>
        <v/>
      </c>
      <c r="N243" s="55">
        <f>VLOOKUP(E243,Sales_Reps!$A$2:$E$31,3,FALSE())</f>
        <v/>
      </c>
      <c r="O243" s="55">
        <f>VLOOKUP(D243,Products!$A$2:$F$61,4,FALSE())</f>
        <v/>
      </c>
      <c r="P243" s="55">
        <f>VLOOKUP(C243,Customers!$A$2:$F$301,3,FALSE())</f>
        <v/>
      </c>
      <c r="Q243" s="55">
        <f>UPPER(TRIM(K243))</f>
        <v/>
      </c>
      <c r="R243" s="55">
        <f>(G243-O243)/G243</f>
        <v/>
      </c>
      <c r="S243" s="55">
        <f>VLOOKUP(D243,Products!$A$2:$F$61,6,FALSE())</f>
        <v/>
      </c>
      <c r="U243" s="55">
        <f>TRIM(Customers!B243)</f>
        <v/>
      </c>
      <c r="V243" s="55">
        <f>UPPER(TRIM(Customers!D243))</f>
        <v/>
      </c>
      <c r="W243" s="55">
        <f>LEN(Customers!B243)&lt;&gt;LEN(TRIM(Customers!B243))</f>
        <v/>
      </c>
    </row>
    <row r="244" ht="15" customHeight="1" s="56">
      <c r="A244" s="55">
        <f>Orders!A244</f>
        <v/>
      </c>
      <c r="B244" s="103">
        <f>Orders!B244</f>
        <v/>
      </c>
      <c r="C244" s="55">
        <f>Orders!C244</f>
        <v/>
      </c>
      <c r="D244" s="55">
        <f>Orders!D244</f>
        <v/>
      </c>
      <c r="E244" s="55">
        <f>Orders!E244</f>
        <v/>
      </c>
      <c r="F244" s="55">
        <f>Orders!F244</f>
        <v/>
      </c>
      <c r="G244" s="55">
        <f>Orders!G244</f>
        <v/>
      </c>
      <c r="H244" s="55">
        <f>Orders!H244</f>
        <v/>
      </c>
      <c r="I244" s="55">
        <f>Orders!I244</f>
        <v/>
      </c>
      <c r="J244" s="55">
        <f>Orders!J244</f>
        <v/>
      </c>
      <c r="K244" s="55">
        <f>Orders!K244</f>
        <v/>
      </c>
      <c r="L244" s="55">
        <f>VLOOKUP(D244,Products!$A$2:$F$61,3,FALSE())</f>
        <v/>
      </c>
      <c r="M244" s="55">
        <f>VLOOKUP(C244,Customers!$A$2:$F$301,5,FALSE())</f>
        <v/>
      </c>
      <c r="N244" s="55">
        <f>VLOOKUP(E244,Sales_Reps!$A$2:$E$31,3,FALSE())</f>
        <v/>
      </c>
      <c r="O244" s="55">
        <f>VLOOKUP(D244,Products!$A$2:$F$61,4,FALSE())</f>
        <v/>
      </c>
      <c r="P244" s="55">
        <f>VLOOKUP(C244,Customers!$A$2:$F$301,3,FALSE())</f>
        <v/>
      </c>
      <c r="Q244" s="55">
        <f>UPPER(TRIM(K244))</f>
        <v/>
      </c>
      <c r="R244" s="55">
        <f>(G244-O244)/G244</f>
        <v/>
      </c>
      <c r="S244" s="55">
        <f>VLOOKUP(D244,Products!$A$2:$F$61,6,FALSE())</f>
        <v/>
      </c>
      <c r="U244" s="55">
        <f>TRIM(Customers!B244)</f>
        <v/>
      </c>
      <c r="V244" s="55">
        <f>UPPER(TRIM(Customers!D244))</f>
        <v/>
      </c>
      <c r="W244" s="55">
        <f>LEN(Customers!B244)&lt;&gt;LEN(TRIM(Customers!B244))</f>
        <v/>
      </c>
    </row>
    <row r="245" ht="15" customHeight="1" s="56">
      <c r="A245" s="55">
        <f>Orders!A245</f>
        <v/>
      </c>
      <c r="B245" s="103">
        <f>Orders!B245</f>
        <v/>
      </c>
      <c r="C245" s="55">
        <f>Orders!C245</f>
        <v/>
      </c>
      <c r="D245" s="55">
        <f>Orders!D245</f>
        <v/>
      </c>
      <c r="E245" s="55">
        <f>Orders!E245</f>
        <v/>
      </c>
      <c r="F245" s="55">
        <f>Orders!F245</f>
        <v/>
      </c>
      <c r="G245" s="55">
        <f>Orders!G245</f>
        <v/>
      </c>
      <c r="H245" s="55">
        <f>Orders!H245</f>
        <v/>
      </c>
      <c r="I245" s="55">
        <f>Orders!I245</f>
        <v/>
      </c>
      <c r="J245" s="55">
        <f>Orders!J245</f>
        <v/>
      </c>
      <c r="K245" s="55">
        <f>Orders!K245</f>
        <v/>
      </c>
      <c r="L245" s="55">
        <f>VLOOKUP(D245,Products!$A$2:$F$61,3,FALSE())</f>
        <v/>
      </c>
      <c r="M245" s="55">
        <f>VLOOKUP(C245,Customers!$A$2:$F$301,5,FALSE())</f>
        <v/>
      </c>
      <c r="N245" s="55">
        <f>VLOOKUP(E245,Sales_Reps!$A$2:$E$31,3,FALSE())</f>
        <v/>
      </c>
      <c r="O245" s="55">
        <f>VLOOKUP(D245,Products!$A$2:$F$61,4,FALSE())</f>
        <v/>
      </c>
      <c r="P245" s="55">
        <f>VLOOKUP(C245,Customers!$A$2:$F$301,3,FALSE())</f>
        <v/>
      </c>
      <c r="Q245" s="55">
        <f>UPPER(TRIM(K245))</f>
        <v/>
      </c>
      <c r="R245" s="55">
        <f>(G245-O245)/G245</f>
        <v/>
      </c>
      <c r="S245" s="55">
        <f>VLOOKUP(D245,Products!$A$2:$F$61,6,FALSE())</f>
        <v/>
      </c>
      <c r="U245" s="55">
        <f>TRIM(Customers!B245)</f>
        <v/>
      </c>
      <c r="V245" s="55">
        <f>UPPER(TRIM(Customers!D245))</f>
        <v/>
      </c>
      <c r="W245" s="55">
        <f>LEN(Customers!B245)&lt;&gt;LEN(TRIM(Customers!B245))</f>
        <v/>
      </c>
    </row>
    <row r="246" ht="15" customHeight="1" s="56">
      <c r="A246" s="55">
        <f>Orders!A246</f>
        <v/>
      </c>
      <c r="B246" s="103">
        <f>Orders!B246</f>
        <v/>
      </c>
      <c r="C246" s="55">
        <f>Orders!C246</f>
        <v/>
      </c>
      <c r="D246" s="55">
        <f>Orders!D246</f>
        <v/>
      </c>
      <c r="E246" s="55">
        <f>Orders!E246</f>
        <v/>
      </c>
      <c r="F246" s="55">
        <f>Orders!F246</f>
        <v/>
      </c>
      <c r="G246" s="55">
        <f>Orders!G246</f>
        <v/>
      </c>
      <c r="H246" s="55">
        <f>Orders!H246</f>
        <v/>
      </c>
      <c r="I246" s="55">
        <f>Orders!I246</f>
        <v/>
      </c>
      <c r="J246" s="55">
        <f>Orders!J246</f>
        <v/>
      </c>
      <c r="K246" s="55">
        <f>Orders!K246</f>
        <v/>
      </c>
      <c r="L246" s="55">
        <f>VLOOKUP(D246,Products!$A$2:$F$61,3,FALSE())</f>
        <v/>
      </c>
      <c r="M246" s="55">
        <f>VLOOKUP(C246,Customers!$A$2:$F$301,5,FALSE())</f>
        <v/>
      </c>
      <c r="N246" s="55">
        <f>VLOOKUP(E246,Sales_Reps!$A$2:$E$31,3,FALSE())</f>
        <v/>
      </c>
      <c r="O246" s="55">
        <f>VLOOKUP(D246,Products!$A$2:$F$61,4,FALSE())</f>
        <v/>
      </c>
      <c r="P246" s="55">
        <f>VLOOKUP(C246,Customers!$A$2:$F$301,3,FALSE())</f>
        <v/>
      </c>
      <c r="Q246" s="55">
        <f>UPPER(TRIM(K246))</f>
        <v/>
      </c>
      <c r="R246" s="55">
        <f>(G246-O246)/G246</f>
        <v/>
      </c>
      <c r="S246" s="55">
        <f>VLOOKUP(D246,Products!$A$2:$F$61,6,FALSE())</f>
        <v/>
      </c>
      <c r="U246" s="55">
        <f>TRIM(Customers!B246)</f>
        <v/>
      </c>
      <c r="V246" s="55">
        <f>UPPER(TRIM(Customers!D246))</f>
        <v/>
      </c>
      <c r="W246" s="55">
        <f>LEN(Customers!B246)&lt;&gt;LEN(TRIM(Customers!B246))</f>
        <v/>
      </c>
    </row>
    <row r="247" ht="15" customHeight="1" s="56">
      <c r="A247" s="55">
        <f>Orders!A247</f>
        <v/>
      </c>
      <c r="B247" s="103">
        <f>Orders!B247</f>
        <v/>
      </c>
      <c r="C247" s="55">
        <f>Orders!C247</f>
        <v/>
      </c>
      <c r="D247" s="55">
        <f>Orders!D247</f>
        <v/>
      </c>
      <c r="E247" s="55">
        <f>Orders!E247</f>
        <v/>
      </c>
      <c r="F247" s="55">
        <f>Orders!F247</f>
        <v/>
      </c>
      <c r="G247" s="55">
        <f>Orders!G247</f>
        <v/>
      </c>
      <c r="H247" s="55">
        <f>Orders!H247</f>
        <v/>
      </c>
      <c r="I247" s="55">
        <f>Orders!I247</f>
        <v/>
      </c>
      <c r="J247" s="55">
        <f>Orders!J247</f>
        <v/>
      </c>
      <c r="K247" s="55">
        <f>Orders!K247</f>
        <v/>
      </c>
      <c r="L247" s="55">
        <f>VLOOKUP(D247,Products!$A$2:$F$61,3,FALSE())</f>
        <v/>
      </c>
      <c r="M247" s="55">
        <f>VLOOKUP(C247,Customers!$A$2:$F$301,5,FALSE())</f>
        <v/>
      </c>
      <c r="N247" s="55">
        <f>VLOOKUP(E247,Sales_Reps!$A$2:$E$31,3,FALSE())</f>
        <v/>
      </c>
      <c r="O247" s="55">
        <f>VLOOKUP(D247,Products!$A$2:$F$61,4,FALSE())</f>
        <v/>
      </c>
      <c r="P247" s="55">
        <f>VLOOKUP(C247,Customers!$A$2:$F$301,3,FALSE())</f>
        <v/>
      </c>
      <c r="Q247" s="55">
        <f>UPPER(TRIM(K247))</f>
        <v/>
      </c>
      <c r="R247" s="55">
        <f>(G247-O247)/G247</f>
        <v/>
      </c>
      <c r="S247" s="55">
        <f>VLOOKUP(D247,Products!$A$2:$F$61,6,FALSE())</f>
        <v/>
      </c>
      <c r="U247" s="55">
        <f>TRIM(Customers!B247)</f>
        <v/>
      </c>
      <c r="V247" s="55">
        <f>UPPER(TRIM(Customers!D247))</f>
        <v/>
      </c>
      <c r="W247" s="55">
        <f>LEN(Customers!B247)&lt;&gt;LEN(TRIM(Customers!B247))</f>
        <v/>
      </c>
    </row>
    <row r="248" ht="15" customHeight="1" s="56">
      <c r="A248" s="55">
        <f>Orders!A248</f>
        <v/>
      </c>
      <c r="B248" s="103">
        <f>Orders!B248</f>
        <v/>
      </c>
      <c r="C248" s="55">
        <f>Orders!C248</f>
        <v/>
      </c>
      <c r="D248" s="55">
        <f>Orders!D248</f>
        <v/>
      </c>
      <c r="E248" s="55">
        <f>Orders!E248</f>
        <v/>
      </c>
      <c r="F248" s="55">
        <f>Orders!F248</f>
        <v/>
      </c>
      <c r="G248" s="55">
        <f>Orders!G248</f>
        <v/>
      </c>
      <c r="H248" s="55">
        <f>Orders!H248</f>
        <v/>
      </c>
      <c r="I248" s="55">
        <f>Orders!I248</f>
        <v/>
      </c>
      <c r="J248" s="55">
        <f>Orders!J248</f>
        <v/>
      </c>
      <c r="K248" s="55">
        <f>Orders!K248</f>
        <v/>
      </c>
      <c r="L248" s="55">
        <f>VLOOKUP(D248,Products!$A$2:$F$61,3,FALSE())</f>
        <v/>
      </c>
      <c r="M248" s="55">
        <f>VLOOKUP(C248,Customers!$A$2:$F$301,5,FALSE())</f>
        <v/>
      </c>
      <c r="N248" s="55">
        <f>VLOOKUP(E248,Sales_Reps!$A$2:$E$31,3,FALSE())</f>
        <v/>
      </c>
      <c r="O248" s="55">
        <f>VLOOKUP(D248,Products!$A$2:$F$61,4,FALSE())</f>
        <v/>
      </c>
      <c r="P248" s="55">
        <f>VLOOKUP(C248,Customers!$A$2:$F$301,3,FALSE())</f>
        <v/>
      </c>
      <c r="Q248" s="55">
        <f>UPPER(TRIM(K248))</f>
        <v/>
      </c>
      <c r="R248" s="55">
        <f>(G248-O248)/G248</f>
        <v/>
      </c>
      <c r="S248" s="55">
        <f>VLOOKUP(D248,Products!$A$2:$F$61,6,FALSE())</f>
        <v/>
      </c>
      <c r="U248" s="55">
        <f>TRIM(Customers!B248)</f>
        <v/>
      </c>
      <c r="V248" s="55">
        <f>UPPER(TRIM(Customers!D248))</f>
        <v/>
      </c>
      <c r="W248" s="55">
        <f>LEN(Customers!B248)&lt;&gt;LEN(TRIM(Customers!B248))</f>
        <v/>
      </c>
    </row>
    <row r="249" ht="15" customHeight="1" s="56">
      <c r="A249" s="55">
        <f>Orders!A249</f>
        <v/>
      </c>
      <c r="B249" s="103">
        <f>Orders!B249</f>
        <v/>
      </c>
      <c r="C249" s="55">
        <f>Orders!C249</f>
        <v/>
      </c>
      <c r="D249" s="55">
        <f>Orders!D249</f>
        <v/>
      </c>
      <c r="E249" s="55">
        <f>Orders!E249</f>
        <v/>
      </c>
      <c r="F249" s="55">
        <f>Orders!F249</f>
        <v/>
      </c>
      <c r="G249" s="55">
        <f>Orders!G249</f>
        <v/>
      </c>
      <c r="H249" s="55">
        <f>Orders!H249</f>
        <v/>
      </c>
      <c r="I249" s="55">
        <f>Orders!I249</f>
        <v/>
      </c>
      <c r="J249" s="55">
        <f>Orders!J249</f>
        <v/>
      </c>
      <c r="K249" s="55">
        <f>Orders!K249</f>
        <v/>
      </c>
      <c r="L249" s="55">
        <f>VLOOKUP(D249,Products!$A$2:$F$61,3,FALSE())</f>
        <v/>
      </c>
      <c r="M249" s="55">
        <f>VLOOKUP(C249,Customers!$A$2:$F$301,5,FALSE())</f>
        <v/>
      </c>
      <c r="N249" s="55">
        <f>VLOOKUP(E249,Sales_Reps!$A$2:$E$31,3,FALSE())</f>
        <v/>
      </c>
      <c r="O249" s="55">
        <f>VLOOKUP(D249,Products!$A$2:$F$61,4,FALSE())</f>
        <v/>
      </c>
      <c r="P249" s="55">
        <f>VLOOKUP(C249,Customers!$A$2:$F$301,3,FALSE())</f>
        <v/>
      </c>
      <c r="Q249" s="55">
        <f>UPPER(TRIM(K249))</f>
        <v/>
      </c>
      <c r="R249" s="55">
        <f>(G249-O249)/G249</f>
        <v/>
      </c>
      <c r="S249" s="55">
        <f>VLOOKUP(D249,Products!$A$2:$F$61,6,FALSE())</f>
        <v/>
      </c>
      <c r="U249" s="55">
        <f>TRIM(Customers!B249)</f>
        <v/>
      </c>
      <c r="V249" s="55">
        <f>UPPER(TRIM(Customers!D249))</f>
        <v/>
      </c>
      <c r="W249" s="55">
        <f>LEN(Customers!B249)&lt;&gt;LEN(TRIM(Customers!B249))</f>
        <v/>
      </c>
    </row>
    <row r="250" ht="15" customHeight="1" s="56">
      <c r="A250" s="55">
        <f>Orders!A250</f>
        <v/>
      </c>
      <c r="B250" s="103">
        <f>Orders!B250</f>
        <v/>
      </c>
      <c r="C250" s="55">
        <f>Orders!C250</f>
        <v/>
      </c>
      <c r="D250" s="55">
        <f>Orders!D250</f>
        <v/>
      </c>
      <c r="E250" s="55">
        <f>Orders!E250</f>
        <v/>
      </c>
      <c r="F250" s="55">
        <f>Orders!F250</f>
        <v/>
      </c>
      <c r="G250" s="55">
        <f>Orders!G250</f>
        <v/>
      </c>
      <c r="H250" s="55">
        <f>Orders!H250</f>
        <v/>
      </c>
      <c r="I250" s="55">
        <f>Orders!I250</f>
        <v/>
      </c>
      <c r="J250" s="55">
        <f>Orders!J250</f>
        <v/>
      </c>
      <c r="K250" s="55">
        <f>Orders!K250</f>
        <v/>
      </c>
      <c r="L250" s="55">
        <f>VLOOKUP(D250,Products!$A$2:$F$61,3,FALSE())</f>
        <v/>
      </c>
      <c r="M250" s="55">
        <f>VLOOKUP(C250,Customers!$A$2:$F$301,5,FALSE())</f>
        <v/>
      </c>
      <c r="N250" s="55">
        <f>VLOOKUP(E250,Sales_Reps!$A$2:$E$31,3,FALSE())</f>
        <v/>
      </c>
      <c r="O250" s="55">
        <f>VLOOKUP(D250,Products!$A$2:$F$61,4,FALSE())</f>
        <v/>
      </c>
      <c r="P250" s="55">
        <f>VLOOKUP(C250,Customers!$A$2:$F$301,3,FALSE())</f>
        <v/>
      </c>
      <c r="Q250" s="55">
        <f>UPPER(TRIM(K250))</f>
        <v/>
      </c>
      <c r="R250" s="55">
        <f>(G250-O250)/G250</f>
        <v/>
      </c>
      <c r="S250" s="55">
        <f>VLOOKUP(D250,Products!$A$2:$F$61,6,FALSE())</f>
        <v/>
      </c>
      <c r="U250" s="55">
        <f>TRIM(Customers!B250)</f>
        <v/>
      </c>
      <c r="V250" s="55">
        <f>UPPER(TRIM(Customers!D250))</f>
        <v/>
      </c>
      <c r="W250" s="55">
        <f>LEN(Customers!B250)&lt;&gt;LEN(TRIM(Customers!B250))</f>
        <v/>
      </c>
    </row>
    <row r="251" ht="15" customHeight="1" s="56">
      <c r="A251" s="55">
        <f>Orders!A251</f>
        <v/>
      </c>
      <c r="B251" s="103">
        <f>Orders!B251</f>
        <v/>
      </c>
      <c r="C251" s="55">
        <f>Orders!C251</f>
        <v/>
      </c>
      <c r="D251" s="55">
        <f>Orders!D251</f>
        <v/>
      </c>
      <c r="E251" s="55">
        <f>Orders!E251</f>
        <v/>
      </c>
      <c r="F251" s="55">
        <f>Orders!F251</f>
        <v/>
      </c>
      <c r="G251" s="55">
        <f>Orders!G251</f>
        <v/>
      </c>
      <c r="H251" s="55">
        <f>Orders!H251</f>
        <v/>
      </c>
      <c r="I251" s="55">
        <f>Orders!I251</f>
        <v/>
      </c>
      <c r="J251" s="55">
        <f>Orders!J251</f>
        <v/>
      </c>
      <c r="K251" s="55">
        <f>Orders!K251</f>
        <v/>
      </c>
      <c r="L251" s="55">
        <f>VLOOKUP(D251,Products!$A$2:$F$61,3,FALSE())</f>
        <v/>
      </c>
      <c r="M251" s="55">
        <f>VLOOKUP(C251,Customers!$A$2:$F$301,5,FALSE())</f>
        <v/>
      </c>
      <c r="N251" s="55">
        <f>VLOOKUP(E251,Sales_Reps!$A$2:$E$31,3,FALSE())</f>
        <v/>
      </c>
      <c r="O251" s="55">
        <f>VLOOKUP(D251,Products!$A$2:$F$61,4,FALSE())</f>
        <v/>
      </c>
      <c r="P251" s="55">
        <f>VLOOKUP(C251,Customers!$A$2:$F$301,3,FALSE())</f>
        <v/>
      </c>
      <c r="Q251" s="55">
        <f>UPPER(TRIM(K251))</f>
        <v/>
      </c>
      <c r="R251" s="55">
        <f>(G251-O251)/G251</f>
        <v/>
      </c>
      <c r="S251" s="55">
        <f>VLOOKUP(D251,Products!$A$2:$F$61,6,FALSE())</f>
        <v/>
      </c>
      <c r="U251" s="55">
        <f>TRIM(Customers!B251)</f>
        <v/>
      </c>
      <c r="V251" s="55">
        <f>UPPER(TRIM(Customers!D251))</f>
        <v/>
      </c>
      <c r="W251" s="55">
        <f>LEN(Customers!B251)&lt;&gt;LEN(TRIM(Customers!B251))</f>
        <v/>
      </c>
    </row>
    <row r="252" ht="15" customHeight="1" s="56">
      <c r="A252" s="55">
        <f>Orders!A252</f>
        <v/>
      </c>
      <c r="B252" s="103">
        <f>Orders!B252</f>
        <v/>
      </c>
      <c r="C252" s="55">
        <f>Orders!C252</f>
        <v/>
      </c>
      <c r="D252" s="55">
        <f>Orders!D252</f>
        <v/>
      </c>
      <c r="E252" s="55">
        <f>Orders!E252</f>
        <v/>
      </c>
      <c r="F252" s="55">
        <f>Orders!F252</f>
        <v/>
      </c>
      <c r="G252" s="55">
        <f>Orders!G252</f>
        <v/>
      </c>
      <c r="H252" s="55">
        <f>Orders!H252</f>
        <v/>
      </c>
      <c r="I252" s="55">
        <f>Orders!I252</f>
        <v/>
      </c>
      <c r="J252" s="55">
        <f>Orders!J252</f>
        <v/>
      </c>
      <c r="K252" s="55">
        <f>Orders!K252</f>
        <v/>
      </c>
      <c r="L252" s="55">
        <f>VLOOKUP(D252,Products!$A$2:$F$61,3,FALSE())</f>
        <v/>
      </c>
      <c r="M252" s="55">
        <f>VLOOKUP(C252,Customers!$A$2:$F$301,5,FALSE())</f>
        <v/>
      </c>
      <c r="N252" s="55">
        <f>VLOOKUP(E252,Sales_Reps!$A$2:$E$31,3,FALSE())</f>
        <v/>
      </c>
      <c r="O252" s="55">
        <f>VLOOKUP(D252,Products!$A$2:$F$61,4,FALSE())</f>
        <v/>
      </c>
      <c r="P252" s="55">
        <f>VLOOKUP(C252,Customers!$A$2:$F$301,3,FALSE())</f>
        <v/>
      </c>
      <c r="Q252" s="55">
        <f>UPPER(TRIM(K252))</f>
        <v/>
      </c>
      <c r="R252" s="55">
        <f>(G252-O252)/G252</f>
        <v/>
      </c>
      <c r="S252" s="55">
        <f>VLOOKUP(D252,Products!$A$2:$F$61,6,FALSE())</f>
        <v/>
      </c>
      <c r="U252" s="55">
        <f>TRIM(Customers!B252)</f>
        <v/>
      </c>
      <c r="V252" s="55">
        <f>UPPER(TRIM(Customers!D252))</f>
        <v/>
      </c>
      <c r="W252" s="55">
        <f>LEN(Customers!B252)&lt;&gt;LEN(TRIM(Customers!B252))</f>
        <v/>
      </c>
    </row>
    <row r="253" ht="15" customHeight="1" s="56">
      <c r="A253" s="55">
        <f>Orders!A253</f>
        <v/>
      </c>
      <c r="B253" s="103">
        <f>Orders!B253</f>
        <v/>
      </c>
      <c r="C253" s="55">
        <f>Orders!C253</f>
        <v/>
      </c>
      <c r="D253" s="55">
        <f>Orders!D253</f>
        <v/>
      </c>
      <c r="E253" s="55">
        <f>Orders!E253</f>
        <v/>
      </c>
      <c r="F253" s="55">
        <f>Orders!F253</f>
        <v/>
      </c>
      <c r="G253" s="55">
        <f>Orders!G253</f>
        <v/>
      </c>
      <c r="H253" s="55">
        <f>Orders!H253</f>
        <v/>
      </c>
      <c r="I253" s="55">
        <f>Orders!I253</f>
        <v/>
      </c>
      <c r="J253" s="55">
        <f>Orders!J253</f>
        <v/>
      </c>
      <c r="K253" s="55">
        <f>Orders!K253</f>
        <v/>
      </c>
      <c r="L253" s="55">
        <f>VLOOKUP(D253,Products!$A$2:$F$61,3,FALSE())</f>
        <v/>
      </c>
      <c r="M253" s="55">
        <f>VLOOKUP(C253,Customers!$A$2:$F$301,5,FALSE())</f>
        <v/>
      </c>
      <c r="N253" s="55">
        <f>VLOOKUP(E253,Sales_Reps!$A$2:$E$31,3,FALSE())</f>
        <v/>
      </c>
      <c r="O253" s="55">
        <f>VLOOKUP(D253,Products!$A$2:$F$61,4,FALSE())</f>
        <v/>
      </c>
      <c r="P253" s="55">
        <f>VLOOKUP(C253,Customers!$A$2:$F$301,3,FALSE())</f>
        <v/>
      </c>
      <c r="Q253" s="55">
        <f>UPPER(TRIM(K253))</f>
        <v/>
      </c>
      <c r="R253" s="55">
        <f>(G253-O253)/G253</f>
        <v/>
      </c>
      <c r="S253" s="55">
        <f>VLOOKUP(D253,Products!$A$2:$F$61,6,FALSE())</f>
        <v/>
      </c>
      <c r="U253" s="55">
        <f>TRIM(Customers!B253)</f>
        <v/>
      </c>
      <c r="V253" s="55">
        <f>UPPER(TRIM(Customers!D253))</f>
        <v/>
      </c>
      <c r="W253" s="55">
        <f>LEN(Customers!B253)&lt;&gt;LEN(TRIM(Customers!B253))</f>
        <v/>
      </c>
    </row>
    <row r="254" ht="15" customHeight="1" s="56">
      <c r="A254" s="55">
        <f>Orders!A254</f>
        <v/>
      </c>
      <c r="B254" s="103">
        <f>Orders!B254</f>
        <v/>
      </c>
      <c r="C254" s="55">
        <f>Orders!C254</f>
        <v/>
      </c>
      <c r="D254" s="55">
        <f>Orders!D254</f>
        <v/>
      </c>
      <c r="E254" s="55">
        <f>Orders!E254</f>
        <v/>
      </c>
      <c r="F254" s="55">
        <f>Orders!F254</f>
        <v/>
      </c>
      <c r="G254" s="55">
        <f>Orders!G254</f>
        <v/>
      </c>
      <c r="H254" s="55">
        <f>Orders!H254</f>
        <v/>
      </c>
      <c r="I254" s="55">
        <f>Orders!I254</f>
        <v/>
      </c>
      <c r="J254" s="55">
        <f>Orders!J254</f>
        <v/>
      </c>
      <c r="K254" s="55">
        <f>Orders!K254</f>
        <v/>
      </c>
      <c r="L254" s="55">
        <f>VLOOKUP(D254,Products!$A$2:$F$61,3,FALSE())</f>
        <v/>
      </c>
      <c r="M254" s="55">
        <f>VLOOKUP(C254,Customers!$A$2:$F$301,5,FALSE())</f>
        <v/>
      </c>
      <c r="N254" s="55">
        <f>VLOOKUP(E254,Sales_Reps!$A$2:$E$31,3,FALSE())</f>
        <v/>
      </c>
      <c r="O254" s="55">
        <f>VLOOKUP(D254,Products!$A$2:$F$61,4,FALSE())</f>
        <v/>
      </c>
      <c r="P254" s="55">
        <f>VLOOKUP(C254,Customers!$A$2:$F$301,3,FALSE())</f>
        <v/>
      </c>
      <c r="Q254" s="55">
        <f>UPPER(TRIM(K254))</f>
        <v/>
      </c>
      <c r="R254" s="55">
        <f>(G254-O254)/G254</f>
        <v/>
      </c>
      <c r="S254" s="55">
        <f>VLOOKUP(D254,Products!$A$2:$F$61,6,FALSE())</f>
        <v/>
      </c>
      <c r="U254" s="55">
        <f>TRIM(Customers!B254)</f>
        <v/>
      </c>
      <c r="V254" s="55">
        <f>UPPER(TRIM(Customers!D254))</f>
        <v/>
      </c>
      <c r="W254" s="55">
        <f>LEN(Customers!B254)&lt;&gt;LEN(TRIM(Customers!B254))</f>
        <v/>
      </c>
    </row>
    <row r="255" ht="15" customHeight="1" s="56">
      <c r="A255" s="55">
        <f>Orders!A255</f>
        <v/>
      </c>
      <c r="B255" s="103">
        <f>Orders!B255</f>
        <v/>
      </c>
      <c r="C255" s="55">
        <f>Orders!C255</f>
        <v/>
      </c>
      <c r="D255" s="55">
        <f>Orders!D255</f>
        <v/>
      </c>
      <c r="E255" s="55">
        <f>Orders!E255</f>
        <v/>
      </c>
      <c r="F255" s="55">
        <f>Orders!F255</f>
        <v/>
      </c>
      <c r="G255" s="55">
        <f>Orders!G255</f>
        <v/>
      </c>
      <c r="H255" s="55">
        <f>Orders!H255</f>
        <v/>
      </c>
      <c r="I255" s="55">
        <f>Orders!I255</f>
        <v/>
      </c>
      <c r="J255" s="55">
        <f>Orders!J255</f>
        <v/>
      </c>
      <c r="K255" s="55">
        <f>Orders!K255</f>
        <v/>
      </c>
      <c r="L255" s="55">
        <f>VLOOKUP(D255,Products!$A$2:$F$61,3,FALSE())</f>
        <v/>
      </c>
      <c r="M255" s="55">
        <f>VLOOKUP(C255,Customers!$A$2:$F$301,5,FALSE())</f>
        <v/>
      </c>
      <c r="N255" s="55">
        <f>VLOOKUP(E255,Sales_Reps!$A$2:$E$31,3,FALSE())</f>
        <v/>
      </c>
      <c r="O255" s="55">
        <f>VLOOKUP(D255,Products!$A$2:$F$61,4,FALSE())</f>
        <v/>
      </c>
      <c r="P255" s="55">
        <f>VLOOKUP(C255,Customers!$A$2:$F$301,3,FALSE())</f>
        <v/>
      </c>
      <c r="Q255" s="55">
        <f>UPPER(TRIM(K255))</f>
        <v/>
      </c>
      <c r="R255" s="55">
        <f>(G255-O255)/G255</f>
        <v/>
      </c>
      <c r="S255" s="55">
        <f>VLOOKUP(D255,Products!$A$2:$F$61,6,FALSE())</f>
        <v/>
      </c>
      <c r="U255" s="55">
        <f>TRIM(Customers!B255)</f>
        <v/>
      </c>
      <c r="V255" s="55">
        <f>UPPER(TRIM(Customers!D255))</f>
        <v/>
      </c>
      <c r="W255" s="55">
        <f>LEN(Customers!B255)&lt;&gt;LEN(TRIM(Customers!B255))</f>
        <v/>
      </c>
    </row>
    <row r="256" ht="15" customHeight="1" s="56">
      <c r="A256" s="55">
        <f>Orders!A256</f>
        <v/>
      </c>
      <c r="B256" s="103">
        <f>Orders!B256</f>
        <v/>
      </c>
      <c r="C256" s="55">
        <f>Orders!C256</f>
        <v/>
      </c>
      <c r="D256" s="55">
        <f>Orders!D256</f>
        <v/>
      </c>
      <c r="E256" s="55">
        <f>Orders!E256</f>
        <v/>
      </c>
      <c r="F256" s="55">
        <f>Orders!F256</f>
        <v/>
      </c>
      <c r="G256" s="55">
        <f>Orders!G256</f>
        <v/>
      </c>
      <c r="H256" s="55">
        <f>Orders!H256</f>
        <v/>
      </c>
      <c r="I256" s="55">
        <f>Orders!I256</f>
        <v/>
      </c>
      <c r="J256" s="55">
        <f>Orders!J256</f>
        <v/>
      </c>
      <c r="K256" s="55">
        <f>Orders!K256</f>
        <v/>
      </c>
      <c r="L256" s="55">
        <f>VLOOKUP(D256,Products!$A$2:$F$61,3,FALSE())</f>
        <v/>
      </c>
      <c r="M256" s="55">
        <f>VLOOKUP(C256,Customers!$A$2:$F$301,5,FALSE())</f>
        <v/>
      </c>
      <c r="N256" s="55">
        <f>VLOOKUP(E256,Sales_Reps!$A$2:$E$31,3,FALSE())</f>
        <v/>
      </c>
      <c r="O256" s="55">
        <f>VLOOKUP(D256,Products!$A$2:$F$61,4,FALSE())</f>
        <v/>
      </c>
      <c r="P256" s="55">
        <f>VLOOKUP(C256,Customers!$A$2:$F$301,3,FALSE())</f>
        <v/>
      </c>
      <c r="Q256" s="55">
        <f>UPPER(TRIM(K256))</f>
        <v/>
      </c>
      <c r="R256" s="55">
        <f>(G256-O256)/G256</f>
        <v/>
      </c>
      <c r="S256" s="55">
        <f>VLOOKUP(D256,Products!$A$2:$F$61,6,FALSE())</f>
        <v/>
      </c>
      <c r="U256" s="55">
        <f>TRIM(Customers!B256)</f>
        <v/>
      </c>
      <c r="V256" s="55">
        <f>UPPER(TRIM(Customers!D256))</f>
        <v/>
      </c>
      <c r="W256" s="55">
        <f>LEN(Customers!B256)&lt;&gt;LEN(TRIM(Customers!B256))</f>
        <v/>
      </c>
    </row>
    <row r="257" ht="15" customHeight="1" s="56">
      <c r="A257" s="55">
        <f>Orders!A257</f>
        <v/>
      </c>
      <c r="B257" s="103">
        <f>Orders!B257</f>
        <v/>
      </c>
      <c r="C257" s="55">
        <f>Orders!C257</f>
        <v/>
      </c>
      <c r="D257" s="55">
        <f>Orders!D257</f>
        <v/>
      </c>
      <c r="E257" s="55">
        <f>Orders!E257</f>
        <v/>
      </c>
      <c r="F257" s="55">
        <f>Orders!F257</f>
        <v/>
      </c>
      <c r="G257" s="55">
        <f>Orders!G257</f>
        <v/>
      </c>
      <c r="H257" s="55">
        <f>Orders!H257</f>
        <v/>
      </c>
      <c r="I257" s="55">
        <f>Orders!I257</f>
        <v/>
      </c>
      <c r="J257" s="55">
        <f>Orders!J257</f>
        <v/>
      </c>
      <c r="K257" s="55">
        <f>Orders!K257</f>
        <v/>
      </c>
      <c r="L257" s="55">
        <f>VLOOKUP(D257,Products!$A$2:$F$61,3,FALSE())</f>
        <v/>
      </c>
      <c r="M257" s="55">
        <f>VLOOKUP(C257,Customers!$A$2:$F$301,5,FALSE())</f>
        <v/>
      </c>
      <c r="N257" s="55">
        <f>VLOOKUP(E257,Sales_Reps!$A$2:$E$31,3,FALSE())</f>
        <v/>
      </c>
      <c r="O257" s="55">
        <f>VLOOKUP(D257,Products!$A$2:$F$61,4,FALSE())</f>
        <v/>
      </c>
      <c r="P257" s="55">
        <f>VLOOKUP(C257,Customers!$A$2:$F$301,3,FALSE())</f>
        <v/>
      </c>
      <c r="Q257" s="55">
        <f>UPPER(TRIM(K257))</f>
        <v/>
      </c>
      <c r="R257" s="55">
        <f>(G257-O257)/G257</f>
        <v/>
      </c>
      <c r="S257" s="55">
        <f>VLOOKUP(D257,Products!$A$2:$F$61,6,FALSE())</f>
        <v/>
      </c>
      <c r="U257" s="55">
        <f>TRIM(Customers!B257)</f>
        <v/>
      </c>
      <c r="V257" s="55">
        <f>UPPER(TRIM(Customers!D257))</f>
        <v/>
      </c>
      <c r="W257" s="55">
        <f>LEN(Customers!B257)&lt;&gt;LEN(TRIM(Customers!B257))</f>
        <v/>
      </c>
    </row>
    <row r="258" ht="15" customHeight="1" s="56">
      <c r="A258" s="55">
        <f>Orders!A258</f>
        <v/>
      </c>
      <c r="B258" s="103">
        <f>Orders!B258</f>
        <v/>
      </c>
      <c r="C258" s="55">
        <f>Orders!C258</f>
        <v/>
      </c>
      <c r="D258" s="55">
        <f>Orders!D258</f>
        <v/>
      </c>
      <c r="E258" s="55">
        <f>Orders!E258</f>
        <v/>
      </c>
      <c r="F258" s="55">
        <f>Orders!F258</f>
        <v/>
      </c>
      <c r="G258" s="55">
        <f>Orders!G258</f>
        <v/>
      </c>
      <c r="H258" s="55">
        <f>Orders!H258</f>
        <v/>
      </c>
      <c r="I258" s="55">
        <f>Orders!I258</f>
        <v/>
      </c>
      <c r="J258" s="55">
        <f>Orders!J258</f>
        <v/>
      </c>
      <c r="K258" s="55">
        <f>Orders!K258</f>
        <v/>
      </c>
      <c r="L258" s="55">
        <f>VLOOKUP(D258,Products!$A$2:$F$61,3,FALSE())</f>
        <v/>
      </c>
      <c r="M258" s="55">
        <f>VLOOKUP(C258,Customers!$A$2:$F$301,5,FALSE())</f>
        <v/>
      </c>
      <c r="N258" s="55">
        <f>VLOOKUP(E258,Sales_Reps!$A$2:$E$31,3,FALSE())</f>
        <v/>
      </c>
      <c r="O258" s="55">
        <f>VLOOKUP(D258,Products!$A$2:$F$61,4,FALSE())</f>
        <v/>
      </c>
      <c r="P258" s="55">
        <f>VLOOKUP(C258,Customers!$A$2:$F$301,3,FALSE())</f>
        <v/>
      </c>
      <c r="Q258" s="55">
        <f>UPPER(TRIM(K258))</f>
        <v/>
      </c>
      <c r="R258" s="55">
        <f>(G258-O258)/G258</f>
        <v/>
      </c>
      <c r="S258" s="55">
        <f>VLOOKUP(D258,Products!$A$2:$F$61,6,FALSE())</f>
        <v/>
      </c>
      <c r="U258" s="55">
        <f>TRIM(Customers!B258)</f>
        <v/>
      </c>
      <c r="V258" s="55">
        <f>UPPER(TRIM(Customers!D258))</f>
        <v/>
      </c>
      <c r="W258" s="55">
        <f>LEN(Customers!B258)&lt;&gt;LEN(TRIM(Customers!B258))</f>
        <v/>
      </c>
    </row>
    <row r="259" ht="15" customHeight="1" s="56">
      <c r="A259" s="55">
        <f>Orders!A259</f>
        <v/>
      </c>
      <c r="B259" s="103">
        <f>Orders!B259</f>
        <v/>
      </c>
      <c r="C259" s="55">
        <f>Orders!C259</f>
        <v/>
      </c>
      <c r="D259" s="55">
        <f>Orders!D259</f>
        <v/>
      </c>
      <c r="E259" s="55">
        <f>Orders!E259</f>
        <v/>
      </c>
      <c r="F259" s="55">
        <f>Orders!F259</f>
        <v/>
      </c>
      <c r="G259" s="55">
        <f>Orders!G259</f>
        <v/>
      </c>
      <c r="H259" s="55">
        <f>Orders!H259</f>
        <v/>
      </c>
      <c r="I259" s="55">
        <f>Orders!I259</f>
        <v/>
      </c>
      <c r="J259" s="55">
        <f>Orders!J259</f>
        <v/>
      </c>
      <c r="K259" s="55">
        <f>Orders!K259</f>
        <v/>
      </c>
      <c r="L259" s="55">
        <f>VLOOKUP(D259,Products!$A$2:$F$61,3,FALSE())</f>
        <v/>
      </c>
      <c r="M259" s="55">
        <f>VLOOKUP(C259,Customers!$A$2:$F$301,5,FALSE())</f>
        <v/>
      </c>
      <c r="N259" s="55">
        <f>VLOOKUP(E259,Sales_Reps!$A$2:$E$31,3,FALSE())</f>
        <v/>
      </c>
      <c r="O259" s="55">
        <f>VLOOKUP(D259,Products!$A$2:$F$61,4,FALSE())</f>
        <v/>
      </c>
      <c r="P259" s="55">
        <f>VLOOKUP(C259,Customers!$A$2:$F$301,3,FALSE())</f>
        <v/>
      </c>
      <c r="Q259" s="55">
        <f>UPPER(TRIM(K259))</f>
        <v/>
      </c>
      <c r="R259" s="55">
        <f>(G259-O259)/G259</f>
        <v/>
      </c>
      <c r="S259" s="55">
        <f>VLOOKUP(D259,Products!$A$2:$F$61,6,FALSE())</f>
        <v/>
      </c>
      <c r="U259" s="55">
        <f>TRIM(Customers!B259)</f>
        <v/>
      </c>
      <c r="V259" s="55">
        <f>UPPER(TRIM(Customers!D259))</f>
        <v/>
      </c>
      <c r="W259" s="55">
        <f>LEN(Customers!B259)&lt;&gt;LEN(TRIM(Customers!B259))</f>
        <v/>
      </c>
    </row>
    <row r="260" ht="15" customHeight="1" s="56">
      <c r="A260" s="55">
        <f>Orders!A260</f>
        <v/>
      </c>
      <c r="B260" s="103">
        <f>Orders!B260</f>
        <v/>
      </c>
      <c r="C260" s="55">
        <f>Orders!C260</f>
        <v/>
      </c>
      <c r="D260" s="55">
        <f>Orders!D260</f>
        <v/>
      </c>
      <c r="E260" s="55">
        <f>Orders!E260</f>
        <v/>
      </c>
      <c r="F260" s="55">
        <f>Orders!F260</f>
        <v/>
      </c>
      <c r="G260" s="55">
        <f>Orders!G260</f>
        <v/>
      </c>
      <c r="H260" s="55">
        <f>Orders!H260</f>
        <v/>
      </c>
      <c r="I260" s="55">
        <f>Orders!I260</f>
        <v/>
      </c>
      <c r="J260" s="55">
        <f>Orders!J260</f>
        <v/>
      </c>
      <c r="K260" s="55">
        <f>Orders!K260</f>
        <v/>
      </c>
      <c r="L260" s="55">
        <f>VLOOKUP(D260,Products!$A$2:$F$61,3,FALSE())</f>
        <v/>
      </c>
      <c r="M260" s="55">
        <f>VLOOKUP(C260,Customers!$A$2:$F$301,5,FALSE())</f>
        <v/>
      </c>
      <c r="N260" s="55">
        <f>VLOOKUP(E260,Sales_Reps!$A$2:$E$31,3,FALSE())</f>
        <v/>
      </c>
      <c r="O260" s="55">
        <f>VLOOKUP(D260,Products!$A$2:$F$61,4,FALSE())</f>
        <v/>
      </c>
      <c r="P260" s="55">
        <f>VLOOKUP(C260,Customers!$A$2:$F$301,3,FALSE())</f>
        <v/>
      </c>
      <c r="Q260" s="55">
        <f>UPPER(TRIM(K260))</f>
        <v/>
      </c>
      <c r="R260" s="55">
        <f>(G260-O260)/G260</f>
        <v/>
      </c>
      <c r="S260" s="55">
        <f>VLOOKUP(D260,Products!$A$2:$F$61,6,FALSE())</f>
        <v/>
      </c>
      <c r="U260" s="55">
        <f>TRIM(Customers!B260)</f>
        <v/>
      </c>
      <c r="V260" s="55">
        <f>UPPER(TRIM(Customers!D260))</f>
        <v/>
      </c>
      <c r="W260" s="55">
        <f>LEN(Customers!B260)&lt;&gt;LEN(TRIM(Customers!B260))</f>
        <v/>
      </c>
    </row>
    <row r="261" ht="15" customHeight="1" s="56">
      <c r="A261" s="55">
        <f>Orders!A261</f>
        <v/>
      </c>
      <c r="B261" s="103">
        <f>Orders!B261</f>
        <v/>
      </c>
      <c r="C261" s="55">
        <f>Orders!C261</f>
        <v/>
      </c>
      <c r="D261" s="55">
        <f>Orders!D261</f>
        <v/>
      </c>
      <c r="E261" s="55">
        <f>Orders!E261</f>
        <v/>
      </c>
      <c r="F261" s="55">
        <f>Orders!F261</f>
        <v/>
      </c>
      <c r="G261" s="55">
        <f>Orders!G261</f>
        <v/>
      </c>
      <c r="H261" s="55">
        <f>Orders!H261</f>
        <v/>
      </c>
      <c r="I261" s="55">
        <f>Orders!I261</f>
        <v/>
      </c>
      <c r="J261" s="55">
        <f>Orders!J261</f>
        <v/>
      </c>
      <c r="K261" s="55">
        <f>Orders!K261</f>
        <v/>
      </c>
      <c r="L261" s="55">
        <f>VLOOKUP(D261,Products!$A$2:$F$61,3,FALSE())</f>
        <v/>
      </c>
      <c r="M261" s="55">
        <f>VLOOKUP(C261,Customers!$A$2:$F$301,5,FALSE())</f>
        <v/>
      </c>
      <c r="N261" s="55">
        <f>VLOOKUP(E261,Sales_Reps!$A$2:$E$31,3,FALSE())</f>
        <v/>
      </c>
      <c r="O261" s="55">
        <f>VLOOKUP(D261,Products!$A$2:$F$61,4,FALSE())</f>
        <v/>
      </c>
      <c r="P261" s="55">
        <f>VLOOKUP(C261,Customers!$A$2:$F$301,3,FALSE())</f>
        <v/>
      </c>
      <c r="Q261" s="55">
        <f>UPPER(TRIM(K261))</f>
        <v/>
      </c>
      <c r="R261" s="55">
        <f>(G261-O261)/G261</f>
        <v/>
      </c>
      <c r="S261" s="55">
        <f>VLOOKUP(D261,Products!$A$2:$F$61,6,FALSE())</f>
        <v/>
      </c>
      <c r="U261" s="55">
        <f>TRIM(Customers!B261)</f>
        <v/>
      </c>
      <c r="V261" s="55">
        <f>UPPER(TRIM(Customers!D261))</f>
        <v/>
      </c>
      <c r="W261" s="55">
        <f>LEN(Customers!B261)&lt;&gt;LEN(TRIM(Customers!B261))</f>
        <v/>
      </c>
    </row>
    <row r="262" ht="15" customHeight="1" s="56">
      <c r="A262" s="55">
        <f>Orders!A262</f>
        <v/>
      </c>
      <c r="B262" s="103">
        <f>Orders!B262</f>
        <v/>
      </c>
      <c r="C262" s="55">
        <f>Orders!C262</f>
        <v/>
      </c>
      <c r="D262" s="55">
        <f>Orders!D262</f>
        <v/>
      </c>
      <c r="E262" s="55">
        <f>Orders!E262</f>
        <v/>
      </c>
      <c r="F262" s="55">
        <f>Orders!F262</f>
        <v/>
      </c>
      <c r="G262" s="55">
        <f>Orders!G262</f>
        <v/>
      </c>
      <c r="H262" s="55">
        <f>Orders!H262</f>
        <v/>
      </c>
      <c r="I262" s="55">
        <f>Orders!I262</f>
        <v/>
      </c>
      <c r="J262" s="55">
        <f>Orders!J262</f>
        <v/>
      </c>
      <c r="K262" s="55">
        <f>Orders!K262</f>
        <v/>
      </c>
      <c r="L262" s="55">
        <f>VLOOKUP(D262,Products!$A$2:$F$61,3,FALSE())</f>
        <v/>
      </c>
      <c r="M262" s="55">
        <f>VLOOKUP(C262,Customers!$A$2:$F$301,5,FALSE())</f>
        <v/>
      </c>
      <c r="N262" s="55">
        <f>VLOOKUP(E262,Sales_Reps!$A$2:$E$31,3,FALSE())</f>
        <v/>
      </c>
      <c r="O262" s="55">
        <f>VLOOKUP(D262,Products!$A$2:$F$61,4,FALSE())</f>
        <v/>
      </c>
      <c r="P262" s="55">
        <f>VLOOKUP(C262,Customers!$A$2:$F$301,3,FALSE())</f>
        <v/>
      </c>
      <c r="Q262" s="55">
        <f>UPPER(TRIM(K262))</f>
        <v/>
      </c>
      <c r="R262" s="55">
        <f>(G262-O262)/G262</f>
        <v/>
      </c>
      <c r="S262" s="55">
        <f>VLOOKUP(D262,Products!$A$2:$F$61,6,FALSE())</f>
        <v/>
      </c>
      <c r="U262" s="55">
        <f>TRIM(Customers!B262)</f>
        <v/>
      </c>
      <c r="V262" s="55">
        <f>UPPER(TRIM(Customers!D262))</f>
        <v/>
      </c>
      <c r="W262" s="55">
        <f>LEN(Customers!B262)&lt;&gt;LEN(TRIM(Customers!B262))</f>
        <v/>
      </c>
    </row>
    <row r="263" ht="15" customHeight="1" s="56">
      <c r="A263" s="55">
        <f>Orders!A263</f>
        <v/>
      </c>
      <c r="B263" s="103">
        <f>Orders!B263</f>
        <v/>
      </c>
      <c r="C263" s="55">
        <f>Orders!C263</f>
        <v/>
      </c>
      <c r="D263" s="55">
        <f>Orders!D263</f>
        <v/>
      </c>
      <c r="E263" s="55">
        <f>Orders!E263</f>
        <v/>
      </c>
      <c r="F263" s="55">
        <f>Orders!F263</f>
        <v/>
      </c>
      <c r="G263" s="55">
        <f>Orders!G263</f>
        <v/>
      </c>
      <c r="H263" s="55">
        <f>Orders!H263</f>
        <v/>
      </c>
      <c r="I263" s="55">
        <f>Orders!I263</f>
        <v/>
      </c>
      <c r="J263" s="55">
        <f>Orders!J263</f>
        <v/>
      </c>
      <c r="K263" s="55">
        <f>Orders!K263</f>
        <v/>
      </c>
      <c r="L263" s="55">
        <f>VLOOKUP(D263,Products!$A$2:$F$61,3,FALSE())</f>
        <v/>
      </c>
      <c r="M263" s="55">
        <f>VLOOKUP(C263,Customers!$A$2:$F$301,5,FALSE())</f>
        <v/>
      </c>
      <c r="N263" s="55">
        <f>VLOOKUP(E263,Sales_Reps!$A$2:$E$31,3,FALSE())</f>
        <v/>
      </c>
      <c r="O263" s="55">
        <f>VLOOKUP(D263,Products!$A$2:$F$61,4,FALSE())</f>
        <v/>
      </c>
      <c r="P263" s="55">
        <f>VLOOKUP(C263,Customers!$A$2:$F$301,3,FALSE())</f>
        <v/>
      </c>
      <c r="Q263" s="55">
        <f>UPPER(TRIM(K263))</f>
        <v/>
      </c>
      <c r="R263" s="55">
        <f>(G263-O263)/G263</f>
        <v/>
      </c>
      <c r="S263" s="55">
        <f>VLOOKUP(D263,Products!$A$2:$F$61,6,FALSE())</f>
        <v/>
      </c>
      <c r="U263" s="55">
        <f>TRIM(Customers!B263)</f>
        <v/>
      </c>
      <c r="V263" s="55">
        <f>UPPER(TRIM(Customers!D263))</f>
        <v/>
      </c>
      <c r="W263" s="55">
        <f>LEN(Customers!B263)&lt;&gt;LEN(TRIM(Customers!B263))</f>
        <v/>
      </c>
    </row>
    <row r="264" ht="15" customHeight="1" s="56">
      <c r="A264" s="55">
        <f>Orders!A264</f>
        <v/>
      </c>
      <c r="B264" s="103">
        <f>Orders!B264</f>
        <v/>
      </c>
      <c r="C264" s="55">
        <f>Orders!C264</f>
        <v/>
      </c>
      <c r="D264" s="55">
        <f>Orders!D264</f>
        <v/>
      </c>
      <c r="E264" s="55">
        <f>Orders!E264</f>
        <v/>
      </c>
      <c r="F264" s="55">
        <f>Orders!F264</f>
        <v/>
      </c>
      <c r="G264" s="55">
        <f>Orders!G264</f>
        <v/>
      </c>
      <c r="H264" s="55">
        <f>Orders!H264</f>
        <v/>
      </c>
      <c r="I264" s="55">
        <f>Orders!I264</f>
        <v/>
      </c>
      <c r="J264" s="55">
        <f>Orders!J264</f>
        <v/>
      </c>
      <c r="K264" s="55">
        <f>Orders!K264</f>
        <v/>
      </c>
      <c r="L264" s="55">
        <f>VLOOKUP(D264,Products!$A$2:$F$61,3,FALSE())</f>
        <v/>
      </c>
      <c r="M264" s="55">
        <f>VLOOKUP(C264,Customers!$A$2:$F$301,5,FALSE())</f>
        <v/>
      </c>
      <c r="N264" s="55">
        <f>VLOOKUP(E264,Sales_Reps!$A$2:$E$31,3,FALSE())</f>
        <v/>
      </c>
      <c r="O264" s="55">
        <f>VLOOKUP(D264,Products!$A$2:$F$61,4,FALSE())</f>
        <v/>
      </c>
      <c r="P264" s="55">
        <f>VLOOKUP(C264,Customers!$A$2:$F$301,3,FALSE())</f>
        <v/>
      </c>
      <c r="Q264" s="55">
        <f>UPPER(TRIM(K264))</f>
        <v/>
      </c>
      <c r="R264" s="55">
        <f>(G264-O264)/G264</f>
        <v/>
      </c>
      <c r="S264" s="55">
        <f>VLOOKUP(D264,Products!$A$2:$F$61,6,FALSE())</f>
        <v/>
      </c>
      <c r="U264" s="55">
        <f>TRIM(Customers!B264)</f>
        <v/>
      </c>
      <c r="V264" s="55">
        <f>UPPER(TRIM(Customers!D264))</f>
        <v/>
      </c>
      <c r="W264" s="55">
        <f>LEN(Customers!B264)&lt;&gt;LEN(TRIM(Customers!B264))</f>
        <v/>
      </c>
    </row>
    <row r="265" ht="15" customHeight="1" s="56">
      <c r="A265" s="55">
        <f>Orders!A265</f>
        <v/>
      </c>
      <c r="B265" s="103">
        <f>Orders!B265</f>
        <v/>
      </c>
      <c r="C265" s="55">
        <f>Orders!C265</f>
        <v/>
      </c>
      <c r="D265" s="55">
        <f>Orders!D265</f>
        <v/>
      </c>
      <c r="E265" s="55">
        <f>Orders!E265</f>
        <v/>
      </c>
      <c r="F265" s="55">
        <f>Orders!F265</f>
        <v/>
      </c>
      <c r="G265" s="55">
        <f>Orders!G265</f>
        <v/>
      </c>
      <c r="H265" s="55">
        <f>Orders!H265</f>
        <v/>
      </c>
      <c r="I265" s="55">
        <f>Orders!I265</f>
        <v/>
      </c>
      <c r="J265" s="55">
        <f>Orders!J265</f>
        <v/>
      </c>
      <c r="K265" s="55">
        <f>Orders!K265</f>
        <v/>
      </c>
      <c r="L265" s="55">
        <f>VLOOKUP(D265,Products!$A$2:$F$61,3,FALSE())</f>
        <v/>
      </c>
      <c r="M265" s="55">
        <f>VLOOKUP(C265,Customers!$A$2:$F$301,5,FALSE())</f>
        <v/>
      </c>
      <c r="N265" s="55">
        <f>VLOOKUP(E265,Sales_Reps!$A$2:$E$31,3,FALSE())</f>
        <v/>
      </c>
      <c r="O265" s="55">
        <f>VLOOKUP(D265,Products!$A$2:$F$61,4,FALSE())</f>
        <v/>
      </c>
      <c r="P265" s="55">
        <f>VLOOKUP(C265,Customers!$A$2:$F$301,3,FALSE())</f>
        <v/>
      </c>
      <c r="Q265" s="55">
        <f>UPPER(TRIM(K265))</f>
        <v/>
      </c>
      <c r="R265" s="55">
        <f>(G265-O265)/G265</f>
        <v/>
      </c>
      <c r="S265" s="55">
        <f>VLOOKUP(D265,Products!$A$2:$F$61,6,FALSE())</f>
        <v/>
      </c>
      <c r="U265" s="55">
        <f>TRIM(Customers!B265)</f>
        <v/>
      </c>
      <c r="V265" s="55">
        <f>UPPER(TRIM(Customers!D265))</f>
        <v/>
      </c>
      <c r="W265" s="55">
        <f>LEN(Customers!B265)&lt;&gt;LEN(TRIM(Customers!B265))</f>
        <v/>
      </c>
    </row>
    <row r="266" ht="15" customHeight="1" s="56">
      <c r="A266" s="55">
        <f>Orders!A266</f>
        <v/>
      </c>
      <c r="B266" s="103">
        <f>Orders!B266</f>
        <v/>
      </c>
      <c r="C266" s="55">
        <f>Orders!C266</f>
        <v/>
      </c>
      <c r="D266" s="55">
        <f>Orders!D266</f>
        <v/>
      </c>
      <c r="E266" s="55">
        <f>Orders!E266</f>
        <v/>
      </c>
      <c r="F266" s="55">
        <f>Orders!F266</f>
        <v/>
      </c>
      <c r="G266" s="55">
        <f>Orders!G266</f>
        <v/>
      </c>
      <c r="H266" s="55">
        <f>Orders!H266</f>
        <v/>
      </c>
      <c r="I266" s="55">
        <f>Orders!I266</f>
        <v/>
      </c>
      <c r="J266" s="55">
        <f>Orders!J266</f>
        <v/>
      </c>
      <c r="K266" s="55">
        <f>Orders!K266</f>
        <v/>
      </c>
      <c r="L266" s="55">
        <f>VLOOKUP(D266,Products!$A$2:$F$61,3,FALSE())</f>
        <v/>
      </c>
      <c r="M266" s="55">
        <f>VLOOKUP(C266,Customers!$A$2:$F$301,5,FALSE())</f>
        <v/>
      </c>
      <c r="N266" s="55">
        <f>VLOOKUP(E266,Sales_Reps!$A$2:$E$31,3,FALSE())</f>
        <v/>
      </c>
      <c r="O266" s="55">
        <f>VLOOKUP(D266,Products!$A$2:$F$61,4,FALSE())</f>
        <v/>
      </c>
      <c r="P266" s="55">
        <f>VLOOKUP(C266,Customers!$A$2:$F$301,3,FALSE())</f>
        <v/>
      </c>
      <c r="Q266" s="55">
        <f>UPPER(TRIM(K266))</f>
        <v/>
      </c>
      <c r="R266" s="55">
        <f>(G266-O266)/G266</f>
        <v/>
      </c>
      <c r="S266" s="55">
        <f>VLOOKUP(D266,Products!$A$2:$F$61,6,FALSE())</f>
        <v/>
      </c>
      <c r="U266" s="55">
        <f>TRIM(Customers!B266)</f>
        <v/>
      </c>
      <c r="V266" s="55">
        <f>UPPER(TRIM(Customers!D266))</f>
        <v/>
      </c>
      <c r="W266" s="55">
        <f>LEN(Customers!B266)&lt;&gt;LEN(TRIM(Customers!B266))</f>
        <v/>
      </c>
    </row>
    <row r="267" ht="15" customHeight="1" s="56">
      <c r="A267" s="55">
        <f>Orders!A267</f>
        <v/>
      </c>
      <c r="B267" s="103">
        <f>Orders!B267</f>
        <v/>
      </c>
      <c r="C267" s="55">
        <f>Orders!C267</f>
        <v/>
      </c>
      <c r="D267" s="55">
        <f>Orders!D267</f>
        <v/>
      </c>
      <c r="E267" s="55">
        <f>Orders!E267</f>
        <v/>
      </c>
      <c r="F267" s="55">
        <f>Orders!F267</f>
        <v/>
      </c>
      <c r="G267" s="55">
        <f>Orders!G267</f>
        <v/>
      </c>
      <c r="H267" s="55">
        <f>Orders!H267</f>
        <v/>
      </c>
      <c r="I267" s="55">
        <f>Orders!I267</f>
        <v/>
      </c>
      <c r="J267" s="55">
        <f>Orders!J267</f>
        <v/>
      </c>
      <c r="K267" s="55">
        <f>Orders!K267</f>
        <v/>
      </c>
      <c r="L267" s="55">
        <f>VLOOKUP(D267,Products!$A$2:$F$61,3,FALSE())</f>
        <v/>
      </c>
      <c r="M267" s="55">
        <f>VLOOKUP(C267,Customers!$A$2:$F$301,5,FALSE())</f>
        <v/>
      </c>
      <c r="N267" s="55">
        <f>VLOOKUP(E267,Sales_Reps!$A$2:$E$31,3,FALSE())</f>
        <v/>
      </c>
      <c r="O267" s="55">
        <f>VLOOKUP(D267,Products!$A$2:$F$61,4,FALSE())</f>
        <v/>
      </c>
      <c r="P267" s="55">
        <f>VLOOKUP(C267,Customers!$A$2:$F$301,3,FALSE())</f>
        <v/>
      </c>
      <c r="Q267" s="55">
        <f>UPPER(TRIM(K267))</f>
        <v/>
      </c>
      <c r="R267" s="55">
        <f>(G267-O267)/G267</f>
        <v/>
      </c>
      <c r="S267" s="55">
        <f>VLOOKUP(D267,Products!$A$2:$F$61,6,FALSE())</f>
        <v/>
      </c>
      <c r="U267" s="55">
        <f>TRIM(Customers!B267)</f>
        <v/>
      </c>
      <c r="V267" s="55">
        <f>UPPER(TRIM(Customers!D267))</f>
        <v/>
      </c>
      <c r="W267" s="55">
        <f>LEN(Customers!B267)&lt;&gt;LEN(TRIM(Customers!B267))</f>
        <v/>
      </c>
    </row>
    <row r="268" ht="15" customHeight="1" s="56">
      <c r="A268" s="55">
        <f>Orders!A268</f>
        <v/>
      </c>
      <c r="B268" s="103">
        <f>Orders!B268</f>
        <v/>
      </c>
      <c r="C268" s="55">
        <f>Orders!C268</f>
        <v/>
      </c>
      <c r="D268" s="55">
        <f>Orders!D268</f>
        <v/>
      </c>
      <c r="E268" s="55">
        <f>Orders!E268</f>
        <v/>
      </c>
      <c r="F268" s="55">
        <f>Orders!F268</f>
        <v/>
      </c>
      <c r="G268" s="55">
        <f>Orders!G268</f>
        <v/>
      </c>
      <c r="H268" s="55">
        <f>Orders!H268</f>
        <v/>
      </c>
      <c r="I268" s="55">
        <f>Orders!I268</f>
        <v/>
      </c>
      <c r="J268" s="55">
        <f>Orders!J268</f>
        <v/>
      </c>
      <c r="K268" s="55">
        <f>Orders!K268</f>
        <v/>
      </c>
      <c r="L268" s="55">
        <f>VLOOKUP(D268,Products!$A$2:$F$61,3,FALSE())</f>
        <v/>
      </c>
      <c r="M268" s="55">
        <f>VLOOKUP(C268,Customers!$A$2:$F$301,5,FALSE())</f>
        <v/>
      </c>
      <c r="N268" s="55">
        <f>VLOOKUP(E268,Sales_Reps!$A$2:$E$31,3,FALSE())</f>
        <v/>
      </c>
      <c r="O268" s="55">
        <f>VLOOKUP(D268,Products!$A$2:$F$61,4,FALSE())</f>
        <v/>
      </c>
      <c r="P268" s="55">
        <f>VLOOKUP(C268,Customers!$A$2:$F$301,3,FALSE())</f>
        <v/>
      </c>
      <c r="Q268" s="55">
        <f>UPPER(TRIM(K268))</f>
        <v/>
      </c>
      <c r="R268" s="55">
        <f>(G268-O268)/G268</f>
        <v/>
      </c>
      <c r="S268" s="55">
        <f>VLOOKUP(D268,Products!$A$2:$F$61,6,FALSE())</f>
        <v/>
      </c>
      <c r="U268" s="55">
        <f>TRIM(Customers!B268)</f>
        <v/>
      </c>
      <c r="V268" s="55">
        <f>UPPER(TRIM(Customers!D268))</f>
        <v/>
      </c>
      <c r="W268" s="55">
        <f>LEN(Customers!B268)&lt;&gt;LEN(TRIM(Customers!B268))</f>
        <v/>
      </c>
    </row>
    <row r="269" ht="15" customHeight="1" s="56">
      <c r="A269" s="55">
        <f>Orders!A269</f>
        <v/>
      </c>
      <c r="B269" s="103">
        <f>Orders!B269</f>
        <v/>
      </c>
      <c r="C269" s="55">
        <f>Orders!C269</f>
        <v/>
      </c>
      <c r="D269" s="55">
        <f>Orders!D269</f>
        <v/>
      </c>
      <c r="E269" s="55">
        <f>Orders!E269</f>
        <v/>
      </c>
      <c r="F269" s="55">
        <f>Orders!F269</f>
        <v/>
      </c>
      <c r="G269" s="55">
        <f>Orders!G269</f>
        <v/>
      </c>
      <c r="H269" s="55">
        <f>Orders!H269</f>
        <v/>
      </c>
      <c r="I269" s="55">
        <f>Orders!I269</f>
        <v/>
      </c>
      <c r="J269" s="55">
        <f>Orders!J269</f>
        <v/>
      </c>
      <c r="K269" s="55">
        <f>Orders!K269</f>
        <v/>
      </c>
      <c r="L269" s="55">
        <f>VLOOKUP(D269,Products!$A$2:$F$61,3,FALSE())</f>
        <v/>
      </c>
      <c r="M269" s="55">
        <f>VLOOKUP(C269,Customers!$A$2:$F$301,5,FALSE())</f>
        <v/>
      </c>
      <c r="N269" s="55">
        <f>VLOOKUP(E269,Sales_Reps!$A$2:$E$31,3,FALSE())</f>
        <v/>
      </c>
      <c r="O269" s="55">
        <f>VLOOKUP(D269,Products!$A$2:$F$61,4,FALSE())</f>
        <v/>
      </c>
      <c r="P269" s="55">
        <f>VLOOKUP(C269,Customers!$A$2:$F$301,3,FALSE())</f>
        <v/>
      </c>
      <c r="Q269" s="55">
        <f>UPPER(TRIM(K269))</f>
        <v/>
      </c>
      <c r="R269" s="55">
        <f>(G269-O269)/G269</f>
        <v/>
      </c>
      <c r="S269" s="55">
        <f>VLOOKUP(D269,Products!$A$2:$F$61,6,FALSE())</f>
        <v/>
      </c>
      <c r="U269" s="55">
        <f>TRIM(Customers!B269)</f>
        <v/>
      </c>
      <c r="V269" s="55">
        <f>UPPER(TRIM(Customers!D269))</f>
        <v/>
      </c>
      <c r="W269" s="55">
        <f>LEN(Customers!B269)&lt;&gt;LEN(TRIM(Customers!B269))</f>
        <v/>
      </c>
    </row>
    <row r="270" ht="15" customHeight="1" s="56">
      <c r="A270" s="55">
        <f>Orders!A270</f>
        <v/>
      </c>
      <c r="B270" s="103">
        <f>Orders!B270</f>
        <v/>
      </c>
      <c r="C270" s="55">
        <f>Orders!C270</f>
        <v/>
      </c>
      <c r="D270" s="55">
        <f>Orders!D270</f>
        <v/>
      </c>
      <c r="E270" s="55">
        <f>Orders!E270</f>
        <v/>
      </c>
      <c r="F270" s="55">
        <f>Orders!F270</f>
        <v/>
      </c>
      <c r="G270" s="55">
        <f>Orders!G270</f>
        <v/>
      </c>
      <c r="H270" s="55">
        <f>Orders!H270</f>
        <v/>
      </c>
      <c r="I270" s="55">
        <f>Orders!I270</f>
        <v/>
      </c>
      <c r="J270" s="55">
        <f>Orders!J270</f>
        <v/>
      </c>
      <c r="K270" s="55">
        <f>Orders!K270</f>
        <v/>
      </c>
      <c r="L270" s="55">
        <f>VLOOKUP(D270,Products!$A$2:$F$61,3,FALSE())</f>
        <v/>
      </c>
      <c r="M270" s="55">
        <f>VLOOKUP(C270,Customers!$A$2:$F$301,5,FALSE())</f>
        <v/>
      </c>
      <c r="N270" s="55">
        <f>VLOOKUP(E270,Sales_Reps!$A$2:$E$31,3,FALSE())</f>
        <v/>
      </c>
      <c r="O270" s="55">
        <f>VLOOKUP(D270,Products!$A$2:$F$61,4,FALSE())</f>
        <v/>
      </c>
      <c r="P270" s="55">
        <f>VLOOKUP(C270,Customers!$A$2:$F$301,3,FALSE())</f>
        <v/>
      </c>
      <c r="Q270" s="55">
        <f>UPPER(TRIM(K270))</f>
        <v/>
      </c>
      <c r="R270" s="55">
        <f>(G270-O270)/G270</f>
        <v/>
      </c>
      <c r="S270" s="55">
        <f>VLOOKUP(D270,Products!$A$2:$F$61,6,FALSE())</f>
        <v/>
      </c>
      <c r="U270" s="55">
        <f>TRIM(Customers!B270)</f>
        <v/>
      </c>
      <c r="V270" s="55">
        <f>UPPER(TRIM(Customers!D270))</f>
        <v/>
      </c>
      <c r="W270" s="55">
        <f>LEN(Customers!B270)&lt;&gt;LEN(TRIM(Customers!B270))</f>
        <v/>
      </c>
    </row>
    <row r="271" ht="15" customHeight="1" s="56">
      <c r="A271" s="55">
        <f>Orders!A271</f>
        <v/>
      </c>
      <c r="B271" s="103">
        <f>Orders!B271</f>
        <v/>
      </c>
      <c r="C271" s="55">
        <f>Orders!C271</f>
        <v/>
      </c>
      <c r="D271" s="55">
        <f>Orders!D271</f>
        <v/>
      </c>
      <c r="E271" s="55">
        <f>Orders!E271</f>
        <v/>
      </c>
      <c r="F271" s="55">
        <f>Orders!F271</f>
        <v/>
      </c>
      <c r="G271" s="55">
        <f>Orders!G271</f>
        <v/>
      </c>
      <c r="H271" s="55">
        <f>Orders!H271</f>
        <v/>
      </c>
      <c r="I271" s="55">
        <f>Orders!I271</f>
        <v/>
      </c>
      <c r="J271" s="55">
        <f>Orders!J271</f>
        <v/>
      </c>
      <c r="K271" s="55">
        <f>Orders!K271</f>
        <v/>
      </c>
      <c r="L271" s="55">
        <f>VLOOKUP(D271,Products!$A$2:$F$61,3,FALSE())</f>
        <v/>
      </c>
      <c r="M271" s="55">
        <f>VLOOKUP(C271,Customers!$A$2:$F$301,5,FALSE())</f>
        <v/>
      </c>
      <c r="N271" s="55">
        <f>VLOOKUP(E271,Sales_Reps!$A$2:$E$31,3,FALSE())</f>
        <v/>
      </c>
      <c r="O271" s="55">
        <f>VLOOKUP(D271,Products!$A$2:$F$61,4,FALSE())</f>
        <v/>
      </c>
      <c r="P271" s="55">
        <f>VLOOKUP(C271,Customers!$A$2:$F$301,3,FALSE())</f>
        <v/>
      </c>
      <c r="Q271" s="55">
        <f>UPPER(TRIM(K271))</f>
        <v/>
      </c>
      <c r="R271" s="55">
        <f>(G271-O271)/G271</f>
        <v/>
      </c>
      <c r="S271" s="55">
        <f>VLOOKUP(D271,Products!$A$2:$F$61,6,FALSE())</f>
        <v/>
      </c>
      <c r="U271" s="55">
        <f>TRIM(Customers!B271)</f>
        <v/>
      </c>
      <c r="V271" s="55">
        <f>UPPER(TRIM(Customers!D271))</f>
        <v/>
      </c>
      <c r="W271" s="55">
        <f>LEN(Customers!B271)&lt;&gt;LEN(TRIM(Customers!B271))</f>
        <v/>
      </c>
    </row>
    <row r="272" ht="15" customHeight="1" s="56">
      <c r="A272" s="55">
        <f>Orders!A272</f>
        <v/>
      </c>
      <c r="B272" s="103">
        <f>Orders!B272</f>
        <v/>
      </c>
      <c r="C272" s="55">
        <f>Orders!C272</f>
        <v/>
      </c>
      <c r="D272" s="55">
        <f>Orders!D272</f>
        <v/>
      </c>
      <c r="E272" s="55">
        <f>Orders!E272</f>
        <v/>
      </c>
      <c r="F272" s="55">
        <f>Orders!F272</f>
        <v/>
      </c>
      <c r="G272" s="55">
        <f>Orders!G272</f>
        <v/>
      </c>
      <c r="H272" s="55">
        <f>Orders!H272</f>
        <v/>
      </c>
      <c r="I272" s="55">
        <f>Orders!I272</f>
        <v/>
      </c>
      <c r="J272" s="55">
        <f>Orders!J272</f>
        <v/>
      </c>
      <c r="K272" s="55">
        <f>Orders!K272</f>
        <v/>
      </c>
      <c r="L272" s="55">
        <f>VLOOKUP(D272,Products!$A$2:$F$61,3,FALSE())</f>
        <v/>
      </c>
      <c r="M272" s="55">
        <f>VLOOKUP(C272,Customers!$A$2:$F$301,5,FALSE())</f>
        <v/>
      </c>
      <c r="N272" s="55">
        <f>VLOOKUP(E272,Sales_Reps!$A$2:$E$31,3,FALSE())</f>
        <v/>
      </c>
      <c r="O272" s="55">
        <f>VLOOKUP(D272,Products!$A$2:$F$61,4,FALSE())</f>
        <v/>
      </c>
      <c r="P272" s="55">
        <f>VLOOKUP(C272,Customers!$A$2:$F$301,3,FALSE())</f>
        <v/>
      </c>
      <c r="Q272" s="55">
        <f>UPPER(TRIM(K272))</f>
        <v/>
      </c>
      <c r="R272" s="55">
        <f>(G272-O272)/G272</f>
        <v/>
      </c>
      <c r="S272" s="55">
        <f>VLOOKUP(D272,Products!$A$2:$F$61,6,FALSE())</f>
        <v/>
      </c>
      <c r="U272" s="55">
        <f>TRIM(Customers!B272)</f>
        <v/>
      </c>
      <c r="V272" s="55">
        <f>UPPER(TRIM(Customers!D272))</f>
        <v/>
      </c>
      <c r="W272" s="55">
        <f>LEN(Customers!B272)&lt;&gt;LEN(TRIM(Customers!B272))</f>
        <v/>
      </c>
    </row>
    <row r="273" ht="15" customHeight="1" s="56">
      <c r="A273" s="55">
        <f>Orders!A273</f>
        <v/>
      </c>
      <c r="B273" s="103">
        <f>Orders!B273</f>
        <v/>
      </c>
      <c r="C273" s="55">
        <f>Orders!C273</f>
        <v/>
      </c>
      <c r="D273" s="55">
        <f>Orders!D273</f>
        <v/>
      </c>
      <c r="E273" s="55">
        <f>Orders!E273</f>
        <v/>
      </c>
      <c r="F273" s="55">
        <f>Orders!F273</f>
        <v/>
      </c>
      <c r="G273" s="55">
        <f>Orders!G273</f>
        <v/>
      </c>
      <c r="H273" s="55">
        <f>Orders!H273</f>
        <v/>
      </c>
      <c r="I273" s="55">
        <f>Orders!I273</f>
        <v/>
      </c>
      <c r="J273" s="55">
        <f>Orders!J273</f>
        <v/>
      </c>
      <c r="K273" s="55">
        <f>Orders!K273</f>
        <v/>
      </c>
      <c r="L273" s="55">
        <f>VLOOKUP(D273,Products!$A$2:$F$61,3,FALSE())</f>
        <v/>
      </c>
      <c r="M273" s="55">
        <f>VLOOKUP(C273,Customers!$A$2:$F$301,5,FALSE())</f>
        <v/>
      </c>
      <c r="N273" s="55">
        <f>VLOOKUP(E273,Sales_Reps!$A$2:$E$31,3,FALSE())</f>
        <v/>
      </c>
      <c r="O273" s="55">
        <f>VLOOKUP(D273,Products!$A$2:$F$61,4,FALSE())</f>
        <v/>
      </c>
      <c r="P273" s="55">
        <f>VLOOKUP(C273,Customers!$A$2:$F$301,3,FALSE())</f>
        <v/>
      </c>
      <c r="Q273" s="55">
        <f>UPPER(TRIM(K273))</f>
        <v/>
      </c>
      <c r="R273" s="55">
        <f>(G273-O273)/G273</f>
        <v/>
      </c>
      <c r="S273" s="55">
        <f>VLOOKUP(D273,Products!$A$2:$F$61,6,FALSE())</f>
        <v/>
      </c>
      <c r="U273" s="55">
        <f>TRIM(Customers!B273)</f>
        <v/>
      </c>
      <c r="V273" s="55">
        <f>UPPER(TRIM(Customers!D273))</f>
        <v/>
      </c>
      <c r="W273" s="55">
        <f>LEN(Customers!B273)&lt;&gt;LEN(TRIM(Customers!B273))</f>
        <v/>
      </c>
    </row>
    <row r="274" ht="15" customHeight="1" s="56">
      <c r="A274" s="55">
        <f>Orders!A274</f>
        <v/>
      </c>
      <c r="B274" s="103">
        <f>Orders!B274</f>
        <v/>
      </c>
      <c r="C274" s="55">
        <f>Orders!C274</f>
        <v/>
      </c>
      <c r="D274" s="55">
        <f>Orders!D274</f>
        <v/>
      </c>
      <c r="E274" s="55">
        <f>Orders!E274</f>
        <v/>
      </c>
      <c r="F274" s="55">
        <f>Orders!F274</f>
        <v/>
      </c>
      <c r="G274" s="55">
        <f>Orders!G274</f>
        <v/>
      </c>
      <c r="H274" s="55">
        <f>Orders!H274</f>
        <v/>
      </c>
      <c r="I274" s="55">
        <f>Orders!I274</f>
        <v/>
      </c>
      <c r="J274" s="55">
        <f>Orders!J274</f>
        <v/>
      </c>
      <c r="K274" s="55">
        <f>Orders!K274</f>
        <v/>
      </c>
      <c r="L274" s="55">
        <f>VLOOKUP(D274,Products!$A$2:$F$61,3,FALSE())</f>
        <v/>
      </c>
      <c r="M274" s="55">
        <f>VLOOKUP(C274,Customers!$A$2:$F$301,5,FALSE())</f>
        <v/>
      </c>
      <c r="N274" s="55">
        <f>VLOOKUP(E274,Sales_Reps!$A$2:$E$31,3,FALSE())</f>
        <v/>
      </c>
      <c r="O274" s="55">
        <f>VLOOKUP(D274,Products!$A$2:$F$61,4,FALSE())</f>
        <v/>
      </c>
      <c r="P274" s="55">
        <f>VLOOKUP(C274,Customers!$A$2:$F$301,3,FALSE())</f>
        <v/>
      </c>
      <c r="Q274" s="55">
        <f>UPPER(TRIM(K274))</f>
        <v/>
      </c>
      <c r="R274" s="55">
        <f>(G274-O274)/G274</f>
        <v/>
      </c>
      <c r="S274" s="55">
        <f>VLOOKUP(D274,Products!$A$2:$F$61,6,FALSE())</f>
        <v/>
      </c>
      <c r="U274" s="55">
        <f>TRIM(Customers!B274)</f>
        <v/>
      </c>
      <c r="V274" s="55">
        <f>UPPER(TRIM(Customers!D274))</f>
        <v/>
      </c>
      <c r="W274" s="55">
        <f>LEN(Customers!B274)&lt;&gt;LEN(TRIM(Customers!B274))</f>
        <v/>
      </c>
    </row>
    <row r="275" ht="15" customHeight="1" s="56">
      <c r="A275" s="55">
        <f>Orders!A275</f>
        <v/>
      </c>
      <c r="B275" s="103">
        <f>Orders!B275</f>
        <v/>
      </c>
      <c r="C275" s="55">
        <f>Orders!C275</f>
        <v/>
      </c>
      <c r="D275" s="55">
        <f>Orders!D275</f>
        <v/>
      </c>
      <c r="E275" s="55">
        <f>Orders!E275</f>
        <v/>
      </c>
      <c r="F275" s="55">
        <f>Orders!F275</f>
        <v/>
      </c>
      <c r="G275" s="55">
        <f>Orders!G275</f>
        <v/>
      </c>
      <c r="H275" s="55">
        <f>Orders!H275</f>
        <v/>
      </c>
      <c r="I275" s="55">
        <f>Orders!I275</f>
        <v/>
      </c>
      <c r="J275" s="55">
        <f>Orders!J275</f>
        <v/>
      </c>
      <c r="K275" s="55">
        <f>Orders!K275</f>
        <v/>
      </c>
      <c r="L275" s="55">
        <f>VLOOKUP(D275,Products!$A$2:$F$61,3,FALSE())</f>
        <v/>
      </c>
      <c r="M275" s="55">
        <f>VLOOKUP(C275,Customers!$A$2:$F$301,5,FALSE())</f>
        <v/>
      </c>
      <c r="N275" s="55">
        <f>VLOOKUP(E275,Sales_Reps!$A$2:$E$31,3,FALSE())</f>
        <v/>
      </c>
      <c r="O275" s="55">
        <f>VLOOKUP(D275,Products!$A$2:$F$61,4,FALSE())</f>
        <v/>
      </c>
      <c r="P275" s="55">
        <f>VLOOKUP(C275,Customers!$A$2:$F$301,3,FALSE())</f>
        <v/>
      </c>
      <c r="Q275" s="55">
        <f>UPPER(TRIM(K275))</f>
        <v/>
      </c>
      <c r="R275" s="55">
        <f>(G275-O275)/G275</f>
        <v/>
      </c>
      <c r="S275" s="55">
        <f>VLOOKUP(D275,Products!$A$2:$F$61,6,FALSE())</f>
        <v/>
      </c>
      <c r="U275" s="55">
        <f>TRIM(Customers!B275)</f>
        <v/>
      </c>
      <c r="V275" s="55">
        <f>UPPER(TRIM(Customers!D275))</f>
        <v/>
      </c>
      <c r="W275" s="55">
        <f>LEN(Customers!B275)&lt;&gt;LEN(TRIM(Customers!B275))</f>
        <v/>
      </c>
    </row>
    <row r="276" ht="15" customHeight="1" s="56">
      <c r="A276" s="55">
        <f>Orders!A276</f>
        <v/>
      </c>
      <c r="B276" s="103">
        <f>Orders!B276</f>
        <v/>
      </c>
      <c r="C276" s="55">
        <f>Orders!C276</f>
        <v/>
      </c>
      <c r="D276" s="55">
        <f>Orders!D276</f>
        <v/>
      </c>
      <c r="E276" s="55">
        <f>Orders!E276</f>
        <v/>
      </c>
      <c r="F276" s="55">
        <f>Orders!F276</f>
        <v/>
      </c>
      <c r="G276" s="55">
        <f>Orders!G276</f>
        <v/>
      </c>
      <c r="H276" s="55">
        <f>Orders!H276</f>
        <v/>
      </c>
      <c r="I276" s="55">
        <f>Orders!I276</f>
        <v/>
      </c>
      <c r="J276" s="55">
        <f>Orders!J276</f>
        <v/>
      </c>
      <c r="K276" s="55">
        <f>Orders!K276</f>
        <v/>
      </c>
      <c r="L276" s="55">
        <f>VLOOKUP(D276,Products!$A$2:$F$61,3,FALSE())</f>
        <v/>
      </c>
      <c r="M276" s="55">
        <f>VLOOKUP(C276,Customers!$A$2:$F$301,5,FALSE())</f>
        <v/>
      </c>
      <c r="N276" s="55">
        <f>VLOOKUP(E276,Sales_Reps!$A$2:$E$31,3,FALSE())</f>
        <v/>
      </c>
      <c r="O276" s="55">
        <f>VLOOKUP(D276,Products!$A$2:$F$61,4,FALSE())</f>
        <v/>
      </c>
      <c r="P276" s="55">
        <f>VLOOKUP(C276,Customers!$A$2:$F$301,3,FALSE())</f>
        <v/>
      </c>
      <c r="Q276" s="55">
        <f>UPPER(TRIM(K276))</f>
        <v/>
      </c>
      <c r="R276" s="55">
        <f>(G276-O276)/G276</f>
        <v/>
      </c>
      <c r="S276" s="55">
        <f>VLOOKUP(D276,Products!$A$2:$F$61,6,FALSE())</f>
        <v/>
      </c>
      <c r="U276" s="55">
        <f>TRIM(Customers!B276)</f>
        <v/>
      </c>
      <c r="V276" s="55">
        <f>UPPER(TRIM(Customers!D276))</f>
        <v/>
      </c>
      <c r="W276" s="55">
        <f>LEN(Customers!B276)&lt;&gt;LEN(TRIM(Customers!B276))</f>
        <v/>
      </c>
    </row>
    <row r="277" ht="15" customHeight="1" s="56">
      <c r="A277" s="55">
        <f>Orders!A277</f>
        <v/>
      </c>
      <c r="B277" s="103">
        <f>Orders!B277</f>
        <v/>
      </c>
      <c r="C277" s="55">
        <f>Orders!C277</f>
        <v/>
      </c>
      <c r="D277" s="55">
        <f>Orders!D277</f>
        <v/>
      </c>
      <c r="E277" s="55">
        <f>Orders!E277</f>
        <v/>
      </c>
      <c r="F277" s="55">
        <f>Orders!F277</f>
        <v/>
      </c>
      <c r="G277" s="55">
        <f>Orders!G277</f>
        <v/>
      </c>
      <c r="H277" s="55">
        <f>Orders!H277</f>
        <v/>
      </c>
      <c r="I277" s="55">
        <f>Orders!I277</f>
        <v/>
      </c>
      <c r="J277" s="55">
        <f>Orders!J277</f>
        <v/>
      </c>
      <c r="K277" s="55">
        <f>Orders!K277</f>
        <v/>
      </c>
      <c r="L277" s="55">
        <f>VLOOKUP(D277,Products!$A$2:$F$61,3,FALSE())</f>
        <v/>
      </c>
      <c r="M277" s="55">
        <f>VLOOKUP(C277,Customers!$A$2:$F$301,5,FALSE())</f>
        <v/>
      </c>
      <c r="N277" s="55">
        <f>VLOOKUP(E277,Sales_Reps!$A$2:$E$31,3,FALSE())</f>
        <v/>
      </c>
      <c r="O277" s="55">
        <f>VLOOKUP(D277,Products!$A$2:$F$61,4,FALSE())</f>
        <v/>
      </c>
      <c r="P277" s="55">
        <f>VLOOKUP(C277,Customers!$A$2:$F$301,3,FALSE())</f>
        <v/>
      </c>
      <c r="Q277" s="55">
        <f>UPPER(TRIM(K277))</f>
        <v/>
      </c>
      <c r="R277" s="55">
        <f>(G277-O277)/G277</f>
        <v/>
      </c>
      <c r="S277" s="55">
        <f>VLOOKUP(D277,Products!$A$2:$F$61,6,FALSE())</f>
        <v/>
      </c>
      <c r="U277" s="55">
        <f>TRIM(Customers!B277)</f>
        <v/>
      </c>
      <c r="V277" s="55">
        <f>UPPER(TRIM(Customers!D277))</f>
        <v/>
      </c>
      <c r="W277" s="55">
        <f>LEN(Customers!B277)&lt;&gt;LEN(TRIM(Customers!B277))</f>
        <v/>
      </c>
    </row>
    <row r="278" ht="15" customHeight="1" s="56">
      <c r="A278" s="55">
        <f>Orders!A278</f>
        <v/>
      </c>
      <c r="B278" s="103">
        <f>Orders!B278</f>
        <v/>
      </c>
      <c r="C278" s="55">
        <f>Orders!C278</f>
        <v/>
      </c>
      <c r="D278" s="55">
        <f>Orders!D278</f>
        <v/>
      </c>
      <c r="E278" s="55">
        <f>Orders!E278</f>
        <v/>
      </c>
      <c r="F278" s="55">
        <f>Orders!F278</f>
        <v/>
      </c>
      <c r="G278" s="55">
        <f>Orders!G278</f>
        <v/>
      </c>
      <c r="H278" s="55">
        <f>Orders!H278</f>
        <v/>
      </c>
      <c r="I278" s="55">
        <f>Orders!I278</f>
        <v/>
      </c>
      <c r="J278" s="55">
        <f>Orders!J278</f>
        <v/>
      </c>
      <c r="K278" s="55">
        <f>Orders!K278</f>
        <v/>
      </c>
      <c r="L278" s="55">
        <f>VLOOKUP(D278,Products!$A$2:$F$61,3,FALSE())</f>
        <v/>
      </c>
      <c r="M278" s="55">
        <f>VLOOKUP(C278,Customers!$A$2:$F$301,5,FALSE())</f>
        <v/>
      </c>
      <c r="N278" s="55">
        <f>VLOOKUP(E278,Sales_Reps!$A$2:$E$31,3,FALSE())</f>
        <v/>
      </c>
      <c r="O278" s="55">
        <f>VLOOKUP(D278,Products!$A$2:$F$61,4,FALSE())</f>
        <v/>
      </c>
      <c r="P278" s="55">
        <f>VLOOKUP(C278,Customers!$A$2:$F$301,3,FALSE())</f>
        <v/>
      </c>
      <c r="Q278" s="55">
        <f>UPPER(TRIM(K278))</f>
        <v/>
      </c>
      <c r="R278" s="55">
        <f>(G278-O278)/G278</f>
        <v/>
      </c>
      <c r="S278" s="55">
        <f>VLOOKUP(D278,Products!$A$2:$F$61,6,FALSE())</f>
        <v/>
      </c>
      <c r="U278" s="55">
        <f>TRIM(Customers!B278)</f>
        <v/>
      </c>
      <c r="V278" s="55">
        <f>UPPER(TRIM(Customers!D278))</f>
        <v/>
      </c>
      <c r="W278" s="55">
        <f>LEN(Customers!B278)&lt;&gt;LEN(TRIM(Customers!B278))</f>
        <v/>
      </c>
    </row>
    <row r="279" ht="15" customHeight="1" s="56">
      <c r="A279" s="55">
        <f>Orders!A279</f>
        <v/>
      </c>
      <c r="B279" s="103">
        <f>Orders!B279</f>
        <v/>
      </c>
      <c r="C279" s="55">
        <f>Orders!C279</f>
        <v/>
      </c>
      <c r="D279" s="55">
        <f>Orders!D279</f>
        <v/>
      </c>
      <c r="E279" s="55">
        <f>Orders!E279</f>
        <v/>
      </c>
      <c r="F279" s="55">
        <f>Orders!F279</f>
        <v/>
      </c>
      <c r="G279" s="55">
        <f>Orders!G279</f>
        <v/>
      </c>
      <c r="H279" s="55">
        <f>Orders!H279</f>
        <v/>
      </c>
      <c r="I279" s="55">
        <f>Orders!I279</f>
        <v/>
      </c>
      <c r="J279" s="55">
        <f>Orders!J279</f>
        <v/>
      </c>
      <c r="K279" s="55">
        <f>Orders!K279</f>
        <v/>
      </c>
      <c r="L279" s="55">
        <f>VLOOKUP(D279,Products!$A$2:$F$61,3,FALSE())</f>
        <v/>
      </c>
      <c r="M279" s="55">
        <f>VLOOKUP(C279,Customers!$A$2:$F$301,5,FALSE())</f>
        <v/>
      </c>
      <c r="N279" s="55">
        <f>VLOOKUP(E279,Sales_Reps!$A$2:$E$31,3,FALSE())</f>
        <v/>
      </c>
      <c r="O279" s="55">
        <f>VLOOKUP(D279,Products!$A$2:$F$61,4,FALSE())</f>
        <v/>
      </c>
      <c r="P279" s="55">
        <f>VLOOKUP(C279,Customers!$A$2:$F$301,3,FALSE())</f>
        <v/>
      </c>
      <c r="Q279" s="55">
        <f>UPPER(TRIM(K279))</f>
        <v/>
      </c>
      <c r="R279" s="55">
        <f>(G279-O279)/G279</f>
        <v/>
      </c>
      <c r="S279" s="55">
        <f>VLOOKUP(D279,Products!$A$2:$F$61,6,FALSE())</f>
        <v/>
      </c>
      <c r="U279" s="55">
        <f>TRIM(Customers!B279)</f>
        <v/>
      </c>
      <c r="V279" s="55">
        <f>UPPER(TRIM(Customers!D279))</f>
        <v/>
      </c>
      <c r="W279" s="55">
        <f>LEN(Customers!B279)&lt;&gt;LEN(TRIM(Customers!B279))</f>
        <v/>
      </c>
    </row>
    <row r="280" ht="15" customHeight="1" s="56">
      <c r="A280" s="55">
        <f>Orders!A280</f>
        <v/>
      </c>
      <c r="B280" s="103">
        <f>Orders!B280</f>
        <v/>
      </c>
      <c r="C280" s="55">
        <f>Orders!C280</f>
        <v/>
      </c>
      <c r="D280" s="55">
        <f>Orders!D280</f>
        <v/>
      </c>
      <c r="E280" s="55">
        <f>Orders!E280</f>
        <v/>
      </c>
      <c r="F280" s="55">
        <f>Orders!F280</f>
        <v/>
      </c>
      <c r="G280" s="55">
        <f>Orders!G280</f>
        <v/>
      </c>
      <c r="H280" s="55">
        <f>Orders!H280</f>
        <v/>
      </c>
      <c r="I280" s="55">
        <f>Orders!I280</f>
        <v/>
      </c>
      <c r="J280" s="55">
        <f>Orders!J280</f>
        <v/>
      </c>
      <c r="K280" s="55">
        <f>Orders!K280</f>
        <v/>
      </c>
      <c r="L280" s="55">
        <f>VLOOKUP(D280,Products!$A$2:$F$61,3,FALSE())</f>
        <v/>
      </c>
      <c r="M280" s="55">
        <f>VLOOKUP(C280,Customers!$A$2:$F$301,5,FALSE())</f>
        <v/>
      </c>
      <c r="N280" s="55">
        <f>VLOOKUP(E280,Sales_Reps!$A$2:$E$31,3,FALSE())</f>
        <v/>
      </c>
      <c r="O280" s="55">
        <f>VLOOKUP(D280,Products!$A$2:$F$61,4,FALSE())</f>
        <v/>
      </c>
      <c r="P280" s="55">
        <f>VLOOKUP(C280,Customers!$A$2:$F$301,3,FALSE())</f>
        <v/>
      </c>
      <c r="Q280" s="55">
        <f>UPPER(TRIM(K280))</f>
        <v/>
      </c>
      <c r="R280" s="55">
        <f>(G280-O280)/G280</f>
        <v/>
      </c>
      <c r="S280" s="55">
        <f>VLOOKUP(D280,Products!$A$2:$F$61,6,FALSE())</f>
        <v/>
      </c>
      <c r="U280" s="55">
        <f>TRIM(Customers!B280)</f>
        <v/>
      </c>
      <c r="V280" s="55">
        <f>UPPER(TRIM(Customers!D280))</f>
        <v/>
      </c>
      <c r="W280" s="55">
        <f>LEN(Customers!B280)&lt;&gt;LEN(TRIM(Customers!B280))</f>
        <v/>
      </c>
    </row>
    <row r="281" ht="15" customHeight="1" s="56">
      <c r="A281" s="55">
        <f>Orders!A281</f>
        <v/>
      </c>
      <c r="B281" s="103">
        <f>Orders!B281</f>
        <v/>
      </c>
      <c r="C281" s="55">
        <f>Orders!C281</f>
        <v/>
      </c>
      <c r="D281" s="55">
        <f>Orders!D281</f>
        <v/>
      </c>
      <c r="E281" s="55">
        <f>Orders!E281</f>
        <v/>
      </c>
      <c r="F281" s="55">
        <f>Orders!F281</f>
        <v/>
      </c>
      <c r="G281" s="55">
        <f>Orders!G281</f>
        <v/>
      </c>
      <c r="H281" s="55">
        <f>Orders!H281</f>
        <v/>
      </c>
      <c r="I281" s="55">
        <f>Orders!I281</f>
        <v/>
      </c>
      <c r="J281" s="55">
        <f>Orders!J281</f>
        <v/>
      </c>
      <c r="K281" s="55">
        <f>Orders!K281</f>
        <v/>
      </c>
      <c r="L281" s="55">
        <f>VLOOKUP(D281,Products!$A$2:$F$61,3,FALSE())</f>
        <v/>
      </c>
      <c r="M281" s="55">
        <f>VLOOKUP(C281,Customers!$A$2:$F$301,5,FALSE())</f>
        <v/>
      </c>
      <c r="N281" s="55">
        <f>VLOOKUP(E281,Sales_Reps!$A$2:$E$31,3,FALSE())</f>
        <v/>
      </c>
      <c r="O281" s="55">
        <f>VLOOKUP(D281,Products!$A$2:$F$61,4,FALSE())</f>
        <v/>
      </c>
      <c r="P281" s="55">
        <f>VLOOKUP(C281,Customers!$A$2:$F$301,3,FALSE())</f>
        <v/>
      </c>
      <c r="Q281" s="55">
        <f>UPPER(TRIM(K281))</f>
        <v/>
      </c>
      <c r="R281" s="55">
        <f>(G281-O281)/G281</f>
        <v/>
      </c>
      <c r="S281" s="55">
        <f>VLOOKUP(D281,Products!$A$2:$F$61,6,FALSE())</f>
        <v/>
      </c>
      <c r="U281" s="55">
        <f>TRIM(Customers!B281)</f>
        <v/>
      </c>
      <c r="V281" s="55">
        <f>UPPER(TRIM(Customers!D281))</f>
        <v/>
      </c>
      <c r="W281" s="55">
        <f>LEN(Customers!B281)&lt;&gt;LEN(TRIM(Customers!B281))</f>
        <v/>
      </c>
    </row>
    <row r="282" ht="15" customHeight="1" s="56">
      <c r="A282" s="55">
        <f>Orders!A282</f>
        <v/>
      </c>
      <c r="B282" s="103">
        <f>Orders!B282</f>
        <v/>
      </c>
      <c r="C282" s="55">
        <f>Orders!C282</f>
        <v/>
      </c>
      <c r="D282" s="55">
        <f>Orders!D282</f>
        <v/>
      </c>
      <c r="E282" s="55">
        <f>Orders!E282</f>
        <v/>
      </c>
      <c r="F282" s="55">
        <f>Orders!F282</f>
        <v/>
      </c>
      <c r="G282" s="55">
        <f>Orders!G282</f>
        <v/>
      </c>
      <c r="H282" s="55">
        <f>Orders!H282</f>
        <v/>
      </c>
      <c r="I282" s="55">
        <f>Orders!I282</f>
        <v/>
      </c>
      <c r="J282" s="55">
        <f>Orders!J282</f>
        <v/>
      </c>
      <c r="K282" s="55">
        <f>Orders!K282</f>
        <v/>
      </c>
      <c r="L282" s="55">
        <f>VLOOKUP(D282,Products!$A$2:$F$61,3,FALSE())</f>
        <v/>
      </c>
      <c r="M282" s="55">
        <f>VLOOKUP(C282,Customers!$A$2:$F$301,5,FALSE())</f>
        <v/>
      </c>
      <c r="N282" s="55">
        <f>VLOOKUP(E282,Sales_Reps!$A$2:$E$31,3,FALSE())</f>
        <v/>
      </c>
      <c r="O282" s="55">
        <f>VLOOKUP(D282,Products!$A$2:$F$61,4,FALSE())</f>
        <v/>
      </c>
      <c r="P282" s="55">
        <f>VLOOKUP(C282,Customers!$A$2:$F$301,3,FALSE())</f>
        <v/>
      </c>
      <c r="Q282" s="55">
        <f>UPPER(TRIM(K282))</f>
        <v/>
      </c>
      <c r="R282" s="55">
        <f>(G282-O282)/G282</f>
        <v/>
      </c>
      <c r="S282" s="55">
        <f>VLOOKUP(D282,Products!$A$2:$F$61,6,FALSE())</f>
        <v/>
      </c>
      <c r="U282" s="55">
        <f>TRIM(Customers!B282)</f>
        <v/>
      </c>
      <c r="V282" s="55">
        <f>UPPER(TRIM(Customers!D282))</f>
        <v/>
      </c>
      <c r="W282" s="55">
        <f>LEN(Customers!B282)&lt;&gt;LEN(TRIM(Customers!B282))</f>
        <v/>
      </c>
    </row>
    <row r="283" ht="15" customHeight="1" s="56">
      <c r="A283" s="55">
        <f>Orders!A283</f>
        <v/>
      </c>
      <c r="B283" s="103">
        <f>Orders!B283</f>
        <v/>
      </c>
      <c r="C283" s="55">
        <f>Orders!C283</f>
        <v/>
      </c>
      <c r="D283" s="55">
        <f>Orders!D283</f>
        <v/>
      </c>
      <c r="E283" s="55">
        <f>Orders!E283</f>
        <v/>
      </c>
      <c r="F283" s="55">
        <f>Orders!F283</f>
        <v/>
      </c>
      <c r="G283" s="55">
        <f>Orders!G283</f>
        <v/>
      </c>
      <c r="H283" s="55">
        <f>Orders!H283</f>
        <v/>
      </c>
      <c r="I283" s="55">
        <f>Orders!I283</f>
        <v/>
      </c>
      <c r="J283" s="55">
        <f>Orders!J283</f>
        <v/>
      </c>
      <c r="K283" s="55">
        <f>Orders!K283</f>
        <v/>
      </c>
      <c r="L283" s="55">
        <f>VLOOKUP(D283,Products!$A$2:$F$61,3,FALSE())</f>
        <v/>
      </c>
      <c r="M283" s="55">
        <f>VLOOKUP(C283,Customers!$A$2:$F$301,5,FALSE())</f>
        <v/>
      </c>
      <c r="N283" s="55">
        <f>VLOOKUP(E283,Sales_Reps!$A$2:$E$31,3,FALSE())</f>
        <v/>
      </c>
      <c r="O283" s="55">
        <f>VLOOKUP(D283,Products!$A$2:$F$61,4,FALSE())</f>
        <v/>
      </c>
      <c r="P283" s="55">
        <f>VLOOKUP(C283,Customers!$A$2:$F$301,3,FALSE())</f>
        <v/>
      </c>
      <c r="Q283" s="55">
        <f>UPPER(TRIM(K283))</f>
        <v/>
      </c>
      <c r="R283" s="55">
        <f>(G283-O283)/G283</f>
        <v/>
      </c>
      <c r="S283" s="55">
        <f>VLOOKUP(D283,Products!$A$2:$F$61,6,FALSE())</f>
        <v/>
      </c>
      <c r="U283" s="55">
        <f>TRIM(Customers!B283)</f>
        <v/>
      </c>
      <c r="V283" s="55">
        <f>UPPER(TRIM(Customers!D283))</f>
        <v/>
      </c>
      <c r="W283" s="55">
        <f>LEN(Customers!B283)&lt;&gt;LEN(TRIM(Customers!B283))</f>
        <v/>
      </c>
    </row>
    <row r="284" ht="15" customHeight="1" s="56">
      <c r="A284" s="55">
        <f>Orders!A284</f>
        <v/>
      </c>
      <c r="B284" s="103">
        <f>Orders!B284</f>
        <v/>
      </c>
      <c r="C284" s="55">
        <f>Orders!C284</f>
        <v/>
      </c>
      <c r="D284" s="55">
        <f>Orders!D284</f>
        <v/>
      </c>
      <c r="E284" s="55">
        <f>Orders!E284</f>
        <v/>
      </c>
      <c r="F284" s="55">
        <f>Orders!F284</f>
        <v/>
      </c>
      <c r="G284" s="55">
        <f>Orders!G284</f>
        <v/>
      </c>
      <c r="H284" s="55">
        <f>Orders!H284</f>
        <v/>
      </c>
      <c r="I284" s="55">
        <f>Orders!I284</f>
        <v/>
      </c>
      <c r="J284" s="55">
        <f>Orders!J284</f>
        <v/>
      </c>
      <c r="K284" s="55">
        <f>Orders!K284</f>
        <v/>
      </c>
      <c r="L284" s="55">
        <f>VLOOKUP(D284,Products!$A$2:$F$61,3,FALSE())</f>
        <v/>
      </c>
      <c r="M284" s="55">
        <f>VLOOKUP(C284,Customers!$A$2:$F$301,5,FALSE())</f>
        <v/>
      </c>
      <c r="N284" s="55">
        <f>VLOOKUP(E284,Sales_Reps!$A$2:$E$31,3,FALSE())</f>
        <v/>
      </c>
      <c r="O284" s="55">
        <f>VLOOKUP(D284,Products!$A$2:$F$61,4,FALSE())</f>
        <v/>
      </c>
      <c r="P284" s="55">
        <f>VLOOKUP(C284,Customers!$A$2:$F$301,3,FALSE())</f>
        <v/>
      </c>
      <c r="Q284" s="55">
        <f>UPPER(TRIM(K284))</f>
        <v/>
      </c>
      <c r="R284" s="55">
        <f>(G284-O284)/G284</f>
        <v/>
      </c>
      <c r="S284" s="55">
        <f>VLOOKUP(D284,Products!$A$2:$F$61,6,FALSE())</f>
        <v/>
      </c>
      <c r="U284" s="55">
        <f>TRIM(Customers!B284)</f>
        <v/>
      </c>
      <c r="V284" s="55">
        <f>UPPER(TRIM(Customers!D284))</f>
        <v/>
      </c>
      <c r="W284" s="55">
        <f>LEN(Customers!B284)&lt;&gt;LEN(TRIM(Customers!B284))</f>
        <v/>
      </c>
    </row>
    <row r="285" ht="15" customHeight="1" s="56">
      <c r="A285" s="55">
        <f>Orders!A285</f>
        <v/>
      </c>
      <c r="B285" s="103">
        <f>Orders!B285</f>
        <v/>
      </c>
      <c r="C285" s="55">
        <f>Orders!C285</f>
        <v/>
      </c>
      <c r="D285" s="55">
        <f>Orders!D285</f>
        <v/>
      </c>
      <c r="E285" s="55">
        <f>Orders!E285</f>
        <v/>
      </c>
      <c r="F285" s="55">
        <f>Orders!F285</f>
        <v/>
      </c>
      <c r="G285" s="55">
        <f>Orders!G285</f>
        <v/>
      </c>
      <c r="H285" s="55">
        <f>Orders!H285</f>
        <v/>
      </c>
      <c r="I285" s="55">
        <f>Orders!I285</f>
        <v/>
      </c>
      <c r="J285" s="55">
        <f>Orders!J285</f>
        <v/>
      </c>
      <c r="K285" s="55">
        <f>Orders!K285</f>
        <v/>
      </c>
      <c r="L285" s="55">
        <f>VLOOKUP(D285,Products!$A$2:$F$61,3,FALSE())</f>
        <v/>
      </c>
      <c r="M285" s="55">
        <f>VLOOKUP(C285,Customers!$A$2:$F$301,5,FALSE())</f>
        <v/>
      </c>
      <c r="N285" s="55">
        <f>VLOOKUP(E285,Sales_Reps!$A$2:$E$31,3,FALSE())</f>
        <v/>
      </c>
      <c r="O285" s="55">
        <f>VLOOKUP(D285,Products!$A$2:$F$61,4,FALSE())</f>
        <v/>
      </c>
      <c r="P285" s="55">
        <f>VLOOKUP(C285,Customers!$A$2:$F$301,3,FALSE())</f>
        <v/>
      </c>
      <c r="Q285" s="55">
        <f>UPPER(TRIM(K285))</f>
        <v/>
      </c>
      <c r="R285" s="55">
        <f>(G285-O285)/G285</f>
        <v/>
      </c>
      <c r="S285" s="55">
        <f>VLOOKUP(D285,Products!$A$2:$F$61,6,FALSE())</f>
        <v/>
      </c>
      <c r="U285" s="55">
        <f>TRIM(Customers!B285)</f>
        <v/>
      </c>
      <c r="V285" s="55">
        <f>UPPER(TRIM(Customers!D285))</f>
        <v/>
      </c>
      <c r="W285" s="55">
        <f>LEN(Customers!B285)&lt;&gt;LEN(TRIM(Customers!B285))</f>
        <v/>
      </c>
    </row>
    <row r="286" ht="15" customHeight="1" s="56">
      <c r="A286" s="55">
        <f>Orders!A286</f>
        <v/>
      </c>
      <c r="B286" s="103">
        <f>Orders!B286</f>
        <v/>
      </c>
      <c r="C286" s="55">
        <f>Orders!C286</f>
        <v/>
      </c>
      <c r="D286" s="55">
        <f>Orders!D286</f>
        <v/>
      </c>
      <c r="E286" s="55">
        <f>Orders!E286</f>
        <v/>
      </c>
      <c r="F286" s="55">
        <f>Orders!F286</f>
        <v/>
      </c>
      <c r="G286" s="55">
        <f>Orders!G286</f>
        <v/>
      </c>
      <c r="H286" s="55">
        <f>Orders!H286</f>
        <v/>
      </c>
      <c r="I286" s="55">
        <f>Orders!I286</f>
        <v/>
      </c>
      <c r="J286" s="55">
        <f>Orders!J286</f>
        <v/>
      </c>
      <c r="K286" s="55">
        <f>Orders!K286</f>
        <v/>
      </c>
      <c r="L286" s="55">
        <f>VLOOKUP(D286,Products!$A$2:$F$61,3,FALSE())</f>
        <v/>
      </c>
      <c r="M286" s="55">
        <f>VLOOKUP(C286,Customers!$A$2:$F$301,5,FALSE())</f>
        <v/>
      </c>
      <c r="N286" s="55">
        <f>VLOOKUP(E286,Sales_Reps!$A$2:$E$31,3,FALSE())</f>
        <v/>
      </c>
      <c r="O286" s="55">
        <f>VLOOKUP(D286,Products!$A$2:$F$61,4,FALSE())</f>
        <v/>
      </c>
      <c r="P286" s="55">
        <f>VLOOKUP(C286,Customers!$A$2:$F$301,3,FALSE())</f>
        <v/>
      </c>
      <c r="Q286" s="55">
        <f>UPPER(TRIM(K286))</f>
        <v/>
      </c>
      <c r="R286" s="55">
        <f>(G286-O286)/G286</f>
        <v/>
      </c>
      <c r="S286" s="55">
        <f>VLOOKUP(D286,Products!$A$2:$F$61,6,FALSE())</f>
        <v/>
      </c>
      <c r="U286" s="55">
        <f>TRIM(Customers!B286)</f>
        <v/>
      </c>
      <c r="V286" s="55">
        <f>UPPER(TRIM(Customers!D286))</f>
        <v/>
      </c>
      <c r="W286" s="55">
        <f>LEN(Customers!B286)&lt;&gt;LEN(TRIM(Customers!B286))</f>
        <v/>
      </c>
    </row>
    <row r="287" ht="15" customHeight="1" s="56">
      <c r="A287" s="55">
        <f>Orders!A287</f>
        <v/>
      </c>
      <c r="B287" s="103">
        <f>Orders!B287</f>
        <v/>
      </c>
      <c r="C287" s="55">
        <f>Orders!C287</f>
        <v/>
      </c>
      <c r="D287" s="55">
        <f>Orders!D287</f>
        <v/>
      </c>
      <c r="E287" s="55">
        <f>Orders!E287</f>
        <v/>
      </c>
      <c r="F287" s="55">
        <f>Orders!F287</f>
        <v/>
      </c>
      <c r="G287" s="55">
        <f>Orders!G287</f>
        <v/>
      </c>
      <c r="H287" s="55">
        <f>Orders!H287</f>
        <v/>
      </c>
      <c r="I287" s="55">
        <f>Orders!I287</f>
        <v/>
      </c>
      <c r="J287" s="55">
        <f>Orders!J287</f>
        <v/>
      </c>
      <c r="K287" s="55">
        <f>Orders!K287</f>
        <v/>
      </c>
      <c r="L287" s="55">
        <f>VLOOKUP(D287,Products!$A$2:$F$61,3,FALSE())</f>
        <v/>
      </c>
      <c r="M287" s="55">
        <f>VLOOKUP(C287,Customers!$A$2:$F$301,5,FALSE())</f>
        <v/>
      </c>
      <c r="N287" s="55">
        <f>VLOOKUP(E287,Sales_Reps!$A$2:$E$31,3,FALSE())</f>
        <v/>
      </c>
      <c r="O287" s="55">
        <f>VLOOKUP(D287,Products!$A$2:$F$61,4,FALSE())</f>
        <v/>
      </c>
      <c r="P287" s="55">
        <f>VLOOKUP(C287,Customers!$A$2:$F$301,3,FALSE())</f>
        <v/>
      </c>
      <c r="Q287" s="55">
        <f>UPPER(TRIM(K287))</f>
        <v/>
      </c>
      <c r="R287" s="55">
        <f>(G287-O287)/G287</f>
        <v/>
      </c>
      <c r="S287" s="55">
        <f>VLOOKUP(D287,Products!$A$2:$F$61,6,FALSE())</f>
        <v/>
      </c>
      <c r="U287" s="55">
        <f>TRIM(Customers!B287)</f>
        <v/>
      </c>
      <c r="V287" s="55">
        <f>UPPER(TRIM(Customers!D287))</f>
        <v/>
      </c>
      <c r="W287" s="55">
        <f>LEN(Customers!B287)&lt;&gt;LEN(TRIM(Customers!B287))</f>
        <v/>
      </c>
    </row>
    <row r="288" ht="15" customHeight="1" s="56">
      <c r="A288" s="55">
        <f>Orders!A288</f>
        <v/>
      </c>
      <c r="B288" s="103">
        <f>Orders!B288</f>
        <v/>
      </c>
      <c r="C288" s="55">
        <f>Orders!C288</f>
        <v/>
      </c>
      <c r="D288" s="55">
        <f>Orders!D288</f>
        <v/>
      </c>
      <c r="E288" s="55">
        <f>Orders!E288</f>
        <v/>
      </c>
      <c r="F288" s="55">
        <f>Orders!F288</f>
        <v/>
      </c>
      <c r="G288" s="55">
        <f>Orders!G288</f>
        <v/>
      </c>
      <c r="H288" s="55">
        <f>Orders!H288</f>
        <v/>
      </c>
      <c r="I288" s="55">
        <f>Orders!I288</f>
        <v/>
      </c>
      <c r="J288" s="55">
        <f>Orders!J288</f>
        <v/>
      </c>
      <c r="K288" s="55">
        <f>Orders!K288</f>
        <v/>
      </c>
      <c r="L288" s="55">
        <f>VLOOKUP(D288,Products!$A$2:$F$61,3,FALSE())</f>
        <v/>
      </c>
      <c r="M288" s="55">
        <f>VLOOKUP(C288,Customers!$A$2:$F$301,5,FALSE())</f>
        <v/>
      </c>
      <c r="N288" s="55">
        <f>VLOOKUP(E288,Sales_Reps!$A$2:$E$31,3,FALSE())</f>
        <v/>
      </c>
      <c r="O288" s="55">
        <f>VLOOKUP(D288,Products!$A$2:$F$61,4,FALSE())</f>
        <v/>
      </c>
      <c r="P288" s="55">
        <f>VLOOKUP(C288,Customers!$A$2:$F$301,3,FALSE())</f>
        <v/>
      </c>
      <c r="Q288" s="55">
        <f>UPPER(TRIM(K288))</f>
        <v/>
      </c>
      <c r="R288" s="55">
        <f>(G288-O288)/G288</f>
        <v/>
      </c>
      <c r="S288" s="55">
        <f>VLOOKUP(D288,Products!$A$2:$F$61,6,FALSE())</f>
        <v/>
      </c>
      <c r="U288" s="55">
        <f>TRIM(Customers!B288)</f>
        <v/>
      </c>
      <c r="V288" s="55">
        <f>UPPER(TRIM(Customers!D288))</f>
        <v/>
      </c>
      <c r="W288" s="55">
        <f>LEN(Customers!B288)&lt;&gt;LEN(TRIM(Customers!B288))</f>
        <v/>
      </c>
    </row>
    <row r="289" ht="15" customHeight="1" s="56">
      <c r="A289" s="55">
        <f>Orders!A289</f>
        <v/>
      </c>
      <c r="B289" s="103">
        <f>Orders!B289</f>
        <v/>
      </c>
      <c r="C289" s="55">
        <f>Orders!C289</f>
        <v/>
      </c>
      <c r="D289" s="55">
        <f>Orders!D289</f>
        <v/>
      </c>
      <c r="E289" s="55">
        <f>Orders!E289</f>
        <v/>
      </c>
      <c r="F289" s="55">
        <f>Orders!F289</f>
        <v/>
      </c>
      <c r="G289" s="55">
        <f>Orders!G289</f>
        <v/>
      </c>
      <c r="H289" s="55">
        <f>Orders!H289</f>
        <v/>
      </c>
      <c r="I289" s="55">
        <f>Orders!I289</f>
        <v/>
      </c>
      <c r="J289" s="55">
        <f>Orders!J289</f>
        <v/>
      </c>
      <c r="K289" s="55">
        <f>Orders!K289</f>
        <v/>
      </c>
      <c r="L289" s="55">
        <f>VLOOKUP(D289,Products!$A$2:$F$61,3,FALSE())</f>
        <v/>
      </c>
      <c r="M289" s="55">
        <f>VLOOKUP(C289,Customers!$A$2:$F$301,5,FALSE())</f>
        <v/>
      </c>
      <c r="N289" s="55">
        <f>VLOOKUP(E289,Sales_Reps!$A$2:$E$31,3,FALSE())</f>
        <v/>
      </c>
      <c r="O289" s="55">
        <f>VLOOKUP(D289,Products!$A$2:$F$61,4,FALSE())</f>
        <v/>
      </c>
      <c r="P289" s="55">
        <f>VLOOKUP(C289,Customers!$A$2:$F$301,3,FALSE())</f>
        <v/>
      </c>
      <c r="Q289" s="55">
        <f>UPPER(TRIM(K289))</f>
        <v/>
      </c>
      <c r="R289" s="55">
        <f>(G289-O289)/G289</f>
        <v/>
      </c>
      <c r="S289" s="55">
        <f>VLOOKUP(D289,Products!$A$2:$F$61,6,FALSE())</f>
        <v/>
      </c>
      <c r="U289" s="55">
        <f>TRIM(Customers!B289)</f>
        <v/>
      </c>
      <c r="V289" s="55">
        <f>UPPER(TRIM(Customers!D289))</f>
        <v/>
      </c>
      <c r="W289" s="55">
        <f>LEN(Customers!B289)&lt;&gt;LEN(TRIM(Customers!B289))</f>
        <v/>
      </c>
    </row>
    <row r="290" ht="15" customHeight="1" s="56">
      <c r="A290" s="55">
        <f>Orders!A290</f>
        <v/>
      </c>
      <c r="B290" s="103">
        <f>Orders!B290</f>
        <v/>
      </c>
      <c r="C290" s="55">
        <f>Orders!C290</f>
        <v/>
      </c>
      <c r="D290" s="55">
        <f>Orders!D290</f>
        <v/>
      </c>
      <c r="E290" s="55">
        <f>Orders!E290</f>
        <v/>
      </c>
      <c r="F290" s="55">
        <f>Orders!F290</f>
        <v/>
      </c>
      <c r="G290" s="55">
        <f>Orders!G290</f>
        <v/>
      </c>
      <c r="H290" s="55">
        <f>Orders!H290</f>
        <v/>
      </c>
      <c r="I290" s="55">
        <f>Orders!I290</f>
        <v/>
      </c>
      <c r="J290" s="55">
        <f>Orders!J290</f>
        <v/>
      </c>
      <c r="K290" s="55">
        <f>Orders!K290</f>
        <v/>
      </c>
      <c r="L290" s="55">
        <f>VLOOKUP(D290,Products!$A$2:$F$61,3,FALSE())</f>
        <v/>
      </c>
      <c r="M290" s="55">
        <f>VLOOKUP(C290,Customers!$A$2:$F$301,5,FALSE())</f>
        <v/>
      </c>
      <c r="N290" s="55">
        <f>VLOOKUP(E290,Sales_Reps!$A$2:$E$31,3,FALSE())</f>
        <v/>
      </c>
      <c r="O290" s="55">
        <f>VLOOKUP(D290,Products!$A$2:$F$61,4,FALSE())</f>
        <v/>
      </c>
      <c r="P290" s="55">
        <f>VLOOKUP(C290,Customers!$A$2:$F$301,3,FALSE())</f>
        <v/>
      </c>
      <c r="Q290" s="55">
        <f>UPPER(TRIM(K290))</f>
        <v/>
      </c>
      <c r="R290" s="55">
        <f>(G290-O290)/G290</f>
        <v/>
      </c>
      <c r="S290" s="55">
        <f>VLOOKUP(D290,Products!$A$2:$F$61,6,FALSE())</f>
        <v/>
      </c>
      <c r="U290" s="55">
        <f>TRIM(Customers!B290)</f>
        <v/>
      </c>
      <c r="V290" s="55">
        <f>UPPER(TRIM(Customers!D290))</f>
        <v/>
      </c>
      <c r="W290" s="55">
        <f>LEN(Customers!B290)&lt;&gt;LEN(TRIM(Customers!B290))</f>
        <v/>
      </c>
    </row>
    <row r="291" ht="15" customHeight="1" s="56">
      <c r="A291" s="55">
        <f>Orders!A291</f>
        <v/>
      </c>
      <c r="B291" s="103">
        <f>Orders!B291</f>
        <v/>
      </c>
      <c r="C291" s="55">
        <f>Orders!C291</f>
        <v/>
      </c>
      <c r="D291" s="55">
        <f>Orders!D291</f>
        <v/>
      </c>
      <c r="E291" s="55">
        <f>Orders!E291</f>
        <v/>
      </c>
      <c r="F291" s="55">
        <f>Orders!F291</f>
        <v/>
      </c>
      <c r="G291" s="55">
        <f>Orders!G291</f>
        <v/>
      </c>
      <c r="H291" s="55">
        <f>Orders!H291</f>
        <v/>
      </c>
      <c r="I291" s="55">
        <f>Orders!I291</f>
        <v/>
      </c>
      <c r="J291" s="55">
        <f>Orders!J291</f>
        <v/>
      </c>
      <c r="K291" s="55">
        <f>Orders!K291</f>
        <v/>
      </c>
      <c r="L291" s="55">
        <f>VLOOKUP(D291,Products!$A$2:$F$61,3,FALSE())</f>
        <v/>
      </c>
      <c r="M291" s="55">
        <f>VLOOKUP(C291,Customers!$A$2:$F$301,5,FALSE())</f>
        <v/>
      </c>
      <c r="N291" s="55">
        <f>VLOOKUP(E291,Sales_Reps!$A$2:$E$31,3,FALSE())</f>
        <v/>
      </c>
      <c r="O291" s="55">
        <f>VLOOKUP(D291,Products!$A$2:$F$61,4,FALSE())</f>
        <v/>
      </c>
      <c r="P291" s="55">
        <f>VLOOKUP(C291,Customers!$A$2:$F$301,3,FALSE())</f>
        <v/>
      </c>
      <c r="Q291" s="55">
        <f>UPPER(TRIM(K291))</f>
        <v/>
      </c>
      <c r="R291" s="55">
        <f>(G291-O291)/G291</f>
        <v/>
      </c>
      <c r="S291" s="55">
        <f>VLOOKUP(D291,Products!$A$2:$F$61,6,FALSE())</f>
        <v/>
      </c>
      <c r="U291" s="55">
        <f>TRIM(Customers!B291)</f>
        <v/>
      </c>
      <c r="V291" s="55">
        <f>UPPER(TRIM(Customers!D291))</f>
        <v/>
      </c>
      <c r="W291" s="55">
        <f>LEN(Customers!B291)&lt;&gt;LEN(TRIM(Customers!B291))</f>
        <v/>
      </c>
    </row>
    <row r="292" ht="15" customHeight="1" s="56">
      <c r="A292" s="55">
        <f>Orders!A292</f>
        <v/>
      </c>
      <c r="B292" s="103">
        <f>Orders!B292</f>
        <v/>
      </c>
      <c r="C292" s="55">
        <f>Orders!C292</f>
        <v/>
      </c>
      <c r="D292" s="55">
        <f>Orders!D292</f>
        <v/>
      </c>
      <c r="E292" s="55">
        <f>Orders!E292</f>
        <v/>
      </c>
      <c r="F292" s="55">
        <f>Orders!F292</f>
        <v/>
      </c>
      <c r="G292" s="55">
        <f>Orders!G292</f>
        <v/>
      </c>
      <c r="H292" s="55">
        <f>Orders!H292</f>
        <v/>
      </c>
      <c r="I292" s="55">
        <f>Orders!I292</f>
        <v/>
      </c>
      <c r="J292" s="55">
        <f>Orders!J292</f>
        <v/>
      </c>
      <c r="K292" s="55">
        <f>Orders!K292</f>
        <v/>
      </c>
      <c r="L292" s="55">
        <f>VLOOKUP(D292,Products!$A$2:$F$61,3,FALSE())</f>
        <v/>
      </c>
      <c r="M292" s="55">
        <f>VLOOKUP(C292,Customers!$A$2:$F$301,5,FALSE())</f>
        <v/>
      </c>
      <c r="N292" s="55">
        <f>VLOOKUP(E292,Sales_Reps!$A$2:$E$31,3,FALSE())</f>
        <v/>
      </c>
      <c r="O292" s="55">
        <f>VLOOKUP(D292,Products!$A$2:$F$61,4,FALSE())</f>
        <v/>
      </c>
      <c r="P292" s="55">
        <f>VLOOKUP(C292,Customers!$A$2:$F$301,3,FALSE())</f>
        <v/>
      </c>
      <c r="Q292" s="55">
        <f>UPPER(TRIM(K292))</f>
        <v/>
      </c>
      <c r="R292" s="55">
        <f>(G292-O292)/G292</f>
        <v/>
      </c>
      <c r="S292" s="55">
        <f>VLOOKUP(D292,Products!$A$2:$F$61,6,FALSE())</f>
        <v/>
      </c>
      <c r="U292" s="55">
        <f>TRIM(Customers!B292)</f>
        <v/>
      </c>
      <c r="V292" s="55">
        <f>UPPER(TRIM(Customers!D292))</f>
        <v/>
      </c>
      <c r="W292" s="55">
        <f>LEN(Customers!B292)&lt;&gt;LEN(TRIM(Customers!B292))</f>
        <v/>
      </c>
    </row>
    <row r="293" ht="15" customHeight="1" s="56">
      <c r="A293" s="55">
        <f>Orders!A293</f>
        <v/>
      </c>
      <c r="B293" s="103">
        <f>Orders!B293</f>
        <v/>
      </c>
      <c r="C293" s="55">
        <f>Orders!C293</f>
        <v/>
      </c>
      <c r="D293" s="55">
        <f>Orders!D293</f>
        <v/>
      </c>
      <c r="E293" s="55">
        <f>Orders!E293</f>
        <v/>
      </c>
      <c r="F293" s="55">
        <f>Orders!F293</f>
        <v/>
      </c>
      <c r="G293" s="55">
        <f>Orders!G293</f>
        <v/>
      </c>
      <c r="H293" s="55">
        <f>Orders!H293</f>
        <v/>
      </c>
      <c r="I293" s="55">
        <f>Orders!I293</f>
        <v/>
      </c>
      <c r="J293" s="55">
        <f>Orders!J293</f>
        <v/>
      </c>
      <c r="K293" s="55">
        <f>Orders!K293</f>
        <v/>
      </c>
      <c r="L293" s="55">
        <f>VLOOKUP(D293,Products!$A$2:$F$61,3,FALSE())</f>
        <v/>
      </c>
      <c r="M293" s="55">
        <f>VLOOKUP(C293,Customers!$A$2:$F$301,5,FALSE())</f>
        <v/>
      </c>
      <c r="N293" s="55">
        <f>VLOOKUP(E293,Sales_Reps!$A$2:$E$31,3,FALSE())</f>
        <v/>
      </c>
      <c r="O293" s="55">
        <f>VLOOKUP(D293,Products!$A$2:$F$61,4,FALSE())</f>
        <v/>
      </c>
      <c r="P293" s="55">
        <f>VLOOKUP(C293,Customers!$A$2:$F$301,3,FALSE())</f>
        <v/>
      </c>
      <c r="Q293" s="55">
        <f>UPPER(TRIM(K293))</f>
        <v/>
      </c>
      <c r="R293" s="55">
        <f>(G293-O293)/G293</f>
        <v/>
      </c>
      <c r="S293" s="55">
        <f>VLOOKUP(D293,Products!$A$2:$F$61,6,FALSE())</f>
        <v/>
      </c>
      <c r="U293" s="55">
        <f>TRIM(Customers!B293)</f>
        <v/>
      </c>
      <c r="V293" s="55">
        <f>UPPER(TRIM(Customers!D293))</f>
        <v/>
      </c>
      <c r="W293" s="55">
        <f>LEN(Customers!B293)&lt;&gt;LEN(TRIM(Customers!B293))</f>
        <v/>
      </c>
    </row>
    <row r="294" ht="15" customHeight="1" s="56">
      <c r="A294" s="55">
        <f>Orders!A294</f>
        <v/>
      </c>
      <c r="B294" s="103">
        <f>Orders!B294</f>
        <v/>
      </c>
      <c r="C294" s="55">
        <f>Orders!C294</f>
        <v/>
      </c>
      <c r="D294" s="55">
        <f>Orders!D294</f>
        <v/>
      </c>
      <c r="E294" s="55">
        <f>Orders!E294</f>
        <v/>
      </c>
      <c r="F294" s="55">
        <f>Orders!F294</f>
        <v/>
      </c>
      <c r="G294" s="55">
        <f>Orders!G294</f>
        <v/>
      </c>
      <c r="H294" s="55">
        <f>Orders!H294</f>
        <v/>
      </c>
      <c r="I294" s="55">
        <f>Orders!I294</f>
        <v/>
      </c>
      <c r="J294" s="55">
        <f>Orders!J294</f>
        <v/>
      </c>
      <c r="K294" s="55">
        <f>Orders!K294</f>
        <v/>
      </c>
      <c r="L294" s="55">
        <f>VLOOKUP(D294,Products!$A$2:$F$61,3,FALSE())</f>
        <v/>
      </c>
      <c r="M294" s="55">
        <f>VLOOKUP(C294,Customers!$A$2:$F$301,5,FALSE())</f>
        <v/>
      </c>
      <c r="N294" s="55">
        <f>VLOOKUP(E294,Sales_Reps!$A$2:$E$31,3,FALSE())</f>
        <v/>
      </c>
      <c r="O294" s="55">
        <f>VLOOKUP(D294,Products!$A$2:$F$61,4,FALSE())</f>
        <v/>
      </c>
      <c r="P294" s="55">
        <f>VLOOKUP(C294,Customers!$A$2:$F$301,3,FALSE())</f>
        <v/>
      </c>
      <c r="Q294" s="55">
        <f>UPPER(TRIM(K294))</f>
        <v/>
      </c>
      <c r="R294" s="55">
        <f>(G294-O294)/G294</f>
        <v/>
      </c>
      <c r="S294" s="55">
        <f>VLOOKUP(D294,Products!$A$2:$F$61,6,FALSE())</f>
        <v/>
      </c>
      <c r="U294" s="55">
        <f>TRIM(Customers!B294)</f>
        <v/>
      </c>
      <c r="V294" s="55">
        <f>UPPER(TRIM(Customers!D294))</f>
        <v/>
      </c>
      <c r="W294" s="55">
        <f>LEN(Customers!B294)&lt;&gt;LEN(TRIM(Customers!B294))</f>
        <v/>
      </c>
    </row>
    <row r="295" ht="15" customHeight="1" s="56">
      <c r="A295" s="55">
        <f>Orders!A295</f>
        <v/>
      </c>
      <c r="B295" s="103">
        <f>Orders!B295</f>
        <v/>
      </c>
      <c r="C295" s="55">
        <f>Orders!C295</f>
        <v/>
      </c>
      <c r="D295" s="55">
        <f>Orders!D295</f>
        <v/>
      </c>
      <c r="E295" s="55">
        <f>Orders!E295</f>
        <v/>
      </c>
      <c r="F295" s="55">
        <f>Orders!F295</f>
        <v/>
      </c>
      <c r="G295" s="55">
        <f>Orders!G295</f>
        <v/>
      </c>
      <c r="H295" s="55">
        <f>Orders!H295</f>
        <v/>
      </c>
      <c r="I295" s="55">
        <f>Orders!I295</f>
        <v/>
      </c>
      <c r="J295" s="55">
        <f>Orders!J295</f>
        <v/>
      </c>
      <c r="K295" s="55">
        <f>Orders!K295</f>
        <v/>
      </c>
      <c r="L295" s="55">
        <f>VLOOKUP(D295,Products!$A$2:$F$61,3,FALSE())</f>
        <v/>
      </c>
      <c r="M295" s="55">
        <f>VLOOKUP(C295,Customers!$A$2:$F$301,5,FALSE())</f>
        <v/>
      </c>
      <c r="N295" s="55">
        <f>VLOOKUP(E295,Sales_Reps!$A$2:$E$31,3,FALSE())</f>
        <v/>
      </c>
      <c r="O295" s="55">
        <f>VLOOKUP(D295,Products!$A$2:$F$61,4,FALSE())</f>
        <v/>
      </c>
      <c r="P295" s="55">
        <f>VLOOKUP(C295,Customers!$A$2:$F$301,3,FALSE())</f>
        <v/>
      </c>
      <c r="Q295" s="55">
        <f>UPPER(TRIM(K295))</f>
        <v/>
      </c>
      <c r="R295" s="55">
        <f>(G295-O295)/G295</f>
        <v/>
      </c>
      <c r="S295" s="55">
        <f>VLOOKUP(D295,Products!$A$2:$F$61,6,FALSE())</f>
        <v/>
      </c>
      <c r="U295" s="55">
        <f>TRIM(Customers!B295)</f>
        <v/>
      </c>
      <c r="V295" s="55">
        <f>UPPER(TRIM(Customers!D295))</f>
        <v/>
      </c>
      <c r="W295" s="55">
        <f>LEN(Customers!B295)&lt;&gt;LEN(TRIM(Customers!B295))</f>
        <v/>
      </c>
    </row>
    <row r="296" ht="15" customHeight="1" s="56">
      <c r="A296" s="55">
        <f>Orders!A296</f>
        <v/>
      </c>
      <c r="B296" s="103">
        <f>Orders!B296</f>
        <v/>
      </c>
      <c r="C296" s="55">
        <f>Orders!C296</f>
        <v/>
      </c>
      <c r="D296" s="55">
        <f>Orders!D296</f>
        <v/>
      </c>
      <c r="E296" s="55">
        <f>Orders!E296</f>
        <v/>
      </c>
      <c r="F296" s="55">
        <f>Orders!F296</f>
        <v/>
      </c>
      <c r="G296" s="55">
        <f>Orders!G296</f>
        <v/>
      </c>
      <c r="H296" s="55">
        <f>Orders!H296</f>
        <v/>
      </c>
      <c r="I296" s="55">
        <f>Orders!I296</f>
        <v/>
      </c>
      <c r="J296" s="55">
        <f>Orders!J296</f>
        <v/>
      </c>
      <c r="K296" s="55">
        <f>Orders!K296</f>
        <v/>
      </c>
      <c r="L296" s="55">
        <f>VLOOKUP(D296,Products!$A$2:$F$61,3,FALSE())</f>
        <v/>
      </c>
      <c r="M296" s="55">
        <f>VLOOKUP(C296,Customers!$A$2:$F$301,5,FALSE())</f>
        <v/>
      </c>
      <c r="N296" s="55">
        <f>VLOOKUP(E296,Sales_Reps!$A$2:$E$31,3,FALSE())</f>
        <v/>
      </c>
      <c r="O296" s="55">
        <f>VLOOKUP(D296,Products!$A$2:$F$61,4,FALSE())</f>
        <v/>
      </c>
      <c r="P296" s="55">
        <f>VLOOKUP(C296,Customers!$A$2:$F$301,3,FALSE())</f>
        <v/>
      </c>
      <c r="Q296" s="55">
        <f>UPPER(TRIM(K296))</f>
        <v/>
      </c>
      <c r="R296" s="55">
        <f>(G296-O296)/G296</f>
        <v/>
      </c>
      <c r="S296" s="55">
        <f>VLOOKUP(D296,Products!$A$2:$F$61,6,FALSE())</f>
        <v/>
      </c>
      <c r="U296" s="55">
        <f>TRIM(Customers!B296)</f>
        <v/>
      </c>
      <c r="V296" s="55">
        <f>UPPER(TRIM(Customers!D296))</f>
        <v/>
      </c>
      <c r="W296" s="55">
        <f>LEN(Customers!B296)&lt;&gt;LEN(TRIM(Customers!B296))</f>
        <v/>
      </c>
    </row>
    <row r="297" ht="15" customHeight="1" s="56">
      <c r="A297" s="55">
        <f>Orders!A297</f>
        <v/>
      </c>
      <c r="B297" s="103">
        <f>Orders!B297</f>
        <v/>
      </c>
      <c r="C297" s="55">
        <f>Orders!C297</f>
        <v/>
      </c>
      <c r="D297" s="55">
        <f>Orders!D297</f>
        <v/>
      </c>
      <c r="E297" s="55">
        <f>Orders!E297</f>
        <v/>
      </c>
      <c r="F297" s="55">
        <f>Orders!F297</f>
        <v/>
      </c>
      <c r="G297" s="55">
        <f>Orders!G297</f>
        <v/>
      </c>
      <c r="H297" s="55">
        <f>Orders!H297</f>
        <v/>
      </c>
      <c r="I297" s="55">
        <f>Orders!I297</f>
        <v/>
      </c>
      <c r="J297" s="55">
        <f>Orders!J297</f>
        <v/>
      </c>
      <c r="K297" s="55">
        <f>Orders!K297</f>
        <v/>
      </c>
      <c r="L297" s="55">
        <f>VLOOKUP(D297,Products!$A$2:$F$61,3,FALSE())</f>
        <v/>
      </c>
      <c r="M297" s="55">
        <f>VLOOKUP(C297,Customers!$A$2:$F$301,5,FALSE())</f>
        <v/>
      </c>
      <c r="N297" s="55">
        <f>VLOOKUP(E297,Sales_Reps!$A$2:$E$31,3,FALSE())</f>
        <v/>
      </c>
      <c r="O297" s="55">
        <f>VLOOKUP(D297,Products!$A$2:$F$61,4,FALSE())</f>
        <v/>
      </c>
      <c r="P297" s="55">
        <f>VLOOKUP(C297,Customers!$A$2:$F$301,3,FALSE())</f>
        <v/>
      </c>
      <c r="Q297" s="55">
        <f>UPPER(TRIM(K297))</f>
        <v/>
      </c>
      <c r="R297" s="55">
        <f>(G297-O297)/G297</f>
        <v/>
      </c>
      <c r="S297" s="55">
        <f>VLOOKUP(D297,Products!$A$2:$F$61,6,FALSE())</f>
        <v/>
      </c>
      <c r="U297" s="55">
        <f>TRIM(Customers!B297)</f>
        <v/>
      </c>
      <c r="V297" s="55">
        <f>UPPER(TRIM(Customers!D297))</f>
        <v/>
      </c>
      <c r="W297" s="55">
        <f>LEN(Customers!B297)&lt;&gt;LEN(TRIM(Customers!B297))</f>
        <v/>
      </c>
    </row>
    <row r="298" ht="15" customHeight="1" s="56">
      <c r="A298" s="55">
        <f>Orders!A298</f>
        <v/>
      </c>
      <c r="B298" s="103">
        <f>Orders!B298</f>
        <v/>
      </c>
      <c r="C298" s="55">
        <f>Orders!C298</f>
        <v/>
      </c>
      <c r="D298" s="55">
        <f>Orders!D298</f>
        <v/>
      </c>
      <c r="E298" s="55">
        <f>Orders!E298</f>
        <v/>
      </c>
      <c r="F298" s="55">
        <f>Orders!F298</f>
        <v/>
      </c>
      <c r="G298" s="55">
        <f>Orders!G298</f>
        <v/>
      </c>
      <c r="H298" s="55">
        <f>Orders!H298</f>
        <v/>
      </c>
      <c r="I298" s="55">
        <f>Orders!I298</f>
        <v/>
      </c>
      <c r="J298" s="55">
        <f>Orders!J298</f>
        <v/>
      </c>
      <c r="K298" s="55">
        <f>Orders!K298</f>
        <v/>
      </c>
      <c r="L298" s="55">
        <f>VLOOKUP(D298,Products!$A$2:$F$61,3,FALSE())</f>
        <v/>
      </c>
      <c r="M298" s="55">
        <f>VLOOKUP(C298,Customers!$A$2:$F$301,5,FALSE())</f>
        <v/>
      </c>
      <c r="N298" s="55">
        <f>VLOOKUP(E298,Sales_Reps!$A$2:$E$31,3,FALSE())</f>
        <v/>
      </c>
      <c r="O298" s="55">
        <f>VLOOKUP(D298,Products!$A$2:$F$61,4,FALSE())</f>
        <v/>
      </c>
      <c r="P298" s="55">
        <f>VLOOKUP(C298,Customers!$A$2:$F$301,3,FALSE())</f>
        <v/>
      </c>
      <c r="Q298" s="55">
        <f>UPPER(TRIM(K298))</f>
        <v/>
      </c>
      <c r="R298" s="55">
        <f>(G298-O298)/G298</f>
        <v/>
      </c>
      <c r="S298" s="55">
        <f>VLOOKUP(D298,Products!$A$2:$F$61,6,FALSE())</f>
        <v/>
      </c>
      <c r="U298" s="55">
        <f>TRIM(Customers!B298)</f>
        <v/>
      </c>
      <c r="V298" s="55">
        <f>UPPER(TRIM(Customers!D298))</f>
        <v/>
      </c>
      <c r="W298" s="55">
        <f>LEN(Customers!B298)&lt;&gt;LEN(TRIM(Customers!B298))</f>
        <v/>
      </c>
    </row>
    <row r="299" ht="15" customHeight="1" s="56">
      <c r="A299" s="55">
        <f>Orders!A299</f>
        <v/>
      </c>
      <c r="B299" s="103">
        <f>Orders!B299</f>
        <v/>
      </c>
      <c r="C299" s="55">
        <f>Orders!C299</f>
        <v/>
      </c>
      <c r="D299" s="55">
        <f>Orders!D299</f>
        <v/>
      </c>
      <c r="E299" s="55">
        <f>Orders!E299</f>
        <v/>
      </c>
      <c r="F299" s="55">
        <f>Orders!F299</f>
        <v/>
      </c>
      <c r="G299" s="55">
        <f>Orders!G299</f>
        <v/>
      </c>
      <c r="H299" s="55">
        <f>Orders!H299</f>
        <v/>
      </c>
      <c r="I299" s="55">
        <f>Orders!I299</f>
        <v/>
      </c>
      <c r="J299" s="55">
        <f>Orders!J299</f>
        <v/>
      </c>
      <c r="K299" s="55">
        <f>Orders!K299</f>
        <v/>
      </c>
      <c r="L299" s="55">
        <f>VLOOKUP(D299,Products!$A$2:$F$61,3,FALSE())</f>
        <v/>
      </c>
      <c r="M299" s="55">
        <f>VLOOKUP(C299,Customers!$A$2:$F$301,5,FALSE())</f>
        <v/>
      </c>
      <c r="N299" s="55">
        <f>VLOOKUP(E299,Sales_Reps!$A$2:$E$31,3,FALSE())</f>
        <v/>
      </c>
      <c r="O299" s="55">
        <f>VLOOKUP(D299,Products!$A$2:$F$61,4,FALSE())</f>
        <v/>
      </c>
      <c r="P299" s="55">
        <f>VLOOKUP(C299,Customers!$A$2:$F$301,3,FALSE())</f>
        <v/>
      </c>
      <c r="Q299" s="55">
        <f>UPPER(TRIM(K299))</f>
        <v/>
      </c>
      <c r="R299" s="55">
        <f>(G299-O299)/G299</f>
        <v/>
      </c>
      <c r="S299" s="55">
        <f>VLOOKUP(D299,Products!$A$2:$F$61,6,FALSE())</f>
        <v/>
      </c>
      <c r="U299" s="55">
        <f>TRIM(Customers!B299)</f>
        <v/>
      </c>
      <c r="V299" s="55">
        <f>UPPER(TRIM(Customers!D299))</f>
        <v/>
      </c>
      <c r="W299" s="55">
        <f>LEN(Customers!B299)&lt;&gt;LEN(TRIM(Customers!B299))</f>
        <v/>
      </c>
    </row>
    <row r="300" ht="15" customHeight="1" s="56">
      <c r="A300" s="55">
        <f>Orders!A300</f>
        <v/>
      </c>
      <c r="B300" s="103">
        <f>Orders!B300</f>
        <v/>
      </c>
      <c r="C300" s="55">
        <f>Orders!C300</f>
        <v/>
      </c>
      <c r="D300" s="55">
        <f>Orders!D300</f>
        <v/>
      </c>
      <c r="E300" s="55">
        <f>Orders!E300</f>
        <v/>
      </c>
      <c r="F300" s="55">
        <f>Orders!F300</f>
        <v/>
      </c>
      <c r="G300" s="55">
        <f>Orders!G300</f>
        <v/>
      </c>
      <c r="H300" s="55">
        <f>Orders!H300</f>
        <v/>
      </c>
      <c r="I300" s="55">
        <f>Orders!I300</f>
        <v/>
      </c>
      <c r="J300" s="55">
        <f>Orders!J300</f>
        <v/>
      </c>
      <c r="K300" s="55">
        <f>Orders!K300</f>
        <v/>
      </c>
      <c r="L300" s="55">
        <f>VLOOKUP(D300,Products!$A$2:$F$61,3,FALSE())</f>
        <v/>
      </c>
      <c r="M300" s="55">
        <f>VLOOKUP(C300,Customers!$A$2:$F$301,5,FALSE())</f>
        <v/>
      </c>
      <c r="N300" s="55">
        <f>VLOOKUP(E300,Sales_Reps!$A$2:$E$31,3,FALSE())</f>
        <v/>
      </c>
      <c r="O300" s="55">
        <f>VLOOKUP(D300,Products!$A$2:$F$61,4,FALSE())</f>
        <v/>
      </c>
      <c r="P300" s="55">
        <f>VLOOKUP(C300,Customers!$A$2:$F$301,3,FALSE())</f>
        <v/>
      </c>
      <c r="Q300" s="55">
        <f>UPPER(TRIM(K300))</f>
        <v/>
      </c>
      <c r="R300" s="55">
        <f>(G300-O300)/G300</f>
        <v/>
      </c>
      <c r="S300" s="55">
        <f>VLOOKUP(D300,Products!$A$2:$F$61,6,FALSE())</f>
        <v/>
      </c>
      <c r="U300" s="55">
        <f>TRIM(Customers!B300)</f>
        <v/>
      </c>
      <c r="V300" s="55">
        <f>UPPER(TRIM(Customers!D300))</f>
        <v/>
      </c>
      <c r="W300" s="55">
        <f>LEN(Customers!B300)&lt;&gt;LEN(TRIM(Customers!B300))</f>
        <v/>
      </c>
    </row>
    <row r="301" ht="15" customHeight="1" s="56">
      <c r="A301" s="55">
        <f>Orders!A301</f>
        <v/>
      </c>
      <c r="B301" s="103">
        <f>Orders!B301</f>
        <v/>
      </c>
      <c r="C301" s="55">
        <f>Orders!C301</f>
        <v/>
      </c>
      <c r="D301" s="55">
        <f>Orders!D301</f>
        <v/>
      </c>
      <c r="E301" s="55">
        <f>Orders!E301</f>
        <v/>
      </c>
      <c r="F301" s="55">
        <f>Orders!F301</f>
        <v/>
      </c>
      <c r="G301" s="55">
        <f>Orders!G301</f>
        <v/>
      </c>
      <c r="H301" s="55">
        <f>Orders!H301</f>
        <v/>
      </c>
      <c r="I301" s="55">
        <f>Orders!I301</f>
        <v/>
      </c>
      <c r="J301" s="55">
        <f>Orders!J301</f>
        <v/>
      </c>
      <c r="K301" s="55">
        <f>Orders!K301</f>
        <v/>
      </c>
      <c r="L301" s="55">
        <f>VLOOKUP(D301,Products!$A$2:$F$61,3,FALSE())</f>
        <v/>
      </c>
      <c r="M301" s="55">
        <f>VLOOKUP(C301,Customers!$A$2:$F$301,5,FALSE())</f>
        <v/>
      </c>
      <c r="N301" s="55">
        <f>VLOOKUP(E301,Sales_Reps!$A$2:$E$31,3,FALSE())</f>
        <v/>
      </c>
      <c r="O301" s="55">
        <f>VLOOKUP(D301,Products!$A$2:$F$61,4,FALSE())</f>
        <v/>
      </c>
      <c r="P301" s="55">
        <f>VLOOKUP(C301,Customers!$A$2:$F$301,3,FALSE())</f>
        <v/>
      </c>
      <c r="Q301" s="55">
        <f>UPPER(TRIM(K301))</f>
        <v/>
      </c>
      <c r="R301" s="55">
        <f>(G301-O301)/G301</f>
        <v/>
      </c>
      <c r="S301" s="55">
        <f>VLOOKUP(D301,Products!$A$2:$F$61,6,FALSE())</f>
        <v/>
      </c>
      <c r="U301" s="55">
        <f>TRIM(Customers!B301)</f>
        <v/>
      </c>
      <c r="V301" s="55">
        <f>UPPER(TRIM(Customers!D301))</f>
        <v/>
      </c>
      <c r="W301" s="55">
        <f>LEN(Customers!B301)&lt;&gt;LEN(TRIM(Customers!B301))</f>
        <v/>
      </c>
    </row>
    <row r="302" ht="15" customHeight="1" s="56">
      <c r="A302" s="55">
        <f>Orders!A302</f>
        <v/>
      </c>
      <c r="B302" s="103">
        <f>Orders!B302</f>
        <v/>
      </c>
      <c r="C302" s="55">
        <f>Orders!C302</f>
        <v/>
      </c>
      <c r="D302" s="55">
        <f>Orders!D302</f>
        <v/>
      </c>
      <c r="E302" s="55">
        <f>Orders!E302</f>
        <v/>
      </c>
      <c r="F302" s="55">
        <f>Orders!F302</f>
        <v/>
      </c>
      <c r="G302" s="55">
        <f>Orders!G302</f>
        <v/>
      </c>
      <c r="H302" s="55">
        <f>Orders!H302</f>
        <v/>
      </c>
      <c r="I302" s="55">
        <f>Orders!I302</f>
        <v/>
      </c>
      <c r="J302" s="55">
        <f>Orders!J302</f>
        <v/>
      </c>
      <c r="K302" s="55">
        <f>Orders!K302</f>
        <v/>
      </c>
      <c r="L302" s="55">
        <f>VLOOKUP(D302,Products!$A$2:$F$61,3,FALSE())</f>
        <v/>
      </c>
      <c r="M302" s="55">
        <f>VLOOKUP(C302,Customers!$A$2:$F$301,5,FALSE())</f>
        <v/>
      </c>
      <c r="N302" s="55">
        <f>VLOOKUP(E302,Sales_Reps!$A$2:$E$31,3,FALSE())</f>
        <v/>
      </c>
      <c r="O302" s="55">
        <f>VLOOKUP(D302,Products!$A$2:$F$61,4,FALSE())</f>
        <v/>
      </c>
      <c r="P302" s="55">
        <f>VLOOKUP(C302,Customers!$A$2:$F$301,3,FALSE())</f>
        <v/>
      </c>
      <c r="Q302" s="55">
        <f>UPPER(TRIM(K302))</f>
        <v/>
      </c>
      <c r="R302" s="55">
        <f>(G302-O302)/G302</f>
        <v/>
      </c>
      <c r="S302" s="55">
        <f>VLOOKUP(D302,Products!$A$2:$F$61,6,FALSE())</f>
        <v/>
      </c>
    </row>
    <row r="303" ht="15" customHeight="1" s="56">
      <c r="A303" s="55">
        <f>Orders!A303</f>
        <v/>
      </c>
      <c r="B303" s="103">
        <f>Orders!B303</f>
        <v/>
      </c>
      <c r="C303" s="55">
        <f>Orders!C303</f>
        <v/>
      </c>
      <c r="D303" s="55">
        <f>Orders!D303</f>
        <v/>
      </c>
      <c r="E303" s="55">
        <f>Orders!E303</f>
        <v/>
      </c>
      <c r="F303" s="55">
        <f>Orders!F303</f>
        <v/>
      </c>
      <c r="G303" s="55">
        <f>Orders!G303</f>
        <v/>
      </c>
      <c r="H303" s="55">
        <f>Orders!H303</f>
        <v/>
      </c>
      <c r="I303" s="55">
        <f>Orders!I303</f>
        <v/>
      </c>
      <c r="J303" s="55">
        <f>Orders!J303</f>
        <v/>
      </c>
      <c r="K303" s="55">
        <f>Orders!K303</f>
        <v/>
      </c>
      <c r="L303" s="55">
        <f>VLOOKUP(D303,Products!$A$2:$F$61,3,FALSE())</f>
        <v/>
      </c>
      <c r="M303" s="55">
        <f>VLOOKUP(C303,Customers!$A$2:$F$301,5,FALSE())</f>
        <v/>
      </c>
      <c r="N303" s="55">
        <f>VLOOKUP(E303,Sales_Reps!$A$2:$E$31,3,FALSE())</f>
        <v/>
      </c>
      <c r="O303" s="55">
        <f>VLOOKUP(D303,Products!$A$2:$F$61,4,FALSE())</f>
        <v/>
      </c>
      <c r="P303" s="55">
        <f>VLOOKUP(C303,Customers!$A$2:$F$301,3,FALSE())</f>
        <v/>
      </c>
      <c r="Q303" s="55">
        <f>UPPER(TRIM(K303))</f>
        <v/>
      </c>
      <c r="R303" s="55">
        <f>(G303-O303)/G303</f>
        <v/>
      </c>
      <c r="S303" s="55">
        <f>VLOOKUP(D303,Products!$A$2:$F$61,6,FALSE())</f>
        <v/>
      </c>
    </row>
    <row r="304" ht="15" customHeight="1" s="56">
      <c r="A304" s="55">
        <f>Orders!A304</f>
        <v/>
      </c>
      <c r="B304" s="103">
        <f>Orders!B304</f>
        <v/>
      </c>
      <c r="C304" s="55">
        <f>Orders!C304</f>
        <v/>
      </c>
      <c r="D304" s="55">
        <f>Orders!D304</f>
        <v/>
      </c>
      <c r="E304" s="55">
        <f>Orders!E304</f>
        <v/>
      </c>
      <c r="F304" s="55">
        <f>Orders!F304</f>
        <v/>
      </c>
      <c r="G304" s="55">
        <f>Orders!G304</f>
        <v/>
      </c>
      <c r="H304" s="55">
        <f>Orders!H304</f>
        <v/>
      </c>
      <c r="I304" s="55">
        <f>Orders!I304</f>
        <v/>
      </c>
      <c r="J304" s="55">
        <f>Orders!J304</f>
        <v/>
      </c>
      <c r="K304" s="55">
        <f>Orders!K304</f>
        <v/>
      </c>
      <c r="L304" s="55">
        <f>VLOOKUP(D304,Products!$A$2:$F$61,3,FALSE())</f>
        <v/>
      </c>
      <c r="M304" s="55">
        <f>VLOOKUP(C304,Customers!$A$2:$F$301,5,FALSE())</f>
        <v/>
      </c>
      <c r="N304" s="55">
        <f>VLOOKUP(E304,Sales_Reps!$A$2:$E$31,3,FALSE())</f>
        <v/>
      </c>
      <c r="O304" s="55">
        <f>VLOOKUP(D304,Products!$A$2:$F$61,4,FALSE())</f>
        <v/>
      </c>
      <c r="P304" s="55">
        <f>VLOOKUP(C304,Customers!$A$2:$F$301,3,FALSE())</f>
        <v/>
      </c>
      <c r="Q304" s="55">
        <f>UPPER(TRIM(K304))</f>
        <v/>
      </c>
      <c r="R304" s="55">
        <f>(G304-O304)/G304</f>
        <v/>
      </c>
      <c r="S304" s="55">
        <f>VLOOKUP(D304,Products!$A$2:$F$61,6,FALSE())</f>
        <v/>
      </c>
    </row>
    <row r="305" ht="15" customHeight="1" s="56">
      <c r="A305" s="55">
        <f>Orders!A305</f>
        <v/>
      </c>
      <c r="B305" s="103">
        <f>Orders!B305</f>
        <v/>
      </c>
      <c r="C305" s="55">
        <f>Orders!C305</f>
        <v/>
      </c>
      <c r="D305" s="55">
        <f>Orders!D305</f>
        <v/>
      </c>
      <c r="E305" s="55">
        <f>Orders!E305</f>
        <v/>
      </c>
      <c r="F305" s="55">
        <f>Orders!F305</f>
        <v/>
      </c>
      <c r="G305" s="55">
        <f>Orders!G305</f>
        <v/>
      </c>
      <c r="H305" s="55">
        <f>Orders!H305</f>
        <v/>
      </c>
      <c r="I305" s="55">
        <f>Orders!I305</f>
        <v/>
      </c>
      <c r="J305" s="55">
        <f>Orders!J305</f>
        <v/>
      </c>
      <c r="K305" s="55">
        <f>Orders!K305</f>
        <v/>
      </c>
      <c r="L305" s="55">
        <f>VLOOKUP(D305,Products!$A$2:$F$61,3,FALSE())</f>
        <v/>
      </c>
      <c r="M305" s="55">
        <f>VLOOKUP(C305,Customers!$A$2:$F$301,5,FALSE())</f>
        <v/>
      </c>
      <c r="N305" s="55">
        <f>VLOOKUP(E305,Sales_Reps!$A$2:$E$31,3,FALSE())</f>
        <v/>
      </c>
      <c r="O305" s="55">
        <f>VLOOKUP(D305,Products!$A$2:$F$61,4,FALSE())</f>
        <v/>
      </c>
      <c r="P305" s="55">
        <f>VLOOKUP(C305,Customers!$A$2:$F$301,3,FALSE())</f>
        <v/>
      </c>
      <c r="Q305" s="55">
        <f>UPPER(TRIM(K305))</f>
        <v/>
      </c>
      <c r="R305" s="55">
        <f>(G305-O305)/G305</f>
        <v/>
      </c>
      <c r="S305" s="55">
        <f>VLOOKUP(D305,Products!$A$2:$F$61,6,FALSE())</f>
        <v/>
      </c>
    </row>
    <row r="306" ht="15" customHeight="1" s="56">
      <c r="A306" s="55">
        <f>Orders!A306</f>
        <v/>
      </c>
      <c r="B306" s="103">
        <f>Orders!B306</f>
        <v/>
      </c>
      <c r="C306" s="55">
        <f>Orders!C306</f>
        <v/>
      </c>
      <c r="D306" s="55">
        <f>Orders!D306</f>
        <v/>
      </c>
      <c r="E306" s="55">
        <f>Orders!E306</f>
        <v/>
      </c>
      <c r="F306" s="55">
        <f>Orders!F306</f>
        <v/>
      </c>
      <c r="G306" s="55">
        <f>Orders!G306</f>
        <v/>
      </c>
      <c r="H306" s="55">
        <f>Orders!H306</f>
        <v/>
      </c>
      <c r="I306" s="55">
        <f>Orders!I306</f>
        <v/>
      </c>
      <c r="J306" s="55">
        <f>Orders!J306</f>
        <v/>
      </c>
      <c r="K306" s="55">
        <f>Orders!K306</f>
        <v/>
      </c>
      <c r="L306" s="55">
        <f>VLOOKUP(D306,Products!$A$2:$F$61,3,FALSE())</f>
        <v/>
      </c>
      <c r="M306" s="55">
        <f>VLOOKUP(C306,Customers!$A$2:$F$301,5,FALSE())</f>
        <v/>
      </c>
      <c r="N306" s="55">
        <f>VLOOKUP(E306,Sales_Reps!$A$2:$E$31,3,FALSE())</f>
        <v/>
      </c>
      <c r="O306" s="55">
        <f>VLOOKUP(D306,Products!$A$2:$F$61,4,FALSE())</f>
        <v/>
      </c>
      <c r="P306" s="55">
        <f>VLOOKUP(C306,Customers!$A$2:$F$301,3,FALSE())</f>
        <v/>
      </c>
      <c r="Q306" s="55">
        <f>UPPER(TRIM(K306))</f>
        <v/>
      </c>
      <c r="R306" s="55">
        <f>(G306-O306)/G306</f>
        <v/>
      </c>
      <c r="S306" s="55">
        <f>VLOOKUP(D306,Products!$A$2:$F$61,6,FALSE())</f>
        <v/>
      </c>
    </row>
    <row r="307" ht="15" customHeight="1" s="56">
      <c r="A307" s="55">
        <f>Orders!A307</f>
        <v/>
      </c>
      <c r="B307" s="103">
        <f>Orders!B307</f>
        <v/>
      </c>
      <c r="C307" s="55">
        <f>Orders!C307</f>
        <v/>
      </c>
      <c r="D307" s="55">
        <f>Orders!D307</f>
        <v/>
      </c>
      <c r="E307" s="55">
        <f>Orders!E307</f>
        <v/>
      </c>
      <c r="F307" s="55">
        <f>Orders!F307</f>
        <v/>
      </c>
      <c r="G307" s="55">
        <f>Orders!G307</f>
        <v/>
      </c>
      <c r="H307" s="55">
        <f>Orders!H307</f>
        <v/>
      </c>
      <c r="I307" s="55">
        <f>Orders!I307</f>
        <v/>
      </c>
      <c r="J307" s="55">
        <f>Orders!J307</f>
        <v/>
      </c>
      <c r="K307" s="55">
        <f>Orders!K307</f>
        <v/>
      </c>
      <c r="L307" s="55">
        <f>VLOOKUP(D307,Products!$A$2:$F$61,3,FALSE())</f>
        <v/>
      </c>
      <c r="M307" s="55">
        <f>VLOOKUP(C307,Customers!$A$2:$F$301,5,FALSE())</f>
        <v/>
      </c>
      <c r="N307" s="55">
        <f>VLOOKUP(E307,Sales_Reps!$A$2:$E$31,3,FALSE())</f>
        <v/>
      </c>
      <c r="O307" s="55">
        <f>VLOOKUP(D307,Products!$A$2:$F$61,4,FALSE())</f>
        <v/>
      </c>
      <c r="P307" s="55">
        <f>VLOOKUP(C307,Customers!$A$2:$F$301,3,FALSE())</f>
        <v/>
      </c>
      <c r="Q307" s="55">
        <f>UPPER(TRIM(K307))</f>
        <v/>
      </c>
      <c r="R307" s="55">
        <f>(G307-O307)/G307</f>
        <v/>
      </c>
      <c r="S307" s="55">
        <f>VLOOKUP(D307,Products!$A$2:$F$61,6,FALSE())</f>
        <v/>
      </c>
    </row>
    <row r="308" ht="15" customHeight="1" s="56">
      <c r="A308" s="55">
        <f>Orders!A308</f>
        <v/>
      </c>
      <c r="B308" s="103">
        <f>Orders!B308</f>
        <v/>
      </c>
      <c r="C308" s="55">
        <f>Orders!C308</f>
        <v/>
      </c>
      <c r="D308" s="55">
        <f>Orders!D308</f>
        <v/>
      </c>
      <c r="E308" s="55">
        <f>Orders!E308</f>
        <v/>
      </c>
      <c r="F308" s="55">
        <f>Orders!F308</f>
        <v/>
      </c>
      <c r="G308" s="55">
        <f>Orders!G308</f>
        <v/>
      </c>
      <c r="H308" s="55">
        <f>Orders!H308</f>
        <v/>
      </c>
      <c r="I308" s="55">
        <f>Orders!I308</f>
        <v/>
      </c>
      <c r="J308" s="55">
        <f>Orders!J308</f>
        <v/>
      </c>
      <c r="K308" s="55">
        <f>Orders!K308</f>
        <v/>
      </c>
      <c r="L308" s="55">
        <f>VLOOKUP(D308,Products!$A$2:$F$61,3,FALSE())</f>
        <v/>
      </c>
      <c r="M308" s="55">
        <f>VLOOKUP(C308,Customers!$A$2:$F$301,5,FALSE())</f>
        <v/>
      </c>
      <c r="N308" s="55">
        <f>VLOOKUP(E308,Sales_Reps!$A$2:$E$31,3,FALSE())</f>
        <v/>
      </c>
      <c r="O308" s="55">
        <f>VLOOKUP(D308,Products!$A$2:$F$61,4,FALSE())</f>
        <v/>
      </c>
      <c r="P308" s="55">
        <f>VLOOKUP(C308,Customers!$A$2:$F$301,3,FALSE())</f>
        <v/>
      </c>
      <c r="Q308" s="55">
        <f>UPPER(TRIM(K308))</f>
        <v/>
      </c>
      <c r="R308" s="55">
        <f>(G308-O308)/G308</f>
        <v/>
      </c>
      <c r="S308" s="55">
        <f>VLOOKUP(D308,Products!$A$2:$F$61,6,FALSE())</f>
        <v/>
      </c>
    </row>
    <row r="309" ht="15" customHeight="1" s="56">
      <c r="A309" s="55">
        <f>Orders!A309</f>
        <v/>
      </c>
      <c r="B309" s="103">
        <f>Orders!B309</f>
        <v/>
      </c>
      <c r="C309" s="55">
        <f>Orders!C309</f>
        <v/>
      </c>
      <c r="D309" s="55">
        <f>Orders!D309</f>
        <v/>
      </c>
      <c r="E309" s="55">
        <f>Orders!E309</f>
        <v/>
      </c>
      <c r="F309" s="55">
        <f>Orders!F309</f>
        <v/>
      </c>
      <c r="G309" s="55">
        <f>Orders!G309</f>
        <v/>
      </c>
      <c r="H309" s="55">
        <f>Orders!H309</f>
        <v/>
      </c>
      <c r="I309" s="55">
        <f>Orders!I309</f>
        <v/>
      </c>
      <c r="J309" s="55">
        <f>Orders!J309</f>
        <v/>
      </c>
      <c r="K309" s="55">
        <f>Orders!K309</f>
        <v/>
      </c>
      <c r="L309" s="55">
        <f>VLOOKUP(D309,Products!$A$2:$F$61,3,FALSE())</f>
        <v/>
      </c>
      <c r="M309" s="55">
        <f>VLOOKUP(C309,Customers!$A$2:$F$301,5,FALSE())</f>
        <v/>
      </c>
      <c r="N309" s="55">
        <f>VLOOKUP(E309,Sales_Reps!$A$2:$E$31,3,FALSE())</f>
        <v/>
      </c>
      <c r="O309" s="55">
        <f>VLOOKUP(D309,Products!$A$2:$F$61,4,FALSE())</f>
        <v/>
      </c>
      <c r="P309" s="55">
        <f>VLOOKUP(C309,Customers!$A$2:$F$301,3,FALSE())</f>
        <v/>
      </c>
      <c r="Q309" s="55">
        <f>UPPER(TRIM(K309))</f>
        <v/>
      </c>
      <c r="R309" s="55">
        <f>(G309-O309)/G309</f>
        <v/>
      </c>
      <c r="S309" s="55">
        <f>VLOOKUP(D309,Products!$A$2:$F$61,6,FALSE())</f>
        <v/>
      </c>
    </row>
    <row r="310" ht="15" customHeight="1" s="56">
      <c r="A310" s="55">
        <f>Orders!A310</f>
        <v/>
      </c>
      <c r="B310" s="103">
        <f>Orders!B310</f>
        <v/>
      </c>
      <c r="C310" s="55">
        <f>Orders!C310</f>
        <v/>
      </c>
      <c r="D310" s="55">
        <f>Orders!D310</f>
        <v/>
      </c>
      <c r="E310" s="55">
        <f>Orders!E310</f>
        <v/>
      </c>
      <c r="F310" s="55">
        <f>Orders!F310</f>
        <v/>
      </c>
      <c r="G310" s="55">
        <f>Orders!G310</f>
        <v/>
      </c>
      <c r="H310" s="55">
        <f>Orders!H310</f>
        <v/>
      </c>
      <c r="I310" s="55">
        <f>Orders!I310</f>
        <v/>
      </c>
      <c r="J310" s="55">
        <f>Orders!J310</f>
        <v/>
      </c>
      <c r="K310" s="55">
        <f>Orders!K310</f>
        <v/>
      </c>
      <c r="L310" s="55">
        <f>VLOOKUP(D310,Products!$A$2:$F$61,3,FALSE())</f>
        <v/>
      </c>
      <c r="M310" s="55">
        <f>VLOOKUP(C310,Customers!$A$2:$F$301,5,FALSE())</f>
        <v/>
      </c>
      <c r="N310" s="55">
        <f>VLOOKUP(E310,Sales_Reps!$A$2:$E$31,3,FALSE())</f>
        <v/>
      </c>
      <c r="O310" s="55">
        <f>VLOOKUP(D310,Products!$A$2:$F$61,4,FALSE())</f>
        <v/>
      </c>
      <c r="P310" s="55">
        <f>VLOOKUP(C310,Customers!$A$2:$F$301,3,FALSE())</f>
        <v/>
      </c>
      <c r="Q310" s="55">
        <f>UPPER(TRIM(K310))</f>
        <v/>
      </c>
      <c r="R310" s="55">
        <f>(G310-O310)/G310</f>
        <v/>
      </c>
      <c r="S310" s="55">
        <f>VLOOKUP(D310,Products!$A$2:$F$61,6,FALSE())</f>
        <v/>
      </c>
    </row>
    <row r="311" ht="15" customHeight="1" s="56">
      <c r="A311" s="55">
        <f>Orders!A311</f>
        <v/>
      </c>
      <c r="B311" s="103">
        <f>Orders!B311</f>
        <v/>
      </c>
      <c r="C311" s="55">
        <f>Orders!C311</f>
        <v/>
      </c>
      <c r="D311" s="55">
        <f>Orders!D311</f>
        <v/>
      </c>
      <c r="E311" s="55">
        <f>Orders!E311</f>
        <v/>
      </c>
      <c r="F311" s="55">
        <f>Orders!F311</f>
        <v/>
      </c>
      <c r="G311" s="55">
        <f>Orders!G311</f>
        <v/>
      </c>
      <c r="H311" s="55">
        <f>Orders!H311</f>
        <v/>
      </c>
      <c r="I311" s="55">
        <f>Orders!I311</f>
        <v/>
      </c>
      <c r="J311" s="55">
        <f>Orders!J311</f>
        <v/>
      </c>
      <c r="K311" s="55">
        <f>Orders!K311</f>
        <v/>
      </c>
      <c r="L311" s="55">
        <f>VLOOKUP(D311,Products!$A$2:$F$61,3,FALSE())</f>
        <v/>
      </c>
      <c r="M311" s="55">
        <f>VLOOKUP(C311,Customers!$A$2:$F$301,5,FALSE())</f>
        <v/>
      </c>
      <c r="N311" s="55">
        <f>VLOOKUP(E311,Sales_Reps!$A$2:$E$31,3,FALSE())</f>
        <v/>
      </c>
      <c r="O311" s="55">
        <f>VLOOKUP(D311,Products!$A$2:$F$61,4,FALSE())</f>
        <v/>
      </c>
      <c r="P311" s="55">
        <f>VLOOKUP(C311,Customers!$A$2:$F$301,3,FALSE())</f>
        <v/>
      </c>
      <c r="Q311" s="55">
        <f>UPPER(TRIM(K311))</f>
        <v/>
      </c>
      <c r="R311" s="55">
        <f>(G311-O311)/G311</f>
        <v/>
      </c>
      <c r="S311" s="55">
        <f>VLOOKUP(D311,Products!$A$2:$F$61,6,FALSE())</f>
        <v/>
      </c>
    </row>
    <row r="312" ht="15" customHeight="1" s="56">
      <c r="A312" s="55">
        <f>Orders!A312</f>
        <v/>
      </c>
      <c r="B312" s="103">
        <f>Orders!B312</f>
        <v/>
      </c>
      <c r="C312" s="55">
        <f>Orders!C312</f>
        <v/>
      </c>
      <c r="D312" s="55">
        <f>Orders!D312</f>
        <v/>
      </c>
      <c r="E312" s="55">
        <f>Orders!E312</f>
        <v/>
      </c>
      <c r="F312" s="55">
        <f>Orders!F312</f>
        <v/>
      </c>
      <c r="G312" s="55">
        <f>Orders!G312</f>
        <v/>
      </c>
      <c r="H312" s="55">
        <f>Orders!H312</f>
        <v/>
      </c>
      <c r="I312" s="55">
        <f>Orders!I312</f>
        <v/>
      </c>
      <c r="J312" s="55">
        <f>Orders!J312</f>
        <v/>
      </c>
      <c r="K312" s="55">
        <f>Orders!K312</f>
        <v/>
      </c>
      <c r="L312" s="55">
        <f>VLOOKUP(D312,Products!$A$2:$F$61,3,FALSE())</f>
        <v/>
      </c>
      <c r="M312" s="55">
        <f>VLOOKUP(C312,Customers!$A$2:$F$301,5,FALSE())</f>
        <v/>
      </c>
      <c r="N312" s="55">
        <f>VLOOKUP(E312,Sales_Reps!$A$2:$E$31,3,FALSE())</f>
        <v/>
      </c>
      <c r="O312" s="55">
        <f>VLOOKUP(D312,Products!$A$2:$F$61,4,FALSE())</f>
        <v/>
      </c>
      <c r="P312" s="55">
        <f>VLOOKUP(C312,Customers!$A$2:$F$301,3,FALSE())</f>
        <v/>
      </c>
      <c r="Q312" s="55">
        <f>UPPER(TRIM(K312))</f>
        <v/>
      </c>
      <c r="R312" s="55">
        <f>(G312-O312)/G312</f>
        <v/>
      </c>
      <c r="S312" s="55">
        <f>VLOOKUP(D312,Products!$A$2:$F$61,6,FALSE())</f>
        <v/>
      </c>
    </row>
    <row r="313" ht="15" customHeight="1" s="56">
      <c r="A313" s="55">
        <f>Orders!A313</f>
        <v/>
      </c>
      <c r="B313" s="103">
        <f>Orders!B313</f>
        <v/>
      </c>
      <c r="C313" s="55">
        <f>Orders!C313</f>
        <v/>
      </c>
      <c r="D313" s="55">
        <f>Orders!D313</f>
        <v/>
      </c>
      <c r="E313" s="55">
        <f>Orders!E313</f>
        <v/>
      </c>
      <c r="F313" s="55">
        <f>Orders!F313</f>
        <v/>
      </c>
      <c r="G313" s="55">
        <f>Orders!G313</f>
        <v/>
      </c>
      <c r="H313" s="55">
        <f>Orders!H313</f>
        <v/>
      </c>
      <c r="I313" s="55">
        <f>Orders!I313</f>
        <v/>
      </c>
      <c r="J313" s="55">
        <f>Orders!J313</f>
        <v/>
      </c>
      <c r="K313" s="55">
        <f>Orders!K313</f>
        <v/>
      </c>
      <c r="L313" s="55">
        <f>VLOOKUP(D313,Products!$A$2:$F$61,3,FALSE())</f>
        <v/>
      </c>
      <c r="M313" s="55">
        <f>VLOOKUP(C313,Customers!$A$2:$F$301,5,FALSE())</f>
        <v/>
      </c>
      <c r="N313" s="55">
        <f>VLOOKUP(E313,Sales_Reps!$A$2:$E$31,3,FALSE())</f>
        <v/>
      </c>
      <c r="O313" s="55">
        <f>VLOOKUP(D313,Products!$A$2:$F$61,4,FALSE())</f>
        <v/>
      </c>
      <c r="P313" s="55">
        <f>VLOOKUP(C313,Customers!$A$2:$F$301,3,FALSE())</f>
        <v/>
      </c>
      <c r="Q313" s="55">
        <f>UPPER(TRIM(K313))</f>
        <v/>
      </c>
      <c r="R313" s="55">
        <f>(G313-O313)/G313</f>
        <v/>
      </c>
      <c r="S313" s="55">
        <f>VLOOKUP(D313,Products!$A$2:$F$61,6,FALSE())</f>
        <v/>
      </c>
    </row>
    <row r="314" ht="15" customHeight="1" s="56">
      <c r="A314" s="55">
        <f>Orders!A314</f>
        <v/>
      </c>
      <c r="B314" s="103">
        <f>Orders!B314</f>
        <v/>
      </c>
      <c r="C314" s="55">
        <f>Orders!C314</f>
        <v/>
      </c>
      <c r="D314" s="55">
        <f>Orders!D314</f>
        <v/>
      </c>
      <c r="E314" s="55">
        <f>Orders!E314</f>
        <v/>
      </c>
      <c r="F314" s="55">
        <f>Orders!F314</f>
        <v/>
      </c>
      <c r="G314" s="55">
        <f>Orders!G314</f>
        <v/>
      </c>
      <c r="H314" s="55">
        <f>Orders!H314</f>
        <v/>
      </c>
      <c r="I314" s="55">
        <f>Orders!I314</f>
        <v/>
      </c>
      <c r="J314" s="55">
        <f>Orders!J314</f>
        <v/>
      </c>
      <c r="K314" s="55">
        <f>Orders!K314</f>
        <v/>
      </c>
      <c r="L314" s="55">
        <f>VLOOKUP(D314,Products!$A$2:$F$61,3,FALSE())</f>
        <v/>
      </c>
      <c r="M314" s="55">
        <f>VLOOKUP(C314,Customers!$A$2:$F$301,5,FALSE())</f>
        <v/>
      </c>
      <c r="N314" s="55">
        <f>VLOOKUP(E314,Sales_Reps!$A$2:$E$31,3,FALSE())</f>
        <v/>
      </c>
      <c r="O314" s="55">
        <f>VLOOKUP(D314,Products!$A$2:$F$61,4,FALSE())</f>
        <v/>
      </c>
      <c r="P314" s="55">
        <f>VLOOKUP(C314,Customers!$A$2:$F$301,3,FALSE())</f>
        <v/>
      </c>
      <c r="Q314" s="55">
        <f>UPPER(TRIM(K314))</f>
        <v/>
      </c>
      <c r="R314" s="55">
        <f>(G314-O314)/G314</f>
        <v/>
      </c>
      <c r="S314" s="55">
        <f>VLOOKUP(D314,Products!$A$2:$F$61,6,FALSE())</f>
        <v/>
      </c>
    </row>
    <row r="315" ht="15" customHeight="1" s="56">
      <c r="A315" s="55">
        <f>Orders!A315</f>
        <v/>
      </c>
      <c r="B315" s="103">
        <f>Orders!B315</f>
        <v/>
      </c>
      <c r="C315" s="55">
        <f>Orders!C315</f>
        <v/>
      </c>
      <c r="D315" s="55">
        <f>Orders!D315</f>
        <v/>
      </c>
      <c r="E315" s="55">
        <f>Orders!E315</f>
        <v/>
      </c>
      <c r="F315" s="55">
        <f>Orders!F315</f>
        <v/>
      </c>
      <c r="G315" s="55">
        <f>Orders!G315</f>
        <v/>
      </c>
      <c r="H315" s="55">
        <f>Orders!H315</f>
        <v/>
      </c>
      <c r="I315" s="55">
        <f>Orders!I315</f>
        <v/>
      </c>
      <c r="J315" s="55">
        <f>Orders!J315</f>
        <v/>
      </c>
      <c r="K315" s="55">
        <f>Orders!K315</f>
        <v/>
      </c>
      <c r="L315" s="55">
        <f>VLOOKUP(D315,Products!$A$2:$F$61,3,FALSE())</f>
        <v/>
      </c>
      <c r="M315" s="55">
        <f>VLOOKUP(C315,Customers!$A$2:$F$301,5,FALSE())</f>
        <v/>
      </c>
      <c r="N315" s="55">
        <f>VLOOKUP(E315,Sales_Reps!$A$2:$E$31,3,FALSE())</f>
        <v/>
      </c>
      <c r="O315" s="55">
        <f>VLOOKUP(D315,Products!$A$2:$F$61,4,FALSE())</f>
        <v/>
      </c>
      <c r="P315" s="55">
        <f>VLOOKUP(C315,Customers!$A$2:$F$301,3,FALSE())</f>
        <v/>
      </c>
      <c r="Q315" s="55">
        <f>UPPER(TRIM(K315))</f>
        <v/>
      </c>
      <c r="R315" s="55">
        <f>(G315-O315)/G315</f>
        <v/>
      </c>
      <c r="S315" s="55">
        <f>VLOOKUP(D315,Products!$A$2:$F$61,6,FALSE())</f>
        <v/>
      </c>
    </row>
    <row r="316" ht="15" customHeight="1" s="56">
      <c r="A316" s="55">
        <f>Orders!A316</f>
        <v/>
      </c>
      <c r="B316" s="103">
        <f>Orders!B316</f>
        <v/>
      </c>
      <c r="C316" s="55">
        <f>Orders!C316</f>
        <v/>
      </c>
      <c r="D316" s="55">
        <f>Orders!D316</f>
        <v/>
      </c>
      <c r="E316" s="55">
        <f>Orders!E316</f>
        <v/>
      </c>
      <c r="F316" s="55">
        <f>Orders!F316</f>
        <v/>
      </c>
      <c r="G316" s="55">
        <f>Orders!G316</f>
        <v/>
      </c>
      <c r="H316" s="55">
        <f>Orders!H316</f>
        <v/>
      </c>
      <c r="I316" s="55">
        <f>Orders!I316</f>
        <v/>
      </c>
      <c r="J316" s="55">
        <f>Orders!J316</f>
        <v/>
      </c>
      <c r="K316" s="55">
        <f>Orders!K316</f>
        <v/>
      </c>
      <c r="L316" s="55">
        <f>VLOOKUP(D316,Products!$A$2:$F$61,3,FALSE())</f>
        <v/>
      </c>
      <c r="M316" s="55">
        <f>VLOOKUP(C316,Customers!$A$2:$F$301,5,FALSE())</f>
        <v/>
      </c>
      <c r="N316" s="55">
        <f>VLOOKUP(E316,Sales_Reps!$A$2:$E$31,3,FALSE())</f>
        <v/>
      </c>
      <c r="O316" s="55">
        <f>VLOOKUP(D316,Products!$A$2:$F$61,4,FALSE())</f>
        <v/>
      </c>
      <c r="P316" s="55">
        <f>VLOOKUP(C316,Customers!$A$2:$F$301,3,FALSE())</f>
        <v/>
      </c>
      <c r="Q316" s="55">
        <f>UPPER(TRIM(K316))</f>
        <v/>
      </c>
      <c r="R316" s="55">
        <f>(G316-O316)/G316</f>
        <v/>
      </c>
      <c r="S316" s="55">
        <f>VLOOKUP(D316,Products!$A$2:$F$61,6,FALSE())</f>
        <v/>
      </c>
    </row>
    <row r="317" ht="15" customHeight="1" s="56">
      <c r="A317" s="55">
        <f>Orders!A317</f>
        <v/>
      </c>
      <c r="B317" s="103">
        <f>Orders!B317</f>
        <v/>
      </c>
      <c r="C317" s="55">
        <f>Orders!C317</f>
        <v/>
      </c>
      <c r="D317" s="55">
        <f>Orders!D317</f>
        <v/>
      </c>
      <c r="E317" s="55">
        <f>Orders!E317</f>
        <v/>
      </c>
      <c r="F317" s="55">
        <f>Orders!F317</f>
        <v/>
      </c>
      <c r="G317" s="55">
        <f>Orders!G317</f>
        <v/>
      </c>
      <c r="H317" s="55">
        <f>Orders!H317</f>
        <v/>
      </c>
      <c r="I317" s="55">
        <f>Orders!I317</f>
        <v/>
      </c>
      <c r="J317" s="55">
        <f>Orders!J317</f>
        <v/>
      </c>
      <c r="K317" s="55">
        <f>Orders!K317</f>
        <v/>
      </c>
      <c r="L317" s="55">
        <f>VLOOKUP(D317,Products!$A$2:$F$61,3,FALSE())</f>
        <v/>
      </c>
      <c r="M317" s="55">
        <f>VLOOKUP(C317,Customers!$A$2:$F$301,5,FALSE())</f>
        <v/>
      </c>
      <c r="N317" s="55">
        <f>VLOOKUP(E317,Sales_Reps!$A$2:$E$31,3,FALSE())</f>
        <v/>
      </c>
      <c r="O317" s="55">
        <f>VLOOKUP(D317,Products!$A$2:$F$61,4,FALSE())</f>
        <v/>
      </c>
      <c r="P317" s="55">
        <f>VLOOKUP(C317,Customers!$A$2:$F$301,3,FALSE())</f>
        <v/>
      </c>
      <c r="Q317" s="55">
        <f>UPPER(TRIM(K317))</f>
        <v/>
      </c>
      <c r="R317" s="55">
        <f>(G317-O317)/G317</f>
        <v/>
      </c>
      <c r="S317" s="55">
        <f>VLOOKUP(D317,Products!$A$2:$F$61,6,FALSE())</f>
        <v/>
      </c>
    </row>
    <row r="318" ht="15" customHeight="1" s="56">
      <c r="A318" s="55">
        <f>Orders!A318</f>
        <v/>
      </c>
      <c r="B318" s="103">
        <f>Orders!B318</f>
        <v/>
      </c>
      <c r="C318" s="55">
        <f>Orders!C318</f>
        <v/>
      </c>
      <c r="D318" s="55">
        <f>Orders!D318</f>
        <v/>
      </c>
      <c r="E318" s="55">
        <f>Orders!E318</f>
        <v/>
      </c>
      <c r="F318" s="55">
        <f>Orders!F318</f>
        <v/>
      </c>
      <c r="G318" s="55">
        <f>Orders!G318</f>
        <v/>
      </c>
      <c r="H318" s="55">
        <f>Orders!H318</f>
        <v/>
      </c>
      <c r="I318" s="55">
        <f>Orders!I318</f>
        <v/>
      </c>
      <c r="J318" s="55">
        <f>Orders!J318</f>
        <v/>
      </c>
      <c r="K318" s="55">
        <f>Orders!K318</f>
        <v/>
      </c>
      <c r="L318" s="55">
        <f>VLOOKUP(D318,Products!$A$2:$F$61,3,FALSE())</f>
        <v/>
      </c>
      <c r="M318" s="55">
        <f>VLOOKUP(C318,Customers!$A$2:$F$301,5,FALSE())</f>
        <v/>
      </c>
      <c r="N318" s="55">
        <f>VLOOKUP(E318,Sales_Reps!$A$2:$E$31,3,FALSE())</f>
        <v/>
      </c>
      <c r="O318" s="55">
        <f>VLOOKUP(D318,Products!$A$2:$F$61,4,FALSE())</f>
        <v/>
      </c>
      <c r="P318" s="55">
        <f>VLOOKUP(C318,Customers!$A$2:$F$301,3,FALSE())</f>
        <v/>
      </c>
      <c r="Q318" s="55">
        <f>UPPER(TRIM(K318))</f>
        <v/>
      </c>
      <c r="R318" s="55">
        <f>(G318-O318)/G318</f>
        <v/>
      </c>
      <c r="S318" s="55">
        <f>VLOOKUP(D318,Products!$A$2:$F$61,6,FALSE())</f>
        <v/>
      </c>
    </row>
    <row r="319" ht="15" customHeight="1" s="56">
      <c r="A319" s="55">
        <f>Orders!A319</f>
        <v/>
      </c>
      <c r="B319" s="103">
        <f>Orders!B319</f>
        <v/>
      </c>
      <c r="C319" s="55">
        <f>Orders!C319</f>
        <v/>
      </c>
      <c r="D319" s="55">
        <f>Orders!D319</f>
        <v/>
      </c>
      <c r="E319" s="55">
        <f>Orders!E319</f>
        <v/>
      </c>
      <c r="F319" s="55">
        <f>Orders!F319</f>
        <v/>
      </c>
      <c r="G319" s="55">
        <f>Orders!G319</f>
        <v/>
      </c>
      <c r="H319" s="55">
        <f>Orders!H319</f>
        <v/>
      </c>
      <c r="I319" s="55">
        <f>Orders!I319</f>
        <v/>
      </c>
      <c r="J319" s="55">
        <f>Orders!J319</f>
        <v/>
      </c>
      <c r="K319" s="55">
        <f>Orders!K319</f>
        <v/>
      </c>
      <c r="L319" s="55">
        <f>VLOOKUP(D319,Products!$A$2:$F$61,3,FALSE())</f>
        <v/>
      </c>
      <c r="M319" s="55">
        <f>VLOOKUP(C319,Customers!$A$2:$F$301,5,FALSE())</f>
        <v/>
      </c>
      <c r="N319" s="55">
        <f>VLOOKUP(E319,Sales_Reps!$A$2:$E$31,3,FALSE())</f>
        <v/>
      </c>
      <c r="O319" s="55">
        <f>VLOOKUP(D319,Products!$A$2:$F$61,4,FALSE())</f>
        <v/>
      </c>
      <c r="P319" s="55">
        <f>VLOOKUP(C319,Customers!$A$2:$F$301,3,FALSE())</f>
        <v/>
      </c>
      <c r="Q319" s="55">
        <f>UPPER(TRIM(K319))</f>
        <v/>
      </c>
      <c r="R319" s="55">
        <f>(G319-O319)/G319</f>
        <v/>
      </c>
      <c r="S319" s="55">
        <f>VLOOKUP(D319,Products!$A$2:$F$61,6,FALSE())</f>
        <v/>
      </c>
    </row>
    <row r="320" ht="15" customHeight="1" s="56">
      <c r="A320" s="55">
        <f>Orders!A320</f>
        <v/>
      </c>
      <c r="B320" s="103">
        <f>Orders!B320</f>
        <v/>
      </c>
      <c r="C320" s="55">
        <f>Orders!C320</f>
        <v/>
      </c>
      <c r="D320" s="55">
        <f>Orders!D320</f>
        <v/>
      </c>
      <c r="E320" s="55">
        <f>Orders!E320</f>
        <v/>
      </c>
      <c r="F320" s="55">
        <f>Orders!F320</f>
        <v/>
      </c>
      <c r="G320" s="55">
        <f>Orders!G320</f>
        <v/>
      </c>
      <c r="H320" s="55">
        <f>Orders!H320</f>
        <v/>
      </c>
      <c r="I320" s="55">
        <f>Orders!I320</f>
        <v/>
      </c>
      <c r="J320" s="55">
        <f>Orders!J320</f>
        <v/>
      </c>
      <c r="K320" s="55">
        <f>Orders!K320</f>
        <v/>
      </c>
      <c r="L320" s="55">
        <f>VLOOKUP(D320,Products!$A$2:$F$61,3,FALSE())</f>
        <v/>
      </c>
      <c r="M320" s="55">
        <f>VLOOKUP(C320,Customers!$A$2:$F$301,5,FALSE())</f>
        <v/>
      </c>
      <c r="N320" s="55">
        <f>VLOOKUP(E320,Sales_Reps!$A$2:$E$31,3,FALSE())</f>
        <v/>
      </c>
      <c r="O320" s="55">
        <f>VLOOKUP(D320,Products!$A$2:$F$61,4,FALSE())</f>
        <v/>
      </c>
      <c r="P320" s="55">
        <f>VLOOKUP(C320,Customers!$A$2:$F$301,3,FALSE())</f>
        <v/>
      </c>
      <c r="Q320" s="55">
        <f>UPPER(TRIM(K320))</f>
        <v/>
      </c>
      <c r="R320" s="55">
        <f>(G320-O320)/G320</f>
        <v/>
      </c>
      <c r="S320" s="55">
        <f>VLOOKUP(D320,Products!$A$2:$F$61,6,FALSE())</f>
        <v/>
      </c>
    </row>
    <row r="321" ht="15" customHeight="1" s="56">
      <c r="A321" s="55">
        <f>Orders!A321</f>
        <v/>
      </c>
      <c r="B321" s="103">
        <f>Orders!B321</f>
        <v/>
      </c>
      <c r="C321" s="55">
        <f>Orders!C321</f>
        <v/>
      </c>
      <c r="D321" s="55">
        <f>Orders!D321</f>
        <v/>
      </c>
      <c r="E321" s="55">
        <f>Orders!E321</f>
        <v/>
      </c>
      <c r="F321" s="55">
        <f>Orders!F321</f>
        <v/>
      </c>
      <c r="G321" s="55">
        <f>Orders!G321</f>
        <v/>
      </c>
      <c r="H321" s="55">
        <f>Orders!H321</f>
        <v/>
      </c>
      <c r="I321" s="55">
        <f>Orders!I321</f>
        <v/>
      </c>
      <c r="J321" s="55">
        <f>Orders!J321</f>
        <v/>
      </c>
      <c r="K321" s="55">
        <f>Orders!K321</f>
        <v/>
      </c>
      <c r="L321" s="55">
        <f>VLOOKUP(D321,Products!$A$2:$F$61,3,FALSE())</f>
        <v/>
      </c>
      <c r="M321" s="55">
        <f>VLOOKUP(C321,Customers!$A$2:$F$301,5,FALSE())</f>
        <v/>
      </c>
      <c r="N321" s="55">
        <f>VLOOKUP(E321,Sales_Reps!$A$2:$E$31,3,FALSE())</f>
        <v/>
      </c>
      <c r="O321" s="55">
        <f>VLOOKUP(D321,Products!$A$2:$F$61,4,FALSE())</f>
        <v/>
      </c>
      <c r="P321" s="55">
        <f>VLOOKUP(C321,Customers!$A$2:$F$301,3,FALSE())</f>
        <v/>
      </c>
      <c r="Q321" s="55">
        <f>UPPER(TRIM(K321))</f>
        <v/>
      </c>
      <c r="R321" s="55">
        <f>(G321-O321)/G321</f>
        <v/>
      </c>
      <c r="S321" s="55">
        <f>VLOOKUP(D321,Products!$A$2:$F$61,6,FALSE())</f>
        <v/>
      </c>
    </row>
    <row r="322" ht="15" customHeight="1" s="56">
      <c r="A322" s="55">
        <f>Orders!A322</f>
        <v/>
      </c>
      <c r="B322" s="103">
        <f>Orders!B322</f>
        <v/>
      </c>
      <c r="C322" s="55">
        <f>Orders!C322</f>
        <v/>
      </c>
      <c r="D322" s="55">
        <f>Orders!D322</f>
        <v/>
      </c>
      <c r="E322" s="55">
        <f>Orders!E322</f>
        <v/>
      </c>
      <c r="F322" s="55">
        <f>Orders!F322</f>
        <v/>
      </c>
      <c r="G322" s="55">
        <f>Orders!G322</f>
        <v/>
      </c>
      <c r="H322" s="55">
        <f>Orders!H322</f>
        <v/>
      </c>
      <c r="I322" s="55">
        <f>Orders!I322</f>
        <v/>
      </c>
      <c r="J322" s="55">
        <f>Orders!J322</f>
        <v/>
      </c>
      <c r="K322" s="55">
        <f>Orders!K322</f>
        <v/>
      </c>
      <c r="L322" s="55">
        <f>VLOOKUP(D322,Products!$A$2:$F$61,3,FALSE())</f>
        <v/>
      </c>
      <c r="M322" s="55">
        <f>VLOOKUP(C322,Customers!$A$2:$F$301,5,FALSE())</f>
        <v/>
      </c>
      <c r="N322" s="55">
        <f>VLOOKUP(E322,Sales_Reps!$A$2:$E$31,3,FALSE())</f>
        <v/>
      </c>
      <c r="O322" s="55">
        <f>VLOOKUP(D322,Products!$A$2:$F$61,4,FALSE())</f>
        <v/>
      </c>
      <c r="P322" s="55">
        <f>VLOOKUP(C322,Customers!$A$2:$F$301,3,FALSE())</f>
        <v/>
      </c>
      <c r="Q322" s="55">
        <f>UPPER(TRIM(K322))</f>
        <v/>
      </c>
      <c r="R322" s="55">
        <f>(G322-O322)/G322</f>
        <v/>
      </c>
      <c r="S322" s="55">
        <f>VLOOKUP(D322,Products!$A$2:$F$61,6,FALSE())</f>
        <v/>
      </c>
    </row>
    <row r="323" ht="15" customHeight="1" s="56">
      <c r="A323" s="55">
        <f>Orders!A323</f>
        <v/>
      </c>
      <c r="B323" s="103">
        <f>Orders!B323</f>
        <v/>
      </c>
      <c r="C323" s="55">
        <f>Orders!C323</f>
        <v/>
      </c>
      <c r="D323" s="55">
        <f>Orders!D323</f>
        <v/>
      </c>
      <c r="E323" s="55">
        <f>Orders!E323</f>
        <v/>
      </c>
      <c r="F323" s="55">
        <f>Orders!F323</f>
        <v/>
      </c>
      <c r="G323" s="55">
        <f>Orders!G323</f>
        <v/>
      </c>
      <c r="H323" s="55">
        <f>Orders!H323</f>
        <v/>
      </c>
      <c r="I323" s="55">
        <f>Orders!I323</f>
        <v/>
      </c>
      <c r="J323" s="55">
        <f>Orders!J323</f>
        <v/>
      </c>
      <c r="K323" s="55">
        <f>Orders!K323</f>
        <v/>
      </c>
      <c r="L323" s="55">
        <f>VLOOKUP(D323,Products!$A$2:$F$61,3,FALSE())</f>
        <v/>
      </c>
      <c r="M323" s="55">
        <f>VLOOKUP(C323,Customers!$A$2:$F$301,5,FALSE())</f>
        <v/>
      </c>
      <c r="N323" s="55">
        <f>VLOOKUP(E323,Sales_Reps!$A$2:$E$31,3,FALSE())</f>
        <v/>
      </c>
      <c r="O323" s="55">
        <f>VLOOKUP(D323,Products!$A$2:$F$61,4,FALSE())</f>
        <v/>
      </c>
      <c r="P323" s="55">
        <f>VLOOKUP(C323,Customers!$A$2:$F$301,3,FALSE())</f>
        <v/>
      </c>
      <c r="Q323" s="55">
        <f>UPPER(TRIM(K323))</f>
        <v/>
      </c>
      <c r="R323" s="55">
        <f>(G323-O323)/G323</f>
        <v/>
      </c>
      <c r="S323" s="55">
        <f>VLOOKUP(D323,Products!$A$2:$F$61,6,FALSE())</f>
        <v/>
      </c>
    </row>
    <row r="324" ht="15" customHeight="1" s="56">
      <c r="A324" s="55">
        <f>Orders!A324</f>
        <v/>
      </c>
      <c r="B324" s="103">
        <f>Orders!B324</f>
        <v/>
      </c>
      <c r="C324" s="55">
        <f>Orders!C324</f>
        <v/>
      </c>
      <c r="D324" s="55">
        <f>Orders!D324</f>
        <v/>
      </c>
      <c r="E324" s="55">
        <f>Orders!E324</f>
        <v/>
      </c>
      <c r="F324" s="55">
        <f>Orders!F324</f>
        <v/>
      </c>
      <c r="G324" s="55">
        <f>Orders!G324</f>
        <v/>
      </c>
      <c r="H324" s="55">
        <f>Orders!H324</f>
        <v/>
      </c>
      <c r="I324" s="55">
        <f>Orders!I324</f>
        <v/>
      </c>
      <c r="J324" s="55">
        <f>Orders!J324</f>
        <v/>
      </c>
      <c r="K324" s="55">
        <f>Orders!K324</f>
        <v/>
      </c>
      <c r="L324" s="55">
        <f>VLOOKUP(D324,Products!$A$2:$F$61,3,FALSE())</f>
        <v/>
      </c>
      <c r="M324" s="55">
        <f>VLOOKUP(C324,Customers!$A$2:$F$301,5,FALSE())</f>
        <v/>
      </c>
      <c r="N324" s="55">
        <f>VLOOKUP(E324,Sales_Reps!$A$2:$E$31,3,FALSE())</f>
        <v/>
      </c>
      <c r="O324" s="55">
        <f>VLOOKUP(D324,Products!$A$2:$F$61,4,FALSE())</f>
        <v/>
      </c>
      <c r="P324" s="55">
        <f>VLOOKUP(C324,Customers!$A$2:$F$301,3,FALSE())</f>
        <v/>
      </c>
      <c r="Q324" s="55">
        <f>UPPER(TRIM(K324))</f>
        <v/>
      </c>
      <c r="R324" s="55">
        <f>(G324-O324)/G324</f>
        <v/>
      </c>
      <c r="S324" s="55">
        <f>VLOOKUP(D324,Products!$A$2:$F$61,6,FALSE())</f>
        <v/>
      </c>
    </row>
    <row r="325" ht="15" customHeight="1" s="56">
      <c r="A325" s="55">
        <f>Orders!A325</f>
        <v/>
      </c>
      <c r="B325" s="103">
        <f>Orders!B325</f>
        <v/>
      </c>
      <c r="C325" s="55">
        <f>Orders!C325</f>
        <v/>
      </c>
      <c r="D325" s="55">
        <f>Orders!D325</f>
        <v/>
      </c>
      <c r="E325" s="55">
        <f>Orders!E325</f>
        <v/>
      </c>
      <c r="F325" s="55">
        <f>Orders!F325</f>
        <v/>
      </c>
      <c r="G325" s="55">
        <f>Orders!G325</f>
        <v/>
      </c>
      <c r="H325" s="55">
        <f>Orders!H325</f>
        <v/>
      </c>
      <c r="I325" s="55">
        <f>Orders!I325</f>
        <v/>
      </c>
      <c r="J325" s="55">
        <f>Orders!J325</f>
        <v/>
      </c>
      <c r="K325" s="55">
        <f>Orders!K325</f>
        <v/>
      </c>
      <c r="L325" s="55">
        <f>VLOOKUP(D325,Products!$A$2:$F$61,3,FALSE())</f>
        <v/>
      </c>
      <c r="M325" s="55">
        <f>VLOOKUP(C325,Customers!$A$2:$F$301,5,FALSE())</f>
        <v/>
      </c>
      <c r="N325" s="55">
        <f>VLOOKUP(E325,Sales_Reps!$A$2:$E$31,3,FALSE())</f>
        <v/>
      </c>
      <c r="O325" s="55">
        <f>VLOOKUP(D325,Products!$A$2:$F$61,4,FALSE())</f>
        <v/>
      </c>
      <c r="P325" s="55">
        <f>VLOOKUP(C325,Customers!$A$2:$F$301,3,FALSE())</f>
        <v/>
      </c>
      <c r="Q325" s="55">
        <f>UPPER(TRIM(K325))</f>
        <v/>
      </c>
      <c r="R325" s="55">
        <f>(G325-O325)/G325</f>
        <v/>
      </c>
      <c r="S325" s="55">
        <f>VLOOKUP(D325,Products!$A$2:$F$61,6,FALSE())</f>
        <v/>
      </c>
    </row>
    <row r="326" ht="15" customHeight="1" s="56">
      <c r="A326" s="55">
        <f>Orders!A326</f>
        <v/>
      </c>
      <c r="B326" s="103">
        <f>Orders!B326</f>
        <v/>
      </c>
      <c r="C326" s="55">
        <f>Orders!C326</f>
        <v/>
      </c>
      <c r="D326" s="55">
        <f>Orders!D326</f>
        <v/>
      </c>
      <c r="E326" s="55">
        <f>Orders!E326</f>
        <v/>
      </c>
      <c r="F326" s="55">
        <f>Orders!F326</f>
        <v/>
      </c>
      <c r="G326" s="55">
        <f>Orders!G326</f>
        <v/>
      </c>
      <c r="H326" s="55">
        <f>Orders!H326</f>
        <v/>
      </c>
      <c r="I326" s="55">
        <f>Orders!I326</f>
        <v/>
      </c>
      <c r="J326" s="55">
        <f>Orders!J326</f>
        <v/>
      </c>
      <c r="K326" s="55">
        <f>Orders!K326</f>
        <v/>
      </c>
      <c r="L326" s="55">
        <f>VLOOKUP(D326,Products!$A$2:$F$61,3,FALSE())</f>
        <v/>
      </c>
      <c r="M326" s="55">
        <f>VLOOKUP(C326,Customers!$A$2:$F$301,5,FALSE())</f>
        <v/>
      </c>
      <c r="N326" s="55">
        <f>VLOOKUP(E326,Sales_Reps!$A$2:$E$31,3,FALSE())</f>
        <v/>
      </c>
      <c r="O326" s="55">
        <f>VLOOKUP(D326,Products!$A$2:$F$61,4,FALSE())</f>
        <v/>
      </c>
      <c r="P326" s="55">
        <f>VLOOKUP(C326,Customers!$A$2:$F$301,3,FALSE())</f>
        <v/>
      </c>
      <c r="Q326" s="55">
        <f>UPPER(TRIM(K326))</f>
        <v/>
      </c>
      <c r="R326" s="55">
        <f>(G326-O326)/G326</f>
        <v/>
      </c>
      <c r="S326" s="55">
        <f>VLOOKUP(D326,Products!$A$2:$F$61,6,FALSE())</f>
        <v/>
      </c>
    </row>
    <row r="327" ht="15" customHeight="1" s="56">
      <c r="A327" s="55">
        <f>Orders!A327</f>
        <v/>
      </c>
      <c r="B327" s="103">
        <f>Orders!B327</f>
        <v/>
      </c>
      <c r="C327" s="55">
        <f>Orders!C327</f>
        <v/>
      </c>
      <c r="D327" s="55">
        <f>Orders!D327</f>
        <v/>
      </c>
      <c r="E327" s="55">
        <f>Orders!E327</f>
        <v/>
      </c>
      <c r="F327" s="55">
        <f>Orders!F327</f>
        <v/>
      </c>
      <c r="G327" s="55">
        <f>Orders!G327</f>
        <v/>
      </c>
      <c r="H327" s="55">
        <f>Orders!H327</f>
        <v/>
      </c>
      <c r="I327" s="55">
        <f>Orders!I327</f>
        <v/>
      </c>
      <c r="J327" s="55">
        <f>Orders!J327</f>
        <v/>
      </c>
      <c r="K327" s="55">
        <f>Orders!K327</f>
        <v/>
      </c>
      <c r="L327" s="55">
        <f>VLOOKUP(D327,Products!$A$2:$F$61,3,FALSE())</f>
        <v/>
      </c>
      <c r="M327" s="55">
        <f>VLOOKUP(C327,Customers!$A$2:$F$301,5,FALSE())</f>
        <v/>
      </c>
      <c r="N327" s="55">
        <f>VLOOKUP(E327,Sales_Reps!$A$2:$E$31,3,FALSE())</f>
        <v/>
      </c>
      <c r="O327" s="55">
        <f>VLOOKUP(D327,Products!$A$2:$F$61,4,FALSE())</f>
        <v/>
      </c>
      <c r="P327" s="55">
        <f>VLOOKUP(C327,Customers!$A$2:$F$301,3,FALSE())</f>
        <v/>
      </c>
      <c r="Q327" s="55">
        <f>UPPER(TRIM(K327))</f>
        <v/>
      </c>
      <c r="R327" s="55">
        <f>(G327-O327)/G327</f>
        <v/>
      </c>
      <c r="S327" s="55">
        <f>VLOOKUP(D327,Products!$A$2:$F$61,6,FALSE())</f>
        <v/>
      </c>
    </row>
    <row r="328" ht="15" customHeight="1" s="56">
      <c r="A328" s="55">
        <f>Orders!A328</f>
        <v/>
      </c>
      <c r="B328" s="103">
        <f>Orders!B328</f>
        <v/>
      </c>
      <c r="C328" s="55">
        <f>Orders!C328</f>
        <v/>
      </c>
      <c r="D328" s="55">
        <f>Orders!D328</f>
        <v/>
      </c>
      <c r="E328" s="55">
        <f>Orders!E328</f>
        <v/>
      </c>
      <c r="F328" s="55">
        <f>Orders!F328</f>
        <v/>
      </c>
      <c r="G328" s="55">
        <f>Orders!G328</f>
        <v/>
      </c>
      <c r="H328" s="55">
        <f>Orders!H328</f>
        <v/>
      </c>
      <c r="I328" s="55">
        <f>Orders!I328</f>
        <v/>
      </c>
      <c r="J328" s="55">
        <f>Orders!J328</f>
        <v/>
      </c>
      <c r="K328" s="55">
        <f>Orders!K328</f>
        <v/>
      </c>
      <c r="L328" s="55">
        <f>VLOOKUP(D328,Products!$A$2:$F$61,3,FALSE())</f>
        <v/>
      </c>
      <c r="M328" s="55">
        <f>VLOOKUP(C328,Customers!$A$2:$F$301,5,FALSE())</f>
        <v/>
      </c>
      <c r="N328" s="55">
        <f>VLOOKUP(E328,Sales_Reps!$A$2:$E$31,3,FALSE())</f>
        <v/>
      </c>
      <c r="O328" s="55">
        <f>VLOOKUP(D328,Products!$A$2:$F$61,4,FALSE())</f>
        <v/>
      </c>
      <c r="P328" s="55">
        <f>VLOOKUP(C328,Customers!$A$2:$F$301,3,FALSE())</f>
        <v/>
      </c>
      <c r="Q328" s="55">
        <f>UPPER(TRIM(K328))</f>
        <v/>
      </c>
      <c r="R328" s="55">
        <f>(G328-O328)/G328</f>
        <v/>
      </c>
      <c r="S328" s="55">
        <f>VLOOKUP(D328,Products!$A$2:$F$61,6,FALSE())</f>
        <v/>
      </c>
    </row>
    <row r="329" ht="15" customHeight="1" s="56">
      <c r="A329" s="55">
        <f>Orders!A329</f>
        <v/>
      </c>
      <c r="B329" s="103">
        <f>Orders!B329</f>
        <v/>
      </c>
      <c r="C329" s="55">
        <f>Orders!C329</f>
        <v/>
      </c>
      <c r="D329" s="55">
        <f>Orders!D329</f>
        <v/>
      </c>
      <c r="E329" s="55">
        <f>Orders!E329</f>
        <v/>
      </c>
      <c r="F329" s="55">
        <f>Orders!F329</f>
        <v/>
      </c>
      <c r="G329" s="55">
        <f>Orders!G329</f>
        <v/>
      </c>
      <c r="H329" s="55">
        <f>Orders!H329</f>
        <v/>
      </c>
      <c r="I329" s="55">
        <f>Orders!I329</f>
        <v/>
      </c>
      <c r="J329" s="55">
        <f>Orders!J329</f>
        <v/>
      </c>
      <c r="K329" s="55">
        <f>Orders!K329</f>
        <v/>
      </c>
      <c r="L329" s="55">
        <f>VLOOKUP(D329,Products!$A$2:$F$61,3,FALSE())</f>
        <v/>
      </c>
      <c r="M329" s="55">
        <f>VLOOKUP(C329,Customers!$A$2:$F$301,5,FALSE())</f>
        <v/>
      </c>
      <c r="N329" s="55">
        <f>VLOOKUP(E329,Sales_Reps!$A$2:$E$31,3,FALSE())</f>
        <v/>
      </c>
      <c r="O329" s="55">
        <f>VLOOKUP(D329,Products!$A$2:$F$61,4,FALSE())</f>
        <v/>
      </c>
      <c r="P329" s="55">
        <f>VLOOKUP(C329,Customers!$A$2:$F$301,3,FALSE())</f>
        <v/>
      </c>
      <c r="Q329" s="55">
        <f>UPPER(TRIM(K329))</f>
        <v/>
      </c>
      <c r="R329" s="55">
        <f>(G329-O329)/G329</f>
        <v/>
      </c>
      <c r="S329" s="55">
        <f>VLOOKUP(D329,Products!$A$2:$F$61,6,FALSE())</f>
        <v/>
      </c>
    </row>
    <row r="330" ht="15" customHeight="1" s="56">
      <c r="A330" s="55">
        <f>Orders!A330</f>
        <v/>
      </c>
      <c r="B330" s="103">
        <f>Orders!B330</f>
        <v/>
      </c>
      <c r="C330" s="55">
        <f>Orders!C330</f>
        <v/>
      </c>
      <c r="D330" s="55">
        <f>Orders!D330</f>
        <v/>
      </c>
      <c r="E330" s="55">
        <f>Orders!E330</f>
        <v/>
      </c>
      <c r="F330" s="55">
        <f>Orders!F330</f>
        <v/>
      </c>
      <c r="G330" s="55">
        <f>Orders!G330</f>
        <v/>
      </c>
      <c r="H330" s="55">
        <f>Orders!H330</f>
        <v/>
      </c>
      <c r="I330" s="55">
        <f>Orders!I330</f>
        <v/>
      </c>
      <c r="J330" s="55">
        <f>Orders!J330</f>
        <v/>
      </c>
      <c r="K330" s="55">
        <f>Orders!K330</f>
        <v/>
      </c>
      <c r="L330" s="55">
        <f>VLOOKUP(D330,Products!$A$2:$F$61,3,FALSE())</f>
        <v/>
      </c>
      <c r="M330" s="55">
        <f>VLOOKUP(C330,Customers!$A$2:$F$301,5,FALSE())</f>
        <v/>
      </c>
      <c r="N330" s="55">
        <f>VLOOKUP(E330,Sales_Reps!$A$2:$E$31,3,FALSE())</f>
        <v/>
      </c>
      <c r="O330" s="55">
        <f>VLOOKUP(D330,Products!$A$2:$F$61,4,FALSE())</f>
        <v/>
      </c>
      <c r="P330" s="55">
        <f>VLOOKUP(C330,Customers!$A$2:$F$301,3,FALSE())</f>
        <v/>
      </c>
      <c r="Q330" s="55">
        <f>UPPER(TRIM(K330))</f>
        <v/>
      </c>
      <c r="R330" s="55">
        <f>(G330-O330)/G330</f>
        <v/>
      </c>
      <c r="S330" s="55">
        <f>VLOOKUP(D330,Products!$A$2:$F$61,6,FALSE())</f>
        <v/>
      </c>
    </row>
    <row r="331" ht="15" customHeight="1" s="56">
      <c r="A331" s="55">
        <f>Orders!A331</f>
        <v/>
      </c>
      <c r="B331" s="103">
        <f>Orders!B331</f>
        <v/>
      </c>
      <c r="C331" s="55">
        <f>Orders!C331</f>
        <v/>
      </c>
      <c r="D331" s="55">
        <f>Orders!D331</f>
        <v/>
      </c>
      <c r="E331" s="55">
        <f>Orders!E331</f>
        <v/>
      </c>
      <c r="F331" s="55">
        <f>Orders!F331</f>
        <v/>
      </c>
      <c r="G331" s="55">
        <f>Orders!G331</f>
        <v/>
      </c>
      <c r="H331" s="55">
        <f>Orders!H331</f>
        <v/>
      </c>
      <c r="I331" s="55">
        <f>Orders!I331</f>
        <v/>
      </c>
      <c r="J331" s="55">
        <f>Orders!J331</f>
        <v/>
      </c>
      <c r="K331" s="55">
        <f>Orders!K331</f>
        <v/>
      </c>
      <c r="L331" s="55">
        <f>VLOOKUP(D331,Products!$A$2:$F$61,3,FALSE())</f>
        <v/>
      </c>
      <c r="M331" s="55">
        <f>VLOOKUP(C331,Customers!$A$2:$F$301,5,FALSE())</f>
        <v/>
      </c>
      <c r="N331" s="55">
        <f>VLOOKUP(E331,Sales_Reps!$A$2:$E$31,3,FALSE())</f>
        <v/>
      </c>
      <c r="O331" s="55">
        <f>VLOOKUP(D331,Products!$A$2:$F$61,4,FALSE())</f>
        <v/>
      </c>
      <c r="P331" s="55">
        <f>VLOOKUP(C331,Customers!$A$2:$F$301,3,FALSE())</f>
        <v/>
      </c>
      <c r="Q331" s="55">
        <f>UPPER(TRIM(K331))</f>
        <v/>
      </c>
      <c r="R331" s="55">
        <f>(G331-O331)/G331</f>
        <v/>
      </c>
      <c r="S331" s="55">
        <f>VLOOKUP(D331,Products!$A$2:$F$61,6,FALSE())</f>
        <v/>
      </c>
    </row>
    <row r="332" ht="15" customHeight="1" s="56">
      <c r="A332" s="55">
        <f>Orders!A332</f>
        <v/>
      </c>
      <c r="B332" s="103">
        <f>Orders!B332</f>
        <v/>
      </c>
      <c r="C332" s="55">
        <f>Orders!C332</f>
        <v/>
      </c>
      <c r="D332" s="55">
        <f>Orders!D332</f>
        <v/>
      </c>
      <c r="E332" s="55">
        <f>Orders!E332</f>
        <v/>
      </c>
      <c r="F332" s="55">
        <f>Orders!F332</f>
        <v/>
      </c>
      <c r="G332" s="55">
        <f>Orders!G332</f>
        <v/>
      </c>
      <c r="H332" s="55">
        <f>Orders!H332</f>
        <v/>
      </c>
      <c r="I332" s="55">
        <f>Orders!I332</f>
        <v/>
      </c>
      <c r="J332" s="55">
        <f>Orders!J332</f>
        <v/>
      </c>
      <c r="K332" s="55">
        <f>Orders!K332</f>
        <v/>
      </c>
      <c r="L332" s="55">
        <f>VLOOKUP(D332,Products!$A$2:$F$61,3,FALSE())</f>
        <v/>
      </c>
      <c r="M332" s="55">
        <f>VLOOKUP(C332,Customers!$A$2:$F$301,5,FALSE())</f>
        <v/>
      </c>
      <c r="N332" s="55">
        <f>VLOOKUP(E332,Sales_Reps!$A$2:$E$31,3,FALSE())</f>
        <v/>
      </c>
      <c r="O332" s="55">
        <f>VLOOKUP(D332,Products!$A$2:$F$61,4,FALSE())</f>
        <v/>
      </c>
      <c r="P332" s="55">
        <f>VLOOKUP(C332,Customers!$A$2:$F$301,3,FALSE())</f>
        <v/>
      </c>
      <c r="Q332" s="55">
        <f>UPPER(TRIM(K332))</f>
        <v/>
      </c>
      <c r="R332" s="55">
        <f>(G332-O332)/G332</f>
        <v/>
      </c>
      <c r="S332" s="55">
        <f>VLOOKUP(D332,Products!$A$2:$F$61,6,FALSE())</f>
        <v/>
      </c>
    </row>
    <row r="333" ht="15" customHeight="1" s="56">
      <c r="A333" s="55">
        <f>Orders!A333</f>
        <v/>
      </c>
      <c r="B333" s="103">
        <f>Orders!B333</f>
        <v/>
      </c>
      <c r="C333" s="55">
        <f>Orders!C333</f>
        <v/>
      </c>
      <c r="D333" s="55">
        <f>Orders!D333</f>
        <v/>
      </c>
      <c r="E333" s="55">
        <f>Orders!E333</f>
        <v/>
      </c>
      <c r="F333" s="55">
        <f>Orders!F333</f>
        <v/>
      </c>
      <c r="G333" s="55">
        <f>Orders!G333</f>
        <v/>
      </c>
      <c r="H333" s="55">
        <f>Orders!H333</f>
        <v/>
      </c>
      <c r="I333" s="55">
        <f>Orders!I333</f>
        <v/>
      </c>
      <c r="J333" s="55">
        <f>Orders!J333</f>
        <v/>
      </c>
      <c r="K333" s="55">
        <f>Orders!K333</f>
        <v/>
      </c>
      <c r="L333" s="55">
        <f>VLOOKUP(D333,Products!$A$2:$F$61,3,FALSE())</f>
        <v/>
      </c>
      <c r="M333" s="55">
        <f>VLOOKUP(C333,Customers!$A$2:$F$301,5,FALSE())</f>
        <v/>
      </c>
      <c r="N333" s="55">
        <f>VLOOKUP(E333,Sales_Reps!$A$2:$E$31,3,FALSE())</f>
        <v/>
      </c>
      <c r="O333" s="55">
        <f>VLOOKUP(D333,Products!$A$2:$F$61,4,FALSE())</f>
        <v/>
      </c>
      <c r="P333" s="55">
        <f>VLOOKUP(C333,Customers!$A$2:$F$301,3,FALSE())</f>
        <v/>
      </c>
      <c r="Q333" s="55">
        <f>UPPER(TRIM(K333))</f>
        <v/>
      </c>
      <c r="R333" s="55">
        <f>(G333-O333)/G333</f>
        <v/>
      </c>
      <c r="S333" s="55">
        <f>VLOOKUP(D333,Products!$A$2:$F$61,6,FALSE())</f>
        <v/>
      </c>
    </row>
    <row r="334" ht="15" customHeight="1" s="56">
      <c r="A334" s="55">
        <f>Orders!A334</f>
        <v/>
      </c>
      <c r="B334" s="103">
        <f>Orders!B334</f>
        <v/>
      </c>
      <c r="C334" s="55">
        <f>Orders!C334</f>
        <v/>
      </c>
      <c r="D334" s="55">
        <f>Orders!D334</f>
        <v/>
      </c>
      <c r="E334" s="55">
        <f>Orders!E334</f>
        <v/>
      </c>
      <c r="F334" s="55">
        <f>Orders!F334</f>
        <v/>
      </c>
      <c r="G334" s="55">
        <f>Orders!G334</f>
        <v/>
      </c>
      <c r="H334" s="55">
        <f>Orders!H334</f>
        <v/>
      </c>
      <c r="I334" s="55">
        <f>Orders!I334</f>
        <v/>
      </c>
      <c r="J334" s="55">
        <f>Orders!J334</f>
        <v/>
      </c>
      <c r="K334" s="55">
        <f>Orders!K334</f>
        <v/>
      </c>
      <c r="L334" s="55">
        <f>VLOOKUP(D334,Products!$A$2:$F$61,3,FALSE())</f>
        <v/>
      </c>
      <c r="M334" s="55">
        <f>VLOOKUP(C334,Customers!$A$2:$F$301,5,FALSE())</f>
        <v/>
      </c>
      <c r="N334" s="55">
        <f>VLOOKUP(E334,Sales_Reps!$A$2:$E$31,3,FALSE())</f>
        <v/>
      </c>
      <c r="O334" s="55">
        <f>VLOOKUP(D334,Products!$A$2:$F$61,4,FALSE())</f>
        <v/>
      </c>
      <c r="P334" s="55">
        <f>VLOOKUP(C334,Customers!$A$2:$F$301,3,FALSE())</f>
        <v/>
      </c>
      <c r="Q334" s="55">
        <f>UPPER(TRIM(K334))</f>
        <v/>
      </c>
      <c r="R334" s="55">
        <f>(G334-O334)/G334</f>
        <v/>
      </c>
      <c r="S334" s="55">
        <f>VLOOKUP(D334,Products!$A$2:$F$61,6,FALSE())</f>
        <v/>
      </c>
    </row>
    <row r="335" ht="15" customHeight="1" s="56">
      <c r="A335" s="55">
        <f>Orders!A335</f>
        <v/>
      </c>
      <c r="B335" s="103">
        <f>Orders!B335</f>
        <v/>
      </c>
      <c r="C335" s="55">
        <f>Orders!C335</f>
        <v/>
      </c>
      <c r="D335" s="55">
        <f>Orders!D335</f>
        <v/>
      </c>
      <c r="E335" s="55">
        <f>Orders!E335</f>
        <v/>
      </c>
      <c r="F335" s="55">
        <f>Orders!F335</f>
        <v/>
      </c>
      <c r="G335" s="55">
        <f>Orders!G335</f>
        <v/>
      </c>
      <c r="H335" s="55">
        <f>Orders!H335</f>
        <v/>
      </c>
      <c r="I335" s="55">
        <f>Orders!I335</f>
        <v/>
      </c>
      <c r="J335" s="55">
        <f>Orders!J335</f>
        <v/>
      </c>
      <c r="K335" s="55">
        <f>Orders!K335</f>
        <v/>
      </c>
      <c r="L335" s="55">
        <f>VLOOKUP(D335,Products!$A$2:$F$61,3,FALSE())</f>
        <v/>
      </c>
      <c r="M335" s="55">
        <f>VLOOKUP(C335,Customers!$A$2:$F$301,5,FALSE())</f>
        <v/>
      </c>
      <c r="N335" s="55">
        <f>VLOOKUP(E335,Sales_Reps!$A$2:$E$31,3,FALSE())</f>
        <v/>
      </c>
      <c r="O335" s="55">
        <f>VLOOKUP(D335,Products!$A$2:$F$61,4,FALSE())</f>
        <v/>
      </c>
      <c r="P335" s="55">
        <f>VLOOKUP(C335,Customers!$A$2:$F$301,3,FALSE())</f>
        <v/>
      </c>
      <c r="Q335" s="55">
        <f>UPPER(TRIM(K335))</f>
        <v/>
      </c>
      <c r="R335" s="55">
        <f>(G335-O335)/G335</f>
        <v/>
      </c>
      <c r="S335" s="55">
        <f>VLOOKUP(D335,Products!$A$2:$F$61,6,FALSE())</f>
        <v/>
      </c>
    </row>
    <row r="336" ht="15" customHeight="1" s="56">
      <c r="A336" s="55">
        <f>Orders!A336</f>
        <v/>
      </c>
      <c r="B336" s="103">
        <f>Orders!B336</f>
        <v/>
      </c>
      <c r="C336" s="55">
        <f>Orders!C336</f>
        <v/>
      </c>
      <c r="D336" s="55">
        <f>Orders!D336</f>
        <v/>
      </c>
      <c r="E336" s="55">
        <f>Orders!E336</f>
        <v/>
      </c>
      <c r="F336" s="55">
        <f>Orders!F336</f>
        <v/>
      </c>
      <c r="G336" s="55">
        <f>Orders!G336</f>
        <v/>
      </c>
      <c r="H336" s="55">
        <f>Orders!H336</f>
        <v/>
      </c>
      <c r="I336" s="55">
        <f>Orders!I336</f>
        <v/>
      </c>
      <c r="J336" s="55">
        <f>Orders!J336</f>
        <v/>
      </c>
      <c r="K336" s="55">
        <f>Orders!K336</f>
        <v/>
      </c>
      <c r="L336" s="55">
        <f>VLOOKUP(D336,Products!$A$2:$F$61,3,FALSE())</f>
        <v/>
      </c>
      <c r="M336" s="55">
        <f>VLOOKUP(C336,Customers!$A$2:$F$301,5,FALSE())</f>
        <v/>
      </c>
      <c r="N336" s="55">
        <f>VLOOKUP(E336,Sales_Reps!$A$2:$E$31,3,FALSE())</f>
        <v/>
      </c>
      <c r="O336" s="55">
        <f>VLOOKUP(D336,Products!$A$2:$F$61,4,FALSE())</f>
        <v/>
      </c>
      <c r="P336" s="55">
        <f>VLOOKUP(C336,Customers!$A$2:$F$301,3,FALSE())</f>
        <v/>
      </c>
      <c r="Q336" s="55">
        <f>UPPER(TRIM(K336))</f>
        <v/>
      </c>
      <c r="R336" s="55">
        <f>(G336-O336)/G336</f>
        <v/>
      </c>
      <c r="S336" s="55">
        <f>VLOOKUP(D336,Products!$A$2:$F$61,6,FALSE())</f>
        <v/>
      </c>
    </row>
    <row r="337" ht="15" customHeight="1" s="56">
      <c r="A337" s="55">
        <f>Orders!A337</f>
        <v/>
      </c>
      <c r="B337" s="103">
        <f>Orders!B337</f>
        <v/>
      </c>
      <c r="C337" s="55">
        <f>Orders!C337</f>
        <v/>
      </c>
      <c r="D337" s="55">
        <f>Orders!D337</f>
        <v/>
      </c>
      <c r="E337" s="55">
        <f>Orders!E337</f>
        <v/>
      </c>
      <c r="F337" s="55">
        <f>Orders!F337</f>
        <v/>
      </c>
      <c r="G337" s="55">
        <f>Orders!G337</f>
        <v/>
      </c>
      <c r="H337" s="55">
        <f>Orders!H337</f>
        <v/>
      </c>
      <c r="I337" s="55">
        <f>Orders!I337</f>
        <v/>
      </c>
      <c r="J337" s="55">
        <f>Orders!J337</f>
        <v/>
      </c>
      <c r="K337" s="55">
        <f>Orders!K337</f>
        <v/>
      </c>
      <c r="L337" s="55">
        <f>VLOOKUP(D337,Products!$A$2:$F$61,3,FALSE())</f>
        <v/>
      </c>
      <c r="M337" s="55">
        <f>VLOOKUP(C337,Customers!$A$2:$F$301,5,FALSE())</f>
        <v/>
      </c>
      <c r="N337" s="55">
        <f>VLOOKUP(E337,Sales_Reps!$A$2:$E$31,3,FALSE())</f>
        <v/>
      </c>
      <c r="O337" s="55">
        <f>VLOOKUP(D337,Products!$A$2:$F$61,4,FALSE())</f>
        <v/>
      </c>
      <c r="P337" s="55">
        <f>VLOOKUP(C337,Customers!$A$2:$F$301,3,FALSE())</f>
        <v/>
      </c>
      <c r="Q337" s="55">
        <f>UPPER(TRIM(K337))</f>
        <v/>
      </c>
      <c r="R337" s="55">
        <f>(G337-O337)/G337</f>
        <v/>
      </c>
      <c r="S337" s="55">
        <f>VLOOKUP(D337,Products!$A$2:$F$61,6,FALSE())</f>
        <v/>
      </c>
    </row>
    <row r="338" ht="15" customHeight="1" s="56">
      <c r="A338" s="55">
        <f>Orders!A338</f>
        <v/>
      </c>
      <c r="B338" s="103">
        <f>Orders!B338</f>
        <v/>
      </c>
      <c r="C338" s="55">
        <f>Orders!C338</f>
        <v/>
      </c>
      <c r="D338" s="55">
        <f>Orders!D338</f>
        <v/>
      </c>
      <c r="E338" s="55">
        <f>Orders!E338</f>
        <v/>
      </c>
      <c r="F338" s="55">
        <f>Orders!F338</f>
        <v/>
      </c>
      <c r="G338" s="55">
        <f>Orders!G338</f>
        <v/>
      </c>
      <c r="H338" s="55">
        <f>Orders!H338</f>
        <v/>
      </c>
      <c r="I338" s="55">
        <f>Orders!I338</f>
        <v/>
      </c>
      <c r="J338" s="55">
        <f>Orders!J338</f>
        <v/>
      </c>
      <c r="K338" s="55">
        <f>Orders!K338</f>
        <v/>
      </c>
      <c r="L338" s="55">
        <f>VLOOKUP(D338,Products!$A$2:$F$61,3,FALSE())</f>
        <v/>
      </c>
      <c r="M338" s="55">
        <f>VLOOKUP(C338,Customers!$A$2:$F$301,5,FALSE())</f>
        <v/>
      </c>
      <c r="N338" s="55">
        <f>VLOOKUP(E338,Sales_Reps!$A$2:$E$31,3,FALSE())</f>
        <v/>
      </c>
      <c r="O338" s="55">
        <f>VLOOKUP(D338,Products!$A$2:$F$61,4,FALSE())</f>
        <v/>
      </c>
      <c r="P338" s="55">
        <f>VLOOKUP(C338,Customers!$A$2:$F$301,3,FALSE())</f>
        <v/>
      </c>
      <c r="Q338" s="55">
        <f>UPPER(TRIM(K338))</f>
        <v/>
      </c>
      <c r="R338" s="55">
        <f>(G338-O338)/G338</f>
        <v/>
      </c>
      <c r="S338" s="55">
        <f>VLOOKUP(D338,Products!$A$2:$F$61,6,FALSE())</f>
        <v/>
      </c>
    </row>
    <row r="339" ht="15" customHeight="1" s="56">
      <c r="A339" s="55">
        <f>Orders!A339</f>
        <v/>
      </c>
      <c r="B339" s="103">
        <f>Orders!B339</f>
        <v/>
      </c>
      <c r="C339" s="55">
        <f>Orders!C339</f>
        <v/>
      </c>
      <c r="D339" s="55">
        <f>Orders!D339</f>
        <v/>
      </c>
      <c r="E339" s="55">
        <f>Orders!E339</f>
        <v/>
      </c>
      <c r="F339" s="55">
        <f>Orders!F339</f>
        <v/>
      </c>
      <c r="G339" s="55">
        <f>Orders!G339</f>
        <v/>
      </c>
      <c r="H339" s="55">
        <f>Orders!H339</f>
        <v/>
      </c>
      <c r="I339" s="55">
        <f>Orders!I339</f>
        <v/>
      </c>
      <c r="J339" s="55">
        <f>Orders!J339</f>
        <v/>
      </c>
      <c r="K339" s="55">
        <f>Orders!K339</f>
        <v/>
      </c>
      <c r="L339" s="55">
        <f>VLOOKUP(D339,Products!$A$2:$F$61,3,FALSE())</f>
        <v/>
      </c>
      <c r="M339" s="55">
        <f>VLOOKUP(C339,Customers!$A$2:$F$301,5,FALSE())</f>
        <v/>
      </c>
      <c r="N339" s="55">
        <f>VLOOKUP(E339,Sales_Reps!$A$2:$E$31,3,FALSE())</f>
        <v/>
      </c>
      <c r="O339" s="55">
        <f>VLOOKUP(D339,Products!$A$2:$F$61,4,FALSE())</f>
        <v/>
      </c>
      <c r="P339" s="55">
        <f>VLOOKUP(C339,Customers!$A$2:$F$301,3,FALSE())</f>
        <v/>
      </c>
      <c r="Q339" s="55">
        <f>UPPER(TRIM(K339))</f>
        <v/>
      </c>
      <c r="R339" s="55">
        <f>(G339-O339)/G339</f>
        <v/>
      </c>
      <c r="S339" s="55">
        <f>VLOOKUP(D339,Products!$A$2:$F$61,6,FALSE())</f>
        <v/>
      </c>
    </row>
    <row r="340" ht="15" customHeight="1" s="56">
      <c r="A340" s="55">
        <f>Orders!A340</f>
        <v/>
      </c>
      <c r="B340" s="103">
        <f>Orders!B340</f>
        <v/>
      </c>
      <c r="C340" s="55">
        <f>Orders!C340</f>
        <v/>
      </c>
      <c r="D340" s="55">
        <f>Orders!D340</f>
        <v/>
      </c>
      <c r="E340" s="55">
        <f>Orders!E340</f>
        <v/>
      </c>
      <c r="F340" s="55">
        <f>Orders!F340</f>
        <v/>
      </c>
      <c r="G340" s="55">
        <f>Orders!G340</f>
        <v/>
      </c>
      <c r="H340" s="55">
        <f>Orders!H340</f>
        <v/>
      </c>
      <c r="I340" s="55">
        <f>Orders!I340</f>
        <v/>
      </c>
      <c r="J340" s="55">
        <f>Orders!J340</f>
        <v/>
      </c>
      <c r="K340" s="55">
        <f>Orders!K340</f>
        <v/>
      </c>
      <c r="L340" s="55">
        <f>VLOOKUP(D340,Products!$A$2:$F$61,3,FALSE())</f>
        <v/>
      </c>
      <c r="M340" s="55">
        <f>VLOOKUP(C340,Customers!$A$2:$F$301,5,FALSE())</f>
        <v/>
      </c>
      <c r="N340" s="55">
        <f>VLOOKUP(E340,Sales_Reps!$A$2:$E$31,3,FALSE())</f>
        <v/>
      </c>
      <c r="O340" s="55">
        <f>VLOOKUP(D340,Products!$A$2:$F$61,4,FALSE())</f>
        <v/>
      </c>
      <c r="P340" s="55">
        <f>VLOOKUP(C340,Customers!$A$2:$F$301,3,FALSE())</f>
        <v/>
      </c>
      <c r="Q340" s="55">
        <f>UPPER(TRIM(K340))</f>
        <v/>
      </c>
      <c r="R340" s="55">
        <f>(G340-O340)/G340</f>
        <v/>
      </c>
      <c r="S340" s="55">
        <f>VLOOKUP(D340,Products!$A$2:$F$61,6,FALSE())</f>
        <v/>
      </c>
    </row>
    <row r="341" ht="15" customHeight="1" s="56">
      <c r="A341" s="55">
        <f>Orders!A341</f>
        <v/>
      </c>
      <c r="B341" s="103">
        <f>Orders!B341</f>
        <v/>
      </c>
      <c r="C341" s="55">
        <f>Orders!C341</f>
        <v/>
      </c>
      <c r="D341" s="55">
        <f>Orders!D341</f>
        <v/>
      </c>
      <c r="E341" s="55">
        <f>Orders!E341</f>
        <v/>
      </c>
      <c r="F341" s="55">
        <f>Orders!F341</f>
        <v/>
      </c>
      <c r="G341" s="55">
        <f>Orders!G341</f>
        <v/>
      </c>
      <c r="H341" s="55">
        <f>Orders!H341</f>
        <v/>
      </c>
      <c r="I341" s="55">
        <f>Orders!I341</f>
        <v/>
      </c>
      <c r="J341" s="55">
        <f>Orders!J341</f>
        <v/>
      </c>
      <c r="K341" s="55">
        <f>Orders!K341</f>
        <v/>
      </c>
      <c r="L341" s="55">
        <f>VLOOKUP(D341,Products!$A$2:$F$61,3,FALSE())</f>
        <v/>
      </c>
      <c r="M341" s="55">
        <f>VLOOKUP(C341,Customers!$A$2:$F$301,5,FALSE())</f>
        <v/>
      </c>
      <c r="N341" s="55">
        <f>VLOOKUP(E341,Sales_Reps!$A$2:$E$31,3,FALSE())</f>
        <v/>
      </c>
      <c r="O341" s="55">
        <f>VLOOKUP(D341,Products!$A$2:$F$61,4,FALSE())</f>
        <v/>
      </c>
      <c r="P341" s="55">
        <f>VLOOKUP(C341,Customers!$A$2:$F$301,3,FALSE())</f>
        <v/>
      </c>
      <c r="Q341" s="55">
        <f>UPPER(TRIM(K341))</f>
        <v/>
      </c>
      <c r="R341" s="55">
        <f>(G341-O341)/G341</f>
        <v/>
      </c>
      <c r="S341" s="55">
        <f>VLOOKUP(D341,Products!$A$2:$F$61,6,FALSE())</f>
        <v/>
      </c>
    </row>
    <row r="342" ht="15" customHeight="1" s="56">
      <c r="A342" s="55">
        <f>Orders!A342</f>
        <v/>
      </c>
      <c r="B342" s="103">
        <f>Orders!B342</f>
        <v/>
      </c>
      <c r="C342" s="55">
        <f>Orders!C342</f>
        <v/>
      </c>
      <c r="D342" s="55">
        <f>Orders!D342</f>
        <v/>
      </c>
      <c r="E342" s="55">
        <f>Orders!E342</f>
        <v/>
      </c>
      <c r="F342" s="55">
        <f>Orders!F342</f>
        <v/>
      </c>
      <c r="G342" s="55">
        <f>Orders!G342</f>
        <v/>
      </c>
      <c r="H342" s="55">
        <f>Orders!H342</f>
        <v/>
      </c>
      <c r="I342" s="55">
        <f>Orders!I342</f>
        <v/>
      </c>
      <c r="J342" s="55">
        <f>Orders!J342</f>
        <v/>
      </c>
      <c r="K342" s="55">
        <f>Orders!K342</f>
        <v/>
      </c>
      <c r="L342" s="55">
        <f>VLOOKUP(D342,Products!$A$2:$F$61,3,FALSE())</f>
        <v/>
      </c>
      <c r="M342" s="55">
        <f>VLOOKUP(C342,Customers!$A$2:$F$301,5,FALSE())</f>
        <v/>
      </c>
      <c r="N342" s="55">
        <f>VLOOKUP(E342,Sales_Reps!$A$2:$E$31,3,FALSE())</f>
        <v/>
      </c>
      <c r="O342" s="55">
        <f>VLOOKUP(D342,Products!$A$2:$F$61,4,FALSE())</f>
        <v/>
      </c>
      <c r="P342" s="55">
        <f>VLOOKUP(C342,Customers!$A$2:$F$301,3,FALSE())</f>
        <v/>
      </c>
      <c r="Q342" s="55">
        <f>UPPER(TRIM(K342))</f>
        <v/>
      </c>
      <c r="R342" s="55">
        <f>(G342-O342)/G342</f>
        <v/>
      </c>
      <c r="S342" s="55">
        <f>VLOOKUP(D342,Products!$A$2:$F$61,6,FALSE())</f>
        <v/>
      </c>
    </row>
    <row r="343" ht="15" customHeight="1" s="56">
      <c r="A343" s="55">
        <f>Orders!A343</f>
        <v/>
      </c>
      <c r="B343" s="103">
        <f>Orders!B343</f>
        <v/>
      </c>
      <c r="C343" s="55">
        <f>Orders!C343</f>
        <v/>
      </c>
      <c r="D343" s="55">
        <f>Orders!D343</f>
        <v/>
      </c>
      <c r="E343" s="55">
        <f>Orders!E343</f>
        <v/>
      </c>
      <c r="F343" s="55">
        <f>Orders!F343</f>
        <v/>
      </c>
      <c r="G343" s="55">
        <f>Orders!G343</f>
        <v/>
      </c>
      <c r="H343" s="55">
        <f>Orders!H343</f>
        <v/>
      </c>
      <c r="I343" s="55">
        <f>Orders!I343</f>
        <v/>
      </c>
      <c r="J343" s="55">
        <f>Orders!J343</f>
        <v/>
      </c>
      <c r="K343" s="55">
        <f>Orders!K343</f>
        <v/>
      </c>
      <c r="L343" s="55">
        <f>VLOOKUP(D343,Products!$A$2:$F$61,3,FALSE())</f>
        <v/>
      </c>
      <c r="M343" s="55">
        <f>VLOOKUP(C343,Customers!$A$2:$F$301,5,FALSE())</f>
        <v/>
      </c>
      <c r="N343" s="55">
        <f>VLOOKUP(E343,Sales_Reps!$A$2:$E$31,3,FALSE())</f>
        <v/>
      </c>
      <c r="O343" s="55">
        <f>VLOOKUP(D343,Products!$A$2:$F$61,4,FALSE())</f>
        <v/>
      </c>
      <c r="P343" s="55">
        <f>VLOOKUP(C343,Customers!$A$2:$F$301,3,FALSE())</f>
        <v/>
      </c>
      <c r="Q343" s="55">
        <f>UPPER(TRIM(K343))</f>
        <v/>
      </c>
      <c r="R343" s="55">
        <f>(G343-O343)/G343</f>
        <v/>
      </c>
      <c r="S343" s="55">
        <f>VLOOKUP(D343,Products!$A$2:$F$61,6,FALSE())</f>
        <v/>
      </c>
    </row>
    <row r="344" ht="15" customHeight="1" s="56">
      <c r="A344" s="55">
        <f>Orders!A344</f>
        <v/>
      </c>
      <c r="B344" s="103">
        <f>Orders!B344</f>
        <v/>
      </c>
      <c r="C344" s="55">
        <f>Orders!C344</f>
        <v/>
      </c>
      <c r="D344" s="55">
        <f>Orders!D344</f>
        <v/>
      </c>
      <c r="E344" s="55">
        <f>Orders!E344</f>
        <v/>
      </c>
      <c r="F344" s="55">
        <f>Orders!F344</f>
        <v/>
      </c>
      <c r="G344" s="55">
        <f>Orders!G344</f>
        <v/>
      </c>
      <c r="H344" s="55">
        <f>Orders!H344</f>
        <v/>
      </c>
      <c r="I344" s="55">
        <f>Orders!I344</f>
        <v/>
      </c>
      <c r="J344" s="55">
        <f>Orders!J344</f>
        <v/>
      </c>
      <c r="K344" s="55">
        <f>Orders!K344</f>
        <v/>
      </c>
      <c r="L344" s="55">
        <f>VLOOKUP(D344,Products!$A$2:$F$61,3,FALSE())</f>
        <v/>
      </c>
      <c r="M344" s="55">
        <f>VLOOKUP(C344,Customers!$A$2:$F$301,5,FALSE())</f>
        <v/>
      </c>
      <c r="N344" s="55">
        <f>VLOOKUP(E344,Sales_Reps!$A$2:$E$31,3,FALSE())</f>
        <v/>
      </c>
      <c r="O344" s="55">
        <f>VLOOKUP(D344,Products!$A$2:$F$61,4,FALSE())</f>
        <v/>
      </c>
      <c r="P344" s="55">
        <f>VLOOKUP(C344,Customers!$A$2:$F$301,3,FALSE())</f>
        <v/>
      </c>
      <c r="Q344" s="55">
        <f>UPPER(TRIM(K344))</f>
        <v/>
      </c>
      <c r="R344" s="55">
        <f>(G344-O344)/G344</f>
        <v/>
      </c>
      <c r="S344" s="55">
        <f>VLOOKUP(D344,Products!$A$2:$F$61,6,FALSE())</f>
        <v/>
      </c>
    </row>
    <row r="345" ht="15" customHeight="1" s="56">
      <c r="A345" s="55">
        <f>Orders!A345</f>
        <v/>
      </c>
      <c r="B345" s="103">
        <f>Orders!B345</f>
        <v/>
      </c>
      <c r="C345" s="55">
        <f>Orders!C345</f>
        <v/>
      </c>
      <c r="D345" s="55">
        <f>Orders!D345</f>
        <v/>
      </c>
      <c r="E345" s="55">
        <f>Orders!E345</f>
        <v/>
      </c>
      <c r="F345" s="55">
        <f>Orders!F345</f>
        <v/>
      </c>
      <c r="G345" s="55">
        <f>Orders!G345</f>
        <v/>
      </c>
      <c r="H345" s="55">
        <f>Orders!H345</f>
        <v/>
      </c>
      <c r="I345" s="55">
        <f>Orders!I345</f>
        <v/>
      </c>
      <c r="J345" s="55">
        <f>Orders!J345</f>
        <v/>
      </c>
      <c r="K345" s="55">
        <f>Orders!K345</f>
        <v/>
      </c>
      <c r="L345" s="55">
        <f>VLOOKUP(D345,Products!$A$2:$F$61,3,FALSE())</f>
        <v/>
      </c>
      <c r="M345" s="55">
        <f>VLOOKUP(C345,Customers!$A$2:$F$301,5,FALSE())</f>
        <v/>
      </c>
      <c r="N345" s="55">
        <f>VLOOKUP(E345,Sales_Reps!$A$2:$E$31,3,FALSE())</f>
        <v/>
      </c>
      <c r="O345" s="55">
        <f>VLOOKUP(D345,Products!$A$2:$F$61,4,FALSE())</f>
        <v/>
      </c>
      <c r="P345" s="55">
        <f>VLOOKUP(C345,Customers!$A$2:$F$301,3,FALSE())</f>
        <v/>
      </c>
      <c r="Q345" s="55">
        <f>UPPER(TRIM(K345))</f>
        <v/>
      </c>
      <c r="R345" s="55">
        <f>(G345-O345)/G345</f>
        <v/>
      </c>
      <c r="S345" s="55">
        <f>VLOOKUP(D345,Products!$A$2:$F$61,6,FALSE())</f>
        <v/>
      </c>
    </row>
    <row r="346" ht="15" customHeight="1" s="56">
      <c r="A346" s="55">
        <f>Orders!A346</f>
        <v/>
      </c>
      <c r="B346" s="103">
        <f>Orders!B346</f>
        <v/>
      </c>
      <c r="C346" s="55">
        <f>Orders!C346</f>
        <v/>
      </c>
      <c r="D346" s="55">
        <f>Orders!D346</f>
        <v/>
      </c>
      <c r="E346" s="55">
        <f>Orders!E346</f>
        <v/>
      </c>
      <c r="F346" s="55">
        <f>Orders!F346</f>
        <v/>
      </c>
      <c r="G346" s="55">
        <f>Orders!G346</f>
        <v/>
      </c>
      <c r="H346" s="55">
        <f>Orders!H346</f>
        <v/>
      </c>
      <c r="I346" s="55">
        <f>Orders!I346</f>
        <v/>
      </c>
      <c r="J346" s="55">
        <f>Orders!J346</f>
        <v/>
      </c>
      <c r="K346" s="55">
        <f>Orders!K346</f>
        <v/>
      </c>
      <c r="L346" s="55">
        <f>VLOOKUP(D346,Products!$A$2:$F$61,3,FALSE())</f>
        <v/>
      </c>
      <c r="M346" s="55">
        <f>VLOOKUP(C346,Customers!$A$2:$F$301,5,FALSE())</f>
        <v/>
      </c>
      <c r="N346" s="55">
        <f>VLOOKUP(E346,Sales_Reps!$A$2:$E$31,3,FALSE())</f>
        <v/>
      </c>
      <c r="O346" s="55">
        <f>VLOOKUP(D346,Products!$A$2:$F$61,4,FALSE())</f>
        <v/>
      </c>
      <c r="P346" s="55">
        <f>VLOOKUP(C346,Customers!$A$2:$F$301,3,FALSE())</f>
        <v/>
      </c>
      <c r="Q346" s="55">
        <f>UPPER(TRIM(K346))</f>
        <v/>
      </c>
      <c r="R346" s="55">
        <f>(G346-O346)/G346</f>
        <v/>
      </c>
      <c r="S346" s="55">
        <f>VLOOKUP(D346,Products!$A$2:$F$61,6,FALSE())</f>
        <v/>
      </c>
    </row>
    <row r="347" ht="15" customHeight="1" s="56">
      <c r="A347" s="55">
        <f>Orders!A347</f>
        <v/>
      </c>
      <c r="B347" s="103">
        <f>Orders!B347</f>
        <v/>
      </c>
      <c r="C347" s="55">
        <f>Orders!C347</f>
        <v/>
      </c>
      <c r="D347" s="55">
        <f>Orders!D347</f>
        <v/>
      </c>
      <c r="E347" s="55">
        <f>Orders!E347</f>
        <v/>
      </c>
      <c r="F347" s="55">
        <f>Orders!F347</f>
        <v/>
      </c>
      <c r="G347" s="55">
        <f>Orders!G347</f>
        <v/>
      </c>
      <c r="H347" s="55">
        <f>Orders!H347</f>
        <v/>
      </c>
      <c r="I347" s="55">
        <f>Orders!I347</f>
        <v/>
      </c>
      <c r="J347" s="55">
        <f>Orders!J347</f>
        <v/>
      </c>
      <c r="K347" s="55">
        <f>Orders!K347</f>
        <v/>
      </c>
      <c r="L347" s="55">
        <f>VLOOKUP(D347,Products!$A$2:$F$61,3,FALSE())</f>
        <v/>
      </c>
      <c r="M347" s="55">
        <f>VLOOKUP(C347,Customers!$A$2:$F$301,5,FALSE())</f>
        <v/>
      </c>
      <c r="N347" s="55">
        <f>VLOOKUP(E347,Sales_Reps!$A$2:$E$31,3,FALSE())</f>
        <v/>
      </c>
      <c r="O347" s="55">
        <f>VLOOKUP(D347,Products!$A$2:$F$61,4,FALSE())</f>
        <v/>
      </c>
      <c r="P347" s="55">
        <f>VLOOKUP(C347,Customers!$A$2:$F$301,3,FALSE())</f>
        <v/>
      </c>
      <c r="Q347" s="55">
        <f>UPPER(TRIM(K347))</f>
        <v/>
      </c>
      <c r="R347" s="55">
        <f>(G347-O347)/G347</f>
        <v/>
      </c>
      <c r="S347" s="55">
        <f>VLOOKUP(D347,Products!$A$2:$F$61,6,FALSE())</f>
        <v/>
      </c>
    </row>
    <row r="348" ht="15" customHeight="1" s="56">
      <c r="A348" s="55">
        <f>Orders!A348</f>
        <v/>
      </c>
      <c r="B348" s="103">
        <f>Orders!B348</f>
        <v/>
      </c>
      <c r="C348" s="55">
        <f>Orders!C348</f>
        <v/>
      </c>
      <c r="D348" s="55">
        <f>Orders!D348</f>
        <v/>
      </c>
      <c r="E348" s="55">
        <f>Orders!E348</f>
        <v/>
      </c>
      <c r="F348" s="55">
        <f>Orders!F348</f>
        <v/>
      </c>
      <c r="G348" s="55">
        <f>Orders!G348</f>
        <v/>
      </c>
      <c r="H348" s="55">
        <f>Orders!H348</f>
        <v/>
      </c>
      <c r="I348" s="55">
        <f>Orders!I348</f>
        <v/>
      </c>
      <c r="J348" s="55">
        <f>Orders!J348</f>
        <v/>
      </c>
      <c r="K348" s="55">
        <f>Orders!K348</f>
        <v/>
      </c>
      <c r="L348" s="55">
        <f>VLOOKUP(D348,Products!$A$2:$F$61,3,FALSE())</f>
        <v/>
      </c>
      <c r="M348" s="55">
        <f>VLOOKUP(C348,Customers!$A$2:$F$301,5,FALSE())</f>
        <v/>
      </c>
      <c r="N348" s="55">
        <f>VLOOKUP(E348,Sales_Reps!$A$2:$E$31,3,FALSE())</f>
        <v/>
      </c>
      <c r="O348" s="55">
        <f>VLOOKUP(D348,Products!$A$2:$F$61,4,FALSE())</f>
        <v/>
      </c>
      <c r="P348" s="55">
        <f>VLOOKUP(C348,Customers!$A$2:$F$301,3,FALSE())</f>
        <v/>
      </c>
      <c r="Q348" s="55">
        <f>UPPER(TRIM(K348))</f>
        <v/>
      </c>
      <c r="R348" s="55">
        <f>(G348-O348)/G348</f>
        <v/>
      </c>
      <c r="S348" s="55">
        <f>VLOOKUP(D348,Products!$A$2:$F$61,6,FALSE())</f>
        <v/>
      </c>
    </row>
    <row r="349" ht="15" customHeight="1" s="56">
      <c r="A349" s="55">
        <f>Orders!A349</f>
        <v/>
      </c>
      <c r="B349" s="103">
        <f>Orders!B349</f>
        <v/>
      </c>
      <c r="C349" s="55">
        <f>Orders!C349</f>
        <v/>
      </c>
      <c r="D349" s="55">
        <f>Orders!D349</f>
        <v/>
      </c>
      <c r="E349" s="55">
        <f>Orders!E349</f>
        <v/>
      </c>
      <c r="F349" s="55">
        <f>Orders!F349</f>
        <v/>
      </c>
      <c r="G349" s="55">
        <f>Orders!G349</f>
        <v/>
      </c>
      <c r="H349" s="55">
        <f>Orders!H349</f>
        <v/>
      </c>
      <c r="I349" s="55">
        <f>Orders!I349</f>
        <v/>
      </c>
      <c r="J349" s="55">
        <f>Orders!J349</f>
        <v/>
      </c>
      <c r="K349" s="55">
        <f>Orders!K349</f>
        <v/>
      </c>
      <c r="L349" s="55">
        <f>VLOOKUP(D349,Products!$A$2:$F$61,3,FALSE())</f>
        <v/>
      </c>
      <c r="M349" s="55">
        <f>VLOOKUP(C349,Customers!$A$2:$F$301,5,FALSE())</f>
        <v/>
      </c>
      <c r="N349" s="55">
        <f>VLOOKUP(E349,Sales_Reps!$A$2:$E$31,3,FALSE())</f>
        <v/>
      </c>
      <c r="O349" s="55">
        <f>VLOOKUP(D349,Products!$A$2:$F$61,4,FALSE())</f>
        <v/>
      </c>
      <c r="P349" s="55">
        <f>VLOOKUP(C349,Customers!$A$2:$F$301,3,FALSE())</f>
        <v/>
      </c>
      <c r="Q349" s="55">
        <f>UPPER(TRIM(K349))</f>
        <v/>
      </c>
      <c r="R349" s="55">
        <f>(G349-O349)/G349</f>
        <v/>
      </c>
      <c r="S349" s="55">
        <f>VLOOKUP(D349,Products!$A$2:$F$61,6,FALSE())</f>
        <v/>
      </c>
    </row>
    <row r="350" ht="15" customHeight="1" s="56">
      <c r="A350" s="55">
        <f>Orders!A350</f>
        <v/>
      </c>
      <c r="B350" s="103">
        <f>Orders!B350</f>
        <v/>
      </c>
      <c r="C350" s="55">
        <f>Orders!C350</f>
        <v/>
      </c>
      <c r="D350" s="55">
        <f>Orders!D350</f>
        <v/>
      </c>
      <c r="E350" s="55">
        <f>Orders!E350</f>
        <v/>
      </c>
      <c r="F350" s="55">
        <f>Orders!F350</f>
        <v/>
      </c>
      <c r="G350" s="55">
        <f>Orders!G350</f>
        <v/>
      </c>
      <c r="H350" s="55">
        <f>Orders!H350</f>
        <v/>
      </c>
      <c r="I350" s="55">
        <f>Orders!I350</f>
        <v/>
      </c>
      <c r="J350" s="55">
        <f>Orders!J350</f>
        <v/>
      </c>
      <c r="K350" s="55">
        <f>Orders!K350</f>
        <v/>
      </c>
      <c r="L350" s="55">
        <f>VLOOKUP(D350,Products!$A$2:$F$61,3,FALSE())</f>
        <v/>
      </c>
      <c r="M350" s="55">
        <f>VLOOKUP(C350,Customers!$A$2:$F$301,5,FALSE())</f>
        <v/>
      </c>
      <c r="N350" s="55">
        <f>VLOOKUP(E350,Sales_Reps!$A$2:$E$31,3,FALSE())</f>
        <v/>
      </c>
      <c r="O350" s="55">
        <f>VLOOKUP(D350,Products!$A$2:$F$61,4,FALSE())</f>
        <v/>
      </c>
      <c r="P350" s="55">
        <f>VLOOKUP(C350,Customers!$A$2:$F$301,3,FALSE())</f>
        <v/>
      </c>
      <c r="Q350" s="55">
        <f>UPPER(TRIM(K350))</f>
        <v/>
      </c>
      <c r="R350" s="55">
        <f>(G350-O350)/G350</f>
        <v/>
      </c>
      <c r="S350" s="55">
        <f>VLOOKUP(D350,Products!$A$2:$F$61,6,FALSE())</f>
        <v/>
      </c>
    </row>
    <row r="351" ht="15" customHeight="1" s="56">
      <c r="A351" s="55">
        <f>Orders!A351</f>
        <v/>
      </c>
      <c r="B351" s="103">
        <f>Orders!B351</f>
        <v/>
      </c>
      <c r="C351" s="55">
        <f>Orders!C351</f>
        <v/>
      </c>
      <c r="D351" s="55">
        <f>Orders!D351</f>
        <v/>
      </c>
      <c r="E351" s="55">
        <f>Orders!E351</f>
        <v/>
      </c>
      <c r="F351" s="55">
        <f>Orders!F351</f>
        <v/>
      </c>
      <c r="G351" s="55">
        <f>Orders!G351</f>
        <v/>
      </c>
      <c r="H351" s="55">
        <f>Orders!H351</f>
        <v/>
      </c>
      <c r="I351" s="55">
        <f>Orders!I351</f>
        <v/>
      </c>
      <c r="J351" s="55">
        <f>Orders!J351</f>
        <v/>
      </c>
      <c r="K351" s="55">
        <f>Orders!K351</f>
        <v/>
      </c>
      <c r="L351" s="55">
        <f>VLOOKUP(D351,Products!$A$2:$F$61,3,FALSE())</f>
        <v/>
      </c>
      <c r="M351" s="55">
        <f>VLOOKUP(C351,Customers!$A$2:$F$301,5,FALSE())</f>
        <v/>
      </c>
      <c r="N351" s="55">
        <f>VLOOKUP(E351,Sales_Reps!$A$2:$E$31,3,FALSE())</f>
        <v/>
      </c>
      <c r="O351" s="55">
        <f>VLOOKUP(D351,Products!$A$2:$F$61,4,FALSE())</f>
        <v/>
      </c>
      <c r="P351" s="55">
        <f>VLOOKUP(C351,Customers!$A$2:$F$301,3,FALSE())</f>
        <v/>
      </c>
      <c r="Q351" s="55">
        <f>UPPER(TRIM(K351))</f>
        <v/>
      </c>
      <c r="R351" s="55">
        <f>(G351-O351)/G351</f>
        <v/>
      </c>
      <c r="S351" s="55">
        <f>VLOOKUP(D351,Products!$A$2:$F$61,6,FALSE())</f>
        <v/>
      </c>
    </row>
    <row r="352" ht="15" customHeight="1" s="56">
      <c r="A352" s="55">
        <f>Orders!A352</f>
        <v/>
      </c>
      <c r="B352" s="103">
        <f>Orders!B352</f>
        <v/>
      </c>
      <c r="C352" s="55">
        <f>Orders!C352</f>
        <v/>
      </c>
      <c r="D352" s="55">
        <f>Orders!D352</f>
        <v/>
      </c>
      <c r="E352" s="55">
        <f>Orders!E352</f>
        <v/>
      </c>
      <c r="F352" s="55">
        <f>Orders!F352</f>
        <v/>
      </c>
      <c r="G352" s="55">
        <f>Orders!G352</f>
        <v/>
      </c>
      <c r="H352" s="55">
        <f>Orders!H352</f>
        <v/>
      </c>
      <c r="I352" s="55">
        <f>Orders!I352</f>
        <v/>
      </c>
      <c r="J352" s="55">
        <f>Orders!J352</f>
        <v/>
      </c>
      <c r="K352" s="55">
        <f>Orders!K352</f>
        <v/>
      </c>
      <c r="L352" s="55">
        <f>VLOOKUP(D352,Products!$A$2:$F$61,3,FALSE())</f>
        <v/>
      </c>
      <c r="M352" s="55">
        <f>VLOOKUP(C352,Customers!$A$2:$F$301,5,FALSE())</f>
        <v/>
      </c>
      <c r="N352" s="55">
        <f>VLOOKUP(E352,Sales_Reps!$A$2:$E$31,3,FALSE())</f>
        <v/>
      </c>
      <c r="O352" s="55">
        <f>VLOOKUP(D352,Products!$A$2:$F$61,4,FALSE())</f>
        <v/>
      </c>
      <c r="P352" s="55">
        <f>VLOOKUP(C352,Customers!$A$2:$F$301,3,FALSE())</f>
        <v/>
      </c>
      <c r="Q352" s="55">
        <f>UPPER(TRIM(K352))</f>
        <v/>
      </c>
      <c r="R352" s="55">
        <f>(G352-O352)/G352</f>
        <v/>
      </c>
      <c r="S352" s="55">
        <f>VLOOKUP(D352,Products!$A$2:$F$61,6,FALSE())</f>
        <v/>
      </c>
    </row>
    <row r="353" ht="15" customHeight="1" s="56">
      <c r="A353" s="55">
        <f>Orders!A353</f>
        <v/>
      </c>
      <c r="B353" s="103">
        <f>Orders!B353</f>
        <v/>
      </c>
      <c r="C353" s="55">
        <f>Orders!C353</f>
        <v/>
      </c>
      <c r="D353" s="55">
        <f>Orders!D353</f>
        <v/>
      </c>
      <c r="E353" s="55">
        <f>Orders!E353</f>
        <v/>
      </c>
      <c r="F353" s="55">
        <f>Orders!F353</f>
        <v/>
      </c>
      <c r="G353" s="55">
        <f>Orders!G353</f>
        <v/>
      </c>
      <c r="H353" s="55">
        <f>Orders!H353</f>
        <v/>
      </c>
      <c r="I353" s="55">
        <f>Orders!I353</f>
        <v/>
      </c>
      <c r="J353" s="55">
        <f>Orders!J353</f>
        <v/>
      </c>
      <c r="K353" s="55">
        <f>Orders!K353</f>
        <v/>
      </c>
      <c r="L353" s="55">
        <f>VLOOKUP(D353,Products!$A$2:$F$61,3,FALSE())</f>
        <v/>
      </c>
      <c r="M353" s="55">
        <f>VLOOKUP(C353,Customers!$A$2:$F$301,5,FALSE())</f>
        <v/>
      </c>
      <c r="N353" s="55">
        <f>VLOOKUP(E353,Sales_Reps!$A$2:$E$31,3,FALSE())</f>
        <v/>
      </c>
      <c r="O353" s="55">
        <f>VLOOKUP(D353,Products!$A$2:$F$61,4,FALSE())</f>
        <v/>
      </c>
      <c r="P353" s="55">
        <f>VLOOKUP(C353,Customers!$A$2:$F$301,3,FALSE())</f>
        <v/>
      </c>
      <c r="Q353" s="55">
        <f>UPPER(TRIM(K353))</f>
        <v/>
      </c>
      <c r="R353" s="55">
        <f>(G353-O353)/G353</f>
        <v/>
      </c>
      <c r="S353" s="55">
        <f>VLOOKUP(D353,Products!$A$2:$F$61,6,FALSE())</f>
        <v/>
      </c>
    </row>
    <row r="354" ht="15" customHeight="1" s="56">
      <c r="A354" s="55">
        <f>Orders!A354</f>
        <v/>
      </c>
      <c r="B354" s="103">
        <f>Orders!B354</f>
        <v/>
      </c>
      <c r="C354" s="55">
        <f>Orders!C354</f>
        <v/>
      </c>
      <c r="D354" s="55">
        <f>Orders!D354</f>
        <v/>
      </c>
      <c r="E354" s="55">
        <f>Orders!E354</f>
        <v/>
      </c>
      <c r="F354" s="55">
        <f>Orders!F354</f>
        <v/>
      </c>
      <c r="G354" s="55">
        <f>Orders!G354</f>
        <v/>
      </c>
      <c r="H354" s="55">
        <f>Orders!H354</f>
        <v/>
      </c>
      <c r="I354" s="55">
        <f>Orders!I354</f>
        <v/>
      </c>
      <c r="J354" s="55">
        <f>Orders!J354</f>
        <v/>
      </c>
      <c r="K354" s="55">
        <f>Orders!K354</f>
        <v/>
      </c>
      <c r="L354" s="55">
        <f>VLOOKUP(D354,Products!$A$2:$F$61,3,FALSE())</f>
        <v/>
      </c>
      <c r="M354" s="55">
        <f>VLOOKUP(C354,Customers!$A$2:$F$301,5,FALSE())</f>
        <v/>
      </c>
      <c r="N354" s="55">
        <f>VLOOKUP(E354,Sales_Reps!$A$2:$E$31,3,FALSE())</f>
        <v/>
      </c>
      <c r="O354" s="55">
        <f>VLOOKUP(D354,Products!$A$2:$F$61,4,FALSE())</f>
        <v/>
      </c>
      <c r="P354" s="55">
        <f>VLOOKUP(C354,Customers!$A$2:$F$301,3,FALSE())</f>
        <v/>
      </c>
      <c r="Q354" s="55">
        <f>UPPER(TRIM(K354))</f>
        <v/>
      </c>
      <c r="R354" s="55">
        <f>(G354-O354)/G354</f>
        <v/>
      </c>
      <c r="S354" s="55">
        <f>VLOOKUP(D354,Products!$A$2:$F$61,6,FALSE())</f>
        <v/>
      </c>
    </row>
    <row r="355" ht="15" customHeight="1" s="56">
      <c r="A355" s="55">
        <f>Orders!A355</f>
        <v/>
      </c>
      <c r="B355" s="103">
        <f>Orders!B355</f>
        <v/>
      </c>
      <c r="C355" s="55">
        <f>Orders!C355</f>
        <v/>
      </c>
      <c r="D355" s="55">
        <f>Orders!D355</f>
        <v/>
      </c>
      <c r="E355" s="55">
        <f>Orders!E355</f>
        <v/>
      </c>
      <c r="F355" s="55">
        <f>Orders!F355</f>
        <v/>
      </c>
      <c r="G355" s="55">
        <f>Orders!G355</f>
        <v/>
      </c>
      <c r="H355" s="55">
        <f>Orders!H355</f>
        <v/>
      </c>
      <c r="I355" s="55">
        <f>Orders!I355</f>
        <v/>
      </c>
      <c r="J355" s="55">
        <f>Orders!J355</f>
        <v/>
      </c>
      <c r="K355" s="55">
        <f>Orders!K355</f>
        <v/>
      </c>
      <c r="L355" s="55">
        <f>VLOOKUP(D355,Products!$A$2:$F$61,3,FALSE())</f>
        <v/>
      </c>
      <c r="M355" s="55">
        <f>VLOOKUP(C355,Customers!$A$2:$F$301,5,FALSE())</f>
        <v/>
      </c>
      <c r="N355" s="55">
        <f>VLOOKUP(E355,Sales_Reps!$A$2:$E$31,3,FALSE())</f>
        <v/>
      </c>
      <c r="O355" s="55">
        <f>VLOOKUP(D355,Products!$A$2:$F$61,4,FALSE())</f>
        <v/>
      </c>
      <c r="P355" s="55">
        <f>VLOOKUP(C355,Customers!$A$2:$F$301,3,FALSE())</f>
        <v/>
      </c>
      <c r="Q355" s="55">
        <f>UPPER(TRIM(K355))</f>
        <v/>
      </c>
      <c r="R355" s="55">
        <f>(G355-O355)/G355</f>
        <v/>
      </c>
      <c r="S355" s="55">
        <f>VLOOKUP(D355,Products!$A$2:$F$61,6,FALSE())</f>
        <v/>
      </c>
    </row>
    <row r="356" ht="15" customHeight="1" s="56">
      <c r="A356" s="55">
        <f>Orders!A356</f>
        <v/>
      </c>
      <c r="B356" s="103">
        <f>Orders!B356</f>
        <v/>
      </c>
      <c r="C356" s="55">
        <f>Orders!C356</f>
        <v/>
      </c>
      <c r="D356" s="55">
        <f>Orders!D356</f>
        <v/>
      </c>
      <c r="E356" s="55">
        <f>Orders!E356</f>
        <v/>
      </c>
      <c r="F356" s="55">
        <f>Orders!F356</f>
        <v/>
      </c>
      <c r="G356" s="55">
        <f>Orders!G356</f>
        <v/>
      </c>
      <c r="H356" s="55">
        <f>Orders!H356</f>
        <v/>
      </c>
      <c r="I356" s="55">
        <f>Orders!I356</f>
        <v/>
      </c>
      <c r="J356" s="55">
        <f>Orders!J356</f>
        <v/>
      </c>
      <c r="K356" s="55">
        <f>Orders!K356</f>
        <v/>
      </c>
      <c r="L356" s="55">
        <f>VLOOKUP(D356,Products!$A$2:$F$61,3,FALSE())</f>
        <v/>
      </c>
      <c r="M356" s="55">
        <f>VLOOKUP(C356,Customers!$A$2:$F$301,5,FALSE())</f>
        <v/>
      </c>
      <c r="N356" s="55">
        <f>VLOOKUP(E356,Sales_Reps!$A$2:$E$31,3,FALSE())</f>
        <v/>
      </c>
      <c r="O356" s="55">
        <f>VLOOKUP(D356,Products!$A$2:$F$61,4,FALSE())</f>
        <v/>
      </c>
      <c r="P356" s="55">
        <f>VLOOKUP(C356,Customers!$A$2:$F$301,3,FALSE())</f>
        <v/>
      </c>
      <c r="Q356" s="55">
        <f>UPPER(TRIM(K356))</f>
        <v/>
      </c>
      <c r="R356" s="55">
        <f>(G356-O356)/G356</f>
        <v/>
      </c>
      <c r="S356" s="55">
        <f>VLOOKUP(D356,Products!$A$2:$F$61,6,FALSE())</f>
        <v/>
      </c>
    </row>
    <row r="357" ht="15" customHeight="1" s="56">
      <c r="A357" s="55">
        <f>Orders!A357</f>
        <v/>
      </c>
      <c r="B357" s="103">
        <f>Orders!B357</f>
        <v/>
      </c>
      <c r="C357" s="55">
        <f>Orders!C357</f>
        <v/>
      </c>
      <c r="D357" s="55">
        <f>Orders!D357</f>
        <v/>
      </c>
      <c r="E357" s="55">
        <f>Orders!E357</f>
        <v/>
      </c>
      <c r="F357" s="55">
        <f>Orders!F357</f>
        <v/>
      </c>
      <c r="G357" s="55">
        <f>Orders!G357</f>
        <v/>
      </c>
      <c r="H357" s="55">
        <f>Orders!H357</f>
        <v/>
      </c>
      <c r="I357" s="55">
        <f>Orders!I357</f>
        <v/>
      </c>
      <c r="J357" s="55">
        <f>Orders!J357</f>
        <v/>
      </c>
      <c r="K357" s="55">
        <f>Orders!K357</f>
        <v/>
      </c>
      <c r="L357" s="55">
        <f>VLOOKUP(D357,Products!$A$2:$F$61,3,FALSE())</f>
        <v/>
      </c>
      <c r="M357" s="55">
        <f>VLOOKUP(C357,Customers!$A$2:$F$301,5,FALSE())</f>
        <v/>
      </c>
      <c r="N357" s="55">
        <f>VLOOKUP(E357,Sales_Reps!$A$2:$E$31,3,FALSE())</f>
        <v/>
      </c>
      <c r="O357" s="55">
        <f>VLOOKUP(D357,Products!$A$2:$F$61,4,FALSE())</f>
        <v/>
      </c>
      <c r="P357" s="55">
        <f>VLOOKUP(C357,Customers!$A$2:$F$301,3,FALSE())</f>
        <v/>
      </c>
      <c r="Q357" s="55">
        <f>UPPER(TRIM(K357))</f>
        <v/>
      </c>
      <c r="R357" s="55">
        <f>(G357-O357)/G357</f>
        <v/>
      </c>
      <c r="S357" s="55">
        <f>VLOOKUP(D357,Products!$A$2:$F$61,6,FALSE())</f>
        <v/>
      </c>
    </row>
    <row r="358" ht="15" customHeight="1" s="56">
      <c r="A358" s="55">
        <f>Orders!A358</f>
        <v/>
      </c>
      <c r="B358" s="103">
        <f>Orders!B358</f>
        <v/>
      </c>
      <c r="C358" s="55">
        <f>Orders!C358</f>
        <v/>
      </c>
      <c r="D358" s="55">
        <f>Orders!D358</f>
        <v/>
      </c>
      <c r="E358" s="55">
        <f>Orders!E358</f>
        <v/>
      </c>
      <c r="F358" s="55">
        <f>Orders!F358</f>
        <v/>
      </c>
      <c r="G358" s="55">
        <f>Orders!G358</f>
        <v/>
      </c>
      <c r="H358" s="55">
        <f>Orders!H358</f>
        <v/>
      </c>
      <c r="I358" s="55">
        <f>Orders!I358</f>
        <v/>
      </c>
      <c r="J358" s="55">
        <f>Orders!J358</f>
        <v/>
      </c>
      <c r="K358" s="55">
        <f>Orders!K358</f>
        <v/>
      </c>
      <c r="L358" s="55">
        <f>VLOOKUP(D358,Products!$A$2:$F$61,3,FALSE())</f>
        <v/>
      </c>
      <c r="M358" s="55">
        <f>VLOOKUP(C358,Customers!$A$2:$F$301,5,FALSE())</f>
        <v/>
      </c>
      <c r="N358" s="55">
        <f>VLOOKUP(E358,Sales_Reps!$A$2:$E$31,3,FALSE())</f>
        <v/>
      </c>
      <c r="O358" s="55">
        <f>VLOOKUP(D358,Products!$A$2:$F$61,4,FALSE())</f>
        <v/>
      </c>
      <c r="P358" s="55">
        <f>VLOOKUP(C358,Customers!$A$2:$F$301,3,FALSE())</f>
        <v/>
      </c>
      <c r="Q358" s="55">
        <f>UPPER(TRIM(K358))</f>
        <v/>
      </c>
      <c r="R358" s="55">
        <f>(G358-O358)/G358</f>
        <v/>
      </c>
      <c r="S358" s="55">
        <f>VLOOKUP(D358,Products!$A$2:$F$61,6,FALSE())</f>
        <v/>
      </c>
    </row>
    <row r="359" ht="15" customHeight="1" s="56">
      <c r="A359" s="55">
        <f>Orders!A359</f>
        <v/>
      </c>
      <c r="B359" s="103">
        <f>Orders!B359</f>
        <v/>
      </c>
      <c r="C359" s="55">
        <f>Orders!C359</f>
        <v/>
      </c>
      <c r="D359" s="55">
        <f>Orders!D359</f>
        <v/>
      </c>
      <c r="E359" s="55">
        <f>Orders!E359</f>
        <v/>
      </c>
      <c r="F359" s="55">
        <f>Orders!F359</f>
        <v/>
      </c>
      <c r="G359" s="55">
        <f>Orders!G359</f>
        <v/>
      </c>
      <c r="H359" s="55">
        <f>Orders!H359</f>
        <v/>
      </c>
      <c r="I359" s="55">
        <f>Orders!I359</f>
        <v/>
      </c>
      <c r="J359" s="55">
        <f>Orders!J359</f>
        <v/>
      </c>
      <c r="K359" s="55">
        <f>Orders!K359</f>
        <v/>
      </c>
      <c r="L359" s="55">
        <f>VLOOKUP(D359,Products!$A$2:$F$61,3,FALSE())</f>
        <v/>
      </c>
      <c r="M359" s="55">
        <f>VLOOKUP(C359,Customers!$A$2:$F$301,5,FALSE())</f>
        <v/>
      </c>
      <c r="N359" s="55">
        <f>VLOOKUP(E359,Sales_Reps!$A$2:$E$31,3,FALSE())</f>
        <v/>
      </c>
      <c r="O359" s="55">
        <f>VLOOKUP(D359,Products!$A$2:$F$61,4,FALSE())</f>
        <v/>
      </c>
      <c r="P359" s="55">
        <f>VLOOKUP(C359,Customers!$A$2:$F$301,3,FALSE())</f>
        <v/>
      </c>
      <c r="Q359" s="55">
        <f>UPPER(TRIM(K359))</f>
        <v/>
      </c>
      <c r="R359" s="55">
        <f>(G359-O359)/G359</f>
        <v/>
      </c>
      <c r="S359" s="55">
        <f>VLOOKUP(D359,Products!$A$2:$F$61,6,FALSE())</f>
        <v/>
      </c>
    </row>
    <row r="360" ht="15" customHeight="1" s="56">
      <c r="A360" s="55">
        <f>Orders!A360</f>
        <v/>
      </c>
      <c r="B360" s="103">
        <f>Orders!B360</f>
        <v/>
      </c>
      <c r="C360" s="55">
        <f>Orders!C360</f>
        <v/>
      </c>
      <c r="D360" s="55">
        <f>Orders!D360</f>
        <v/>
      </c>
      <c r="E360" s="55">
        <f>Orders!E360</f>
        <v/>
      </c>
      <c r="F360" s="55">
        <f>Orders!F360</f>
        <v/>
      </c>
      <c r="G360" s="55">
        <f>Orders!G360</f>
        <v/>
      </c>
      <c r="H360" s="55">
        <f>Orders!H360</f>
        <v/>
      </c>
      <c r="I360" s="55">
        <f>Orders!I360</f>
        <v/>
      </c>
      <c r="J360" s="55">
        <f>Orders!J360</f>
        <v/>
      </c>
      <c r="K360" s="55">
        <f>Orders!K360</f>
        <v/>
      </c>
      <c r="L360" s="55">
        <f>VLOOKUP(D360,Products!$A$2:$F$61,3,FALSE())</f>
        <v/>
      </c>
      <c r="M360" s="55">
        <f>VLOOKUP(C360,Customers!$A$2:$F$301,5,FALSE())</f>
        <v/>
      </c>
      <c r="N360" s="55">
        <f>VLOOKUP(E360,Sales_Reps!$A$2:$E$31,3,FALSE())</f>
        <v/>
      </c>
      <c r="O360" s="55">
        <f>VLOOKUP(D360,Products!$A$2:$F$61,4,FALSE())</f>
        <v/>
      </c>
      <c r="P360" s="55">
        <f>VLOOKUP(C360,Customers!$A$2:$F$301,3,FALSE())</f>
        <v/>
      </c>
      <c r="Q360" s="55">
        <f>UPPER(TRIM(K360))</f>
        <v/>
      </c>
      <c r="R360" s="55">
        <f>(G360-O360)/G360</f>
        <v/>
      </c>
      <c r="S360" s="55">
        <f>VLOOKUP(D360,Products!$A$2:$F$61,6,FALSE())</f>
        <v/>
      </c>
    </row>
    <row r="361" ht="15" customHeight="1" s="56">
      <c r="A361" s="55">
        <f>Orders!A361</f>
        <v/>
      </c>
      <c r="B361" s="103">
        <f>Orders!B361</f>
        <v/>
      </c>
      <c r="C361" s="55">
        <f>Orders!C361</f>
        <v/>
      </c>
      <c r="D361" s="55">
        <f>Orders!D361</f>
        <v/>
      </c>
      <c r="E361" s="55">
        <f>Orders!E361</f>
        <v/>
      </c>
      <c r="F361" s="55">
        <f>Orders!F361</f>
        <v/>
      </c>
      <c r="G361" s="55">
        <f>Orders!G361</f>
        <v/>
      </c>
      <c r="H361" s="55">
        <f>Orders!H361</f>
        <v/>
      </c>
      <c r="I361" s="55">
        <f>Orders!I361</f>
        <v/>
      </c>
      <c r="J361" s="55">
        <f>Orders!J361</f>
        <v/>
      </c>
      <c r="K361" s="55">
        <f>Orders!K361</f>
        <v/>
      </c>
      <c r="L361" s="55">
        <f>VLOOKUP(D361,Products!$A$2:$F$61,3,FALSE())</f>
        <v/>
      </c>
      <c r="M361" s="55">
        <f>VLOOKUP(C361,Customers!$A$2:$F$301,5,FALSE())</f>
        <v/>
      </c>
      <c r="N361" s="55">
        <f>VLOOKUP(E361,Sales_Reps!$A$2:$E$31,3,FALSE())</f>
        <v/>
      </c>
      <c r="O361" s="55">
        <f>VLOOKUP(D361,Products!$A$2:$F$61,4,FALSE())</f>
        <v/>
      </c>
      <c r="P361" s="55">
        <f>VLOOKUP(C361,Customers!$A$2:$F$301,3,FALSE())</f>
        <v/>
      </c>
      <c r="Q361" s="55">
        <f>UPPER(TRIM(K361))</f>
        <v/>
      </c>
      <c r="R361" s="55">
        <f>(G361-O361)/G361</f>
        <v/>
      </c>
      <c r="S361" s="55">
        <f>VLOOKUP(D361,Products!$A$2:$F$61,6,FALSE())</f>
        <v/>
      </c>
    </row>
    <row r="362" ht="15" customHeight="1" s="56">
      <c r="A362" s="55">
        <f>Orders!A362</f>
        <v/>
      </c>
      <c r="B362" s="103">
        <f>Orders!B362</f>
        <v/>
      </c>
      <c r="C362" s="55">
        <f>Orders!C362</f>
        <v/>
      </c>
      <c r="D362" s="55">
        <f>Orders!D362</f>
        <v/>
      </c>
      <c r="E362" s="55">
        <f>Orders!E362</f>
        <v/>
      </c>
      <c r="F362" s="55">
        <f>Orders!F362</f>
        <v/>
      </c>
      <c r="G362" s="55">
        <f>Orders!G362</f>
        <v/>
      </c>
      <c r="H362" s="55">
        <f>Orders!H362</f>
        <v/>
      </c>
      <c r="I362" s="55">
        <f>Orders!I362</f>
        <v/>
      </c>
      <c r="J362" s="55">
        <f>Orders!J362</f>
        <v/>
      </c>
      <c r="K362" s="55">
        <f>Orders!K362</f>
        <v/>
      </c>
      <c r="L362" s="55">
        <f>VLOOKUP(D362,Products!$A$2:$F$61,3,FALSE())</f>
        <v/>
      </c>
      <c r="M362" s="55">
        <f>VLOOKUP(C362,Customers!$A$2:$F$301,5,FALSE())</f>
        <v/>
      </c>
      <c r="N362" s="55">
        <f>VLOOKUP(E362,Sales_Reps!$A$2:$E$31,3,FALSE())</f>
        <v/>
      </c>
      <c r="O362" s="55">
        <f>VLOOKUP(D362,Products!$A$2:$F$61,4,FALSE())</f>
        <v/>
      </c>
      <c r="P362" s="55">
        <f>VLOOKUP(C362,Customers!$A$2:$F$301,3,FALSE())</f>
        <v/>
      </c>
      <c r="Q362" s="55">
        <f>UPPER(TRIM(K362))</f>
        <v/>
      </c>
      <c r="R362" s="55">
        <f>(G362-O362)/G362</f>
        <v/>
      </c>
      <c r="S362" s="55">
        <f>VLOOKUP(D362,Products!$A$2:$F$61,6,FALSE())</f>
        <v/>
      </c>
    </row>
    <row r="363" ht="15" customHeight="1" s="56">
      <c r="A363" s="55">
        <f>Orders!A363</f>
        <v/>
      </c>
      <c r="B363" s="103">
        <f>Orders!B363</f>
        <v/>
      </c>
      <c r="C363" s="55">
        <f>Orders!C363</f>
        <v/>
      </c>
      <c r="D363" s="55">
        <f>Orders!D363</f>
        <v/>
      </c>
      <c r="E363" s="55">
        <f>Orders!E363</f>
        <v/>
      </c>
      <c r="F363" s="55">
        <f>Orders!F363</f>
        <v/>
      </c>
      <c r="G363" s="55">
        <f>Orders!G363</f>
        <v/>
      </c>
      <c r="H363" s="55">
        <f>Orders!H363</f>
        <v/>
      </c>
      <c r="I363" s="55">
        <f>Orders!I363</f>
        <v/>
      </c>
      <c r="J363" s="55">
        <f>Orders!J363</f>
        <v/>
      </c>
      <c r="K363" s="55">
        <f>Orders!K363</f>
        <v/>
      </c>
      <c r="L363" s="55">
        <f>VLOOKUP(D363,Products!$A$2:$F$61,3,FALSE())</f>
        <v/>
      </c>
      <c r="M363" s="55">
        <f>VLOOKUP(C363,Customers!$A$2:$F$301,5,FALSE())</f>
        <v/>
      </c>
      <c r="N363" s="55">
        <f>VLOOKUP(E363,Sales_Reps!$A$2:$E$31,3,FALSE())</f>
        <v/>
      </c>
      <c r="O363" s="55">
        <f>VLOOKUP(D363,Products!$A$2:$F$61,4,FALSE())</f>
        <v/>
      </c>
      <c r="P363" s="55">
        <f>VLOOKUP(C363,Customers!$A$2:$F$301,3,FALSE())</f>
        <v/>
      </c>
      <c r="Q363" s="55">
        <f>UPPER(TRIM(K363))</f>
        <v/>
      </c>
      <c r="R363" s="55">
        <f>(G363-O363)/G363</f>
        <v/>
      </c>
      <c r="S363" s="55">
        <f>VLOOKUP(D363,Products!$A$2:$F$61,6,FALSE())</f>
        <v/>
      </c>
    </row>
    <row r="364" ht="15" customHeight="1" s="56">
      <c r="A364" s="55">
        <f>Orders!A364</f>
        <v/>
      </c>
      <c r="B364" s="103">
        <f>Orders!B364</f>
        <v/>
      </c>
      <c r="C364" s="55">
        <f>Orders!C364</f>
        <v/>
      </c>
      <c r="D364" s="55">
        <f>Orders!D364</f>
        <v/>
      </c>
      <c r="E364" s="55">
        <f>Orders!E364</f>
        <v/>
      </c>
      <c r="F364" s="55">
        <f>Orders!F364</f>
        <v/>
      </c>
      <c r="G364" s="55">
        <f>Orders!G364</f>
        <v/>
      </c>
      <c r="H364" s="55">
        <f>Orders!H364</f>
        <v/>
      </c>
      <c r="I364" s="55">
        <f>Orders!I364</f>
        <v/>
      </c>
      <c r="J364" s="55">
        <f>Orders!J364</f>
        <v/>
      </c>
      <c r="K364" s="55">
        <f>Orders!K364</f>
        <v/>
      </c>
      <c r="L364" s="55">
        <f>VLOOKUP(D364,Products!$A$2:$F$61,3,FALSE())</f>
        <v/>
      </c>
      <c r="M364" s="55">
        <f>VLOOKUP(C364,Customers!$A$2:$F$301,5,FALSE())</f>
        <v/>
      </c>
      <c r="N364" s="55">
        <f>VLOOKUP(E364,Sales_Reps!$A$2:$E$31,3,FALSE())</f>
        <v/>
      </c>
      <c r="O364" s="55">
        <f>VLOOKUP(D364,Products!$A$2:$F$61,4,FALSE())</f>
        <v/>
      </c>
      <c r="P364" s="55">
        <f>VLOOKUP(C364,Customers!$A$2:$F$301,3,FALSE())</f>
        <v/>
      </c>
      <c r="Q364" s="55">
        <f>UPPER(TRIM(K364))</f>
        <v/>
      </c>
      <c r="R364" s="55">
        <f>(G364-O364)/G364</f>
        <v/>
      </c>
      <c r="S364" s="55">
        <f>VLOOKUP(D364,Products!$A$2:$F$61,6,FALSE())</f>
        <v/>
      </c>
    </row>
    <row r="365" ht="15" customHeight="1" s="56">
      <c r="A365" s="55">
        <f>Orders!A365</f>
        <v/>
      </c>
      <c r="B365" s="103">
        <f>Orders!B365</f>
        <v/>
      </c>
      <c r="C365" s="55">
        <f>Orders!C365</f>
        <v/>
      </c>
      <c r="D365" s="55">
        <f>Orders!D365</f>
        <v/>
      </c>
      <c r="E365" s="55">
        <f>Orders!E365</f>
        <v/>
      </c>
      <c r="F365" s="55">
        <f>Orders!F365</f>
        <v/>
      </c>
      <c r="G365" s="55">
        <f>Orders!G365</f>
        <v/>
      </c>
      <c r="H365" s="55">
        <f>Orders!H365</f>
        <v/>
      </c>
      <c r="I365" s="55">
        <f>Orders!I365</f>
        <v/>
      </c>
      <c r="J365" s="55">
        <f>Orders!J365</f>
        <v/>
      </c>
      <c r="K365" s="55">
        <f>Orders!K365</f>
        <v/>
      </c>
      <c r="L365" s="55">
        <f>VLOOKUP(D365,Products!$A$2:$F$61,3,FALSE())</f>
        <v/>
      </c>
      <c r="M365" s="55">
        <f>VLOOKUP(C365,Customers!$A$2:$F$301,5,FALSE())</f>
        <v/>
      </c>
      <c r="N365" s="55">
        <f>VLOOKUP(E365,Sales_Reps!$A$2:$E$31,3,FALSE())</f>
        <v/>
      </c>
      <c r="O365" s="55">
        <f>VLOOKUP(D365,Products!$A$2:$F$61,4,FALSE())</f>
        <v/>
      </c>
      <c r="P365" s="55">
        <f>VLOOKUP(C365,Customers!$A$2:$F$301,3,FALSE())</f>
        <v/>
      </c>
      <c r="Q365" s="55">
        <f>UPPER(TRIM(K365))</f>
        <v/>
      </c>
      <c r="R365" s="55">
        <f>(G365-O365)/G365</f>
        <v/>
      </c>
      <c r="S365" s="55">
        <f>VLOOKUP(D365,Products!$A$2:$F$61,6,FALSE())</f>
        <v/>
      </c>
    </row>
    <row r="366" ht="15" customHeight="1" s="56">
      <c r="A366" s="55">
        <f>Orders!A366</f>
        <v/>
      </c>
      <c r="B366" s="103">
        <f>Orders!B366</f>
        <v/>
      </c>
      <c r="C366" s="55">
        <f>Orders!C366</f>
        <v/>
      </c>
      <c r="D366" s="55">
        <f>Orders!D366</f>
        <v/>
      </c>
      <c r="E366" s="55">
        <f>Orders!E366</f>
        <v/>
      </c>
      <c r="F366" s="55">
        <f>Orders!F366</f>
        <v/>
      </c>
      <c r="G366" s="55">
        <f>Orders!G366</f>
        <v/>
      </c>
      <c r="H366" s="55">
        <f>Orders!H366</f>
        <v/>
      </c>
      <c r="I366" s="55">
        <f>Orders!I366</f>
        <v/>
      </c>
      <c r="J366" s="55">
        <f>Orders!J366</f>
        <v/>
      </c>
      <c r="K366" s="55">
        <f>Orders!K366</f>
        <v/>
      </c>
      <c r="L366" s="55">
        <f>VLOOKUP(D366,Products!$A$2:$F$61,3,FALSE())</f>
        <v/>
      </c>
      <c r="M366" s="55">
        <f>VLOOKUP(C366,Customers!$A$2:$F$301,5,FALSE())</f>
        <v/>
      </c>
      <c r="N366" s="55">
        <f>VLOOKUP(E366,Sales_Reps!$A$2:$E$31,3,FALSE())</f>
        <v/>
      </c>
      <c r="O366" s="55">
        <f>VLOOKUP(D366,Products!$A$2:$F$61,4,FALSE())</f>
        <v/>
      </c>
      <c r="P366" s="55">
        <f>VLOOKUP(C366,Customers!$A$2:$F$301,3,FALSE())</f>
        <v/>
      </c>
      <c r="Q366" s="55">
        <f>UPPER(TRIM(K366))</f>
        <v/>
      </c>
      <c r="R366" s="55">
        <f>(G366-O366)/G366</f>
        <v/>
      </c>
      <c r="S366" s="55">
        <f>VLOOKUP(D366,Products!$A$2:$F$61,6,FALSE())</f>
        <v/>
      </c>
    </row>
    <row r="367" ht="15" customHeight="1" s="56">
      <c r="A367" s="55">
        <f>Orders!A367</f>
        <v/>
      </c>
      <c r="B367" s="103">
        <f>Orders!B367</f>
        <v/>
      </c>
      <c r="C367" s="55">
        <f>Orders!C367</f>
        <v/>
      </c>
      <c r="D367" s="55">
        <f>Orders!D367</f>
        <v/>
      </c>
      <c r="E367" s="55">
        <f>Orders!E367</f>
        <v/>
      </c>
      <c r="F367" s="55">
        <f>Orders!F367</f>
        <v/>
      </c>
      <c r="G367" s="55">
        <f>Orders!G367</f>
        <v/>
      </c>
      <c r="H367" s="55">
        <f>Orders!H367</f>
        <v/>
      </c>
      <c r="I367" s="55">
        <f>Orders!I367</f>
        <v/>
      </c>
      <c r="J367" s="55">
        <f>Orders!J367</f>
        <v/>
      </c>
      <c r="K367" s="55">
        <f>Orders!K367</f>
        <v/>
      </c>
      <c r="L367" s="55">
        <f>VLOOKUP(D367,Products!$A$2:$F$61,3,FALSE())</f>
        <v/>
      </c>
      <c r="M367" s="55">
        <f>VLOOKUP(C367,Customers!$A$2:$F$301,5,FALSE())</f>
        <v/>
      </c>
      <c r="N367" s="55">
        <f>VLOOKUP(E367,Sales_Reps!$A$2:$E$31,3,FALSE())</f>
        <v/>
      </c>
      <c r="O367" s="55">
        <f>VLOOKUP(D367,Products!$A$2:$F$61,4,FALSE())</f>
        <v/>
      </c>
      <c r="P367" s="55">
        <f>VLOOKUP(C367,Customers!$A$2:$F$301,3,FALSE())</f>
        <v/>
      </c>
      <c r="Q367" s="55">
        <f>UPPER(TRIM(K367))</f>
        <v/>
      </c>
      <c r="R367" s="55">
        <f>(G367-O367)/G367</f>
        <v/>
      </c>
      <c r="S367" s="55">
        <f>VLOOKUP(D367,Products!$A$2:$F$61,6,FALSE())</f>
        <v/>
      </c>
    </row>
    <row r="368" ht="15" customHeight="1" s="56">
      <c r="A368" s="55">
        <f>Orders!A368</f>
        <v/>
      </c>
      <c r="B368" s="103">
        <f>Orders!B368</f>
        <v/>
      </c>
      <c r="C368" s="55">
        <f>Orders!C368</f>
        <v/>
      </c>
      <c r="D368" s="55">
        <f>Orders!D368</f>
        <v/>
      </c>
      <c r="E368" s="55">
        <f>Orders!E368</f>
        <v/>
      </c>
      <c r="F368" s="55">
        <f>Orders!F368</f>
        <v/>
      </c>
      <c r="G368" s="55">
        <f>Orders!G368</f>
        <v/>
      </c>
      <c r="H368" s="55">
        <f>Orders!H368</f>
        <v/>
      </c>
      <c r="I368" s="55">
        <f>Orders!I368</f>
        <v/>
      </c>
      <c r="J368" s="55">
        <f>Orders!J368</f>
        <v/>
      </c>
      <c r="K368" s="55">
        <f>Orders!K368</f>
        <v/>
      </c>
      <c r="L368" s="55">
        <f>VLOOKUP(D368,Products!$A$2:$F$61,3,FALSE())</f>
        <v/>
      </c>
      <c r="M368" s="55">
        <f>VLOOKUP(C368,Customers!$A$2:$F$301,5,FALSE())</f>
        <v/>
      </c>
      <c r="N368" s="55">
        <f>VLOOKUP(E368,Sales_Reps!$A$2:$E$31,3,FALSE())</f>
        <v/>
      </c>
      <c r="O368" s="55">
        <f>VLOOKUP(D368,Products!$A$2:$F$61,4,FALSE())</f>
        <v/>
      </c>
      <c r="P368" s="55">
        <f>VLOOKUP(C368,Customers!$A$2:$F$301,3,FALSE())</f>
        <v/>
      </c>
      <c r="Q368" s="55">
        <f>UPPER(TRIM(K368))</f>
        <v/>
      </c>
      <c r="R368" s="55">
        <f>(G368-O368)/G368</f>
        <v/>
      </c>
      <c r="S368" s="55">
        <f>VLOOKUP(D368,Products!$A$2:$F$61,6,FALSE())</f>
        <v/>
      </c>
    </row>
    <row r="369" ht="15" customHeight="1" s="56">
      <c r="A369" s="55">
        <f>Orders!A369</f>
        <v/>
      </c>
      <c r="B369" s="103">
        <f>Orders!B369</f>
        <v/>
      </c>
      <c r="C369" s="55">
        <f>Orders!C369</f>
        <v/>
      </c>
      <c r="D369" s="55">
        <f>Orders!D369</f>
        <v/>
      </c>
      <c r="E369" s="55">
        <f>Orders!E369</f>
        <v/>
      </c>
      <c r="F369" s="55">
        <f>Orders!F369</f>
        <v/>
      </c>
      <c r="G369" s="55">
        <f>Orders!G369</f>
        <v/>
      </c>
      <c r="H369" s="55">
        <f>Orders!H369</f>
        <v/>
      </c>
      <c r="I369" s="55">
        <f>Orders!I369</f>
        <v/>
      </c>
      <c r="J369" s="55">
        <f>Orders!J369</f>
        <v/>
      </c>
      <c r="K369" s="55">
        <f>Orders!K369</f>
        <v/>
      </c>
      <c r="L369" s="55">
        <f>VLOOKUP(D369,Products!$A$2:$F$61,3,FALSE())</f>
        <v/>
      </c>
      <c r="M369" s="55">
        <f>VLOOKUP(C369,Customers!$A$2:$F$301,5,FALSE())</f>
        <v/>
      </c>
      <c r="N369" s="55">
        <f>VLOOKUP(E369,Sales_Reps!$A$2:$E$31,3,FALSE())</f>
        <v/>
      </c>
      <c r="O369" s="55">
        <f>VLOOKUP(D369,Products!$A$2:$F$61,4,FALSE())</f>
        <v/>
      </c>
      <c r="P369" s="55">
        <f>VLOOKUP(C369,Customers!$A$2:$F$301,3,FALSE())</f>
        <v/>
      </c>
      <c r="Q369" s="55">
        <f>UPPER(TRIM(K369))</f>
        <v/>
      </c>
      <c r="R369" s="55">
        <f>(G369-O369)/G369</f>
        <v/>
      </c>
      <c r="S369" s="55">
        <f>VLOOKUP(D369,Products!$A$2:$F$61,6,FALSE())</f>
        <v/>
      </c>
    </row>
    <row r="370" ht="15" customHeight="1" s="56">
      <c r="A370" s="55">
        <f>Orders!A370</f>
        <v/>
      </c>
      <c r="B370" s="103">
        <f>Orders!B370</f>
        <v/>
      </c>
      <c r="C370" s="55">
        <f>Orders!C370</f>
        <v/>
      </c>
      <c r="D370" s="55">
        <f>Orders!D370</f>
        <v/>
      </c>
      <c r="E370" s="55">
        <f>Orders!E370</f>
        <v/>
      </c>
      <c r="F370" s="55">
        <f>Orders!F370</f>
        <v/>
      </c>
      <c r="G370" s="55">
        <f>Orders!G370</f>
        <v/>
      </c>
      <c r="H370" s="55">
        <f>Orders!H370</f>
        <v/>
      </c>
      <c r="I370" s="55">
        <f>Orders!I370</f>
        <v/>
      </c>
      <c r="J370" s="55">
        <f>Orders!J370</f>
        <v/>
      </c>
      <c r="K370" s="55">
        <f>Orders!K370</f>
        <v/>
      </c>
      <c r="L370" s="55">
        <f>VLOOKUP(D370,Products!$A$2:$F$61,3,FALSE())</f>
        <v/>
      </c>
      <c r="M370" s="55">
        <f>VLOOKUP(C370,Customers!$A$2:$F$301,5,FALSE())</f>
        <v/>
      </c>
      <c r="N370" s="55">
        <f>VLOOKUP(E370,Sales_Reps!$A$2:$E$31,3,FALSE())</f>
        <v/>
      </c>
      <c r="O370" s="55">
        <f>VLOOKUP(D370,Products!$A$2:$F$61,4,FALSE())</f>
        <v/>
      </c>
      <c r="P370" s="55">
        <f>VLOOKUP(C370,Customers!$A$2:$F$301,3,FALSE())</f>
        <v/>
      </c>
      <c r="Q370" s="55">
        <f>UPPER(TRIM(K370))</f>
        <v/>
      </c>
      <c r="R370" s="55">
        <f>(G370-O370)/G370</f>
        <v/>
      </c>
      <c r="S370" s="55">
        <f>VLOOKUP(D370,Products!$A$2:$F$61,6,FALSE())</f>
        <v/>
      </c>
    </row>
    <row r="371" ht="15" customHeight="1" s="56">
      <c r="A371" s="55">
        <f>Orders!A371</f>
        <v/>
      </c>
      <c r="B371" s="103">
        <f>Orders!B371</f>
        <v/>
      </c>
      <c r="C371" s="55">
        <f>Orders!C371</f>
        <v/>
      </c>
      <c r="D371" s="55">
        <f>Orders!D371</f>
        <v/>
      </c>
      <c r="E371" s="55">
        <f>Orders!E371</f>
        <v/>
      </c>
      <c r="F371" s="55">
        <f>Orders!F371</f>
        <v/>
      </c>
      <c r="G371" s="55">
        <f>Orders!G371</f>
        <v/>
      </c>
      <c r="H371" s="55">
        <f>Orders!H371</f>
        <v/>
      </c>
      <c r="I371" s="55">
        <f>Orders!I371</f>
        <v/>
      </c>
      <c r="J371" s="55">
        <f>Orders!J371</f>
        <v/>
      </c>
      <c r="K371" s="55">
        <f>Orders!K371</f>
        <v/>
      </c>
      <c r="L371" s="55">
        <f>VLOOKUP(D371,Products!$A$2:$F$61,3,FALSE())</f>
        <v/>
      </c>
      <c r="M371" s="55">
        <f>VLOOKUP(C371,Customers!$A$2:$F$301,5,FALSE())</f>
        <v/>
      </c>
      <c r="N371" s="55">
        <f>VLOOKUP(E371,Sales_Reps!$A$2:$E$31,3,FALSE())</f>
        <v/>
      </c>
      <c r="O371" s="55">
        <f>VLOOKUP(D371,Products!$A$2:$F$61,4,FALSE())</f>
        <v/>
      </c>
      <c r="P371" s="55">
        <f>VLOOKUP(C371,Customers!$A$2:$F$301,3,FALSE())</f>
        <v/>
      </c>
      <c r="Q371" s="55">
        <f>UPPER(TRIM(K371))</f>
        <v/>
      </c>
      <c r="R371" s="55">
        <f>(G371-O371)/G371</f>
        <v/>
      </c>
      <c r="S371" s="55">
        <f>VLOOKUP(D371,Products!$A$2:$F$61,6,FALSE())</f>
        <v/>
      </c>
    </row>
    <row r="372" ht="15" customHeight="1" s="56">
      <c r="A372" s="55">
        <f>Orders!A372</f>
        <v/>
      </c>
      <c r="B372" s="103">
        <f>Orders!B372</f>
        <v/>
      </c>
      <c r="C372" s="55">
        <f>Orders!C372</f>
        <v/>
      </c>
      <c r="D372" s="55">
        <f>Orders!D372</f>
        <v/>
      </c>
      <c r="E372" s="55">
        <f>Orders!E372</f>
        <v/>
      </c>
      <c r="F372" s="55">
        <f>Orders!F372</f>
        <v/>
      </c>
      <c r="G372" s="55">
        <f>Orders!G372</f>
        <v/>
      </c>
      <c r="H372" s="55">
        <f>Orders!H372</f>
        <v/>
      </c>
      <c r="I372" s="55">
        <f>Orders!I372</f>
        <v/>
      </c>
      <c r="J372" s="55">
        <f>Orders!J372</f>
        <v/>
      </c>
      <c r="K372" s="55">
        <f>Orders!K372</f>
        <v/>
      </c>
      <c r="L372" s="55">
        <f>VLOOKUP(D372,Products!$A$2:$F$61,3,FALSE())</f>
        <v/>
      </c>
      <c r="M372" s="55">
        <f>VLOOKUP(C372,Customers!$A$2:$F$301,5,FALSE())</f>
        <v/>
      </c>
      <c r="N372" s="55">
        <f>VLOOKUP(E372,Sales_Reps!$A$2:$E$31,3,FALSE())</f>
        <v/>
      </c>
      <c r="O372" s="55">
        <f>VLOOKUP(D372,Products!$A$2:$F$61,4,FALSE())</f>
        <v/>
      </c>
      <c r="P372" s="55">
        <f>VLOOKUP(C372,Customers!$A$2:$F$301,3,FALSE())</f>
        <v/>
      </c>
      <c r="Q372" s="55">
        <f>UPPER(TRIM(K372))</f>
        <v/>
      </c>
      <c r="R372" s="55">
        <f>(G372-O372)/G372</f>
        <v/>
      </c>
      <c r="S372" s="55">
        <f>VLOOKUP(D372,Products!$A$2:$F$61,6,FALSE())</f>
        <v/>
      </c>
    </row>
    <row r="373" ht="15" customHeight="1" s="56">
      <c r="A373" s="55">
        <f>Orders!A373</f>
        <v/>
      </c>
      <c r="B373" s="103">
        <f>Orders!B373</f>
        <v/>
      </c>
      <c r="C373" s="55">
        <f>Orders!C373</f>
        <v/>
      </c>
      <c r="D373" s="55">
        <f>Orders!D373</f>
        <v/>
      </c>
      <c r="E373" s="55">
        <f>Orders!E373</f>
        <v/>
      </c>
      <c r="F373" s="55">
        <f>Orders!F373</f>
        <v/>
      </c>
      <c r="G373" s="55">
        <f>Orders!G373</f>
        <v/>
      </c>
      <c r="H373" s="55">
        <f>Orders!H373</f>
        <v/>
      </c>
      <c r="I373" s="55">
        <f>Orders!I373</f>
        <v/>
      </c>
      <c r="J373" s="55">
        <f>Orders!J373</f>
        <v/>
      </c>
      <c r="K373" s="55">
        <f>Orders!K373</f>
        <v/>
      </c>
      <c r="L373" s="55">
        <f>VLOOKUP(D373,Products!$A$2:$F$61,3,FALSE())</f>
        <v/>
      </c>
      <c r="M373" s="55">
        <f>VLOOKUP(C373,Customers!$A$2:$F$301,5,FALSE())</f>
        <v/>
      </c>
      <c r="N373" s="55">
        <f>VLOOKUP(E373,Sales_Reps!$A$2:$E$31,3,FALSE())</f>
        <v/>
      </c>
      <c r="O373" s="55">
        <f>VLOOKUP(D373,Products!$A$2:$F$61,4,FALSE())</f>
        <v/>
      </c>
      <c r="P373" s="55">
        <f>VLOOKUP(C373,Customers!$A$2:$F$301,3,FALSE())</f>
        <v/>
      </c>
      <c r="Q373" s="55">
        <f>UPPER(TRIM(K373))</f>
        <v/>
      </c>
      <c r="R373" s="55">
        <f>(G373-O373)/G373</f>
        <v/>
      </c>
      <c r="S373" s="55">
        <f>VLOOKUP(D373,Products!$A$2:$F$61,6,FALSE())</f>
        <v/>
      </c>
    </row>
    <row r="374" ht="15" customHeight="1" s="56">
      <c r="A374" s="55">
        <f>Orders!A374</f>
        <v/>
      </c>
      <c r="B374" s="103">
        <f>Orders!B374</f>
        <v/>
      </c>
      <c r="C374" s="55">
        <f>Orders!C374</f>
        <v/>
      </c>
      <c r="D374" s="55">
        <f>Orders!D374</f>
        <v/>
      </c>
      <c r="E374" s="55">
        <f>Orders!E374</f>
        <v/>
      </c>
      <c r="F374" s="55">
        <f>Orders!F374</f>
        <v/>
      </c>
      <c r="G374" s="55">
        <f>Orders!G374</f>
        <v/>
      </c>
      <c r="H374" s="55">
        <f>Orders!H374</f>
        <v/>
      </c>
      <c r="I374" s="55">
        <f>Orders!I374</f>
        <v/>
      </c>
      <c r="J374" s="55">
        <f>Orders!J374</f>
        <v/>
      </c>
      <c r="K374" s="55">
        <f>Orders!K374</f>
        <v/>
      </c>
      <c r="L374" s="55">
        <f>VLOOKUP(D374,Products!$A$2:$F$61,3,FALSE())</f>
        <v/>
      </c>
      <c r="M374" s="55">
        <f>VLOOKUP(C374,Customers!$A$2:$F$301,5,FALSE())</f>
        <v/>
      </c>
      <c r="N374" s="55">
        <f>VLOOKUP(E374,Sales_Reps!$A$2:$E$31,3,FALSE())</f>
        <v/>
      </c>
      <c r="O374" s="55">
        <f>VLOOKUP(D374,Products!$A$2:$F$61,4,FALSE())</f>
        <v/>
      </c>
      <c r="P374" s="55">
        <f>VLOOKUP(C374,Customers!$A$2:$F$301,3,FALSE())</f>
        <v/>
      </c>
      <c r="Q374" s="55">
        <f>UPPER(TRIM(K374))</f>
        <v/>
      </c>
      <c r="R374" s="55">
        <f>(G374-O374)/G374</f>
        <v/>
      </c>
      <c r="S374" s="55">
        <f>VLOOKUP(D374,Products!$A$2:$F$61,6,FALSE())</f>
        <v/>
      </c>
    </row>
    <row r="375" ht="15" customHeight="1" s="56">
      <c r="A375" s="55">
        <f>Orders!A375</f>
        <v/>
      </c>
      <c r="B375" s="103">
        <f>Orders!B375</f>
        <v/>
      </c>
      <c r="C375" s="55">
        <f>Orders!C375</f>
        <v/>
      </c>
      <c r="D375" s="55">
        <f>Orders!D375</f>
        <v/>
      </c>
      <c r="E375" s="55">
        <f>Orders!E375</f>
        <v/>
      </c>
      <c r="F375" s="55">
        <f>Orders!F375</f>
        <v/>
      </c>
      <c r="G375" s="55">
        <f>Orders!G375</f>
        <v/>
      </c>
      <c r="H375" s="55">
        <f>Orders!H375</f>
        <v/>
      </c>
      <c r="I375" s="55">
        <f>Orders!I375</f>
        <v/>
      </c>
      <c r="J375" s="55">
        <f>Orders!J375</f>
        <v/>
      </c>
      <c r="K375" s="55">
        <f>Orders!K375</f>
        <v/>
      </c>
      <c r="L375" s="55">
        <f>VLOOKUP(D375,Products!$A$2:$F$61,3,FALSE())</f>
        <v/>
      </c>
      <c r="M375" s="55">
        <f>VLOOKUP(C375,Customers!$A$2:$F$301,5,FALSE())</f>
        <v/>
      </c>
      <c r="N375" s="55">
        <f>VLOOKUP(E375,Sales_Reps!$A$2:$E$31,3,FALSE())</f>
        <v/>
      </c>
      <c r="O375" s="55">
        <f>VLOOKUP(D375,Products!$A$2:$F$61,4,FALSE())</f>
        <v/>
      </c>
      <c r="P375" s="55">
        <f>VLOOKUP(C375,Customers!$A$2:$F$301,3,FALSE())</f>
        <v/>
      </c>
      <c r="Q375" s="55">
        <f>UPPER(TRIM(K375))</f>
        <v/>
      </c>
      <c r="R375" s="55">
        <f>(G375-O375)/G375</f>
        <v/>
      </c>
      <c r="S375" s="55">
        <f>VLOOKUP(D375,Products!$A$2:$F$61,6,FALSE())</f>
        <v/>
      </c>
    </row>
    <row r="376" ht="15" customHeight="1" s="56">
      <c r="A376" s="55">
        <f>Orders!A376</f>
        <v/>
      </c>
      <c r="B376" s="103">
        <f>Orders!B376</f>
        <v/>
      </c>
      <c r="C376" s="55">
        <f>Orders!C376</f>
        <v/>
      </c>
      <c r="D376" s="55">
        <f>Orders!D376</f>
        <v/>
      </c>
      <c r="E376" s="55">
        <f>Orders!E376</f>
        <v/>
      </c>
      <c r="F376" s="55">
        <f>Orders!F376</f>
        <v/>
      </c>
      <c r="G376" s="55">
        <f>Orders!G376</f>
        <v/>
      </c>
      <c r="H376" s="55">
        <f>Orders!H376</f>
        <v/>
      </c>
      <c r="I376" s="55">
        <f>Orders!I376</f>
        <v/>
      </c>
      <c r="J376" s="55">
        <f>Orders!J376</f>
        <v/>
      </c>
      <c r="K376" s="55">
        <f>Orders!K376</f>
        <v/>
      </c>
      <c r="L376" s="55">
        <f>VLOOKUP(D376,Products!$A$2:$F$61,3,FALSE())</f>
        <v/>
      </c>
      <c r="M376" s="55">
        <f>VLOOKUP(C376,Customers!$A$2:$F$301,5,FALSE())</f>
        <v/>
      </c>
      <c r="N376" s="55">
        <f>VLOOKUP(E376,Sales_Reps!$A$2:$E$31,3,FALSE())</f>
        <v/>
      </c>
      <c r="O376" s="55">
        <f>VLOOKUP(D376,Products!$A$2:$F$61,4,FALSE())</f>
        <v/>
      </c>
      <c r="P376" s="55">
        <f>VLOOKUP(C376,Customers!$A$2:$F$301,3,FALSE())</f>
        <v/>
      </c>
      <c r="Q376" s="55">
        <f>UPPER(TRIM(K376))</f>
        <v/>
      </c>
      <c r="R376" s="55">
        <f>(G376-O376)/G376</f>
        <v/>
      </c>
      <c r="S376" s="55">
        <f>VLOOKUP(D376,Products!$A$2:$F$61,6,FALSE())</f>
        <v/>
      </c>
    </row>
    <row r="377" ht="15" customHeight="1" s="56">
      <c r="A377" s="55">
        <f>Orders!A377</f>
        <v/>
      </c>
      <c r="B377" s="103">
        <f>Orders!B377</f>
        <v/>
      </c>
      <c r="C377" s="55">
        <f>Orders!C377</f>
        <v/>
      </c>
      <c r="D377" s="55">
        <f>Orders!D377</f>
        <v/>
      </c>
      <c r="E377" s="55">
        <f>Orders!E377</f>
        <v/>
      </c>
      <c r="F377" s="55">
        <f>Orders!F377</f>
        <v/>
      </c>
      <c r="G377" s="55">
        <f>Orders!G377</f>
        <v/>
      </c>
      <c r="H377" s="55">
        <f>Orders!H377</f>
        <v/>
      </c>
      <c r="I377" s="55">
        <f>Orders!I377</f>
        <v/>
      </c>
      <c r="J377" s="55">
        <f>Orders!J377</f>
        <v/>
      </c>
      <c r="K377" s="55">
        <f>Orders!K377</f>
        <v/>
      </c>
      <c r="L377" s="55">
        <f>VLOOKUP(D377,Products!$A$2:$F$61,3,FALSE())</f>
        <v/>
      </c>
      <c r="M377" s="55">
        <f>VLOOKUP(C377,Customers!$A$2:$F$301,5,FALSE())</f>
        <v/>
      </c>
      <c r="N377" s="55">
        <f>VLOOKUP(E377,Sales_Reps!$A$2:$E$31,3,FALSE())</f>
        <v/>
      </c>
      <c r="O377" s="55">
        <f>VLOOKUP(D377,Products!$A$2:$F$61,4,FALSE())</f>
        <v/>
      </c>
      <c r="P377" s="55">
        <f>VLOOKUP(C377,Customers!$A$2:$F$301,3,FALSE())</f>
        <v/>
      </c>
      <c r="Q377" s="55">
        <f>UPPER(TRIM(K377))</f>
        <v/>
      </c>
      <c r="R377" s="55">
        <f>(G377-O377)/G377</f>
        <v/>
      </c>
      <c r="S377" s="55">
        <f>VLOOKUP(D377,Products!$A$2:$F$61,6,FALSE())</f>
        <v/>
      </c>
    </row>
    <row r="378" ht="15" customHeight="1" s="56">
      <c r="A378" s="55">
        <f>Orders!A378</f>
        <v/>
      </c>
      <c r="B378" s="103">
        <f>Orders!B378</f>
        <v/>
      </c>
      <c r="C378" s="55">
        <f>Orders!C378</f>
        <v/>
      </c>
      <c r="D378" s="55">
        <f>Orders!D378</f>
        <v/>
      </c>
      <c r="E378" s="55">
        <f>Orders!E378</f>
        <v/>
      </c>
      <c r="F378" s="55">
        <f>Orders!F378</f>
        <v/>
      </c>
      <c r="G378" s="55">
        <f>Orders!G378</f>
        <v/>
      </c>
      <c r="H378" s="55">
        <f>Orders!H378</f>
        <v/>
      </c>
      <c r="I378" s="55">
        <f>Orders!I378</f>
        <v/>
      </c>
      <c r="J378" s="55">
        <f>Orders!J378</f>
        <v/>
      </c>
      <c r="K378" s="55">
        <f>Orders!K378</f>
        <v/>
      </c>
      <c r="L378" s="55">
        <f>VLOOKUP(D378,Products!$A$2:$F$61,3,FALSE())</f>
        <v/>
      </c>
      <c r="M378" s="55">
        <f>VLOOKUP(C378,Customers!$A$2:$F$301,5,FALSE())</f>
        <v/>
      </c>
      <c r="N378" s="55">
        <f>VLOOKUP(E378,Sales_Reps!$A$2:$E$31,3,FALSE())</f>
        <v/>
      </c>
      <c r="O378" s="55">
        <f>VLOOKUP(D378,Products!$A$2:$F$61,4,FALSE())</f>
        <v/>
      </c>
      <c r="P378" s="55">
        <f>VLOOKUP(C378,Customers!$A$2:$F$301,3,FALSE())</f>
        <v/>
      </c>
      <c r="Q378" s="55">
        <f>UPPER(TRIM(K378))</f>
        <v/>
      </c>
      <c r="R378" s="55">
        <f>(G378-O378)/G378</f>
        <v/>
      </c>
      <c r="S378" s="55">
        <f>VLOOKUP(D378,Products!$A$2:$F$61,6,FALSE())</f>
        <v/>
      </c>
    </row>
    <row r="379" ht="15" customHeight="1" s="56">
      <c r="A379" s="55">
        <f>Orders!A379</f>
        <v/>
      </c>
      <c r="B379" s="103">
        <f>Orders!B379</f>
        <v/>
      </c>
      <c r="C379" s="55">
        <f>Orders!C379</f>
        <v/>
      </c>
      <c r="D379" s="55">
        <f>Orders!D379</f>
        <v/>
      </c>
      <c r="E379" s="55">
        <f>Orders!E379</f>
        <v/>
      </c>
      <c r="F379" s="55">
        <f>Orders!F379</f>
        <v/>
      </c>
      <c r="G379" s="55">
        <f>Orders!G379</f>
        <v/>
      </c>
      <c r="H379" s="55">
        <f>Orders!H379</f>
        <v/>
      </c>
      <c r="I379" s="55">
        <f>Orders!I379</f>
        <v/>
      </c>
      <c r="J379" s="55">
        <f>Orders!J379</f>
        <v/>
      </c>
      <c r="K379" s="55">
        <f>Orders!K379</f>
        <v/>
      </c>
      <c r="L379" s="55">
        <f>VLOOKUP(D379,Products!$A$2:$F$61,3,FALSE())</f>
        <v/>
      </c>
      <c r="M379" s="55">
        <f>VLOOKUP(C379,Customers!$A$2:$F$301,5,FALSE())</f>
        <v/>
      </c>
      <c r="N379" s="55">
        <f>VLOOKUP(E379,Sales_Reps!$A$2:$E$31,3,FALSE())</f>
        <v/>
      </c>
      <c r="O379" s="55">
        <f>VLOOKUP(D379,Products!$A$2:$F$61,4,FALSE())</f>
        <v/>
      </c>
      <c r="P379" s="55">
        <f>VLOOKUP(C379,Customers!$A$2:$F$301,3,FALSE())</f>
        <v/>
      </c>
      <c r="Q379" s="55">
        <f>UPPER(TRIM(K379))</f>
        <v/>
      </c>
      <c r="R379" s="55">
        <f>(G379-O379)/G379</f>
        <v/>
      </c>
      <c r="S379" s="55">
        <f>VLOOKUP(D379,Products!$A$2:$F$61,6,FALSE())</f>
        <v/>
      </c>
    </row>
    <row r="380" ht="15" customHeight="1" s="56">
      <c r="A380" s="55">
        <f>Orders!A380</f>
        <v/>
      </c>
      <c r="B380" s="103">
        <f>Orders!B380</f>
        <v/>
      </c>
      <c r="C380" s="55">
        <f>Orders!C380</f>
        <v/>
      </c>
      <c r="D380" s="55">
        <f>Orders!D380</f>
        <v/>
      </c>
      <c r="E380" s="55">
        <f>Orders!E380</f>
        <v/>
      </c>
      <c r="F380" s="55">
        <f>Orders!F380</f>
        <v/>
      </c>
      <c r="G380" s="55">
        <f>Orders!G380</f>
        <v/>
      </c>
      <c r="H380" s="55">
        <f>Orders!H380</f>
        <v/>
      </c>
      <c r="I380" s="55">
        <f>Orders!I380</f>
        <v/>
      </c>
      <c r="J380" s="55">
        <f>Orders!J380</f>
        <v/>
      </c>
      <c r="K380" s="55">
        <f>Orders!K380</f>
        <v/>
      </c>
      <c r="L380" s="55">
        <f>VLOOKUP(D380,Products!$A$2:$F$61,3,FALSE())</f>
        <v/>
      </c>
      <c r="M380" s="55">
        <f>VLOOKUP(C380,Customers!$A$2:$F$301,5,FALSE())</f>
        <v/>
      </c>
      <c r="N380" s="55">
        <f>VLOOKUP(E380,Sales_Reps!$A$2:$E$31,3,FALSE())</f>
        <v/>
      </c>
      <c r="O380" s="55">
        <f>VLOOKUP(D380,Products!$A$2:$F$61,4,FALSE())</f>
        <v/>
      </c>
      <c r="P380" s="55">
        <f>VLOOKUP(C380,Customers!$A$2:$F$301,3,FALSE())</f>
        <v/>
      </c>
      <c r="Q380" s="55">
        <f>UPPER(TRIM(K380))</f>
        <v/>
      </c>
      <c r="R380" s="55">
        <f>(G380-O380)/G380</f>
        <v/>
      </c>
      <c r="S380" s="55">
        <f>VLOOKUP(D380,Products!$A$2:$F$61,6,FALSE())</f>
        <v/>
      </c>
    </row>
    <row r="381" ht="15" customHeight="1" s="56">
      <c r="A381" s="55">
        <f>Orders!A381</f>
        <v/>
      </c>
      <c r="B381" s="103">
        <f>Orders!B381</f>
        <v/>
      </c>
      <c r="C381" s="55">
        <f>Orders!C381</f>
        <v/>
      </c>
      <c r="D381" s="55">
        <f>Orders!D381</f>
        <v/>
      </c>
      <c r="E381" s="55">
        <f>Orders!E381</f>
        <v/>
      </c>
      <c r="F381" s="55">
        <f>Orders!F381</f>
        <v/>
      </c>
      <c r="G381" s="55">
        <f>Orders!G381</f>
        <v/>
      </c>
      <c r="H381" s="55">
        <f>Orders!H381</f>
        <v/>
      </c>
      <c r="I381" s="55">
        <f>Orders!I381</f>
        <v/>
      </c>
      <c r="J381" s="55">
        <f>Orders!J381</f>
        <v/>
      </c>
      <c r="K381" s="55">
        <f>Orders!K381</f>
        <v/>
      </c>
      <c r="L381" s="55">
        <f>VLOOKUP(D381,Products!$A$2:$F$61,3,FALSE())</f>
        <v/>
      </c>
      <c r="M381" s="55">
        <f>VLOOKUP(C381,Customers!$A$2:$F$301,5,FALSE())</f>
        <v/>
      </c>
      <c r="N381" s="55">
        <f>VLOOKUP(E381,Sales_Reps!$A$2:$E$31,3,FALSE())</f>
        <v/>
      </c>
      <c r="O381" s="55">
        <f>VLOOKUP(D381,Products!$A$2:$F$61,4,FALSE())</f>
        <v/>
      </c>
      <c r="P381" s="55">
        <f>VLOOKUP(C381,Customers!$A$2:$F$301,3,FALSE())</f>
        <v/>
      </c>
      <c r="Q381" s="55">
        <f>UPPER(TRIM(K381))</f>
        <v/>
      </c>
      <c r="R381" s="55">
        <f>(G381-O381)/G381</f>
        <v/>
      </c>
      <c r="S381" s="55">
        <f>VLOOKUP(D381,Products!$A$2:$F$61,6,FALSE())</f>
        <v/>
      </c>
    </row>
    <row r="382" ht="15" customHeight="1" s="56">
      <c r="A382" s="55">
        <f>Orders!A382</f>
        <v/>
      </c>
      <c r="B382" s="103">
        <f>Orders!B382</f>
        <v/>
      </c>
      <c r="C382" s="55">
        <f>Orders!C382</f>
        <v/>
      </c>
      <c r="D382" s="55">
        <f>Orders!D382</f>
        <v/>
      </c>
      <c r="E382" s="55">
        <f>Orders!E382</f>
        <v/>
      </c>
      <c r="F382" s="55">
        <f>Orders!F382</f>
        <v/>
      </c>
      <c r="G382" s="55">
        <f>Orders!G382</f>
        <v/>
      </c>
      <c r="H382" s="55">
        <f>Orders!H382</f>
        <v/>
      </c>
      <c r="I382" s="55">
        <f>Orders!I382</f>
        <v/>
      </c>
      <c r="J382" s="55">
        <f>Orders!J382</f>
        <v/>
      </c>
      <c r="K382" s="55">
        <f>Orders!K382</f>
        <v/>
      </c>
      <c r="L382" s="55">
        <f>VLOOKUP(D382,Products!$A$2:$F$61,3,FALSE())</f>
        <v/>
      </c>
      <c r="M382" s="55">
        <f>VLOOKUP(C382,Customers!$A$2:$F$301,5,FALSE())</f>
        <v/>
      </c>
      <c r="N382" s="55">
        <f>VLOOKUP(E382,Sales_Reps!$A$2:$E$31,3,FALSE())</f>
        <v/>
      </c>
      <c r="O382" s="55">
        <f>VLOOKUP(D382,Products!$A$2:$F$61,4,FALSE())</f>
        <v/>
      </c>
      <c r="P382" s="55">
        <f>VLOOKUP(C382,Customers!$A$2:$F$301,3,FALSE())</f>
        <v/>
      </c>
      <c r="Q382" s="55">
        <f>UPPER(TRIM(K382))</f>
        <v/>
      </c>
      <c r="R382" s="55">
        <f>(G382-O382)/G382</f>
        <v/>
      </c>
      <c r="S382" s="55">
        <f>VLOOKUP(D382,Products!$A$2:$F$61,6,FALSE())</f>
        <v/>
      </c>
    </row>
    <row r="383" ht="15" customHeight="1" s="56">
      <c r="A383" s="55">
        <f>Orders!A383</f>
        <v/>
      </c>
      <c r="B383" s="103">
        <f>Orders!B383</f>
        <v/>
      </c>
      <c r="C383" s="55">
        <f>Orders!C383</f>
        <v/>
      </c>
      <c r="D383" s="55">
        <f>Orders!D383</f>
        <v/>
      </c>
      <c r="E383" s="55">
        <f>Orders!E383</f>
        <v/>
      </c>
      <c r="F383" s="55">
        <f>Orders!F383</f>
        <v/>
      </c>
      <c r="G383" s="55">
        <f>Orders!G383</f>
        <v/>
      </c>
      <c r="H383" s="55">
        <f>Orders!H383</f>
        <v/>
      </c>
      <c r="I383" s="55">
        <f>Orders!I383</f>
        <v/>
      </c>
      <c r="J383" s="55">
        <f>Orders!J383</f>
        <v/>
      </c>
      <c r="K383" s="55">
        <f>Orders!K383</f>
        <v/>
      </c>
      <c r="L383" s="55">
        <f>VLOOKUP(D383,Products!$A$2:$F$61,3,FALSE())</f>
        <v/>
      </c>
      <c r="M383" s="55">
        <f>VLOOKUP(C383,Customers!$A$2:$F$301,5,FALSE())</f>
        <v/>
      </c>
      <c r="N383" s="55">
        <f>VLOOKUP(E383,Sales_Reps!$A$2:$E$31,3,FALSE())</f>
        <v/>
      </c>
      <c r="O383" s="55">
        <f>VLOOKUP(D383,Products!$A$2:$F$61,4,FALSE())</f>
        <v/>
      </c>
      <c r="P383" s="55">
        <f>VLOOKUP(C383,Customers!$A$2:$F$301,3,FALSE())</f>
        <v/>
      </c>
      <c r="Q383" s="55">
        <f>UPPER(TRIM(K383))</f>
        <v/>
      </c>
      <c r="R383" s="55">
        <f>(G383-O383)/G383</f>
        <v/>
      </c>
      <c r="S383" s="55">
        <f>VLOOKUP(D383,Products!$A$2:$F$61,6,FALSE())</f>
        <v/>
      </c>
    </row>
    <row r="384" ht="15" customHeight="1" s="56">
      <c r="A384" s="55">
        <f>Orders!A384</f>
        <v/>
      </c>
      <c r="B384" s="103">
        <f>Orders!B384</f>
        <v/>
      </c>
      <c r="C384" s="55">
        <f>Orders!C384</f>
        <v/>
      </c>
      <c r="D384" s="55">
        <f>Orders!D384</f>
        <v/>
      </c>
      <c r="E384" s="55">
        <f>Orders!E384</f>
        <v/>
      </c>
      <c r="F384" s="55">
        <f>Orders!F384</f>
        <v/>
      </c>
      <c r="G384" s="55">
        <f>Orders!G384</f>
        <v/>
      </c>
      <c r="H384" s="55">
        <f>Orders!H384</f>
        <v/>
      </c>
      <c r="I384" s="55">
        <f>Orders!I384</f>
        <v/>
      </c>
      <c r="J384" s="55">
        <f>Orders!J384</f>
        <v/>
      </c>
      <c r="K384" s="55">
        <f>Orders!K384</f>
        <v/>
      </c>
      <c r="L384" s="55">
        <f>VLOOKUP(D384,Products!$A$2:$F$61,3,FALSE())</f>
        <v/>
      </c>
      <c r="M384" s="55">
        <f>VLOOKUP(C384,Customers!$A$2:$F$301,5,FALSE())</f>
        <v/>
      </c>
      <c r="N384" s="55">
        <f>VLOOKUP(E384,Sales_Reps!$A$2:$E$31,3,FALSE())</f>
        <v/>
      </c>
      <c r="O384" s="55">
        <f>VLOOKUP(D384,Products!$A$2:$F$61,4,FALSE())</f>
        <v/>
      </c>
      <c r="P384" s="55">
        <f>VLOOKUP(C384,Customers!$A$2:$F$301,3,FALSE())</f>
        <v/>
      </c>
      <c r="Q384" s="55">
        <f>UPPER(TRIM(K384))</f>
        <v/>
      </c>
      <c r="R384" s="55">
        <f>(G384-O384)/G384</f>
        <v/>
      </c>
      <c r="S384" s="55">
        <f>VLOOKUP(D384,Products!$A$2:$F$61,6,FALSE())</f>
        <v/>
      </c>
    </row>
    <row r="385" ht="15" customHeight="1" s="56">
      <c r="A385" s="55">
        <f>Orders!A385</f>
        <v/>
      </c>
      <c r="B385" s="103">
        <f>Orders!B385</f>
        <v/>
      </c>
      <c r="C385" s="55">
        <f>Orders!C385</f>
        <v/>
      </c>
      <c r="D385" s="55">
        <f>Orders!D385</f>
        <v/>
      </c>
      <c r="E385" s="55">
        <f>Orders!E385</f>
        <v/>
      </c>
      <c r="F385" s="55">
        <f>Orders!F385</f>
        <v/>
      </c>
      <c r="G385" s="55">
        <f>Orders!G385</f>
        <v/>
      </c>
      <c r="H385" s="55">
        <f>Orders!H385</f>
        <v/>
      </c>
      <c r="I385" s="55">
        <f>Orders!I385</f>
        <v/>
      </c>
      <c r="J385" s="55">
        <f>Orders!J385</f>
        <v/>
      </c>
      <c r="K385" s="55">
        <f>Orders!K385</f>
        <v/>
      </c>
      <c r="L385" s="55">
        <f>VLOOKUP(D385,Products!$A$2:$F$61,3,FALSE())</f>
        <v/>
      </c>
      <c r="M385" s="55">
        <f>VLOOKUP(C385,Customers!$A$2:$F$301,5,FALSE())</f>
        <v/>
      </c>
      <c r="N385" s="55">
        <f>VLOOKUP(E385,Sales_Reps!$A$2:$E$31,3,FALSE())</f>
        <v/>
      </c>
      <c r="O385" s="55">
        <f>VLOOKUP(D385,Products!$A$2:$F$61,4,FALSE())</f>
        <v/>
      </c>
      <c r="P385" s="55">
        <f>VLOOKUP(C385,Customers!$A$2:$F$301,3,FALSE())</f>
        <v/>
      </c>
      <c r="Q385" s="55">
        <f>UPPER(TRIM(K385))</f>
        <v/>
      </c>
      <c r="R385" s="55">
        <f>(G385-O385)/G385</f>
        <v/>
      </c>
      <c r="S385" s="55">
        <f>VLOOKUP(D385,Products!$A$2:$F$61,6,FALSE())</f>
        <v/>
      </c>
    </row>
    <row r="386" ht="15" customHeight="1" s="56">
      <c r="A386" s="55">
        <f>Orders!A386</f>
        <v/>
      </c>
      <c r="B386" s="103">
        <f>Orders!B386</f>
        <v/>
      </c>
      <c r="C386" s="55">
        <f>Orders!C386</f>
        <v/>
      </c>
      <c r="D386" s="55">
        <f>Orders!D386</f>
        <v/>
      </c>
      <c r="E386" s="55">
        <f>Orders!E386</f>
        <v/>
      </c>
      <c r="F386" s="55">
        <f>Orders!F386</f>
        <v/>
      </c>
      <c r="G386" s="55">
        <f>Orders!G386</f>
        <v/>
      </c>
      <c r="H386" s="55">
        <f>Orders!H386</f>
        <v/>
      </c>
      <c r="I386" s="55">
        <f>Orders!I386</f>
        <v/>
      </c>
      <c r="J386" s="55">
        <f>Orders!J386</f>
        <v/>
      </c>
      <c r="K386" s="55">
        <f>Orders!K386</f>
        <v/>
      </c>
      <c r="L386" s="55">
        <f>VLOOKUP(D386,Products!$A$2:$F$61,3,FALSE())</f>
        <v/>
      </c>
      <c r="M386" s="55">
        <f>VLOOKUP(C386,Customers!$A$2:$F$301,5,FALSE())</f>
        <v/>
      </c>
      <c r="N386" s="55">
        <f>VLOOKUP(E386,Sales_Reps!$A$2:$E$31,3,FALSE())</f>
        <v/>
      </c>
      <c r="O386" s="55">
        <f>VLOOKUP(D386,Products!$A$2:$F$61,4,FALSE())</f>
        <v/>
      </c>
      <c r="P386" s="55">
        <f>VLOOKUP(C386,Customers!$A$2:$F$301,3,FALSE())</f>
        <v/>
      </c>
      <c r="Q386" s="55">
        <f>UPPER(TRIM(K386))</f>
        <v/>
      </c>
      <c r="R386" s="55">
        <f>(G386-O386)/G386</f>
        <v/>
      </c>
      <c r="S386" s="55">
        <f>VLOOKUP(D386,Products!$A$2:$F$61,6,FALSE())</f>
        <v/>
      </c>
    </row>
    <row r="387" ht="15" customHeight="1" s="56">
      <c r="A387" s="55">
        <f>Orders!A387</f>
        <v/>
      </c>
      <c r="B387" s="103">
        <f>Orders!B387</f>
        <v/>
      </c>
      <c r="C387" s="55">
        <f>Orders!C387</f>
        <v/>
      </c>
      <c r="D387" s="55">
        <f>Orders!D387</f>
        <v/>
      </c>
      <c r="E387" s="55">
        <f>Orders!E387</f>
        <v/>
      </c>
      <c r="F387" s="55">
        <f>Orders!F387</f>
        <v/>
      </c>
      <c r="G387" s="55">
        <f>Orders!G387</f>
        <v/>
      </c>
      <c r="H387" s="55">
        <f>Orders!H387</f>
        <v/>
      </c>
      <c r="I387" s="55">
        <f>Orders!I387</f>
        <v/>
      </c>
      <c r="J387" s="55">
        <f>Orders!J387</f>
        <v/>
      </c>
      <c r="K387" s="55">
        <f>Orders!K387</f>
        <v/>
      </c>
      <c r="L387" s="55">
        <f>VLOOKUP(D387,Products!$A$2:$F$61,3,FALSE())</f>
        <v/>
      </c>
      <c r="M387" s="55">
        <f>VLOOKUP(C387,Customers!$A$2:$F$301,5,FALSE())</f>
        <v/>
      </c>
      <c r="N387" s="55">
        <f>VLOOKUP(E387,Sales_Reps!$A$2:$E$31,3,FALSE())</f>
        <v/>
      </c>
      <c r="O387" s="55">
        <f>VLOOKUP(D387,Products!$A$2:$F$61,4,FALSE())</f>
        <v/>
      </c>
      <c r="P387" s="55">
        <f>VLOOKUP(C387,Customers!$A$2:$F$301,3,FALSE())</f>
        <v/>
      </c>
      <c r="Q387" s="55">
        <f>UPPER(TRIM(K387))</f>
        <v/>
      </c>
      <c r="R387" s="55">
        <f>(G387-O387)/G387</f>
        <v/>
      </c>
      <c r="S387" s="55">
        <f>VLOOKUP(D387,Products!$A$2:$F$61,6,FALSE())</f>
        <v/>
      </c>
    </row>
    <row r="388" ht="15" customHeight="1" s="56">
      <c r="A388" s="55">
        <f>Orders!A388</f>
        <v/>
      </c>
      <c r="B388" s="103">
        <f>Orders!B388</f>
        <v/>
      </c>
      <c r="C388" s="55">
        <f>Orders!C388</f>
        <v/>
      </c>
      <c r="D388" s="55">
        <f>Orders!D388</f>
        <v/>
      </c>
      <c r="E388" s="55">
        <f>Orders!E388</f>
        <v/>
      </c>
      <c r="F388" s="55">
        <f>Orders!F388</f>
        <v/>
      </c>
      <c r="G388" s="55">
        <f>Orders!G388</f>
        <v/>
      </c>
      <c r="H388" s="55">
        <f>Orders!H388</f>
        <v/>
      </c>
      <c r="I388" s="55">
        <f>Orders!I388</f>
        <v/>
      </c>
      <c r="J388" s="55">
        <f>Orders!J388</f>
        <v/>
      </c>
      <c r="K388" s="55">
        <f>Orders!K388</f>
        <v/>
      </c>
      <c r="L388" s="55">
        <f>VLOOKUP(D388,Products!$A$2:$F$61,3,FALSE())</f>
        <v/>
      </c>
      <c r="M388" s="55">
        <f>VLOOKUP(C388,Customers!$A$2:$F$301,5,FALSE())</f>
        <v/>
      </c>
      <c r="N388" s="55">
        <f>VLOOKUP(E388,Sales_Reps!$A$2:$E$31,3,FALSE())</f>
        <v/>
      </c>
      <c r="O388" s="55">
        <f>VLOOKUP(D388,Products!$A$2:$F$61,4,FALSE())</f>
        <v/>
      </c>
      <c r="P388" s="55">
        <f>VLOOKUP(C388,Customers!$A$2:$F$301,3,FALSE())</f>
        <v/>
      </c>
      <c r="Q388" s="55">
        <f>UPPER(TRIM(K388))</f>
        <v/>
      </c>
      <c r="R388" s="55">
        <f>(G388-O388)/G388</f>
        <v/>
      </c>
      <c r="S388" s="55">
        <f>VLOOKUP(D388,Products!$A$2:$F$61,6,FALSE())</f>
        <v/>
      </c>
    </row>
    <row r="389" ht="15" customHeight="1" s="56">
      <c r="A389" s="55">
        <f>Orders!A389</f>
        <v/>
      </c>
      <c r="B389" s="103">
        <f>Orders!B389</f>
        <v/>
      </c>
      <c r="C389" s="55">
        <f>Orders!C389</f>
        <v/>
      </c>
      <c r="D389" s="55">
        <f>Orders!D389</f>
        <v/>
      </c>
      <c r="E389" s="55">
        <f>Orders!E389</f>
        <v/>
      </c>
      <c r="F389" s="55">
        <f>Orders!F389</f>
        <v/>
      </c>
      <c r="G389" s="55">
        <f>Orders!G389</f>
        <v/>
      </c>
      <c r="H389" s="55">
        <f>Orders!H389</f>
        <v/>
      </c>
      <c r="I389" s="55">
        <f>Orders!I389</f>
        <v/>
      </c>
      <c r="J389" s="55">
        <f>Orders!J389</f>
        <v/>
      </c>
      <c r="K389" s="55">
        <f>Orders!K389</f>
        <v/>
      </c>
      <c r="L389" s="55">
        <f>VLOOKUP(D389,Products!$A$2:$F$61,3,FALSE())</f>
        <v/>
      </c>
      <c r="M389" s="55">
        <f>VLOOKUP(C389,Customers!$A$2:$F$301,5,FALSE())</f>
        <v/>
      </c>
      <c r="N389" s="55">
        <f>VLOOKUP(E389,Sales_Reps!$A$2:$E$31,3,FALSE())</f>
        <v/>
      </c>
      <c r="O389" s="55">
        <f>VLOOKUP(D389,Products!$A$2:$F$61,4,FALSE())</f>
        <v/>
      </c>
      <c r="P389" s="55">
        <f>VLOOKUP(C389,Customers!$A$2:$F$301,3,FALSE())</f>
        <v/>
      </c>
      <c r="Q389" s="55">
        <f>UPPER(TRIM(K389))</f>
        <v/>
      </c>
      <c r="R389" s="55">
        <f>(G389-O389)/G389</f>
        <v/>
      </c>
      <c r="S389" s="55">
        <f>VLOOKUP(D389,Products!$A$2:$F$61,6,FALSE())</f>
        <v/>
      </c>
    </row>
    <row r="390" ht="15" customHeight="1" s="56">
      <c r="A390" s="55">
        <f>Orders!A390</f>
        <v/>
      </c>
      <c r="B390" s="103">
        <f>Orders!B390</f>
        <v/>
      </c>
      <c r="C390" s="55">
        <f>Orders!C390</f>
        <v/>
      </c>
      <c r="D390" s="55">
        <f>Orders!D390</f>
        <v/>
      </c>
      <c r="E390" s="55">
        <f>Orders!E390</f>
        <v/>
      </c>
      <c r="F390" s="55">
        <f>Orders!F390</f>
        <v/>
      </c>
      <c r="G390" s="55">
        <f>Orders!G390</f>
        <v/>
      </c>
      <c r="H390" s="55">
        <f>Orders!H390</f>
        <v/>
      </c>
      <c r="I390" s="55">
        <f>Orders!I390</f>
        <v/>
      </c>
      <c r="J390" s="55">
        <f>Orders!J390</f>
        <v/>
      </c>
      <c r="K390" s="55">
        <f>Orders!K390</f>
        <v/>
      </c>
      <c r="L390" s="55">
        <f>VLOOKUP(D390,Products!$A$2:$F$61,3,FALSE())</f>
        <v/>
      </c>
      <c r="M390" s="55">
        <f>VLOOKUP(C390,Customers!$A$2:$F$301,5,FALSE())</f>
        <v/>
      </c>
      <c r="N390" s="55">
        <f>VLOOKUP(E390,Sales_Reps!$A$2:$E$31,3,FALSE())</f>
        <v/>
      </c>
      <c r="O390" s="55">
        <f>VLOOKUP(D390,Products!$A$2:$F$61,4,FALSE())</f>
        <v/>
      </c>
      <c r="P390" s="55">
        <f>VLOOKUP(C390,Customers!$A$2:$F$301,3,FALSE())</f>
        <v/>
      </c>
      <c r="Q390" s="55">
        <f>UPPER(TRIM(K390))</f>
        <v/>
      </c>
      <c r="R390" s="55">
        <f>(G390-O390)/G390</f>
        <v/>
      </c>
      <c r="S390" s="55">
        <f>VLOOKUP(D390,Products!$A$2:$F$61,6,FALSE())</f>
        <v/>
      </c>
    </row>
    <row r="391" ht="15" customHeight="1" s="56">
      <c r="A391" s="55">
        <f>Orders!A391</f>
        <v/>
      </c>
      <c r="B391" s="103">
        <f>Orders!B391</f>
        <v/>
      </c>
      <c r="C391" s="55">
        <f>Orders!C391</f>
        <v/>
      </c>
      <c r="D391" s="55">
        <f>Orders!D391</f>
        <v/>
      </c>
      <c r="E391" s="55">
        <f>Orders!E391</f>
        <v/>
      </c>
      <c r="F391" s="55">
        <f>Orders!F391</f>
        <v/>
      </c>
      <c r="G391" s="55">
        <f>Orders!G391</f>
        <v/>
      </c>
      <c r="H391" s="55">
        <f>Orders!H391</f>
        <v/>
      </c>
      <c r="I391" s="55">
        <f>Orders!I391</f>
        <v/>
      </c>
      <c r="J391" s="55">
        <f>Orders!J391</f>
        <v/>
      </c>
      <c r="K391" s="55">
        <f>Orders!K391</f>
        <v/>
      </c>
      <c r="L391" s="55">
        <f>VLOOKUP(D391,Products!$A$2:$F$61,3,FALSE())</f>
        <v/>
      </c>
      <c r="M391" s="55">
        <f>VLOOKUP(C391,Customers!$A$2:$F$301,5,FALSE())</f>
        <v/>
      </c>
      <c r="N391" s="55">
        <f>VLOOKUP(E391,Sales_Reps!$A$2:$E$31,3,FALSE())</f>
        <v/>
      </c>
      <c r="O391" s="55">
        <f>VLOOKUP(D391,Products!$A$2:$F$61,4,FALSE())</f>
        <v/>
      </c>
      <c r="P391" s="55">
        <f>VLOOKUP(C391,Customers!$A$2:$F$301,3,FALSE())</f>
        <v/>
      </c>
      <c r="Q391" s="55">
        <f>UPPER(TRIM(K391))</f>
        <v/>
      </c>
      <c r="R391" s="55">
        <f>(G391-O391)/G391</f>
        <v/>
      </c>
      <c r="S391" s="55">
        <f>VLOOKUP(D391,Products!$A$2:$F$61,6,FALSE())</f>
        <v/>
      </c>
    </row>
    <row r="392" ht="15" customHeight="1" s="56">
      <c r="A392" s="55">
        <f>Orders!A392</f>
        <v/>
      </c>
      <c r="B392" s="103">
        <f>Orders!B392</f>
        <v/>
      </c>
      <c r="C392" s="55">
        <f>Orders!C392</f>
        <v/>
      </c>
      <c r="D392" s="55">
        <f>Orders!D392</f>
        <v/>
      </c>
      <c r="E392" s="55">
        <f>Orders!E392</f>
        <v/>
      </c>
      <c r="F392" s="55">
        <f>Orders!F392</f>
        <v/>
      </c>
      <c r="G392" s="55">
        <f>Orders!G392</f>
        <v/>
      </c>
      <c r="H392" s="55">
        <f>Orders!H392</f>
        <v/>
      </c>
      <c r="I392" s="55">
        <f>Orders!I392</f>
        <v/>
      </c>
      <c r="J392" s="55">
        <f>Orders!J392</f>
        <v/>
      </c>
      <c r="K392" s="55">
        <f>Orders!K392</f>
        <v/>
      </c>
      <c r="L392" s="55">
        <f>VLOOKUP(D392,Products!$A$2:$F$61,3,FALSE())</f>
        <v/>
      </c>
      <c r="M392" s="55">
        <f>VLOOKUP(C392,Customers!$A$2:$F$301,5,FALSE())</f>
        <v/>
      </c>
      <c r="N392" s="55">
        <f>VLOOKUP(E392,Sales_Reps!$A$2:$E$31,3,FALSE())</f>
        <v/>
      </c>
      <c r="O392" s="55">
        <f>VLOOKUP(D392,Products!$A$2:$F$61,4,FALSE())</f>
        <v/>
      </c>
      <c r="P392" s="55">
        <f>VLOOKUP(C392,Customers!$A$2:$F$301,3,FALSE())</f>
        <v/>
      </c>
      <c r="Q392" s="55">
        <f>UPPER(TRIM(K392))</f>
        <v/>
      </c>
      <c r="R392" s="55">
        <f>(G392-O392)/G392</f>
        <v/>
      </c>
      <c r="S392" s="55">
        <f>VLOOKUP(D392,Products!$A$2:$F$61,6,FALSE())</f>
        <v/>
      </c>
    </row>
    <row r="393" ht="15" customHeight="1" s="56">
      <c r="A393" s="55">
        <f>Orders!A393</f>
        <v/>
      </c>
      <c r="B393" s="103">
        <f>Orders!B393</f>
        <v/>
      </c>
      <c r="C393" s="55">
        <f>Orders!C393</f>
        <v/>
      </c>
      <c r="D393" s="55">
        <f>Orders!D393</f>
        <v/>
      </c>
      <c r="E393" s="55">
        <f>Orders!E393</f>
        <v/>
      </c>
      <c r="F393" s="55">
        <f>Orders!F393</f>
        <v/>
      </c>
      <c r="G393" s="55">
        <f>Orders!G393</f>
        <v/>
      </c>
      <c r="H393" s="55">
        <f>Orders!H393</f>
        <v/>
      </c>
      <c r="I393" s="55">
        <f>Orders!I393</f>
        <v/>
      </c>
      <c r="J393" s="55">
        <f>Orders!J393</f>
        <v/>
      </c>
      <c r="K393" s="55">
        <f>Orders!K393</f>
        <v/>
      </c>
      <c r="L393" s="55">
        <f>VLOOKUP(D393,Products!$A$2:$F$61,3,FALSE())</f>
        <v/>
      </c>
      <c r="M393" s="55">
        <f>VLOOKUP(C393,Customers!$A$2:$F$301,5,FALSE())</f>
        <v/>
      </c>
      <c r="N393" s="55">
        <f>VLOOKUP(E393,Sales_Reps!$A$2:$E$31,3,FALSE())</f>
        <v/>
      </c>
      <c r="O393" s="55">
        <f>VLOOKUP(D393,Products!$A$2:$F$61,4,FALSE())</f>
        <v/>
      </c>
      <c r="P393" s="55">
        <f>VLOOKUP(C393,Customers!$A$2:$F$301,3,FALSE())</f>
        <v/>
      </c>
      <c r="Q393" s="55">
        <f>UPPER(TRIM(K393))</f>
        <v/>
      </c>
      <c r="R393" s="55">
        <f>(G393-O393)/G393</f>
        <v/>
      </c>
      <c r="S393" s="55">
        <f>VLOOKUP(D393,Products!$A$2:$F$61,6,FALSE())</f>
        <v/>
      </c>
    </row>
    <row r="394" ht="15" customHeight="1" s="56">
      <c r="A394" s="55">
        <f>Orders!A394</f>
        <v/>
      </c>
      <c r="B394" s="103">
        <f>Orders!B394</f>
        <v/>
      </c>
      <c r="C394" s="55">
        <f>Orders!C394</f>
        <v/>
      </c>
      <c r="D394" s="55">
        <f>Orders!D394</f>
        <v/>
      </c>
      <c r="E394" s="55">
        <f>Orders!E394</f>
        <v/>
      </c>
      <c r="F394" s="55">
        <f>Orders!F394</f>
        <v/>
      </c>
      <c r="G394" s="55">
        <f>Orders!G394</f>
        <v/>
      </c>
      <c r="H394" s="55">
        <f>Orders!H394</f>
        <v/>
      </c>
      <c r="I394" s="55">
        <f>Orders!I394</f>
        <v/>
      </c>
      <c r="J394" s="55">
        <f>Orders!J394</f>
        <v/>
      </c>
      <c r="K394" s="55">
        <f>Orders!K394</f>
        <v/>
      </c>
      <c r="L394" s="55">
        <f>VLOOKUP(D394,Products!$A$2:$F$61,3,FALSE())</f>
        <v/>
      </c>
      <c r="M394" s="55">
        <f>VLOOKUP(C394,Customers!$A$2:$F$301,5,FALSE())</f>
        <v/>
      </c>
      <c r="N394" s="55">
        <f>VLOOKUP(E394,Sales_Reps!$A$2:$E$31,3,FALSE())</f>
        <v/>
      </c>
      <c r="O394" s="55">
        <f>VLOOKUP(D394,Products!$A$2:$F$61,4,FALSE())</f>
        <v/>
      </c>
      <c r="P394" s="55">
        <f>VLOOKUP(C394,Customers!$A$2:$F$301,3,FALSE())</f>
        <v/>
      </c>
      <c r="Q394" s="55">
        <f>UPPER(TRIM(K394))</f>
        <v/>
      </c>
      <c r="R394" s="55">
        <f>(G394-O394)/G394</f>
        <v/>
      </c>
      <c r="S394" s="55">
        <f>VLOOKUP(D394,Products!$A$2:$F$61,6,FALSE())</f>
        <v/>
      </c>
    </row>
    <row r="395" ht="15" customHeight="1" s="56">
      <c r="A395" s="55">
        <f>Orders!A395</f>
        <v/>
      </c>
      <c r="B395" s="103">
        <f>Orders!B395</f>
        <v/>
      </c>
      <c r="C395" s="55">
        <f>Orders!C395</f>
        <v/>
      </c>
      <c r="D395" s="55">
        <f>Orders!D395</f>
        <v/>
      </c>
      <c r="E395" s="55">
        <f>Orders!E395</f>
        <v/>
      </c>
      <c r="F395" s="55">
        <f>Orders!F395</f>
        <v/>
      </c>
      <c r="G395" s="55">
        <f>Orders!G395</f>
        <v/>
      </c>
      <c r="H395" s="55">
        <f>Orders!H395</f>
        <v/>
      </c>
      <c r="I395" s="55">
        <f>Orders!I395</f>
        <v/>
      </c>
      <c r="J395" s="55">
        <f>Orders!J395</f>
        <v/>
      </c>
      <c r="K395" s="55">
        <f>Orders!K395</f>
        <v/>
      </c>
      <c r="L395" s="55">
        <f>VLOOKUP(D395,Products!$A$2:$F$61,3,FALSE())</f>
        <v/>
      </c>
      <c r="M395" s="55">
        <f>VLOOKUP(C395,Customers!$A$2:$F$301,5,FALSE())</f>
        <v/>
      </c>
      <c r="N395" s="55">
        <f>VLOOKUP(E395,Sales_Reps!$A$2:$E$31,3,FALSE())</f>
        <v/>
      </c>
      <c r="O395" s="55">
        <f>VLOOKUP(D395,Products!$A$2:$F$61,4,FALSE())</f>
        <v/>
      </c>
      <c r="P395" s="55">
        <f>VLOOKUP(C395,Customers!$A$2:$F$301,3,FALSE())</f>
        <v/>
      </c>
      <c r="Q395" s="55">
        <f>UPPER(TRIM(K395))</f>
        <v/>
      </c>
      <c r="R395" s="55">
        <f>(G395-O395)/G395</f>
        <v/>
      </c>
      <c r="S395" s="55">
        <f>VLOOKUP(D395,Products!$A$2:$F$61,6,FALSE())</f>
        <v/>
      </c>
    </row>
    <row r="396" ht="15" customHeight="1" s="56">
      <c r="A396" s="55">
        <f>Orders!A396</f>
        <v/>
      </c>
      <c r="B396" s="103">
        <f>Orders!B396</f>
        <v/>
      </c>
      <c r="C396" s="55">
        <f>Orders!C396</f>
        <v/>
      </c>
      <c r="D396" s="55">
        <f>Orders!D396</f>
        <v/>
      </c>
      <c r="E396" s="55">
        <f>Orders!E396</f>
        <v/>
      </c>
      <c r="F396" s="55">
        <f>Orders!F396</f>
        <v/>
      </c>
      <c r="G396" s="55">
        <f>Orders!G396</f>
        <v/>
      </c>
      <c r="H396" s="55">
        <f>Orders!H396</f>
        <v/>
      </c>
      <c r="I396" s="55">
        <f>Orders!I396</f>
        <v/>
      </c>
      <c r="J396" s="55">
        <f>Orders!J396</f>
        <v/>
      </c>
      <c r="K396" s="55">
        <f>Orders!K396</f>
        <v/>
      </c>
      <c r="L396" s="55">
        <f>VLOOKUP(D396,Products!$A$2:$F$61,3,FALSE())</f>
        <v/>
      </c>
      <c r="M396" s="55">
        <f>VLOOKUP(C396,Customers!$A$2:$F$301,5,FALSE())</f>
        <v/>
      </c>
      <c r="N396" s="55">
        <f>VLOOKUP(E396,Sales_Reps!$A$2:$E$31,3,FALSE())</f>
        <v/>
      </c>
      <c r="O396" s="55">
        <f>VLOOKUP(D396,Products!$A$2:$F$61,4,FALSE())</f>
        <v/>
      </c>
      <c r="P396" s="55">
        <f>VLOOKUP(C396,Customers!$A$2:$F$301,3,FALSE())</f>
        <v/>
      </c>
      <c r="Q396" s="55">
        <f>UPPER(TRIM(K396))</f>
        <v/>
      </c>
      <c r="R396" s="55">
        <f>(G396-O396)/G396</f>
        <v/>
      </c>
      <c r="S396" s="55">
        <f>VLOOKUP(D396,Products!$A$2:$F$61,6,FALSE())</f>
        <v/>
      </c>
    </row>
    <row r="397" ht="15" customHeight="1" s="56">
      <c r="A397" s="55">
        <f>Orders!A397</f>
        <v/>
      </c>
      <c r="B397" s="103">
        <f>Orders!B397</f>
        <v/>
      </c>
      <c r="C397" s="55">
        <f>Orders!C397</f>
        <v/>
      </c>
      <c r="D397" s="55">
        <f>Orders!D397</f>
        <v/>
      </c>
      <c r="E397" s="55">
        <f>Orders!E397</f>
        <v/>
      </c>
      <c r="F397" s="55">
        <f>Orders!F397</f>
        <v/>
      </c>
      <c r="G397" s="55">
        <f>Orders!G397</f>
        <v/>
      </c>
      <c r="H397" s="55">
        <f>Orders!H397</f>
        <v/>
      </c>
      <c r="I397" s="55">
        <f>Orders!I397</f>
        <v/>
      </c>
      <c r="J397" s="55">
        <f>Orders!J397</f>
        <v/>
      </c>
      <c r="K397" s="55">
        <f>Orders!K397</f>
        <v/>
      </c>
      <c r="L397" s="55">
        <f>VLOOKUP(D397,Products!$A$2:$F$61,3,FALSE())</f>
        <v/>
      </c>
      <c r="M397" s="55">
        <f>VLOOKUP(C397,Customers!$A$2:$F$301,5,FALSE())</f>
        <v/>
      </c>
      <c r="N397" s="55">
        <f>VLOOKUP(E397,Sales_Reps!$A$2:$E$31,3,FALSE())</f>
        <v/>
      </c>
      <c r="O397" s="55">
        <f>VLOOKUP(D397,Products!$A$2:$F$61,4,FALSE())</f>
        <v/>
      </c>
      <c r="P397" s="55">
        <f>VLOOKUP(C397,Customers!$A$2:$F$301,3,FALSE())</f>
        <v/>
      </c>
      <c r="Q397" s="55">
        <f>UPPER(TRIM(K397))</f>
        <v/>
      </c>
      <c r="R397" s="55">
        <f>(G397-O397)/G397</f>
        <v/>
      </c>
      <c r="S397" s="55">
        <f>VLOOKUP(D397,Products!$A$2:$F$61,6,FALSE())</f>
        <v/>
      </c>
    </row>
    <row r="398" ht="15" customHeight="1" s="56">
      <c r="A398" s="55">
        <f>Orders!A398</f>
        <v/>
      </c>
      <c r="B398" s="103">
        <f>Orders!B398</f>
        <v/>
      </c>
      <c r="C398" s="55">
        <f>Orders!C398</f>
        <v/>
      </c>
      <c r="D398" s="55">
        <f>Orders!D398</f>
        <v/>
      </c>
      <c r="E398" s="55">
        <f>Orders!E398</f>
        <v/>
      </c>
      <c r="F398" s="55">
        <f>Orders!F398</f>
        <v/>
      </c>
      <c r="G398" s="55">
        <f>Orders!G398</f>
        <v/>
      </c>
      <c r="H398" s="55">
        <f>Orders!H398</f>
        <v/>
      </c>
      <c r="I398" s="55">
        <f>Orders!I398</f>
        <v/>
      </c>
      <c r="J398" s="55">
        <f>Orders!J398</f>
        <v/>
      </c>
      <c r="K398" s="55">
        <f>Orders!K398</f>
        <v/>
      </c>
      <c r="L398" s="55">
        <f>VLOOKUP(D398,Products!$A$2:$F$61,3,FALSE())</f>
        <v/>
      </c>
      <c r="M398" s="55">
        <f>VLOOKUP(C398,Customers!$A$2:$F$301,5,FALSE())</f>
        <v/>
      </c>
      <c r="N398" s="55">
        <f>VLOOKUP(E398,Sales_Reps!$A$2:$E$31,3,FALSE())</f>
        <v/>
      </c>
      <c r="O398" s="55">
        <f>VLOOKUP(D398,Products!$A$2:$F$61,4,FALSE())</f>
        <v/>
      </c>
      <c r="P398" s="55">
        <f>VLOOKUP(C398,Customers!$A$2:$F$301,3,FALSE())</f>
        <v/>
      </c>
      <c r="Q398" s="55">
        <f>UPPER(TRIM(K398))</f>
        <v/>
      </c>
      <c r="R398" s="55">
        <f>(G398-O398)/G398</f>
        <v/>
      </c>
      <c r="S398" s="55">
        <f>VLOOKUP(D398,Products!$A$2:$F$61,6,FALSE())</f>
        <v/>
      </c>
    </row>
    <row r="399" ht="15" customHeight="1" s="56">
      <c r="A399" s="55">
        <f>Orders!A399</f>
        <v/>
      </c>
      <c r="B399" s="103">
        <f>Orders!B399</f>
        <v/>
      </c>
      <c r="C399" s="55">
        <f>Orders!C399</f>
        <v/>
      </c>
      <c r="D399" s="55">
        <f>Orders!D399</f>
        <v/>
      </c>
      <c r="E399" s="55">
        <f>Orders!E399</f>
        <v/>
      </c>
      <c r="F399" s="55">
        <f>Orders!F399</f>
        <v/>
      </c>
      <c r="G399" s="55">
        <f>Orders!G399</f>
        <v/>
      </c>
      <c r="H399" s="55">
        <f>Orders!H399</f>
        <v/>
      </c>
      <c r="I399" s="55">
        <f>Orders!I399</f>
        <v/>
      </c>
      <c r="J399" s="55">
        <f>Orders!J399</f>
        <v/>
      </c>
      <c r="K399" s="55">
        <f>Orders!K399</f>
        <v/>
      </c>
      <c r="L399" s="55">
        <f>VLOOKUP(D399,Products!$A$2:$F$61,3,FALSE())</f>
        <v/>
      </c>
      <c r="M399" s="55">
        <f>VLOOKUP(C399,Customers!$A$2:$F$301,5,FALSE())</f>
        <v/>
      </c>
      <c r="N399" s="55">
        <f>VLOOKUP(E399,Sales_Reps!$A$2:$E$31,3,FALSE())</f>
        <v/>
      </c>
      <c r="O399" s="55">
        <f>VLOOKUP(D399,Products!$A$2:$F$61,4,FALSE())</f>
        <v/>
      </c>
      <c r="P399" s="55">
        <f>VLOOKUP(C399,Customers!$A$2:$F$301,3,FALSE())</f>
        <v/>
      </c>
      <c r="Q399" s="55">
        <f>UPPER(TRIM(K399))</f>
        <v/>
      </c>
      <c r="R399" s="55">
        <f>(G399-O399)/G399</f>
        <v/>
      </c>
      <c r="S399" s="55">
        <f>VLOOKUP(D399,Products!$A$2:$F$61,6,FALSE())</f>
        <v/>
      </c>
    </row>
    <row r="400" ht="15" customHeight="1" s="56">
      <c r="A400" s="55">
        <f>Orders!A400</f>
        <v/>
      </c>
      <c r="B400" s="103">
        <f>Orders!B400</f>
        <v/>
      </c>
      <c r="C400" s="55">
        <f>Orders!C400</f>
        <v/>
      </c>
      <c r="D400" s="55">
        <f>Orders!D400</f>
        <v/>
      </c>
      <c r="E400" s="55">
        <f>Orders!E400</f>
        <v/>
      </c>
      <c r="F400" s="55">
        <f>Orders!F400</f>
        <v/>
      </c>
      <c r="G400" s="55">
        <f>Orders!G400</f>
        <v/>
      </c>
      <c r="H400" s="55">
        <f>Orders!H400</f>
        <v/>
      </c>
      <c r="I400" s="55">
        <f>Orders!I400</f>
        <v/>
      </c>
      <c r="J400" s="55">
        <f>Orders!J400</f>
        <v/>
      </c>
      <c r="K400" s="55">
        <f>Orders!K400</f>
        <v/>
      </c>
      <c r="L400" s="55">
        <f>VLOOKUP(D400,Products!$A$2:$F$61,3,FALSE())</f>
        <v/>
      </c>
      <c r="M400" s="55">
        <f>VLOOKUP(C400,Customers!$A$2:$F$301,5,FALSE())</f>
        <v/>
      </c>
      <c r="N400" s="55">
        <f>VLOOKUP(E400,Sales_Reps!$A$2:$E$31,3,FALSE())</f>
        <v/>
      </c>
      <c r="O400" s="55">
        <f>VLOOKUP(D400,Products!$A$2:$F$61,4,FALSE())</f>
        <v/>
      </c>
      <c r="P400" s="55">
        <f>VLOOKUP(C400,Customers!$A$2:$F$301,3,FALSE())</f>
        <v/>
      </c>
      <c r="Q400" s="55">
        <f>UPPER(TRIM(K400))</f>
        <v/>
      </c>
      <c r="R400" s="55">
        <f>(G400-O400)/G400</f>
        <v/>
      </c>
      <c r="S400" s="55">
        <f>VLOOKUP(D400,Products!$A$2:$F$61,6,FALSE())</f>
        <v/>
      </c>
    </row>
    <row r="401" ht="15" customHeight="1" s="56">
      <c r="A401" s="55">
        <f>Orders!A401</f>
        <v/>
      </c>
      <c r="B401" s="103">
        <f>Orders!B401</f>
        <v/>
      </c>
      <c r="C401" s="55">
        <f>Orders!C401</f>
        <v/>
      </c>
      <c r="D401" s="55">
        <f>Orders!D401</f>
        <v/>
      </c>
      <c r="E401" s="55">
        <f>Orders!E401</f>
        <v/>
      </c>
      <c r="F401" s="55">
        <f>Orders!F401</f>
        <v/>
      </c>
      <c r="G401" s="55">
        <f>Orders!G401</f>
        <v/>
      </c>
      <c r="H401" s="55">
        <f>Orders!H401</f>
        <v/>
      </c>
      <c r="I401" s="55">
        <f>Orders!I401</f>
        <v/>
      </c>
      <c r="J401" s="55">
        <f>Orders!J401</f>
        <v/>
      </c>
      <c r="K401" s="55">
        <f>Orders!K401</f>
        <v/>
      </c>
      <c r="L401" s="55">
        <f>VLOOKUP(D401,Products!$A$2:$F$61,3,FALSE())</f>
        <v/>
      </c>
      <c r="M401" s="55">
        <f>VLOOKUP(C401,Customers!$A$2:$F$301,5,FALSE())</f>
        <v/>
      </c>
      <c r="N401" s="55">
        <f>VLOOKUP(E401,Sales_Reps!$A$2:$E$31,3,FALSE())</f>
        <v/>
      </c>
      <c r="O401" s="55">
        <f>VLOOKUP(D401,Products!$A$2:$F$61,4,FALSE())</f>
        <v/>
      </c>
      <c r="P401" s="55">
        <f>VLOOKUP(C401,Customers!$A$2:$F$301,3,FALSE())</f>
        <v/>
      </c>
      <c r="Q401" s="55">
        <f>UPPER(TRIM(K401))</f>
        <v/>
      </c>
      <c r="R401" s="55">
        <f>(G401-O401)/G401</f>
        <v/>
      </c>
      <c r="S401" s="55">
        <f>VLOOKUP(D401,Products!$A$2:$F$61,6,FALSE())</f>
        <v/>
      </c>
    </row>
    <row r="402" ht="15" customHeight="1" s="56">
      <c r="A402" s="55">
        <f>Orders!A402</f>
        <v/>
      </c>
      <c r="B402" s="103">
        <f>Orders!B402</f>
        <v/>
      </c>
      <c r="C402" s="55">
        <f>Orders!C402</f>
        <v/>
      </c>
      <c r="D402" s="55">
        <f>Orders!D402</f>
        <v/>
      </c>
      <c r="E402" s="55">
        <f>Orders!E402</f>
        <v/>
      </c>
      <c r="F402" s="55">
        <f>Orders!F402</f>
        <v/>
      </c>
      <c r="G402" s="55">
        <f>Orders!G402</f>
        <v/>
      </c>
      <c r="H402" s="55">
        <f>Orders!H402</f>
        <v/>
      </c>
      <c r="I402" s="55">
        <f>Orders!I402</f>
        <v/>
      </c>
      <c r="J402" s="55">
        <f>Orders!J402</f>
        <v/>
      </c>
      <c r="K402" s="55">
        <f>Orders!K402</f>
        <v/>
      </c>
      <c r="L402" s="55">
        <f>VLOOKUP(D402,Products!$A$2:$F$61,3,FALSE())</f>
        <v/>
      </c>
      <c r="M402" s="55">
        <f>VLOOKUP(C402,Customers!$A$2:$F$301,5,FALSE())</f>
        <v/>
      </c>
      <c r="N402" s="55">
        <f>VLOOKUP(E402,Sales_Reps!$A$2:$E$31,3,FALSE())</f>
        <v/>
      </c>
      <c r="O402" s="55">
        <f>VLOOKUP(D402,Products!$A$2:$F$61,4,FALSE())</f>
        <v/>
      </c>
      <c r="P402" s="55">
        <f>VLOOKUP(C402,Customers!$A$2:$F$301,3,FALSE())</f>
        <v/>
      </c>
      <c r="Q402" s="55">
        <f>UPPER(TRIM(K402))</f>
        <v/>
      </c>
      <c r="R402" s="55">
        <f>(G402-O402)/G402</f>
        <v/>
      </c>
      <c r="S402" s="55">
        <f>VLOOKUP(D402,Products!$A$2:$F$61,6,FALSE())</f>
        <v/>
      </c>
    </row>
    <row r="403" ht="15" customHeight="1" s="56">
      <c r="A403" s="55">
        <f>Orders!A403</f>
        <v/>
      </c>
      <c r="B403" s="103">
        <f>Orders!B403</f>
        <v/>
      </c>
      <c r="C403" s="55">
        <f>Orders!C403</f>
        <v/>
      </c>
      <c r="D403" s="55">
        <f>Orders!D403</f>
        <v/>
      </c>
      <c r="E403" s="55">
        <f>Orders!E403</f>
        <v/>
      </c>
      <c r="F403" s="55">
        <f>Orders!F403</f>
        <v/>
      </c>
      <c r="G403" s="55">
        <f>Orders!G403</f>
        <v/>
      </c>
      <c r="H403" s="55">
        <f>Orders!H403</f>
        <v/>
      </c>
      <c r="I403" s="55">
        <f>Orders!I403</f>
        <v/>
      </c>
      <c r="J403" s="55">
        <f>Orders!J403</f>
        <v/>
      </c>
      <c r="K403" s="55">
        <f>Orders!K403</f>
        <v/>
      </c>
      <c r="L403" s="55">
        <f>VLOOKUP(D403,Products!$A$2:$F$61,3,FALSE())</f>
        <v/>
      </c>
      <c r="M403" s="55">
        <f>VLOOKUP(C403,Customers!$A$2:$F$301,5,FALSE())</f>
        <v/>
      </c>
      <c r="N403" s="55">
        <f>VLOOKUP(E403,Sales_Reps!$A$2:$E$31,3,FALSE())</f>
        <v/>
      </c>
      <c r="O403" s="55">
        <f>VLOOKUP(D403,Products!$A$2:$F$61,4,FALSE())</f>
        <v/>
      </c>
      <c r="P403" s="55">
        <f>VLOOKUP(C403,Customers!$A$2:$F$301,3,FALSE())</f>
        <v/>
      </c>
      <c r="Q403" s="55">
        <f>UPPER(TRIM(K403))</f>
        <v/>
      </c>
      <c r="R403" s="55">
        <f>(G403-O403)/G403</f>
        <v/>
      </c>
      <c r="S403" s="55">
        <f>VLOOKUP(D403,Products!$A$2:$F$61,6,FALSE())</f>
        <v/>
      </c>
    </row>
    <row r="404" ht="15" customHeight="1" s="56">
      <c r="A404" s="55">
        <f>Orders!A404</f>
        <v/>
      </c>
      <c r="B404" s="103">
        <f>Orders!B404</f>
        <v/>
      </c>
      <c r="C404" s="55">
        <f>Orders!C404</f>
        <v/>
      </c>
      <c r="D404" s="55">
        <f>Orders!D404</f>
        <v/>
      </c>
      <c r="E404" s="55">
        <f>Orders!E404</f>
        <v/>
      </c>
      <c r="F404" s="55">
        <f>Orders!F404</f>
        <v/>
      </c>
      <c r="G404" s="55">
        <f>Orders!G404</f>
        <v/>
      </c>
      <c r="H404" s="55">
        <f>Orders!H404</f>
        <v/>
      </c>
      <c r="I404" s="55">
        <f>Orders!I404</f>
        <v/>
      </c>
      <c r="J404" s="55">
        <f>Orders!J404</f>
        <v/>
      </c>
      <c r="K404" s="55">
        <f>Orders!K404</f>
        <v/>
      </c>
      <c r="L404" s="55">
        <f>VLOOKUP(D404,Products!$A$2:$F$61,3,FALSE())</f>
        <v/>
      </c>
      <c r="M404" s="55">
        <f>VLOOKUP(C404,Customers!$A$2:$F$301,5,FALSE())</f>
        <v/>
      </c>
      <c r="N404" s="55">
        <f>VLOOKUP(E404,Sales_Reps!$A$2:$E$31,3,FALSE())</f>
        <v/>
      </c>
      <c r="O404" s="55">
        <f>VLOOKUP(D404,Products!$A$2:$F$61,4,FALSE())</f>
        <v/>
      </c>
      <c r="P404" s="55">
        <f>VLOOKUP(C404,Customers!$A$2:$F$301,3,FALSE())</f>
        <v/>
      </c>
      <c r="Q404" s="55">
        <f>UPPER(TRIM(K404))</f>
        <v/>
      </c>
      <c r="R404" s="55">
        <f>(G404-O404)/G404</f>
        <v/>
      </c>
      <c r="S404" s="55">
        <f>VLOOKUP(D404,Products!$A$2:$F$61,6,FALSE())</f>
        <v/>
      </c>
    </row>
    <row r="405" ht="15" customHeight="1" s="56">
      <c r="A405" s="55">
        <f>Orders!A405</f>
        <v/>
      </c>
      <c r="B405" s="103">
        <f>Orders!B405</f>
        <v/>
      </c>
      <c r="C405" s="55">
        <f>Orders!C405</f>
        <v/>
      </c>
      <c r="D405" s="55">
        <f>Orders!D405</f>
        <v/>
      </c>
      <c r="E405" s="55">
        <f>Orders!E405</f>
        <v/>
      </c>
      <c r="F405" s="55">
        <f>Orders!F405</f>
        <v/>
      </c>
      <c r="G405" s="55">
        <f>Orders!G405</f>
        <v/>
      </c>
      <c r="H405" s="55">
        <f>Orders!H405</f>
        <v/>
      </c>
      <c r="I405" s="55">
        <f>Orders!I405</f>
        <v/>
      </c>
      <c r="J405" s="55">
        <f>Orders!J405</f>
        <v/>
      </c>
      <c r="K405" s="55">
        <f>Orders!K405</f>
        <v/>
      </c>
      <c r="L405" s="55">
        <f>VLOOKUP(D405,Products!$A$2:$F$61,3,FALSE())</f>
        <v/>
      </c>
      <c r="M405" s="55">
        <f>VLOOKUP(C405,Customers!$A$2:$F$301,5,FALSE())</f>
        <v/>
      </c>
      <c r="N405" s="55">
        <f>VLOOKUP(E405,Sales_Reps!$A$2:$E$31,3,FALSE())</f>
        <v/>
      </c>
      <c r="O405" s="55">
        <f>VLOOKUP(D405,Products!$A$2:$F$61,4,FALSE())</f>
        <v/>
      </c>
      <c r="P405" s="55">
        <f>VLOOKUP(C405,Customers!$A$2:$F$301,3,FALSE())</f>
        <v/>
      </c>
      <c r="Q405" s="55">
        <f>UPPER(TRIM(K405))</f>
        <v/>
      </c>
      <c r="R405" s="55">
        <f>(G405-O405)/G405</f>
        <v/>
      </c>
      <c r="S405" s="55">
        <f>VLOOKUP(D405,Products!$A$2:$F$61,6,FALSE())</f>
        <v/>
      </c>
    </row>
    <row r="406" ht="15" customHeight="1" s="56">
      <c r="A406" s="55">
        <f>Orders!A406</f>
        <v/>
      </c>
      <c r="B406" s="103">
        <f>Orders!B406</f>
        <v/>
      </c>
      <c r="C406" s="55">
        <f>Orders!C406</f>
        <v/>
      </c>
      <c r="D406" s="55">
        <f>Orders!D406</f>
        <v/>
      </c>
      <c r="E406" s="55">
        <f>Orders!E406</f>
        <v/>
      </c>
      <c r="F406" s="55">
        <f>Orders!F406</f>
        <v/>
      </c>
      <c r="G406" s="55">
        <f>Orders!G406</f>
        <v/>
      </c>
      <c r="H406" s="55">
        <f>Orders!H406</f>
        <v/>
      </c>
      <c r="I406" s="55">
        <f>Orders!I406</f>
        <v/>
      </c>
      <c r="J406" s="55">
        <f>Orders!J406</f>
        <v/>
      </c>
      <c r="K406" s="55">
        <f>Orders!K406</f>
        <v/>
      </c>
      <c r="L406" s="55">
        <f>VLOOKUP(D406,Products!$A$2:$F$61,3,FALSE())</f>
        <v/>
      </c>
      <c r="M406" s="55">
        <f>VLOOKUP(C406,Customers!$A$2:$F$301,5,FALSE())</f>
        <v/>
      </c>
      <c r="N406" s="55">
        <f>VLOOKUP(E406,Sales_Reps!$A$2:$E$31,3,FALSE())</f>
        <v/>
      </c>
      <c r="O406" s="55">
        <f>VLOOKUP(D406,Products!$A$2:$F$61,4,FALSE())</f>
        <v/>
      </c>
      <c r="P406" s="55">
        <f>VLOOKUP(C406,Customers!$A$2:$F$301,3,FALSE())</f>
        <v/>
      </c>
      <c r="Q406" s="55">
        <f>UPPER(TRIM(K406))</f>
        <v/>
      </c>
      <c r="R406" s="55">
        <f>(G406-O406)/G406</f>
        <v/>
      </c>
      <c r="S406" s="55">
        <f>VLOOKUP(D406,Products!$A$2:$F$61,6,FALSE())</f>
        <v/>
      </c>
    </row>
    <row r="407" ht="15" customHeight="1" s="56">
      <c r="A407" s="55">
        <f>Orders!A407</f>
        <v/>
      </c>
      <c r="B407" s="103">
        <f>Orders!B407</f>
        <v/>
      </c>
      <c r="C407" s="55">
        <f>Orders!C407</f>
        <v/>
      </c>
      <c r="D407" s="55">
        <f>Orders!D407</f>
        <v/>
      </c>
      <c r="E407" s="55">
        <f>Orders!E407</f>
        <v/>
      </c>
      <c r="F407" s="55">
        <f>Orders!F407</f>
        <v/>
      </c>
      <c r="G407" s="55">
        <f>Orders!G407</f>
        <v/>
      </c>
      <c r="H407" s="55">
        <f>Orders!H407</f>
        <v/>
      </c>
      <c r="I407" s="55">
        <f>Orders!I407</f>
        <v/>
      </c>
      <c r="J407" s="55">
        <f>Orders!J407</f>
        <v/>
      </c>
      <c r="K407" s="55">
        <f>Orders!K407</f>
        <v/>
      </c>
      <c r="L407" s="55">
        <f>VLOOKUP(D407,Products!$A$2:$F$61,3,FALSE())</f>
        <v/>
      </c>
      <c r="M407" s="55">
        <f>VLOOKUP(C407,Customers!$A$2:$F$301,5,FALSE())</f>
        <v/>
      </c>
      <c r="N407" s="55">
        <f>VLOOKUP(E407,Sales_Reps!$A$2:$E$31,3,FALSE())</f>
        <v/>
      </c>
      <c r="O407" s="55">
        <f>VLOOKUP(D407,Products!$A$2:$F$61,4,FALSE())</f>
        <v/>
      </c>
      <c r="P407" s="55">
        <f>VLOOKUP(C407,Customers!$A$2:$F$301,3,FALSE())</f>
        <v/>
      </c>
      <c r="Q407" s="55">
        <f>UPPER(TRIM(K407))</f>
        <v/>
      </c>
      <c r="R407" s="55">
        <f>(G407-O407)/G407</f>
        <v/>
      </c>
      <c r="S407" s="55">
        <f>VLOOKUP(D407,Products!$A$2:$F$61,6,FALSE())</f>
        <v/>
      </c>
    </row>
    <row r="408" ht="15" customHeight="1" s="56">
      <c r="A408" s="55">
        <f>Orders!A408</f>
        <v/>
      </c>
      <c r="B408" s="103">
        <f>Orders!B408</f>
        <v/>
      </c>
      <c r="C408" s="55">
        <f>Orders!C408</f>
        <v/>
      </c>
      <c r="D408" s="55">
        <f>Orders!D408</f>
        <v/>
      </c>
      <c r="E408" s="55">
        <f>Orders!E408</f>
        <v/>
      </c>
      <c r="F408" s="55">
        <f>Orders!F408</f>
        <v/>
      </c>
      <c r="G408" s="55">
        <f>Orders!G408</f>
        <v/>
      </c>
      <c r="H408" s="55">
        <f>Orders!H408</f>
        <v/>
      </c>
      <c r="I408" s="55">
        <f>Orders!I408</f>
        <v/>
      </c>
      <c r="J408" s="55">
        <f>Orders!J408</f>
        <v/>
      </c>
      <c r="K408" s="55">
        <f>Orders!K408</f>
        <v/>
      </c>
      <c r="L408" s="55">
        <f>VLOOKUP(D408,Products!$A$2:$F$61,3,FALSE())</f>
        <v/>
      </c>
      <c r="M408" s="55">
        <f>VLOOKUP(C408,Customers!$A$2:$F$301,5,FALSE())</f>
        <v/>
      </c>
      <c r="N408" s="55">
        <f>VLOOKUP(E408,Sales_Reps!$A$2:$E$31,3,FALSE())</f>
        <v/>
      </c>
      <c r="O408" s="55">
        <f>VLOOKUP(D408,Products!$A$2:$F$61,4,FALSE())</f>
        <v/>
      </c>
      <c r="P408" s="55">
        <f>VLOOKUP(C408,Customers!$A$2:$F$301,3,FALSE())</f>
        <v/>
      </c>
      <c r="Q408" s="55">
        <f>UPPER(TRIM(K408))</f>
        <v/>
      </c>
      <c r="R408" s="55">
        <f>(G408-O408)/G408</f>
        <v/>
      </c>
      <c r="S408" s="55">
        <f>VLOOKUP(D408,Products!$A$2:$F$61,6,FALSE())</f>
        <v/>
      </c>
    </row>
    <row r="409" ht="15" customHeight="1" s="56">
      <c r="A409" s="55">
        <f>Orders!A409</f>
        <v/>
      </c>
      <c r="B409" s="103">
        <f>Orders!B409</f>
        <v/>
      </c>
      <c r="C409" s="55">
        <f>Orders!C409</f>
        <v/>
      </c>
      <c r="D409" s="55">
        <f>Orders!D409</f>
        <v/>
      </c>
      <c r="E409" s="55">
        <f>Orders!E409</f>
        <v/>
      </c>
      <c r="F409" s="55">
        <f>Orders!F409</f>
        <v/>
      </c>
      <c r="G409" s="55">
        <f>Orders!G409</f>
        <v/>
      </c>
      <c r="H409" s="55">
        <f>Orders!H409</f>
        <v/>
      </c>
      <c r="I409" s="55">
        <f>Orders!I409</f>
        <v/>
      </c>
      <c r="J409" s="55">
        <f>Orders!J409</f>
        <v/>
      </c>
      <c r="K409" s="55">
        <f>Orders!K409</f>
        <v/>
      </c>
      <c r="L409" s="55">
        <f>VLOOKUP(D409,Products!$A$2:$F$61,3,FALSE())</f>
        <v/>
      </c>
      <c r="M409" s="55">
        <f>VLOOKUP(C409,Customers!$A$2:$F$301,5,FALSE())</f>
        <v/>
      </c>
      <c r="N409" s="55">
        <f>VLOOKUP(E409,Sales_Reps!$A$2:$E$31,3,FALSE())</f>
        <v/>
      </c>
      <c r="O409" s="55">
        <f>VLOOKUP(D409,Products!$A$2:$F$61,4,FALSE())</f>
        <v/>
      </c>
      <c r="P409" s="55">
        <f>VLOOKUP(C409,Customers!$A$2:$F$301,3,FALSE())</f>
        <v/>
      </c>
      <c r="Q409" s="55">
        <f>UPPER(TRIM(K409))</f>
        <v/>
      </c>
      <c r="R409" s="55">
        <f>(G409-O409)/G409</f>
        <v/>
      </c>
      <c r="S409" s="55">
        <f>VLOOKUP(D409,Products!$A$2:$F$61,6,FALSE())</f>
        <v/>
      </c>
    </row>
    <row r="410" ht="15" customHeight="1" s="56">
      <c r="A410" s="55">
        <f>Orders!A410</f>
        <v/>
      </c>
      <c r="B410" s="103">
        <f>Orders!B410</f>
        <v/>
      </c>
      <c r="C410" s="55">
        <f>Orders!C410</f>
        <v/>
      </c>
      <c r="D410" s="55">
        <f>Orders!D410</f>
        <v/>
      </c>
      <c r="E410" s="55">
        <f>Orders!E410</f>
        <v/>
      </c>
      <c r="F410" s="55">
        <f>Orders!F410</f>
        <v/>
      </c>
      <c r="G410" s="55">
        <f>Orders!G410</f>
        <v/>
      </c>
      <c r="H410" s="55">
        <f>Orders!H410</f>
        <v/>
      </c>
      <c r="I410" s="55">
        <f>Orders!I410</f>
        <v/>
      </c>
      <c r="J410" s="55">
        <f>Orders!J410</f>
        <v/>
      </c>
      <c r="K410" s="55">
        <f>Orders!K410</f>
        <v/>
      </c>
      <c r="L410" s="55">
        <f>VLOOKUP(D410,Products!$A$2:$F$61,3,FALSE())</f>
        <v/>
      </c>
      <c r="M410" s="55">
        <f>VLOOKUP(C410,Customers!$A$2:$F$301,5,FALSE())</f>
        <v/>
      </c>
      <c r="N410" s="55">
        <f>VLOOKUP(E410,Sales_Reps!$A$2:$E$31,3,FALSE())</f>
        <v/>
      </c>
      <c r="O410" s="55">
        <f>VLOOKUP(D410,Products!$A$2:$F$61,4,FALSE())</f>
        <v/>
      </c>
      <c r="P410" s="55">
        <f>VLOOKUP(C410,Customers!$A$2:$F$301,3,FALSE())</f>
        <v/>
      </c>
      <c r="Q410" s="55">
        <f>UPPER(TRIM(K410))</f>
        <v/>
      </c>
      <c r="R410" s="55">
        <f>(G410-O410)/G410</f>
        <v/>
      </c>
      <c r="S410" s="55">
        <f>VLOOKUP(D410,Products!$A$2:$F$61,6,FALSE())</f>
        <v/>
      </c>
    </row>
    <row r="411" ht="15" customHeight="1" s="56">
      <c r="A411" s="55">
        <f>Orders!A411</f>
        <v/>
      </c>
      <c r="B411" s="103">
        <f>Orders!B411</f>
        <v/>
      </c>
      <c r="C411" s="55">
        <f>Orders!C411</f>
        <v/>
      </c>
      <c r="D411" s="55">
        <f>Orders!D411</f>
        <v/>
      </c>
      <c r="E411" s="55">
        <f>Orders!E411</f>
        <v/>
      </c>
      <c r="F411" s="55">
        <f>Orders!F411</f>
        <v/>
      </c>
      <c r="G411" s="55">
        <f>Orders!G411</f>
        <v/>
      </c>
      <c r="H411" s="55">
        <f>Orders!H411</f>
        <v/>
      </c>
      <c r="I411" s="55">
        <f>Orders!I411</f>
        <v/>
      </c>
      <c r="J411" s="55">
        <f>Orders!J411</f>
        <v/>
      </c>
      <c r="K411" s="55">
        <f>Orders!K411</f>
        <v/>
      </c>
      <c r="L411" s="55">
        <f>VLOOKUP(D411,Products!$A$2:$F$61,3,FALSE())</f>
        <v/>
      </c>
      <c r="M411" s="55">
        <f>VLOOKUP(C411,Customers!$A$2:$F$301,5,FALSE())</f>
        <v/>
      </c>
      <c r="N411" s="55">
        <f>VLOOKUP(E411,Sales_Reps!$A$2:$E$31,3,FALSE())</f>
        <v/>
      </c>
      <c r="O411" s="55">
        <f>VLOOKUP(D411,Products!$A$2:$F$61,4,FALSE())</f>
        <v/>
      </c>
      <c r="P411" s="55">
        <f>VLOOKUP(C411,Customers!$A$2:$F$301,3,FALSE())</f>
        <v/>
      </c>
      <c r="Q411" s="55">
        <f>UPPER(TRIM(K411))</f>
        <v/>
      </c>
      <c r="R411" s="55">
        <f>(G411-O411)/G411</f>
        <v/>
      </c>
      <c r="S411" s="55">
        <f>VLOOKUP(D411,Products!$A$2:$F$61,6,FALSE())</f>
        <v/>
      </c>
    </row>
    <row r="412" ht="15" customHeight="1" s="56">
      <c r="A412" s="55">
        <f>Orders!A412</f>
        <v/>
      </c>
      <c r="B412" s="103">
        <f>Orders!B412</f>
        <v/>
      </c>
      <c r="C412" s="55">
        <f>Orders!C412</f>
        <v/>
      </c>
      <c r="D412" s="55">
        <f>Orders!D412</f>
        <v/>
      </c>
      <c r="E412" s="55">
        <f>Orders!E412</f>
        <v/>
      </c>
      <c r="F412" s="55">
        <f>Orders!F412</f>
        <v/>
      </c>
      <c r="G412" s="55">
        <f>Orders!G412</f>
        <v/>
      </c>
      <c r="H412" s="55">
        <f>Orders!H412</f>
        <v/>
      </c>
      <c r="I412" s="55">
        <f>Orders!I412</f>
        <v/>
      </c>
      <c r="J412" s="55">
        <f>Orders!J412</f>
        <v/>
      </c>
      <c r="K412" s="55">
        <f>Orders!K412</f>
        <v/>
      </c>
      <c r="L412" s="55">
        <f>VLOOKUP(D412,Products!$A$2:$F$61,3,FALSE())</f>
        <v/>
      </c>
      <c r="M412" s="55">
        <f>VLOOKUP(C412,Customers!$A$2:$F$301,5,FALSE())</f>
        <v/>
      </c>
      <c r="N412" s="55">
        <f>VLOOKUP(E412,Sales_Reps!$A$2:$E$31,3,FALSE())</f>
        <v/>
      </c>
      <c r="O412" s="55">
        <f>VLOOKUP(D412,Products!$A$2:$F$61,4,FALSE())</f>
        <v/>
      </c>
      <c r="P412" s="55">
        <f>VLOOKUP(C412,Customers!$A$2:$F$301,3,FALSE())</f>
        <v/>
      </c>
      <c r="Q412" s="55">
        <f>UPPER(TRIM(K412))</f>
        <v/>
      </c>
      <c r="R412" s="55">
        <f>(G412-O412)/G412</f>
        <v/>
      </c>
      <c r="S412" s="55">
        <f>VLOOKUP(D412,Products!$A$2:$F$61,6,FALSE())</f>
        <v/>
      </c>
    </row>
    <row r="413" ht="15" customHeight="1" s="56">
      <c r="A413" s="55">
        <f>Orders!A413</f>
        <v/>
      </c>
      <c r="B413" s="103">
        <f>Orders!B413</f>
        <v/>
      </c>
      <c r="C413" s="55">
        <f>Orders!C413</f>
        <v/>
      </c>
      <c r="D413" s="55">
        <f>Orders!D413</f>
        <v/>
      </c>
      <c r="E413" s="55">
        <f>Orders!E413</f>
        <v/>
      </c>
      <c r="F413" s="55">
        <f>Orders!F413</f>
        <v/>
      </c>
      <c r="G413" s="55">
        <f>Orders!G413</f>
        <v/>
      </c>
      <c r="H413" s="55">
        <f>Orders!H413</f>
        <v/>
      </c>
      <c r="I413" s="55">
        <f>Orders!I413</f>
        <v/>
      </c>
      <c r="J413" s="55">
        <f>Orders!J413</f>
        <v/>
      </c>
      <c r="K413" s="55">
        <f>Orders!K413</f>
        <v/>
      </c>
      <c r="L413" s="55">
        <f>VLOOKUP(D413,Products!$A$2:$F$61,3,FALSE())</f>
        <v/>
      </c>
      <c r="M413" s="55">
        <f>VLOOKUP(C413,Customers!$A$2:$F$301,5,FALSE())</f>
        <v/>
      </c>
      <c r="N413" s="55">
        <f>VLOOKUP(E413,Sales_Reps!$A$2:$E$31,3,FALSE())</f>
        <v/>
      </c>
      <c r="O413" s="55">
        <f>VLOOKUP(D413,Products!$A$2:$F$61,4,FALSE())</f>
        <v/>
      </c>
      <c r="P413" s="55">
        <f>VLOOKUP(C413,Customers!$A$2:$F$301,3,FALSE())</f>
        <v/>
      </c>
      <c r="Q413" s="55">
        <f>UPPER(TRIM(K413))</f>
        <v/>
      </c>
      <c r="R413" s="55">
        <f>(G413-O413)/G413</f>
        <v/>
      </c>
      <c r="S413" s="55">
        <f>VLOOKUP(D413,Products!$A$2:$F$61,6,FALSE())</f>
        <v/>
      </c>
    </row>
    <row r="414" ht="15" customHeight="1" s="56">
      <c r="A414" s="55">
        <f>Orders!A414</f>
        <v/>
      </c>
      <c r="B414" s="103">
        <f>Orders!B414</f>
        <v/>
      </c>
      <c r="C414" s="55">
        <f>Orders!C414</f>
        <v/>
      </c>
      <c r="D414" s="55">
        <f>Orders!D414</f>
        <v/>
      </c>
      <c r="E414" s="55">
        <f>Orders!E414</f>
        <v/>
      </c>
      <c r="F414" s="55">
        <f>Orders!F414</f>
        <v/>
      </c>
      <c r="G414" s="55">
        <f>Orders!G414</f>
        <v/>
      </c>
      <c r="H414" s="55">
        <f>Orders!H414</f>
        <v/>
      </c>
      <c r="I414" s="55">
        <f>Orders!I414</f>
        <v/>
      </c>
      <c r="J414" s="55">
        <f>Orders!J414</f>
        <v/>
      </c>
      <c r="K414" s="55">
        <f>Orders!K414</f>
        <v/>
      </c>
      <c r="L414" s="55">
        <f>VLOOKUP(D414,Products!$A$2:$F$61,3,FALSE())</f>
        <v/>
      </c>
      <c r="M414" s="55">
        <f>VLOOKUP(C414,Customers!$A$2:$F$301,5,FALSE())</f>
        <v/>
      </c>
      <c r="N414" s="55">
        <f>VLOOKUP(E414,Sales_Reps!$A$2:$E$31,3,FALSE())</f>
        <v/>
      </c>
      <c r="O414" s="55">
        <f>VLOOKUP(D414,Products!$A$2:$F$61,4,FALSE())</f>
        <v/>
      </c>
      <c r="P414" s="55">
        <f>VLOOKUP(C414,Customers!$A$2:$F$301,3,FALSE())</f>
        <v/>
      </c>
      <c r="Q414" s="55">
        <f>UPPER(TRIM(K414))</f>
        <v/>
      </c>
      <c r="R414" s="55">
        <f>(G414-O414)/G414</f>
        <v/>
      </c>
      <c r="S414" s="55">
        <f>VLOOKUP(D414,Products!$A$2:$F$61,6,FALSE())</f>
        <v/>
      </c>
    </row>
    <row r="415" ht="15" customHeight="1" s="56">
      <c r="A415" s="55">
        <f>Orders!A415</f>
        <v/>
      </c>
      <c r="B415" s="103">
        <f>Orders!B415</f>
        <v/>
      </c>
      <c r="C415" s="55">
        <f>Orders!C415</f>
        <v/>
      </c>
      <c r="D415" s="55">
        <f>Orders!D415</f>
        <v/>
      </c>
      <c r="E415" s="55">
        <f>Orders!E415</f>
        <v/>
      </c>
      <c r="F415" s="55">
        <f>Orders!F415</f>
        <v/>
      </c>
      <c r="G415" s="55">
        <f>Orders!G415</f>
        <v/>
      </c>
      <c r="H415" s="55">
        <f>Orders!H415</f>
        <v/>
      </c>
      <c r="I415" s="55">
        <f>Orders!I415</f>
        <v/>
      </c>
      <c r="J415" s="55">
        <f>Orders!J415</f>
        <v/>
      </c>
      <c r="K415" s="55">
        <f>Orders!K415</f>
        <v/>
      </c>
      <c r="L415" s="55">
        <f>VLOOKUP(D415,Products!$A$2:$F$61,3,FALSE())</f>
        <v/>
      </c>
      <c r="M415" s="55">
        <f>VLOOKUP(C415,Customers!$A$2:$F$301,5,FALSE())</f>
        <v/>
      </c>
      <c r="N415" s="55">
        <f>VLOOKUP(E415,Sales_Reps!$A$2:$E$31,3,FALSE())</f>
        <v/>
      </c>
      <c r="O415" s="55">
        <f>VLOOKUP(D415,Products!$A$2:$F$61,4,FALSE())</f>
        <v/>
      </c>
      <c r="P415" s="55">
        <f>VLOOKUP(C415,Customers!$A$2:$F$301,3,FALSE())</f>
        <v/>
      </c>
      <c r="Q415" s="55">
        <f>UPPER(TRIM(K415))</f>
        <v/>
      </c>
      <c r="R415" s="55">
        <f>(G415-O415)/G415</f>
        <v/>
      </c>
      <c r="S415" s="55">
        <f>VLOOKUP(D415,Products!$A$2:$F$61,6,FALSE())</f>
        <v/>
      </c>
    </row>
    <row r="416" ht="15" customHeight="1" s="56">
      <c r="A416" s="55">
        <f>Orders!A416</f>
        <v/>
      </c>
      <c r="B416" s="103">
        <f>Orders!B416</f>
        <v/>
      </c>
      <c r="C416" s="55">
        <f>Orders!C416</f>
        <v/>
      </c>
      <c r="D416" s="55">
        <f>Orders!D416</f>
        <v/>
      </c>
      <c r="E416" s="55">
        <f>Orders!E416</f>
        <v/>
      </c>
      <c r="F416" s="55">
        <f>Orders!F416</f>
        <v/>
      </c>
      <c r="G416" s="55">
        <f>Orders!G416</f>
        <v/>
      </c>
      <c r="H416" s="55">
        <f>Orders!H416</f>
        <v/>
      </c>
      <c r="I416" s="55">
        <f>Orders!I416</f>
        <v/>
      </c>
      <c r="J416" s="55">
        <f>Orders!J416</f>
        <v/>
      </c>
      <c r="K416" s="55">
        <f>Orders!K416</f>
        <v/>
      </c>
      <c r="L416" s="55">
        <f>VLOOKUP(D416,Products!$A$2:$F$61,3,FALSE())</f>
        <v/>
      </c>
      <c r="M416" s="55">
        <f>VLOOKUP(C416,Customers!$A$2:$F$301,5,FALSE())</f>
        <v/>
      </c>
      <c r="N416" s="55">
        <f>VLOOKUP(E416,Sales_Reps!$A$2:$E$31,3,FALSE())</f>
        <v/>
      </c>
      <c r="O416" s="55">
        <f>VLOOKUP(D416,Products!$A$2:$F$61,4,FALSE())</f>
        <v/>
      </c>
      <c r="P416" s="55">
        <f>VLOOKUP(C416,Customers!$A$2:$F$301,3,FALSE())</f>
        <v/>
      </c>
      <c r="Q416" s="55">
        <f>UPPER(TRIM(K416))</f>
        <v/>
      </c>
      <c r="R416" s="55">
        <f>(G416-O416)/G416</f>
        <v/>
      </c>
      <c r="S416" s="55">
        <f>VLOOKUP(D416,Products!$A$2:$F$61,6,FALSE())</f>
        <v/>
      </c>
    </row>
    <row r="417" ht="15" customHeight="1" s="56">
      <c r="A417" s="55">
        <f>Orders!A417</f>
        <v/>
      </c>
      <c r="B417" s="103">
        <f>Orders!B417</f>
        <v/>
      </c>
      <c r="C417" s="55">
        <f>Orders!C417</f>
        <v/>
      </c>
      <c r="D417" s="55">
        <f>Orders!D417</f>
        <v/>
      </c>
      <c r="E417" s="55">
        <f>Orders!E417</f>
        <v/>
      </c>
      <c r="F417" s="55">
        <f>Orders!F417</f>
        <v/>
      </c>
      <c r="G417" s="55">
        <f>Orders!G417</f>
        <v/>
      </c>
      <c r="H417" s="55">
        <f>Orders!H417</f>
        <v/>
      </c>
      <c r="I417" s="55">
        <f>Orders!I417</f>
        <v/>
      </c>
      <c r="J417" s="55">
        <f>Orders!J417</f>
        <v/>
      </c>
      <c r="K417" s="55">
        <f>Orders!K417</f>
        <v/>
      </c>
      <c r="L417" s="55">
        <f>VLOOKUP(D417,Products!$A$2:$F$61,3,FALSE())</f>
        <v/>
      </c>
      <c r="M417" s="55">
        <f>VLOOKUP(C417,Customers!$A$2:$F$301,5,FALSE())</f>
        <v/>
      </c>
      <c r="N417" s="55">
        <f>VLOOKUP(E417,Sales_Reps!$A$2:$E$31,3,FALSE())</f>
        <v/>
      </c>
      <c r="O417" s="55">
        <f>VLOOKUP(D417,Products!$A$2:$F$61,4,FALSE())</f>
        <v/>
      </c>
      <c r="P417" s="55">
        <f>VLOOKUP(C417,Customers!$A$2:$F$301,3,FALSE())</f>
        <v/>
      </c>
      <c r="Q417" s="55">
        <f>UPPER(TRIM(K417))</f>
        <v/>
      </c>
      <c r="R417" s="55">
        <f>(G417-O417)/G417</f>
        <v/>
      </c>
      <c r="S417" s="55">
        <f>VLOOKUP(D417,Products!$A$2:$F$61,6,FALSE())</f>
        <v/>
      </c>
    </row>
    <row r="418" ht="15" customHeight="1" s="56">
      <c r="A418" s="55">
        <f>Orders!A418</f>
        <v/>
      </c>
      <c r="B418" s="103">
        <f>Orders!B418</f>
        <v/>
      </c>
      <c r="C418" s="55">
        <f>Orders!C418</f>
        <v/>
      </c>
      <c r="D418" s="55">
        <f>Orders!D418</f>
        <v/>
      </c>
      <c r="E418" s="55">
        <f>Orders!E418</f>
        <v/>
      </c>
      <c r="F418" s="55">
        <f>Orders!F418</f>
        <v/>
      </c>
      <c r="G418" s="55">
        <f>Orders!G418</f>
        <v/>
      </c>
      <c r="H418" s="55">
        <f>Orders!H418</f>
        <v/>
      </c>
      <c r="I418" s="55">
        <f>Orders!I418</f>
        <v/>
      </c>
      <c r="J418" s="55">
        <f>Orders!J418</f>
        <v/>
      </c>
      <c r="K418" s="55">
        <f>Orders!K418</f>
        <v/>
      </c>
      <c r="L418" s="55">
        <f>VLOOKUP(D418,Products!$A$2:$F$61,3,FALSE())</f>
        <v/>
      </c>
      <c r="M418" s="55">
        <f>VLOOKUP(C418,Customers!$A$2:$F$301,5,FALSE())</f>
        <v/>
      </c>
      <c r="N418" s="55">
        <f>VLOOKUP(E418,Sales_Reps!$A$2:$E$31,3,FALSE())</f>
        <v/>
      </c>
      <c r="O418" s="55">
        <f>VLOOKUP(D418,Products!$A$2:$F$61,4,FALSE())</f>
        <v/>
      </c>
      <c r="P418" s="55">
        <f>VLOOKUP(C418,Customers!$A$2:$F$301,3,FALSE())</f>
        <v/>
      </c>
      <c r="Q418" s="55">
        <f>UPPER(TRIM(K418))</f>
        <v/>
      </c>
      <c r="R418" s="55">
        <f>(G418-O418)/G418</f>
        <v/>
      </c>
      <c r="S418" s="55">
        <f>VLOOKUP(D418,Products!$A$2:$F$61,6,FALSE())</f>
        <v/>
      </c>
    </row>
    <row r="419" ht="15" customHeight="1" s="56">
      <c r="A419" s="55">
        <f>Orders!A419</f>
        <v/>
      </c>
      <c r="B419" s="103">
        <f>Orders!B419</f>
        <v/>
      </c>
      <c r="C419" s="55">
        <f>Orders!C419</f>
        <v/>
      </c>
      <c r="D419" s="55">
        <f>Orders!D419</f>
        <v/>
      </c>
      <c r="E419" s="55">
        <f>Orders!E419</f>
        <v/>
      </c>
      <c r="F419" s="55">
        <f>Orders!F419</f>
        <v/>
      </c>
      <c r="G419" s="55">
        <f>Orders!G419</f>
        <v/>
      </c>
      <c r="H419" s="55">
        <f>Orders!H419</f>
        <v/>
      </c>
      <c r="I419" s="55">
        <f>Orders!I419</f>
        <v/>
      </c>
      <c r="J419" s="55">
        <f>Orders!J419</f>
        <v/>
      </c>
      <c r="K419" s="55">
        <f>Orders!K419</f>
        <v/>
      </c>
      <c r="L419" s="55">
        <f>VLOOKUP(D419,Products!$A$2:$F$61,3,FALSE())</f>
        <v/>
      </c>
      <c r="M419" s="55">
        <f>VLOOKUP(C419,Customers!$A$2:$F$301,5,FALSE())</f>
        <v/>
      </c>
      <c r="N419" s="55">
        <f>VLOOKUP(E419,Sales_Reps!$A$2:$E$31,3,FALSE())</f>
        <v/>
      </c>
      <c r="O419" s="55">
        <f>VLOOKUP(D419,Products!$A$2:$F$61,4,FALSE())</f>
        <v/>
      </c>
      <c r="P419" s="55">
        <f>VLOOKUP(C419,Customers!$A$2:$F$301,3,FALSE())</f>
        <v/>
      </c>
      <c r="Q419" s="55">
        <f>UPPER(TRIM(K419))</f>
        <v/>
      </c>
      <c r="R419" s="55">
        <f>(G419-O419)/G419</f>
        <v/>
      </c>
      <c r="S419" s="55">
        <f>VLOOKUP(D419,Products!$A$2:$F$61,6,FALSE())</f>
        <v/>
      </c>
    </row>
    <row r="420" ht="15" customHeight="1" s="56">
      <c r="A420" s="55">
        <f>Orders!A420</f>
        <v/>
      </c>
      <c r="B420" s="103">
        <f>Orders!B420</f>
        <v/>
      </c>
      <c r="C420" s="55">
        <f>Orders!C420</f>
        <v/>
      </c>
      <c r="D420" s="55">
        <f>Orders!D420</f>
        <v/>
      </c>
      <c r="E420" s="55">
        <f>Orders!E420</f>
        <v/>
      </c>
      <c r="F420" s="55">
        <f>Orders!F420</f>
        <v/>
      </c>
      <c r="G420" s="55">
        <f>Orders!G420</f>
        <v/>
      </c>
      <c r="H420" s="55">
        <f>Orders!H420</f>
        <v/>
      </c>
      <c r="I420" s="55">
        <f>Orders!I420</f>
        <v/>
      </c>
      <c r="J420" s="55">
        <f>Orders!J420</f>
        <v/>
      </c>
      <c r="K420" s="55">
        <f>Orders!K420</f>
        <v/>
      </c>
      <c r="L420" s="55">
        <f>VLOOKUP(D420,Products!$A$2:$F$61,3,FALSE())</f>
        <v/>
      </c>
      <c r="M420" s="55">
        <f>VLOOKUP(C420,Customers!$A$2:$F$301,5,FALSE())</f>
        <v/>
      </c>
      <c r="N420" s="55">
        <f>VLOOKUP(E420,Sales_Reps!$A$2:$E$31,3,FALSE())</f>
        <v/>
      </c>
      <c r="O420" s="55">
        <f>VLOOKUP(D420,Products!$A$2:$F$61,4,FALSE())</f>
        <v/>
      </c>
      <c r="P420" s="55">
        <f>VLOOKUP(C420,Customers!$A$2:$F$301,3,FALSE())</f>
        <v/>
      </c>
      <c r="Q420" s="55">
        <f>UPPER(TRIM(K420))</f>
        <v/>
      </c>
      <c r="R420" s="55">
        <f>(G420-O420)/G420</f>
        <v/>
      </c>
      <c r="S420" s="55">
        <f>VLOOKUP(D420,Products!$A$2:$F$61,6,FALSE())</f>
        <v/>
      </c>
    </row>
    <row r="421" ht="15" customHeight="1" s="56">
      <c r="A421" s="55">
        <f>Orders!A421</f>
        <v/>
      </c>
      <c r="B421" s="103">
        <f>Orders!B421</f>
        <v/>
      </c>
      <c r="C421" s="55">
        <f>Orders!C421</f>
        <v/>
      </c>
      <c r="D421" s="55">
        <f>Orders!D421</f>
        <v/>
      </c>
      <c r="E421" s="55">
        <f>Orders!E421</f>
        <v/>
      </c>
      <c r="F421" s="55">
        <f>Orders!F421</f>
        <v/>
      </c>
      <c r="G421" s="55">
        <f>Orders!G421</f>
        <v/>
      </c>
      <c r="H421" s="55">
        <f>Orders!H421</f>
        <v/>
      </c>
      <c r="I421" s="55">
        <f>Orders!I421</f>
        <v/>
      </c>
      <c r="J421" s="55">
        <f>Orders!J421</f>
        <v/>
      </c>
      <c r="K421" s="55">
        <f>Orders!K421</f>
        <v/>
      </c>
      <c r="L421" s="55">
        <f>VLOOKUP(D421,Products!$A$2:$F$61,3,FALSE())</f>
        <v/>
      </c>
      <c r="M421" s="55">
        <f>VLOOKUP(C421,Customers!$A$2:$F$301,5,FALSE())</f>
        <v/>
      </c>
      <c r="N421" s="55">
        <f>VLOOKUP(E421,Sales_Reps!$A$2:$E$31,3,FALSE())</f>
        <v/>
      </c>
      <c r="O421" s="55">
        <f>VLOOKUP(D421,Products!$A$2:$F$61,4,FALSE())</f>
        <v/>
      </c>
      <c r="P421" s="55">
        <f>VLOOKUP(C421,Customers!$A$2:$F$301,3,FALSE())</f>
        <v/>
      </c>
      <c r="Q421" s="55">
        <f>UPPER(TRIM(K421))</f>
        <v/>
      </c>
      <c r="R421" s="55">
        <f>(G421-O421)/G421</f>
        <v/>
      </c>
      <c r="S421" s="55">
        <f>VLOOKUP(D421,Products!$A$2:$F$61,6,FALSE())</f>
        <v/>
      </c>
    </row>
    <row r="422" ht="15" customHeight="1" s="56">
      <c r="A422" s="55">
        <f>Orders!A422</f>
        <v/>
      </c>
      <c r="B422" s="103">
        <f>Orders!B422</f>
        <v/>
      </c>
      <c r="C422" s="55">
        <f>Orders!C422</f>
        <v/>
      </c>
      <c r="D422" s="55">
        <f>Orders!D422</f>
        <v/>
      </c>
      <c r="E422" s="55">
        <f>Orders!E422</f>
        <v/>
      </c>
      <c r="F422" s="55">
        <f>Orders!F422</f>
        <v/>
      </c>
      <c r="G422" s="55">
        <f>Orders!G422</f>
        <v/>
      </c>
      <c r="H422" s="55">
        <f>Orders!H422</f>
        <v/>
      </c>
      <c r="I422" s="55">
        <f>Orders!I422</f>
        <v/>
      </c>
      <c r="J422" s="55">
        <f>Orders!J422</f>
        <v/>
      </c>
      <c r="K422" s="55">
        <f>Orders!K422</f>
        <v/>
      </c>
      <c r="L422" s="55">
        <f>VLOOKUP(D422,Products!$A$2:$F$61,3,FALSE())</f>
        <v/>
      </c>
      <c r="M422" s="55">
        <f>VLOOKUP(C422,Customers!$A$2:$F$301,5,FALSE())</f>
        <v/>
      </c>
      <c r="N422" s="55">
        <f>VLOOKUP(E422,Sales_Reps!$A$2:$E$31,3,FALSE())</f>
        <v/>
      </c>
      <c r="O422" s="55">
        <f>VLOOKUP(D422,Products!$A$2:$F$61,4,FALSE())</f>
        <v/>
      </c>
      <c r="P422" s="55">
        <f>VLOOKUP(C422,Customers!$A$2:$F$301,3,FALSE())</f>
        <v/>
      </c>
      <c r="Q422" s="55">
        <f>UPPER(TRIM(K422))</f>
        <v/>
      </c>
      <c r="R422" s="55">
        <f>(G422-O422)/G422</f>
        <v/>
      </c>
      <c r="S422" s="55">
        <f>VLOOKUP(D422,Products!$A$2:$F$61,6,FALSE())</f>
        <v/>
      </c>
    </row>
    <row r="423" ht="15" customHeight="1" s="56">
      <c r="A423" s="55">
        <f>Orders!A423</f>
        <v/>
      </c>
      <c r="B423" s="103">
        <f>Orders!B423</f>
        <v/>
      </c>
      <c r="C423" s="55">
        <f>Orders!C423</f>
        <v/>
      </c>
      <c r="D423" s="55">
        <f>Orders!D423</f>
        <v/>
      </c>
      <c r="E423" s="55">
        <f>Orders!E423</f>
        <v/>
      </c>
      <c r="F423" s="55">
        <f>Orders!F423</f>
        <v/>
      </c>
      <c r="G423" s="55">
        <f>Orders!G423</f>
        <v/>
      </c>
      <c r="H423" s="55">
        <f>Orders!H423</f>
        <v/>
      </c>
      <c r="I423" s="55">
        <f>Orders!I423</f>
        <v/>
      </c>
      <c r="J423" s="55">
        <f>Orders!J423</f>
        <v/>
      </c>
      <c r="K423" s="55">
        <f>Orders!K423</f>
        <v/>
      </c>
      <c r="L423" s="55">
        <f>VLOOKUP(D423,Products!$A$2:$F$61,3,FALSE())</f>
        <v/>
      </c>
      <c r="M423" s="55">
        <f>VLOOKUP(C423,Customers!$A$2:$F$301,5,FALSE())</f>
        <v/>
      </c>
      <c r="N423" s="55">
        <f>VLOOKUP(E423,Sales_Reps!$A$2:$E$31,3,FALSE())</f>
        <v/>
      </c>
      <c r="O423" s="55">
        <f>VLOOKUP(D423,Products!$A$2:$F$61,4,FALSE())</f>
        <v/>
      </c>
      <c r="P423" s="55">
        <f>VLOOKUP(C423,Customers!$A$2:$F$301,3,FALSE())</f>
        <v/>
      </c>
      <c r="Q423" s="55">
        <f>UPPER(TRIM(K423))</f>
        <v/>
      </c>
      <c r="R423" s="55">
        <f>(G423-O423)/G423</f>
        <v/>
      </c>
      <c r="S423" s="55">
        <f>VLOOKUP(D423,Products!$A$2:$F$61,6,FALSE())</f>
        <v/>
      </c>
    </row>
    <row r="424" ht="15" customHeight="1" s="56">
      <c r="A424" s="55">
        <f>Orders!A424</f>
        <v/>
      </c>
      <c r="B424" s="103">
        <f>Orders!B424</f>
        <v/>
      </c>
      <c r="C424" s="55">
        <f>Orders!C424</f>
        <v/>
      </c>
      <c r="D424" s="55">
        <f>Orders!D424</f>
        <v/>
      </c>
      <c r="E424" s="55">
        <f>Orders!E424</f>
        <v/>
      </c>
      <c r="F424" s="55">
        <f>Orders!F424</f>
        <v/>
      </c>
      <c r="G424" s="55">
        <f>Orders!G424</f>
        <v/>
      </c>
      <c r="H424" s="55">
        <f>Orders!H424</f>
        <v/>
      </c>
      <c r="I424" s="55">
        <f>Orders!I424</f>
        <v/>
      </c>
      <c r="J424" s="55">
        <f>Orders!J424</f>
        <v/>
      </c>
      <c r="K424" s="55">
        <f>Orders!K424</f>
        <v/>
      </c>
      <c r="L424" s="55">
        <f>VLOOKUP(D424,Products!$A$2:$F$61,3,FALSE())</f>
        <v/>
      </c>
      <c r="M424" s="55">
        <f>VLOOKUP(C424,Customers!$A$2:$F$301,5,FALSE())</f>
        <v/>
      </c>
      <c r="N424" s="55">
        <f>VLOOKUP(E424,Sales_Reps!$A$2:$E$31,3,FALSE())</f>
        <v/>
      </c>
      <c r="O424" s="55">
        <f>VLOOKUP(D424,Products!$A$2:$F$61,4,FALSE())</f>
        <v/>
      </c>
      <c r="P424" s="55">
        <f>VLOOKUP(C424,Customers!$A$2:$F$301,3,FALSE())</f>
        <v/>
      </c>
      <c r="Q424" s="55">
        <f>UPPER(TRIM(K424))</f>
        <v/>
      </c>
      <c r="R424" s="55">
        <f>(G424-O424)/G424</f>
        <v/>
      </c>
      <c r="S424" s="55">
        <f>VLOOKUP(D424,Products!$A$2:$F$61,6,FALSE())</f>
        <v/>
      </c>
    </row>
    <row r="425" ht="15" customHeight="1" s="56">
      <c r="A425" s="55">
        <f>Orders!A425</f>
        <v/>
      </c>
      <c r="B425" s="103">
        <f>Orders!B425</f>
        <v/>
      </c>
      <c r="C425" s="55">
        <f>Orders!C425</f>
        <v/>
      </c>
      <c r="D425" s="55">
        <f>Orders!D425</f>
        <v/>
      </c>
      <c r="E425" s="55">
        <f>Orders!E425</f>
        <v/>
      </c>
      <c r="F425" s="55">
        <f>Orders!F425</f>
        <v/>
      </c>
      <c r="G425" s="55">
        <f>Orders!G425</f>
        <v/>
      </c>
      <c r="H425" s="55">
        <f>Orders!H425</f>
        <v/>
      </c>
      <c r="I425" s="55">
        <f>Orders!I425</f>
        <v/>
      </c>
      <c r="J425" s="55">
        <f>Orders!J425</f>
        <v/>
      </c>
      <c r="K425" s="55">
        <f>Orders!K425</f>
        <v/>
      </c>
      <c r="L425" s="55">
        <f>VLOOKUP(D425,Products!$A$2:$F$61,3,FALSE())</f>
        <v/>
      </c>
      <c r="M425" s="55">
        <f>VLOOKUP(C425,Customers!$A$2:$F$301,5,FALSE())</f>
        <v/>
      </c>
      <c r="N425" s="55">
        <f>VLOOKUP(E425,Sales_Reps!$A$2:$E$31,3,FALSE())</f>
        <v/>
      </c>
      <c r="O425" s="55">
        <f>VLOOKUP(D425,Products!$A$2:$F$61,4,FALSE())</f>
        <v/>
      </c>
      <c r="P425" s="55">
        <f>VLOOKUP(C425,Customers!$A$2:$F$301,3,FALSE())</f>
        <v/>
      </c>
      <c r="Q425" s="55">
        <f>UPPER(TRIM(K425))</f>
        <v/>
      </c>
      <c r="R425" s="55">
        <f>(G425-O425)/G425</f>
        <v/>
      </c>
      <c r="S425" s="55">
        <f>VLOOKUP(D425,Products!$A$2:$F$61,6,FALSE())</f>
        <v/>
      </c>
    </row>
    <row r="426" ht="15" customHeight="1" s="56">
      <c r="A426" s="55">
        <f>Orders!A426</f>
        <v/>
      </c>
      <c r="B426" s="103">
        <f>Orders!B426</f>
        <v/>
      </c>
      <c r="C426" s="55">
        <f>Orders!C426</f>
        <v/>
      </c>
      <c r="D426" s="55">
        <f>Orders!D426</f>
        <v/>
      </c>
      <c r="E426" s="55">
        <f>Orders!E426</f>
        <v/>
      </c>
      <c r="F426" s="55">
        <f>Orders!F426</f>
        <v/>
      </c>
      <c r="G426" s="55">
        <f>Orders!G426</f>
        <v/>
      </c>
      <c r="H426" s="55">
        <f>Orders!H426</f>
        <v/>
      </c>
      <c r="I426" s="55">
        <f>Orders!I426</f>
        <v/>
      </c>
      <c r="J426" s="55">
        <f>Orders!J426</f>
        <v/>
      </c>
      <c r="K426" s="55">
        <f>Orders!K426</f>
        <v/>
      </c>
      <c r="L426" s="55">
        <f>VLOOKUP(D426,Products!$A$2:$F$61,3,FALSE())</f>
        <v/>
      </c>
      <c r="M426" s="55">
        <f>VLOOKUP(C426,Customers!$A$2:$F$301,5,FALSE())</f>
        <v/>
      </c>
      <c r="N426" s="55">
        <f>VLOOKUP(E426,Sales_Reps!$A$2:$E$31,3,FALSE())</f>
        <v/>
      </c>
      <c r="O426" s="55">
        <f>VLOOKUP(D426,Products!$A$2:$F$61,4,FALSE())</f>
        <v/>
      </c>
      <c r="P426" s="55">
        <f>VLOOKUP(C426,Customers!$A$2:$F$301,3,FALSE())</f>
        <v/>
      </c>
      <c r="Q426" s="55">
        <f>UPPER(TRIM(K426))</f>
        <v/>
      </c>
      <c r="R426" s="55">
        <f>(G426-O426)/G426</f>
        <v/>
      </c>
      <c r="S426" s="55">
        <f>VLOOKUP(D426,Products!$A$2:$F$61,6,FALSE())</f>
        <v/>
      </c>
    </row>
    <row r="427" ht="15" customHeight="1" s="56">
      <c r="A427" s="55">
        <f>Orders!A427</f>
        <v/>
      </c>
      <c r="B427" s="103">
        <f>Orders!B427</f>
        <v/>
      </c>
      <c r="C427" s="55">
        <f>Orders!C427</f>
        <v/>
      </c>
      <c r="D427" s="55">
        <f>Orders!D427</f>
        <v/>
      </c>
      <c r="E427" s="55">
        <f>Orders!E427</f>
        <v/>
      </c>
      <c r="F427" s="55">
        <f>Orders!F427</f>
        <v/>
      </c>
      <c r="G427" s="55">
        <f>Orders!G427</f>
        <v/>
      </c>
      <c r="H427" s="55">
        <f>Orders!H427</f>
        <v/>
      </c>
      <c r="I427" s="55">
        <f>Orders!I427</f>
        <v/>
      </c>
      <c r="J427" s="55">
        <f>Orders!J427</f>
        <v/>
      </c>
      <c r="K427" s="55">
        <f>Orders!K427</f>
        <v/>
      </c>
      <c r="L427" s="55">
        <f>VLOOKUP(D427,Products!$A$2:$F$61,3,FALSE())</f>
        <v/>
      </c>
      <c r="M427" s="55">
        <f>VLOOKUP(C427,Customers!$A$2:$F$301,5,FALSE())</f>
        <v/>
      </c>
      <c r="N427" s="55">
        <f>VLOOKUP(E427,Sales_Reps!$A$2:$E$31,3,FALSE())</f>
        <v/>
      </c>
      <c r="O427" s="55">
        <f>VLOOKUP(D427,Products!$A$2:$F$61,4,FALSE())</f>
        <v/>
      </c>
      <c r="P427" s="55">
        <f>VLOOKUP(C427,Customers!$A$2:$F$301,3,FALSE())</f>
        <v/>
      </c>
      <c r="Q427" s="55">
        <f>UPPER(TRIM(K427))</f>
        <v/>
      </c>
      <c r="R427" s="55">
        <f>(G427-O427)/G427</f>
        <v/>
      </c>
      <c r="S427" s="55">
        <f>VLOOKUP(D427,Products!$A$2:$F$61,6,FALSE())</f>
        <v/>
      </c>
    </row>
    <row r="428" ht="15" customHeight="1" s="56">
      <c r="A428" s="55">
        <f>Orders!A428</f>
        <v/>
      </c>
      <c r="B428" s="103">
        <f>Orders!B428</f>
        <v/>
      </c>
      <c r="C428" s="55">
        <f>Orders!C428</f>
        <v/>
      </c>
      <c r="D428" s="55">
        <f>Orders!D428</f>
        <v/>
      </c>
      <c r="E428" s="55">
        <f>Orders!E428</f>
        <v/>
      </c>
      <c r="F428" s="55">
        <f>Orders!F428</f>
        <v/>
      </c>
      <c r="G428" s="55">
        <f>Orders!G428</f>
        <v/>
      </c>
      <c r="H428" s="55">
        <f>Orders!H428</f>
        <v/>
      </c>
      <c r="I428" s="55">
        <f>Orders!I428</f>
        <v/>
      </c>
      <c r="J428" s="55">
        <f>Orders!J428</f>
        <v/>
      </c>
      <c r="K428" s="55">
        <f>Orders!K428</f>
        <v/>
      </c>
      <c r="L428" s="55">
        <f>VLOOKUP(D428,Products!$A$2:$F$61,3,FALSE())</f>
        <v/>
      </c>
      <c r="M428" s="55">
        <f>VLOOKUP(C428,Customers!$A$2:$F$301,5,FALSE())</f>
        <v/>
      </c>
      <c r="N428" s="55">
        <f>VLOOKUP(E428,Sales_Reps!$A$2:$E$31,3,FALSE())</f>
        <v/>
      </c>
      <c r="O428" s="55">
        <f>VLOOKUP(D428,Products!$A$2:$F$61,4,FALSE())</f>
        <v/>
      </c>
      <c r="P428" s="55">
        <f>VLOOKUP(C428,Customers!$A$2:$F$301,3,FALSE())</f>
        <v/>
      </c>
      <c r="Q428" s="55">
        <f>UPPER(TRIM(K428))</f>
        <v/>
      </c>
      <c r="R428" s="55">
        <f>(G428-O428)/G428</f>
        <v/>
      </c>
      <c r="S428" s="55">
        <f>VLOOKUP(D428,Products!$A$2:$F$61,6,FALSE())</f>
        <v/>
      </c>
    </row>
    <row r="429" ht="15" customHeight="1" s="56">
      <c r="A429" s="55">
        <f>Orders!A429</f>
        <v/>
      </c>
      <c r="B429" s="103">
        <f>Orders!B429</f>
        <v/>
      </c>
      <c r="C429" s="55">
        <f>Orders!C429</f>
        <v/>
      </c>
      <c r="D429" s="55">
        <f>Orders!D429</f>
        <v/>
      </c>
      <c r="E429" s="55">
        <f>Orders!E429</f>
        <v/>
      </c>
      <c r="F429" s="55">
        <f>Orders!F429</f>
        <v/>
      </c>
      <c r="G429" s="55">
        <f>Orders!G429</f>
        <v/>
      </c>
      <c r="H429" s="55">
        <f>Orders!H429</f>
        <v/>
      </c>
      <c r="I429" s="55">
        <f>Orders!I429</f>
        <v/>
      </c>
      <c r="J429" s="55">
        <f>Orders!J429</f>
        <v/>
      </c>
      <c r="K429" s="55">
        <f>Orders!K429</f>
        <v/>
      </c>
      <c r="L429" s="55">
        <f>VLOOKUP(D429,Products!$A$2:$F$61,3,FALSE())</f>
        <v/>
      </c>
      <c r="M429" s="55">
        <f>VLOOKUP(C429,Customers!$A$2:$F$301,5,FALSE())</f>
        <v/>
      </c>
      <c r="N429" s="55">
        <f>VLOOKUP(E429,Sales_Reps!$A$2:$E$31,3,FALSE())</f>
        <v/>
      </c>
      <c r="O429" s="55">
        <f>VLOOKUP(D429,Products!$A$2:$F$61,4,FALSE())</f>
        <v/>
      </c>
      <c r="P429" s="55">
        <f>VLOOKUP(C429,Customers!$A$2:$F$301,3,FALSE())</f>
        <v/>
      </c>
      <c r="Q429" s="55">
        <f>UPPER(TRIM(K429))</f>
        <v/>
      </c>
      <c r="R429" s="55">
        <f>(G429-O429)/G429</f>
        <v/>
      </c>
      <c r="S429" s="55">
        <f>VLOOKUP(D429,Products!$A$2:$F$61,6,FALSE())</f>
        <v/>
      </c>
    </row>
    <row r="430" ht="15" customHeight="1" s="56">
      <c r="A430" s="55">
        <f>Orders!A430</f>
        <v/>
      </c>
      <c r="B430" s="103">
        <f>Orders!B430</f>
        <v/>
      </c>
      <c r="C430" s="55">
        <f>Orders!C430</f>
        <v/>
      </c>
      <c r="D430" s="55">
        <f>Orders!D430</f>
        <v/>
      </c>
      <c r="E430" s="55">
        <f>Orders!E430</f>
        <v/>
      </c>
      <c r="F430" s="55">
        <f>Orders!F430</f>
        <v/>
      </c>
      <c r="G430" s="55">
        <f>Orders!G430</f>
        <v/>
      </c>
      <c r="H430" s="55">
        <f>Orders!H430</f>
        <v/>
      </c>
      <c r="I430" s="55">
        <f>Orders!I430</f>
        <v/>
      </c>
      <c r="J430" s="55">
        <f>Orders!J430</f>
        <v/>
      </c>
      <c r="K430" s="55">
        <f>Orders!K430</f>
        <v/>
      </c>
      <c r="L430" s="55">
        <f>VLOOKUP(D430,Products!$A$2:$F$61,3,FALSE())</f>
        <v/>
      </c>
      <c r="M430" s="55">
        <f>VLOOKUP(C430,Customers!$A$2:$F$301,5,FALSE())</f>
        <v/>
      </c>
      <c r="N430" s="55">
        <f>VLOOKUP(E430,Sales_Reps!$A$2:$E$31,3,FALSE())</f>
        <v/>
      </c>
      <c r="O430" s="55">
        <f>VLOOKUP(D430,Products!$A$2:$F$61,4,FALSE())</f>
        <v/>
      </c>
      <c r="P430" s="55">
        <f>VLOOKUP(C430,Customers!$A$2:$F$301,3,FALSE())</f>
        <v/>
      </c>
      <c r="Q430" s="55">
        <f>UPPER(TRIM(K430))</f>
        <v/>
      </c>
      <c r="R430" s="55">
        <f>(G430-O430)/G430</f>
        <v/>
      </c>
      <c r="S430" s="55">
        <f>VLOOKUP(D430,Products!$A$2:$F$61,6,FALSE())</f>
        <v/>
      </c>
    </row>
    <row r="431" ht="15" customHeight="1" s="56">
      <c r="A431" s="55">
        <f>Orders!A431</f>
        <v/>
      </c>
      <c r="B431" s="103">
        <f>Orders!B431</f>
        <v/>
      </c>
      <c r="C431" s="55">
        <f>Orders!C431</f>
        <v/>
      </c>
      <c r="D431" s="55">
        <f>Orders!D431</f>
        <v/>
      </c>
      <c r="E431" s="55">
        <f>Orders!E431</f>
        <v/>
      </c>
      <c r="F431" s="55">
        <f>Orders!F431</f>
        <v/>
      </c>
      <c r="G431" s="55">
        <f>Orders!G431</f>
        <v/>
      </c>
      <c r="H431" s="55">
        <f>Orders!H431</f>
        <v/>
      </c>
      <c r="I431" s="55">
        <f>Orders!I431</f>
        <v/>
      </c>
      <c r="J431" s="55">
        <f>Orders!J431</f>
        <v/>
      </c>
      <c r="K431" s="55">
        <f>Orders!K431</f>
        <v/>
      </c>
      <c r="L431" s="55">
        <f>VLOOKUP(D431,Products!$A$2:$F$61,3,FALSE())</f>
        <v/>
      </c>
      <c r="M431" s="55">
        <f>VLOOKUP(C431,Customers!$A$2:$F$301,5,FALSE())</f>
        <v/>
      </c>
      <c r="N431" s="55">
        <f>VLOOKUP(E431,Sales_Reps!$A$2:$E$31,3,FALSE())</f>
        <v/>
      </c>
      <c r="O431" s="55">
        <f>VLOOKUP(D431,Products!$A$2:$F$61,4,FALSE())</f>
        <v/>
      </c>
      <c r="P431" s="55">
        <f>VLOOKUP(C431,Customers!$A$2:$F$301,3,FALSE())</f>
        <v/>
      </c>
      <c r="Q431" s="55">
        <f>UPPER(TRIM(K431))</f>
        <v/>
      </c>
      <c r="R431" s="55">
        <f>(G431-O431)/G431</f>
        <v/>
      </c>
      <c r="S431" s="55">
        <f>VLOOKUP(D431,Products!$A$2:$F$61,6,FALSE())</f>
        <v/>
      </c>
    </row>
    <row r="432" ht="15" customHeight="1" s="56">
      <c r="A432" s="55">
        <f>Orders!A432</f>
        <v/>
      </c>
      <c r="B432" s="103">
        <f>Orders!B432</f>
        <v/>
      </c>
      <c r="C432" s="55">
        <f>Orders!C432</f>
        <v/>
      </c>
      <c r="D432" s="55">
        <f>Orders!D432</f>
        <v/>
      </c>
      <c r="E432" s="55">
        <f>Orders!E432</f>
        <v/>
      </c>
      <c r="F432" s="55">
        <f>Orders!F432</f>
        <v/>
      </c>
      <c r="G432" s="55">
        <f>Orders!G432</f>
        <v/>
      </c>
      <c r="H432" s="55">
        <f>Orders!H432</f>
        <v/>
      </c>
      <c r="I432" s="55">
        <f>Orders!I432</f>
        <v/>
      </c>
      <c r="J432" s="55">
        <f>Orders!J432</f>
        <v/>
      </c>
      <c r="K432" s="55">
        <f>Orders!K432</f>
        <v/>
      </c>
      <c r="L432" s="55">
        <f>VLOOKUP(D432,Products!$A$2:$F$61,3,FALSE())</f>
        <v/>
      </c>
      <c r="M432" s="55">
        <f>VLOOKUP(C432,Customers!$A$2:$F$301,5,FALSE())</f>
        <v/>
      </c>
      <c r="N432" s="55">
        <f>VLOOKUP(E432,Sales_Reps!$A$2:$E$31,3,FALSE())</f>
        <v/>
      </c>
      <c r="O432" s="55">
        <f>VLOOKUP(D432,Products!$A$2:$F$61,4,FALSE())</f>
        <v/>
      </c>
      <c r="P432" s="55">
        <f>VLOOKUP(C432,Customers!$A$2:$F$301,3,FALSE())</f>
        <v/>
      </c>
      <c r="Q432" s="55">
        <f>UPPER(TRIM(K432))</f>
        <v/>
      </c>
      <c r="R432" s="55">
        <f>(G432-O432)/G432</f>
        <v/>
      </c>
      <c r="S432" s="55">
        <f>VLOOKUP(D432,Products!$A$2:$F$61,6,FALSE())</f>
        <v/>
      </c>
    </row>
    <row r="433" ht="15" customHeight="1" s="56">
      <c r="A433" s="55">
        <f>Orders!A433</f>
        <v/>
      </c>
      <c r="B433" s="103">
        <f>Orders!B433</f>
        <v/>
      </c>
      <c r="C433" s="55">
        <f>Orders!C433</f>
        <v/>
      </c>
      <c r="D433" s="55">
        <f>Orders!D433</f>
        <v/>
      </c>
      <c r="E433" s="55">
        <f>Orders!E433</f>
        <v/>
      </c>
      <c r="F433" s="55">
        <f>Orders!F433</f>
        <v/>
      </c>
      <c r="G433" s="55">
        <f>Orders!G433</f>
        <v/>
      </c>
      <c r="H433" s="55">
        <f>Orders!H433</f>
        <v/>
      </c>
      <c r="I433" s="55">
        <f>Orders!I433</f>
        <v/>
      </c>
      <c r="J433" s="55">
        <f>Orders!J433</f>
        <v/>
      </c>
      <c r="K433" s="55">
        <f>Orders!K433</f>
        <v/>
      </c>
      <c r="L433" s="55">
        <f>VLOOKUP(D433,Products!$A$2:$F$61,3,FALSE())</f>
        <v/>
      </c>
      <c r="M433" s="55">
        <f>VLOOKUP(C433,Customers!$A$2:$F$301,5,FALSE())</f>
        <v/>
      </c>
      <c r="N433" s="55">
        <f>VLOOKUP(E433,Sales_Reps!$A$2:$E$31,3,FALSE())</f>
        <v/>
      </c>
      <c r="O433" s="55">
        <f>VLOOKUP(D433,Products!$A$2:$F$61,4,FALSE())</f>
        <v/>
      </c>
      <c r="P433" s="55">
        <f>VLOOKUP(C433,Customers!$A$2:$F$301,3,FALSE())</f>
        <v/>
      </c>
      <c r="Q433" s="55">
        <f>UPPER(TRIM(K433))</f>
        <v/>
      </c>
      <c r="R433" s="55">
        <f>(G433-O433)/G433</f>
        <v/>
      </c>
      <c r="S433" s="55">
        <f>VLOOKUP(D433,Products!$A$2:$F$61,6,FALSE())</f>
        <v/>
      </c>
    </row>
    <row r="434" ht="15" customHeight="1" s="56">
      <c r="A434" s="55">
        <f>Orders!A434</f>
        <v/>
      </c>
      <c r="B434" s="103">
        <f>Orders!B434</f>
        <v/>
      </c>
      <c r="C434" s="55">
        <f>Orders!C434</f>
        <v/>
      </c>
      <c r="D434" s="55">
        <f>Orders!D434</f>
        <v/>
      </c>
      <c r="E434" s="55">
        <f>Orders!E434</f>
        <v/>
      </c>
      <c r="F434" s="55">
        <f>Orders!F434</f>
        <v/>
      </c>
      <c r="G434" s="55">
        <f>Orders!G434</f>
        <v/>
      </c>
      <c r="H434" s="55">
        <f>Orders!H434</f>
        <v/>
      </c>
      <c r="I434" s="55">
        <f>Orders!I434</f>
        <v/>
      </c>
      <c r="J434" s="55">
        <f>Orders!J434</f>
        <v/>
      </c>
      <c r="K434" s="55">
        <f>Orders!K434</f>
        <v/>
      </c>
      <c r="L434" s="55">
        <f>VLOOKUP(D434,Products!$A$2:$F$61,3,FALSE())</f>
        <v/>
      </c>
      <c r="M434" s="55">
        <f>VLOOKUP(C434,Customers!$A$2:$F$301,5,FALSE())</f>
        <v/>
      </c>
      <c r="N434" s="55">
        <f>VLOOKUP(E434,Sales_Reps!$A$2:$E$31,3,FALSE())</f>
        <v/>
      </c>
      <c r="O434" s="55">
        <f>VLOOKUP(D434,Products!$A$2:$F$61,4,FALSE())</f>
        <v/>
      </c>
      <c r="P434" s="55">
        <f>VLOOKUP(C434,Customers!$A$2:$F$301,3,FALSE())</f>
        <v/>
      </c>
      <c r="Q434" s="55">
        <f>UPPER(TRIM(K434))</f>
        <v/>
      </c>
      <c r="R434" s="55">
        <f>(G434-O434)/G434</f>
        <v/>
      </c>
      <c r="S434" s="55">
        <f>VLOOKUP(D434,Products!$A$2:$F$61,6,FALSE())</f>
        <v/>
      </c>
    </row>
    <row r="435" ht="15" customHeight="1" s="56">
      <c r="A435" s="55">
        <f>Orders!A435</f>
        <v/>
      </c>
      <c r="B435" s="103">
        <f>Orders!B435</f>
        <v/>
      </c>
      <c r="C435" s="55">
        <f>Orders!C435</f>
        <v/>
      </c>
      <c r="D435" s="55">
        <f>Orders!D435</f>
        <v/>
      </c>
      <c r="E435" s="55">
        <f>Orders!E435</f>
        <v/>
      </c>
      <c r="F435" s="55">
        <f>Orders!F435</f>
        <v/>
      </c>
      <c r="G435" s="55">
        <f>Orders!G435</f>
        <v/>
      </c>
      <c r="H435" s="55">
        <f>Orders!H435</f>
        <v/>
      </c>
      <c r="I435" s="55">
        <f>Orders!I435</f>
        <v/>
      </c>
      <c r="J435" s="55">
        <f>Orders!J435</f>
        <v/>
      </c>
      <c r="K435" s="55">
        <f>Orders!K435</f>
        <v/>
      </c>
      <c r="L435" s="55">
        <f>VLOOKUP(D435,Products!$A$2:$F$61,3,FALSE())</f>
        <v/>
      </c>
      <c r="M435" s="55">
        <f>VLOOKUP(C435,Customers!$A$2:$F$301,5,FALSE())</f>
        <v/>
      </c>
      <c r="N435" s="55">
        <f>VLOOKUP(E435,Sales_Reps!$A$2:$E$31,3,FALSE())</f>
        <v/>
      </c>
      <c r="O435" s="55">
        <f>VLOOKUP(D435,Products!$A$2:$F$61,4,FALSE())</f>
        <v/>
      </c>
      <c r="P435" s="55">
        <f>VLOOKUP(C435,Customers!$A$2:$F$301,3,FALSE())</f>
        <v/>
      </c>
      <c r="Q435" s="55">
        <f>UPPER(TRIM(K435))</f>
        <v/>
      </c>
      <c r="R435" s="55">
        <f>(G435-O435)/G435</f>
        <v/>
      </c>
      <c r="S435" s="55">
        <f>VLOOKUP(D435,Products!$A$2:$F$61,6,FALSE())</f>
        <v/>
      </c>
    </row>
    <row r="436" ht="15" customHeight="1" s="56">
      <c r="A436" s="55">
        <f>Orders!A436</f>
        <v/>
      </c>
      <c r="B436" s="103">
        <f>Orders!B436</f>
        <v/>
      </c>
      <c r="C436" s="55">
        <f>Orders!C436</f>
        <v/>
      </c>
      <c r="D436" s="55">
        <f>Orders!D436</f>
        <v/>
      </c>
      <c r="E436" s="55">
        <f>Orders!E436</f>
        <v/>
      </c>
      <c r="F436" s="55">
        <f>Orders!F436</f>
        <v/>
      </c>
      <c r="G436" s="55">
        <f>Orders!G436</f>
        <v/>
      </c>
      <c r="H436" s="55">
        <f>Orders!H436</f>
        <v/>
      </c>
      <c r="I436" s="55">
        <f>Orders!I436</f>
        <v/>
      </c>
      <c r="J436" s="55">
        <f>Orders!J436</f>
        <v/>
      </c>
      <c r="K436" s="55">
        <f>Orders!K436</f>
        <v/>
      </c>
      <c r="L436" s="55">
        <f>VLOOKUP(D436,Products!$A$2:$F$61,3,FALSE())</f>
        <v/>
      </c>
      <c r="M436" s="55">
        <f>VLOOKUP(C436,Customers!$A$2:$F$301,5,FALSE())</f>
        <v/>
      </c>
      <c r="N436" s="55">
        <f>VLOOKUP(E436,Sales_Reps!$A$2:$E$31,3,FALSE())</f>
        <v/>
      </c>
      <c r="O436" s="55">
        <f>VLOOKUP(D436,Products!$A$2:$F$61,4,FALSE())</f>
        <v/>
      </c>
      <c r="P436" s="55">
        <f>VLOOKUP(C436,Customers!$A$2:$F$301,3,FALSE())</f>
        <v/>
      </c>
      <c r="Q436" s="55">
        <f>UPPER(TRIM(K436))</f>
        <v/>
      </c>
      <c r="R436" s="55">
        <f>(G436-O436)/G436</f>
        <v/>
      </c>
      <c r="S436" s="55">
        <f>VLOOKUP(D436,Products!$A$2:$F$61,6,FALSE())</f>
        <v/>
      </c>
    </row>
    <row r="437" ht="15" customHeight="1" s="56">
      <c r="A437" s="55">
        <f>Orders!A437</f>
        <v/>
      </c>
      <c r="B437" s="103">
        <f>Orders!B437</f>
        <v/>
      </c>
      <c r="C437" s="55">
        <f>Orders!C437</f>
        <v/>
      </c>
      <c r="D437" s="55">
        <f>Orders!D437</f>
        <v/>
      </c>
      <c r="E437" s="55">
        <f>Orders!E437</f>
        <v/>
      </c>
      <c r="F437" s="55">
        <f>Orders!F437</f>
        <v/>
      </c>
      <c r="G437" s="55">
        <f>Orders!G437</f>
        <v/>
      </c>
      <c r="H437" s="55">
        <f>Orders!H437</f>
        <v/>
      </c>
      <c r="I437" s="55">
        <f>Orders!I437</f>
        <v/>
      </c>
      <c r="J437" s="55">
        <f>Orders!J437</f>
        <v/>
      </c>
      <c r="K437" s="55">
        <f>Orders!K437</f>
        <v/>
      </c>
      <c r="L437" s="55">
        <f>VLOOKUP(D437,Products!$A$2:$F$61,3,FALSE())</f>
        <v/>
      </c>
      <c r="M437" s="55">
        <f>VLOOKUP(C437,Customers!$A$2:$F$301,5,FALSE())</f>
        <v/>
      </c>
      <c r="N437" s="55">
        <f>VLOOKUP(E437,Sales_Reps!$A$2:$E$31,3,FALSE())</f>
        <v/>
      </c>
      <c r="O437" s="55">
        <f>VLOOKUP(D437,Products!$A$2:$F$61,4,FALSE())</f>
        <v/>
      </c>
      <c r="P437" s="55">
        <f>VLOOKUP(C437,Customers!$A$2:$F$301,3,FALSE())</f>
        <v/>
      </c>
      <c r="Q437" s="55">
        <f>UPPER(TRIM(K437))</f>
        <v/>
      </c>
      <c r="R437" s="55">
        <f>(G437-O437)/G437</f>
        <v/>
      </c>
      <c r="S437" s="55">
        <f>VLOOKUP(D437,Products!$A$2:$F$61,6,FALSE())</f>
        <v/>
      </c>
    </row>
    <row r="438" ht="15" customHeight="1" s="56">
      <c r="A438" s="55">
        <f>Orders!A438</f>
        <v/>
      </c>
      <c r="B438" s="103">
        <f>Orders!B438</f>
        <v/>
      </c>
      <c r="C438" s="55">
        <f>Orders!C438</f>
        <v/>
      </c>
      <c r="D438" s="55">
        <f>Orders!D438</f>
        <v/>
      </c>
      <c r="E438" s="55">
        <f>Orders!E438</f>
        <v/>
      </c>
      <c r="F438" s="55">
        <f>Orders!F438</f>
        <v/>
      </c>
      <c r="G438" s="55">
        <f>Orders!G438</f>
        <v/>
      </c>
      <c r="H438" s="55">
        <f>Orders!H438</f>
        <v/>
      </c>
      <c r="I438" s="55">
        <f>Orders!I438</f>
        <v/>
      </c>
      <c r="J438" s="55">
        <f>Orders!J438</f>
        <v/>
      </c>
      <c r="K438" s="55">
        <f>Orders!K438</f>
        <v/>
      </c>
      <c r="L438" s="55">
        <f>VLOOKUP(D438,Products!$A$2:$F$61,3,FALSE())</f>
        <v/>
      </c>
      <c r="M438" s="55">
        <f>VLOOKUP(C438,Customers!$A$2:$F$301,5,FALSE())</f>
        <v/>
      </c>
      <c r="N438" s="55">
        <f>VLOOKUP(E438,Sales_Reps!$A$2:$E$31,3,FALSE())</f>
        <v/>
      </c>
      <c r="O438" s="55">
        <f>VLOOKUP(D438,Products!$A$2:$F$61,4,FALSE())</f>
        <v/>
      </c>
      <c r="P438" s="55">
        <f>VLOOKUP(C438,Customers!$A$2:$F$301,3,FALSE())</f>
        <v/>
      </c>
      <c r="Q438" s="55">
        <f>UPPER(TRIM(K438))</f>
        <v/>
      </c>
      <c r="R438" s="55">
        <f>(G438-O438)/G438</f>
        <v/>
      </c>
      <c r="S438" s="55">
        <f>VLOOKUP(D438,Products!$A$2:$F$61,6,FALSE())</f>
        <v/>
      </c>
    </row>
    <row r="439" ht="15" customHeight="1" s="56">
      <c r="A439" s="55">
        <f>Orders!A439</f>
        <v/>
      </c>
      <c r="B439" s="103">
        <f>Orders!B439</f>
        <v/>
      </c>
      <c r="C439" s="55">
        <f>Orders!C439</f>
        <v/>
      </c>
      <c r="D439" s="55">
        <f>Orders!D439</f>
        <v/>
      </c>
      <c r="E439" s="55">
        <f>Orders!E439</f>
        <v/>
      </c>
      <c r="F439" s="55">
        <f>Orders!F439</f>
        <v/>
      </c>
      <c r="G439" s="55">
        <f>Orders!G439</f>
        <v/>
      </c>
      <c r="H439" s="55">
        <f>Orders!H439</f>
        <v/>
      </c>
      <c r="I439" s="55">
        <f>Orders!I439</f>
        <v/>
      </c>
      <c r="J439" s="55">
        <f>Orders!J439</f>
        <v/>
      </c>
      <c r="K439" s="55">
        <f>Orders!K439</f>
        <v/>
      </c>
      <c r="L439" s="55">
        <f>VLOOKUP(D439,Products!$A$2:$F$61,3,FALSE())</f>
        <v/>
      </c>
      <c r="M439" s="55">
        <f>VLOOKUP(C439,Customers!$A$2:$F$301,5,FALSE())</f>
        <v/>
      </c>
      <c r="N439" s="55">
        <f>VLOOKUP(E439,Sales_Reps!$A$2:$E$31,3,FALSE())</f>
        <v/>
      </c>
      <c r="O439" s="55">
        <f>VLOOKUP(D439,Products!$A$2:$F$61,4,FALSE())</f>
        <v/>
      </c>
      <c r="P439" s="55">
        <f>VLOOKUP(C439,Customers!$A$2:$F$301,3,FALSE())</f>
        <v/>
      </c>
      <c r="Q439" s="55">
        <f>UPPER(TRIM(K439))</f>
        <v/>
      </c>
      <c r="R439" s="55">
        <f>(G439-O439)/G439</f>
        <v/>
      </c>
      <c r="S439" s="55">
        <f>VLOOKUP(D439,Products!$A$2:$F$61,6,FALSE())</f>
        <v/>
      </c>
    </row>
    <row r="440" ht="15" customHeight="1" s="56">
      <c r="A440" s="55">
        <f>Orders!A440</f>
        <v/>
      </c>
      <c r="B440" s="103">
        <f>Orders!B440</f>
        <v/>
      </c>
      <c r="C440" s="55">
        <f>Orders!C440</f>
        <v/>
      </c>
      <c r="D440" s="55">
        <f>Orders!D440</f>
        <v/>
      </c>
      <c r="E440" s="55">
        <f>Orders!E440</f>
        <v/>
      </c>
      <c r="F440" s="55">
        <f>Orders!F440</f>
        <v/>
      </c>
      <c r="G440" s="55">
        <f>Orders!G440</f>
        <v/>
      </c>
      <c r="H440" s="55">
        <f>Orders!H440</f>
        <v/>
      </c>
      <c r="I440" s="55">
        <f>Orders!I440</f>
        <v/>
      </c>
      <c r="J440" s="55">
        <f>Orders!J440</f>
        <v/>
      </c>
      <c r="K440" s="55">
        <f>Orders!K440</f>
        <v/>
      </c>
      <c r="L440" s="55">
        <f>VLOOKUP(D440,Products!$A$2:$F$61,3,FALSE())</f>
        <v/>
      </c>
      <c r="M440" s="55">
        <f>VLOOKUP(C440,Customers!$A$2:$F$301,5,FALSE())</f>
        <v/>
      </c>
      <c r="N440" s="55">
        <f>VLOOKUP(E440,Sales_Reps!$A$2:$E$31,3,FALSE())</f>
        <v/>
      </c>
      <c r="O440" s="55">
        <f>VLOOKUP(D440,Products!$A$2:$F$61,4,FALSE())</f>
        <v/>
      </c>
      <c r="P440" s="55">
        <f>VLOOKUP(C440,Customers!$A$2:$F$301,3,FALSE())</f>
        <v/>
      </c>
      <c r="Q440" s="55">
        <f>UPPER(TRIM(K440))</f>
        <v/>
      </c>
      <c r="R440" s="55">
        <f>(G440-O440)/G440</f>
        <v/>
      </c>
      <c r="S440" s="55">
        <f>VLOOKUP(D440,Products!$A$2:$F$61,6,FALSE())</f>
        <v/>
      </c>
    </row>
    <row r="441" ht="15" customHeight="1" s="56">
      <c r="A441" s="55">
        <f>Orders!A441</f>
        <v/>
      </c>
      <c r="B441" s="103">
        <f>Orders!B441</f>
        <v/>
      </c>
      <c r="C441" s="55">
        <f>Orders!C441</f>
        <v/>
      </c>
      <c r="D441" s="55">
        <f>Orders!D441</f>
        <v/>
      </c>
      <c r="E441" s="55">
        <f>Orders!E441</f>
        <v/>
      </c>
      <c r="F441" s="55">
        <f>Orders!F441</f>
        <v/>
      </c>
      <c r="G441" s="55">
        <f>Orders!G441</f>
        <v/>
      </c>
      <c r="H441" s="55">
        <f>Orders!H441</f>
        <v/>
      </c>
      <c r="I441" s="55">
        <f>Orders!I441</f>
        <v/>
      </c>
      <c r="J441" s="55">
        <f>Orders!J441</f>
        <v/>
      </c>
      <c r="K441" s="55">
        <f>Orders!K441</f>
        <v/>
      </c>
      <c r="L441" s="55">
        <f>VLOOKUP(D441,Products!$A$2:$F$61,3,FALSE())</f>
        <v/>
      </c>
      <c r="M441" s="55">
        <f>VLOOKUP(C441,Customers!$A$2:$F$301,5,FALSE())</f>
        <v/>
      </c>
      <c r="N441" s="55">
        <f>VLOOKUP(E441,Sales_Reps!$A$2:$E$31,3,FALSE())</f>
        <v/>
      </c>
      <c r="O441" s="55">
        <f>VLOOKUP(D441,Products!$A$2:$F$61,4,FALSE())</f>
        <v/>
      </c>
      <c r="P441" s="55">
        <f>VLOOKUP(C441,Customers!$A$2:$F$301,3,FALSE())</f>
        <v/>
      </c>
      <c r="Q441" s="55">
        <f>UPPER(TRIM(K441))</f>
        <v/>
      </c>
      <c r="R441" s="55">
        <f>(G441-O441)/G441</f>
        <v/>
      </c>
      <c r="S441" s="55">
        <f>VLOOKUP(D441,Products!$A$2:$F$61,6,FALSE())</f>
        <v/>
      </c>
    </row>
    <row r="442" ht="15" customHeight="1" s="56">
      <c r="A442" s="55">
        <f>Orders!A442</f>
        <v/>
      </c>
      <c r="B442" s="103">
        <f>Orders!B442</f>
        <v/>
      </c>
      <c r="C442" s="55">
        <f>Orders!C442</f>
        <v/>
      </c>
      <c r="D442" s="55">
        <f>Orders!D442</f>
        <v/>
      </c>
      <c r="E442" s="55">
        <f>Orders!E442</f>
        <v/>
      </c>
      <c r="F442" s="55">
        <f>Orders!F442</f>
        <v/>
      </c>
      <c r="G442" s="55">
        <f>Orders!G442</f>
        <v/>
      </c>
      <c r="H442" s="55">
        <f>Orders!H442</f>
        <v/>
      </c>
      <c r="I442" s="55">
        <f>Orders!I442</f>
        <v/>
      </c>
      <c r="J442" s="55">
        <f>Orders!J442</f>
        <v/>
      </c>
      <c r="K442" s="55">
        <f>Orders!K442</f>
        <v/>
      </c>
      <c r="L442" s="55">
        <f>VLOOKUP(D442,Products!$A$2:$F$61,3,FALSE())</f>
        <v/>
      </c>
      <c r="M442" s="55">
        <f>VLOOKUP(C442,Customers!$A$2:$F$301,5,FALSE())</f>
        <v/>
      </c>
      <c r="N442" s="55">
        <f>VLOOKUP(E442,Sales_Reps!$A$2:$E$31,3,FALSE())</f>
        <v/>
      </c>
      <c r="O442" s="55">
        <f>VLOOKUP(D442,Products!$A$2:$F$61,4,FALSE())</f>
        <v/>
      </c>
      <c r="P442" s="55">
        <f>VLOOKUP(C442,Customers!$A$2:$F$301,3,FALSE())</f>
        <v/>
      </c>
      <c r="Q442" s="55">
        <f>UPPER(TRIM(K442))</f>
        <v/>
      </c>
      <c r="R442" s="55">
        <f>(G442-O442)/G442</f>
        <v/>
      </c>
      <c r="S442" s="55">
        <f>VLOOKUP(D442,Products!$A$2:$F$61,6,FALSE())</f>
        <v/>
      </c>
    </row>
    <row r="443" ht="15" customHeight="1" s="56">
      <c r="A443" s="55">
        <f>Orders!A443</f>
        <v/>
      </c>
      <c r="B443" s="103">
        <f>Orders!B443</f>
        <v/>
      </c>
      <c r="C443" s="55">
        <f>Orders!C443</f>
        <v/>
      </c>
      <c r="D443" s="55">
        <f>Orders!D443</f>
        <v/>
      </c>
      <c r="E443" s="55">
        <f>Orders!E443</f>
        <v/>
      </c>
      <c r="F443" s="55">
        <f>Orders!F443</f>
        <v/>
      </c>
      <c r="G443" s="55">
        <f>Orders!G443</f>
        <v/>
      </c>
      <c r="H443" s="55">
        <f>Orders!H443</f>
        <v/>
      </c>
      <c r="I443" s="55">
        <f>Orders!I443</f>
        <v/>
      </c>
      <c r="J443" s="55">
        <f>Orders!J443</f>
        <v/>
      </c>
      <c r="K443" s="55">
        <f>Orders!K443</f>
        <v/>
      </c>
      <c r="L443" s="55">
        <f>VLOOKUP(D443,Products!$A$2:$F$61,3,FALSE())</f>
        <v/>
      </c>
      <c r="M443" s="55">
        <f>VLOOKUP(C443,Customers!$A$2:$F$301,5,FALSE())</f>
        <v/>
      </c>
      <c r="N443" s="55">
        <f>VLOOKUP(E443,Sales_Reps!$A$2:$E$31,3,FALSE())</f>
        <v/>
      </c>
      <c r="O443" s="55">
        <f>VLOOKUP(D443,Products!$A$2:$F$61,4,FALSE())</f>
        <v/>
      </c>
      <c r="P443" s="55">
        <f>VLOOKUP(C443,Customers!$A$2:$F$301,3,FALSE())</f>
        <v/>
      </c>
      <c r="Q443" s="55">
        <f>UPPER(TRIM(K443))</f>
        <v/>
      </c>
      <c r="R443" s="55">
        <f>(G443-O443)/G443</f>
        <v/>
      </c>
      <c r="S443" s="55">
        <f>VLOOKUP(D443,Products!$A$2:$F$61,6,FALSE())</f>
        <v/>
      </c>
    </row>
    <row r="444" ht="15" customHeight="1" s="56">
      <c r="A444" s="55">
        <f>Orders!A444</f>
        <v/>
      </c>
      <c r="B444" s="103">
        <f>Orders!B444</f>
        <v/>
      </c>
      <c r="C444" s="55">
        <f>Orders!C444</f>
        <v/>
      </c>
      <c r="D444" s="55">
        <f>Orders!D444</f>
        <v/>
      </c>
      <c r="E444" s="55">
        <f>Orders!E444</f>
        <v/>
      </c>
      <c r="F444" s="55">
        <f>Orders!F444</f>
        <v/>
      </c>
      <c r="G444" s="55">
        <f>Orders!G444</f>
        <v/>
      </c>
      <c r="H444" s="55">
        <f>Orders!H444</f>
        <v/>
      </c>
      <c r="I444" s="55">
        <f>Orders!I444</f>
        <v/>
      </c>
      <c r="J444" s="55">
        <f>Orders!J444</f>
        <v/>
      </c>
      <c r="K444" s="55">
        <f>Orders!K444</f>
        <v/>
      </c>
      <c r="L444" s="55">
        <f>VLOOKUP(D444,Products!$A$2:$F$61,3,FALSE())</f>
        <v/>
      </c>
      <c r="M444" s="55">
        <f>VLOOKUP(C444,Customers!$A$2:$F$301,5,FALSE())</f>
        <v/>
      </c>
      <c r="N444" s="55">
        <f>VLOOKUP(E444,Sales_Reps!$A$2:$E$31,3,FALSE())</f>
        <v/>
      </c>
      <c r="O444" s="55">
        <f>VLOOKUP(D444,Products!$A$2:$F$61,4,FALSE())</f>
        <v/>
      </c>
      <c r="P444" s="55">
        <f>VLOOKUP(C444,Customers!$A$2:$F$301,3,FALSE())</f>
        <v/>
      </c>
      <c r="Q444" s="55">
        <f>UPPER(TRIM(K444))</f>
        <v/>
      </c>
      <c r="R444" s="55">
        <f>(G444-O444)/G444</f>
        <v/>
      </c>
      <c r="S444" s="55">
        <f>VLOOKUP(D444,Products!$A$2:$F$61,6,FALSE())</f>
        <v/>
      </c>
    </row>
    <row r="445" ht="15" customHeight="1" s="56">
      <c r="A445" s="55">
        <f>Orders!A445</f>
        <v/>
      </c>
      <c r="B445" s="103">
        <f>Orders!B445</f>
        <v/>
      </c>
      <c r="C445" s="55">
        <f>Orders!C445</f>
        <v/>
      </c>
      <c r="D445" s="55">
        <f>Orders!D445</f>
        <v/>
      </c>
      <c r="E445" s="55">
        <f>Orders!E445</f>
        <v/>
      </c>
      <c r="F445" s="55">
        <f>Orders!F445</f>
        <v/>
      </c>
      <c r="G445" s="55">
        <f>Orders!G445</f>
        <v/>
      </c>
      <c r="H445" s="55">
        <f>Orders!H445</f>
        <v/>
      </c>
      <c r="I445" s="55">
        <f>Orders!I445</f>
        <v/>
      </c>
      <c r="J445" s="55">
        <f>Orders!J445</f>
        <v/>
      </c>
      <c r="K445" s="55">
        <f>Orders!K445</f>
        <v/>
      </c>
      <c r="L445" s="55">
        <f>VLOOKUP(D445,Products!$A$2:$F$61,3,FALSE())</f>
        <v/>
      </c>
      <c r="M445" s="55">
        <f>VLOOKUP(C445,Customers!$A$2:$F$301,5,FALSE())</f>
        <v/>
      </c>
      <c r="N445" s="55">
        <f>VLOOKUP(E445,Sales_Reps!$A$2:$E$31,3,FALSE())</f>
        <v/>
      </c>
      <c r="O445" s="55">
        <f>VLOOKUP(D445,Products!$A$2:$F$61,4,FALSE())</f>
        <v/>
      </c>
      <c r="P445" s="55">
        <f>VLOOKUP(C445,Customers!$A$2:$F$301,3,FALSE())</f>
        <v/>
      </c>
      <c r="Q445" s="55">
        <f>UPPER(TRIM(K445))</f>
        <v/>
      </c>
      <c r="R445" s="55">
        <f>(G445-O445)/G445</f>
        <v/>
      </c>
      <c r="S445" s="55">
        <f>VLOOKUP(D445,Products!$A$2:$F$61,6,FALSE())</f>
        <v/>
      </c>
    </row>
    <row r="446" ht="15" customHeight="1" s="56">
      <c r="A446" s="55">
        <f>Orders!A446</f>
        <v/>
      </c>
      <c r="B446" s="103">
        <f>Orders!B446</f>
        <v/>
      </c>
      <c r="C446" s="55">
        <f>Orders!C446</f>
        <v/>
      </c>
      <c r="D446" s="55">
        <f>Orders!D446</f>
        <v/>
      </c>
      <c r="E446" s="55">
        <f>Orders!E446</f>
        <v/>
      </c>
      <c r="F446" s="55">
        <f>Orders!F446</f>
        <v/>
      </c>
      <c r="G446" s="55">
        <f>Orders!G446</f>
        <v/>
      </c>
      <c r="H446" s="55">
        <f>Orders!H446</f>
        <v/>
      </c>
      <c r="I446" s="55">
        <f>Orders!I446</f>
        <v/>
      </c>
      <c r="J446" s="55">
        <f>Orders!J446</f>
        <v/>
      </c>
      <c r="K446" s="55">
        <f>Orders!K446</f>
        <v/>
      </c>
      <c r="L446" s="55">
        <f>VLOOKUP(D446,Products!$A$2:$F$61,3,FALSE())</f>
        <v/>
      </c>
      <c r="M446" s="55">
        <f>VLOOKUP(C446,Customers!$A$2:$F$301,5,FALSE())</f>
        <v/>
      </c>
      <c r="N446" s="55">
        <f>VLOOKUP(E446,Sales_Reps!$A$2:$E$31,3,FALSE())</f>
        <v/>
      </c>
      <c r="O446" s="55">
        <f>VLOOKUP(D446,Products!$A$2:$F$61,4,FALSE())</f>
        <v/>
      </c>
      <c r="P446" s="55">
        <f>VLOOKUP(C446,Customers!$A$2:$F$301,3,FALSE())</f>
        <v/>
      </c>
      <c r="Q446" s="55">
        <f>UPPER(TRIM(K446))</f>
        <v/>
      </c>
      <c r="R446" s="55">
        <f>(G446-O446)/G446</f>
        <v/>
      </c>
      <c r="S446" s="55">
        <f>VLOOKUP(D446,Products!$A$2:$F$61,6,FALSE())</f>
        <v/>
      </c>
    </row>
    <row r="447" ht="15" customHeight="1" s="56">
      <c r="A447" s="55">
        <f>Orders!A447</f>
        <v/>
      </c>
      <c r="B447" s="103">
        <f>Orders!B447</f>
        <v/>
      </c>
      <c r="C447" s="55">
        <f>Orders!C447</f>
        <v/>
      </c>
      <c r="D447" s="55">
        <f>Orders!D447</f>
        <v/>
      </c>
      <c r="E447" s="55">
        <f>Orders!E447</f>
        <v/>
      </c>
      <c r="F447" s="55">
        <f>Orders!F447</f>
        <v/>
      </c>
      <c r="G447" s="55">
        <f>Orders!G447</f>
        <v/>
      </c>
      <c r="H447" s="55">
        <f>Orders!H447</f>
        <v/>
      </c>
      <c r="I447" s="55">
        <f>Orders!I447</f>
        <v/>
      </c>
      <c r="J447" s="55">
        <f>Orders!J447</f>
        <v/>
      </c>
      <c r="K447" s="55">
        <f>Orders!K447</f>
        <v/>
      </c>
      <c r="L447" s="55">
        <f>VLOOKUP(D447,Products!$A$2:$F$61,3,FALSE())</f>
        <v/>
      </c>
      <c r="M447" s="55">
        <f>VLOOKUP(C447,Customers!$A$2:$F$301,5,FALSE())</f>
        <v/>
      </c>
      <c r="N447" s="55">
        <f>VLOOKUP(E447,Sales_Reps!$A$2:$E$31,3,FALSE())</f>
        <v/>
      </c>
      <c r="O447" s="55">
        <f>VLOOKUP(D447,Products!$A$2:$F$61,4,FALSE())</f>
        <v/>
      </c>
      <c r="P447" s="55">
        <f>VLOOKUP(C447,Customers!$A$2:$F$301,3,FALSE())</f>
        <v/>
      </c>
      <c r="Q447" s="55">
        <f>UPPER(TRIM(K447))</f>
        <v/>
      </c>
      <c r="R447" s="55">
        <f>(G447-O447)/G447</f>
        <v/>
      </c>
      <c r="S447" s="55">
        <f>VLOOKUP(D447,Products!$A$2:$F$61,6,FALSE())</f>
        <v/>
      </c>
    </row>
    <row r="448" ht="15" customHeight="1" s="56">
      <c r="A448" s="55">
        <f>Orders!A448</f>
        <v/>
      </c>
      <c r="B448" s="103">
        <f>Orders!B448</f>
        <v/>
      </c>
      <c r="C448" s="55">
        <f>Orders!C448</f>
        <v/>
      </c>
      <c r="D448" s="55">
        <f>Orders!D448</f>
        <v/>
      </c>
      <c r="E448" s="55">
        <f>Orders!E448</f>
        <v/>
      </c>
      <c r="F448" s="55">
        <f>Orders!F448</f>
        <v/>
      </c>
      <c r="G448" s="55">
        <f>Orders!G448</f>
        <v/>
      </c>
      <c r="H448" s="55">
        <f>Orders!H448</f>
        <v/>
      </c>
      <c r="I448" s="55">
        <f>Orders!I448</f>
        <v/>
      </c>
      <c r="J448" s="55">
        <f>Orders!J448</f>
        <v/>
      </c>
      <c r="K448" s="55">
        <f>Orders!K448</f>
        <v/>
      </c>
      <c r="L448" s="55">
        <f>VLOOKUP(D448,Products!$A$2:$F$61,3,FALSE())</f>
        <v/>
      </c>
      <c r="M448" s="55">
        <f>VLOOKUP(C448,Customers!$A$2:$F$301,5,FALSE())</f>
        <v/>
      </c>
      <c r="N448" s="55">
        <f>VLOOKUP(E448,Sales_Reps!$A$2:$E$31,3,FALSE())</f>
        <v/>
      </c>
      <c r="O448" s="55">
        <f>VLOOKUP(D448,Products!$A$2:$F$61,4,FALSE())</f>
        <v/>
      </c>
      <c r="P448" s="55">
        <f>VLOOKUP(C448,Customers!$A$2:$F$301,3,FALSE())</f>
        <v/>
      </c>
      <c r="Q448" s="55">
        <f>UPPER(TRIM(K448))</f>
        <v/>
      </c>
      <c r="R448" s="55">
        <f>(G448-O448)/G448</f>
        <v/>
      </c>
      <c r="S448" s="55">
        <f>VLOOKUP(D448,Products!$A$2:$F$61,6,FALSE())</f>
        <v/>
      </c>
    </row>
    <row r="449" ht="15" customHeight="1" s="56">
      <c r="A449" s="55">
        <f>Orders!A449</f>
        <v/>
      </c>
      <c r="B449" s="103">
        <f>Orders!B449</f>
        <v/>
      </c>
      <c r="C449" s="55">
        <f>Orders!C449</f>
        <v/>
      </c>
      <c r="D449" s="55">
        <f>Orders!D449</f>
        <v/>
      </c>
      <c r="E449" s="55">
        <f>Orders!E449</f>
        <v/>
      </c>
      <c r="F449" s="55">
        <f>Orders!F449</f>
        <v/>
      </c>
      <c r="G449" s="55">
        <f>Orders!G449</f>
        <v/>
      </c>
      <c r="H449" s="55">
        <f>Orders!H449</f>
        <v/>
      </c>
      <c r="I449" s="55">
        <f>Orders!I449</f>
        <v/>
      </c>
      <c r="J449" s="55">
        <f>Orders!J449</f>
        <v/>
      </c>
      <c r="K449" s="55">
        <f>Orders!K449</f>
        <v/>
      </c>
      <c r="L449" s="55">
        <f>VLOOKUP(D449,Products!$A$2:$F$61,3,FALSE())</f>
        <v/>
      </c>
      <c r="M449" s="55">
        <f>VLOOKUP(C449,Customers!$A$2:$F$301,5,FALSE())</f>
        <v/>
      </c>
      <c r="N449" s="55">
        <f>VLOOKUP(E449,Sales_Reps!$A$2:$E$31,3,FALSE())</f>
        <v/>
      </c>
      <c r="O449" s="55">
        <f>VLOOKUP(D449,Products!$A$2:$F$61,4,FALSE())</f>
        <v/>
      </c>
      <c r="P449" s="55">
        <f>VLOOKUP(C449,Customers!$A$2:$F$301,3,FALSE())</f>
        <v/>
      </c>
      <c r="Q449" s="55">
        <f>UPPER(TRIM(K449))</f>
        <v/>
      </c>
      <c r="R449" s="55">
        <f>(G449-O449)/G449</f>
        <v/>
      </c>
      <c r="S449" s="55">
        <f>VLOOKUP(D449,Products!$A$2:$F$61,6,FALSE())</f>
        <v/>
      </c>
    </row>
    <row r="450" ht="15" customHeight="1" s="56">
      <c r="A450" s="55">
        <f>Orders!A450</f>
        <v/>
      </c>
      <c r="B450" s="103">
        <f>Orders!B450</f>
        <v/>
      </c>
      <c r="C450" s="55">
        <f>Orders!C450</f>
        <v/>
      </c>
      <c r="D450" s="55">
        <f>Orders!D450</f>
        <v/>
      </c>
      <c r="E450" s="55">
        <f>Orders!E450</f>
        <v/>
      </c>
      <c r="F450" s="55">
        <f>Orders!F450</f>
        <v/>
      </c>
      <c r="G450" s="55">
        <f>Orders!G450</f>
        <v/>
      </c>
      <c r="H450" s="55">
        <f>Orders!H450</f>
        <v/>
      </c>
      <c r="I450" s="55">
        <f>Orders!I450</f>
        <v/>
      </c>
      <c r="J450" s="55">
        <f>Orders!J450</f>
        <v/>
      </c>
      <c r="K450" s="55">
        <f>Orders!K450</f>
        <v/>
      </c>
      <c r="L450" s="55">
        <f>VLOOKUP(D450,Products!$A$2:$F$61,3,FALSE())</f>
        <v/>
      </c>
      <c r="M450" s="55">
        <f>VLOOKUP(C450,Customers!$A$2:$F$301,5,FALSE())</f>
        <v/>
      </c>
      <c r="N450" s="55">
        <f>VLOOKUP(E450,Sales_Reps!$A$2:$E$31,3,FALSE())</f>
        <v/>
      </c>
      <c r="O450" s="55">
        <f>VLOOKUP(D450,Products!$A$2:$F$61,4,FALSE())</f>
        <v/>
      </c>
      <c r="P450" s="55">
        <f>VLOOKUP(C450,Customers!$A$2:$F$301,3,FALSE())</f>
        <v/>
      </c>
      <c r="Q450" s="55">
        <f>UPPER(TRIM(K450))</f>
        <v/>
      </c>
      <c r="R450" s="55">
        <f>(G450-O450)/G450</f>
        <v/>
      </c>
      <c r="S450" s="55">
        <f>VLOOKUP(D450,Products!$A$2:$F$61,6,FALSE())</f>
        <v/>
      </c>
    </row>
    <row r="451" ht="15" customHeight="1" s="56">
      <c r="A451" s="55">
        <f>Orders!A451</f>
        <v/>
      </c>
      <c r="B451" s="103">
        <f>Orders!B451</f>
        <v/>
      </c>
      <c r="C451" s="55">
        <f>Orders!C451</f>
        <v/>
      </c>
      <c r="D451" s="55">
        <f>Orders!D451</f>
        <v/>
      </c>
      <c r="E451" s="55">
        <f>Orders!E451</f>
        <v/>
      </c>
      <c r="F451" s="55">
        <f>Orders!F451</f>
        <v/>
      </c>
      <c r="G451" s="55">
        <f>Orders!G451</f>
        <v/>
      </c>
      <c r="H451" s="55">
        <f>Orders!H451</f>
        <v/>
      </c>
      <c r="I451" s="55">
        <f>Orders!I451</f>
        <v/>
      </c>
      <c r="J451" s="55">
        <f>Orders!J451</f>
        <v/>
      </c>
      <c r="K451" s="55">
        <f>Orders!K451</f>
        <v/>
      </c>
      <c r="L451" s="55">
        <f>VLOOKUP(D451,Products!$A$2:$F$61,3,FALSE())</f>
        <v/>
      </c>
      <c r="M451" s="55">
        <f>VLOOKUP(C451,Customers!$A$2:$F$301,5,FALSE())</f>
        <v/>
      </c>
      <c r="N451" s="55">
        <f>VLOOKUP(E451,Sales_Reps!$A$2:$E$31,3,FALSE())</f>
        <v/>
      </c>
      <c r="O451" s="55">
        <f>VLOOKUP(D451,Products!$A$2:$F$61,4,FALSE())</f>
        <v/>
      </c>
      <c r="P451" s="55">
        <f>VLOOKUP(C451,Customers!$A$2:$F$301,3,FALSE())</f>
        <v/>
      </c>
      <c r="Q451" s="55">
        <f>UPPER(TRIM(K451))</f>
        <v/>
      </c>
      <c r="R451" s="55">
        <f>(G451-O451)/G451</f>
        <v/>
      </c>
      <c r="S451" s="55">
        <f>VLOOKUP(D451,Products!$A$2:$F$61,6,FALSE())</f>
        <v/>
      </c>
    </row>
    <row r="452" ht="15" customHeight="1" s="56">
      <c r="A452" s="55">
        <f>Orders!A452</f>
        <v/>
      </c>
      <c r="B452" s="103">
        <f>Orders!B452</f>
        <v/>
      </c>
      <c r="C452" s="55">
        <f>Orders!C452</f>
        <v/>
      </c>
      <c r="D452" s="55">
        <f>Orders!D452</f>
        <v/>
      </c>
      <c r="E452" s="55">
        <f>Orders!E452</f>
        <v/>
      </c>
      <c r="F452" s="55">
        <f>Orders!F452</f>
        <v/>
      </c>
      <c r="G452" s="55">
        <f>Orders!G452</f>
        <v/>
      </c>
      <c r="H452" s="55">
        <f>Orders!H452</f>
        <v/>
      </c>
      <c r="I452" s="55">
        <f>Orders!I452</f>
        <v/>
      </c>
      <c r="J452" s="55">
        <f>Orders!J452</f>
        <v/>
      </c>
      <c r="K452" s="55">
        <f>Orders!K452</f>
        <v/>
      </c>
      <c r="L452" s="55">
        <f>VLOOKUP(D452,Products!$A$2:$F$61,3,FALSE())</f>
        <v/>
      </c>
      <c r="M452" s="55">
        <f>VLOOKUP(C452,Customers!$A$2:$F$301,5,FALSE())</f>
        <v/>
      </c>
      <c r="N452" s="55">
        <f>VLOOKUP(E452,Sales_Reps!$A$2:$E$31,3,FALSE())</f>
        <v/>
      </c>
      <c r="O452" s="55">
        <f>VLOOKUP(D452,Products!$A$2:$F$61,4,FALSE())</f>
        <v/>
      </c>
      <c r="P452" s="55">
        <f>VLOOKUP(C452,Customers!$A$2:$F$301,3,FALSE())</f>
        <v/>
      </c>
      <c r="Q452" s="55">
        <f>UPPER(TRIM(K452))</f>
        <v/>
      </c>
      <c r="R452" s="55">
        <f>(G452-O452)/G452</f>
        <v/>
      </c>
      <c r="S452" s="55">
        <f>VLOOKUP(D452,Products!$A$2:$F$61,6,FALSE())</f>
        <v/>
      </c>
    </row>
    <row r="453" ht="15" customHeight="1" s="56">
      <c r="A453" s="55">
        <f>Orders!A453</f>
        <v/>
      </c>
      <c r="B453" s="103">
        <f>Orders!B453</f>
        <v/>
      </c>
      <c r="C453" s="55">
        <f>Orders!C453</f>
        <v/>
      </c>
      <c r="D453" s="55">
        <f>Orders!D453</f>
        <v/>
      </c>
      <c r="E453" s="55">
        <f>Orders!E453</f>
        <v/>
      </c>
      <c r="F453" s="55">
        <f>Orders!F453</f>
        <v/>
      </c>
      <c r="G453" s="55">
        <f>Orders!G453</f>
        <v/>
      </c>
      <c r="H453" s="55">
        <f>Orders!H453</f>
        <v/>
      </c>
      <c r="I453" s="55">
        <f>Orders!I453</f>
        <v/>
      </c>
      <c r="J453" s="55">
        <f>Orders!J453</f>
        <v/>
      </c>
      <c r="K453" s="55">
        <f>Orders!K453</f>
        <v/>
      </c>
      <c r="L453" s="55">
        <f>VLOOKUP(D453,Products!$A$2:$F$61,3,FALSE())</f>
        <v/>
      </c>
      <c r="M453" s="55">
        <f>VLOOKUP(C453,Customers!$A$2:$F$301,5,FALSE())</f>
        <v/>
      </c>
      <c r="N453" s="55">
        <f>VLOOKUP(E453,Sales_Reps!$A$2:$E$31,3,FALSE())</f>
        <v/>
      </c>
      <c r="O453" s="55">
        <f>VLOOKUP(D453,Products!$A$2:$F$61,4,FALSE())</f>
        <v/>
      </c>
      <c r="P453" s="55">
        <f>VLOOKUP(C453,Customers!$A$2:$F$301,3,FALSE())</f>
        <v/>
      </c>
      <c r="Q453" s="55">
        <f>UPPER(TRIM(K453))</f>
        <v/>
      </c>
      <c r="R453" s="55">
        <f>(G453-O453)/G453</f>
        <v/>
      </c>
      <c r="S453" s="55">
        <f>VLOOKUP(D453,Products!$A$2:$F$61,6,FALSE())</f>
        <v/>
      </c>
    </row>
    <row r="454" ht="15" customHeight="1" s="56">
      <c r="A454" s="55">
        <f>Orders!A454</f>
        <v/>
      </c>
      <c r="B454" s="103">
        <f>Orders!B454</f>
        <v/>
      </c>
      <c r="C454" s="55">
        <f>Orders!C454</f>
        <v/>
      </c>
      <c r="D454" s="55">
        <f>Orders!D454</f>
        <v/>
      </c>
      <c r="E454" s="55">
        <f>Orders!E454</f>
        <v/>
      </c>
      <c r="F454" s="55">
        <f>Orders!F454</f>
        <v/>
      </c>
      <c r="G454" s="55">
        <f>Orders!G454</f>
        <v/>
      </c>
      <c r="H454" s="55">
        <f>Orders!H454</f>
        <v/>
      </c>
      <c r="I454" s="55">
        <f>Orders!I454</f>
        <v/>
      </c>
      <c r="J454" s="55">
        <f>Orders!J454</f>
        <v/>
      </c>
      <c r="K454" s="55">
        <f>Orders!K454</f>
        <v/>
      </c>
      <c r="L454" s="55">
        <f>VLOOKUP(D454,Products!$A$2:$F$61,3,FALSE())</f>
        <v/>
      </c>
      <c r="M454" s="55">
        <f>VLOOKUP(C454,Customers!$A$2:$F$301,5,FALSE())</f>
        <v/>
      </c>
      <c r="N454" s="55">
        <f>VLOOKUP(E454,Sales_Reps!$A$2:$E$31,3,FALSE())</f>
        <v/>
      </c>
      <c r="O454" s="55">
        <f>VLOOKUP(D454,Products!$A$2:$F$61,4,FALSE())</f>
        <v/>
      </c>
      <c r="P454" s="55">
        <f>VLOOKUP(C454,Customers!$A$2:$F$301,3,FALSE())</f>
        <v/>
      </c>
      <c r="Q454" s="55">
        <f>UPPER(TRIM(K454))</f>
        <v/>
      </c>
      <c r="R454" s="55">
        <f>(G454-O454)/G454</f>
        <v/>
      </c>
      <c r="S454" s="55">
        <f>VLOOKUP(D454,Products!$A$2:$F$61,6,FALSE())</f>
        <v/>
      </c>
    </row>
    <row r="455" ht="15" customHeight="1" s="56">
      <c r="A455" s="55">
        <f>Orders!A455</f>
        <v/>
      </c>
      <c r="B455" s="103">
        <f>Orders!B455</f>
        <v/>
      </c>
      <c r="C455" s="55">
        <f>Orders!C455</f>
        <v/>
      </c>
      <c r="D455" s="55">
        <f>Orders!D455</f>
        <v/>
      </c>
      <c r="E455" s="55">
        <f>Orders!E455</f>
        <v/>
      </c>
      <c r="F455" s="55">
        <f>Orders!F455</f>
        <v/>
      </c>
      <c r="G455" s="55">
        <f>Orders!G455</f>
        <v/>
      </c>
      <c r="H455" s="55">
        <f>Orders!H455</f>
        <v/>
      </c>
      <c r="I455" s="55">
        <f>Orders!I455</f>
        <v/>
      </c>
      <c r="J455" s="55">
        <f>Orders!J455</f>
        <v/>
      </c>
      <c r="K455" s="55">
        <f>Orders!K455</f>
        <v/>
      </c>
      <c r="L455" s="55">
        <f>VLOOKUP(D455,Products!$A$2:$F$61,3,FALSE())</f>
        <v/>
      </c>
      <c r="M455" s="55">
        <f>VLOOKUP(C455,Customers!$A$2:$F$301,5,FALSE())</f>
        <v/>
      </c>
      <c r="N455" s="55">
        <f>VLOOKUP(E455,Sales_Reps!$A$2:$E$31,3,FALSE())</f>
        <v/>
      </c>
      <c r="O455" s="55">
        <f>VLOOKUP(D455,Products!$A$2:$F$61,4,FALSE())</f>
        <v/>
      </c>
      <c r="P455" s="55">
        <f>VLOOKUP(C455,Customers!$A$2:$F$301,3,FALSE())</f>
        <v/>
      </c>
      <c r="Q455" s="55">
        <f>UPPER(TRIM(K455))</f>
        <v/>
      </c>
      <c r="R455" s="55">
        <f>(G455-O455)/G455</f>
        <v/>
      </c>
      <c r="S455" s="55">
        <f>VLOOKUP(D455,Products!$A$2:$F$61,6,FALSE())</f>
        <v/>
      </c>
    </row>
    <row r="456" ht="15" customHeight="1" s="56">
      <c r="A456" s="55">
        <f>Orders!A456</f>
        <v/>
      </c>
      <c r="B456" s="103">
        <f>Orders!B456</f>
        <v/>
      </c>
      <c r="C456" s="55">
        <f>Orders!C456</f>
        <v/>
      </c>
      <c r="D456" s="55">
        <f>Orders!D456</f>
        <v/>
      </c>
      <c r="E456" s="55">
        <f>Orders!E456</f>
        <v/>
      </c>
      <c r="F456" s="55">
        <f>Orders!F456</f>
        <v/>
      </c>
      <c r="G456" s="55">
        <f>Orders!G456</f>
        <v/>
      </c>
      <c r="H456" s="55">
        <f>Orders!H456</f>
        <v/>
      </c>
      <c r="I456" s="55">
        <f>Orders!I456</f>
        <v/>
      </c>
      <c r="J456" s="55">
        <f>Orders!J456</f>
        <v/>
      </c>
      <c r="K456" s="55">
        <f>Orders!K456</f>
        <v/>
      </c>
      <c r="L456" s="55">
        <f>VLOOKUP(D456,Products!$A$2:$F$61,3,FALSE())</f>
        <v/>
      </c>
      <c r="M456" s="55">
        <f>VLOOKUP(C456,Customers!$A$2:$F$301,5,FALSE())</f>
        <v/>
      </c>
      <c r="N456" s="55">
        <f>VLOOKUP(E456,Sales_Reps!$A$2:$E$31,3,FALSE())</f>
        <v/>
      </c>
      <c r="O456" s="55">
        <f>VLOOKUP(D456,Products!$A$2:$F$61,4,FALSE())</f>
        <v/>
      </c>
      <c r="P456" s="55">
        <f>VLOOKUP(C456,Customers!$A$2:$F$301,3,FALSE())</f>
        <v/>
      </c>
      <c r="Q456" s="55">
        <f>UPPER(TRIM(K456))</f>
        <v/>
      </c>
      <c r="R456" s="55">
        <f>(G456-O456)/G456</f>
        <v/>
      </c>
      <c r="S456" s="55">
        <f>VLOOKUP(D456,Products!$A$2:$F$61,6,FALSE())</f>
        <v/>
      </c>
    </row>
    <row r="457" ht="15" customHeight="1" s="56">
      <c r="A457" s="55">
        <f>Orders!A457</f>
        <v/>
      </c>
      <c r="B457" s="103">
        <f>Orders!B457</f>
        <v/>
      </c>
      <c r="C457" s="55">
        <f>Orders!C457</f>
        <v/>
      </c>
      <c r="D457" s="55">
        <f>Orders!D457</f>
        <v/>
      </c>
      <c r="E457" s="55">
        <f>Orders!E457</f>
        <v/>
      </c>
      <c r="F457" s="55">
        <f>Orders!F457</f>
        <v/>
      </c>
      <c r="G457" s="55">
        <f>Orders!G457</f>
        <v/>
      </c>
      <c r="H457" s="55">
        <f>Orders!H457</f>
        <v/>
      </c>
      <c r="I457" s="55">
        <f>Orders!I457</f>
        <v/>
      </c>
      <c r="J457" s="55">
        <f>Orders!J457</f>
        <v/>
      </c>
      <c r="K457" s="55">
        <f>Orders!K457</f>
        <v/>
      </c>
      <c r="L457" s="55">
        <f>VLOOKUP(D457,Products!$A$2:$F$61,3,FALSE())</f>
        <v/>
      </c>
      <c r="M457" s="55">
        <f>VLOOKUP(C457,Customers!$A$2:$F$301,5,FALSE())</f>
        <v/>
      </c>
      <c r="N457" s="55">
        <f>VLOOKUP(E457,Sales_Reps!$A$2:$E$31,3,FALSE())</f>
        <v/>
      </c>
      <c r="O457" s="55">
        <f>VLOOKUP(D457,Products!$A$2:$F$61,4,FALSE())</f>
        <v/>
      </c>
      <c r="P457" s="55">
        <f>VLOOKUP(C457,Customers!$A$2:$F$301,3,FALSE())</f>
        <v/>
      </c>
      <c r="Q457" s="55">
        <f>UPPER(TRIM(K457))</f>
        <v/>
      </c>
      <c r="R457" s="55">
        <f>(G457-O457)/G457</f>
        <v/>
      </c>
      <c r="S457" s="55">
        <f>VLOOKUP(D457,Products!$A$2:$F$61,6,FALSE())</f>
        <v/>
      </c>
    </row>
    <row r="458" ht="15" customHeight="1" s="56">
      <c r="A458" s="55">
        <f>Orders!A458</f>
        <v/>
      </c>
      <c r="B458" s="103">
        <f>Orders!B458</f>
        <v/>
      </c>
      <c r="C458" s="55">
        <f>Orders!C458</f>
        <v/>
      </c>
      <c r="D458" s="55">
        <f>Orders!D458</f>
        <v/>
      </c>
      <c r="E458" s="55">
        <f>Orders!E458</f>
        <v/>
      </c>
      <c r="F458" s="55">
        <f>Orders!F458</f>
        <v/>
      </c>
      <c r="G458" s="55">
        <f>Orders!G458</f>
        <v/>
      </c>
      <c r="H458" s="55">
        <f>Orders!H458</f>
        <v/>
      </c>
      <c r="I458" s="55">
        <f>Orders!I458</f>
        <v/>
      </c>
      <c r="J458" s="55">
        <f>Orders!J458</f>
        <v/>
      </c>
      <c r="K458" s="55">
        <f>Orders!K458</f>
        <v/>
      </c>
      <c r="L458" s="55">
        <f>VLOOKUP(D458,Products!$A$2:$F$61,3,FALSE())</f>
        <v/>
      </c>
      <c r="M458" s="55">
        <f>VLOOKUP(C458,Customers!$A$2:$F$301,5,FALSE())</f>
        <v/>
      </c>
      <c r="N458" s="55">
        <f>VLOOKUP(E458,Sales_Reps!$A$2:$E$31,3,FALSE())</f>
        <v/>
      </c>
      <c r="O458" s="55">
        <f>VLOOKUP(D458,Products!$A$2:$F$61,4,FALSE())</f>
        <v/>
      </c>
      <c r="P458" s="55">
        <f>VLOOKUP(C458,Customers!$A$2:$F$301,3,FALSE())</f>
        <v/>
      </c>
      <c r="Q458" s="55">
        <f>UPPER(TRIM(K458))</f>
        <v/>
      </c>
      <c r="R458" s="55">
        <f>(G458-O458)/G458</f>
        <v/>
      </c>
      <c r="S458" s="55">
        <f>VLOOKUP(D458,Products!$A$2:$F$61,6,FALSE())</f>
        <v/>
      </c>
    </row>
    <row r="459" ht="15" customHeight="1" s="56">
      <c r="A459" s="55">
        <f>Orders!A459</f>
        <v/>
      </c>
      <c r="B459" s="103">
        <f>Orders!B459</f>
        <v/>
      </c>
      <c r="C459" s="55">
        <f>Orders!C459</f>
        <v/>
      </c>
      <c r="D459" s="55">
        <f>Orders!D459</f>
        <v/>
      </c>
      <c r="E459" s="55">
        <f>Orders!E459</f>
        <v/>
      </c>
      <c r="F459" s="55">
        <f>Orders!F459</f>
        <v/>
      </c>
      <c r="G459" s="55">
        <f>Orders!G459</f>
        <v/>
      </c>
      <c r="H459" s="55">
        <f>Orders!H459</f>
        <v/>
      </c>
      <c r="I459" s="55">
        <f>Orders!I459</f>
        <v/>
      </c>
      <c r="J459" s="55">
        <f>Orders!J459</f>
        <v/>
      </c>
      <c r="K459" s="55">
        <f>Orders!K459</f>
        <v/>
      </c>
      <c r="L459" s="55">
        <f>VLOOKUP(D459,Products!$A$2:$F$61,3,FALSE())</f>
        <v/>
      </c>
      <c r="M459" s="55">
        <f>VLOOKUP(C459,Customers!$A$2:$F$301,5,FALSE())</f>
        <v/>
      </c>
      <c r="N459" s="55">
        <f>VLOOKUP(E459,Sales_Reps!$A$2:$E$31,3,FALSE())</f>
        <v/>
      </c>
      <c r="O459" s="55">
        <f>VLOOKUP(D459,Products!$A$2:$F$61,4,FALSE())</f>
        <v/>
      </c>
      <c r="P459" s="55">
        <f>VLOOKUP(C459,Customers!$A$2:$F$301,3,FALSE())</f>
        <v/>
      </c>
      <c r="Q459" s="55">
        <f>UPPER(TRIM(K459))</f>
        <v/>
      </c>
      <c r="R459" s="55">
        <f>(G459-O459)/G459</f>
        <v/>
      </c>
      <c r="S459" s="55">
        <f>VLOOKUP(D459,Products!$A$2:$F$61,6,FALSE())</f>
        <v/>
      </c>
    </row>
    <row r="460" ht="15" customHeight="1" s="56">
      <c r="A460" s="55">
        <f>Orders!A460</f>
        <v/>
      </c>
      <c r="B460" s="103">
        <f>Orders!B460</f>
        <v/>
      </c>
      <c r="C460" s="55">
        <f>Orders!C460</f>
        <v/>
      </c>
      <c r="D460" s="55">
        <f>Orders!D460</f>
        <v/>
      </c>
      <c r="E460" s="55">
        <f>Orders!E460</f>
        <v/>
      </c>
      <c r="F460" s="55">
        <f>Orders!F460</f>
        <v/>
      </c>
      <c r="G460" s="55">
        <f>Orders!G460</f>
        <v/>
      </c>
      <c r="H460" s="55">
        <f>Orders!H460</f>
        <v/>
      </c>
      <c r="I460" s="55">
        <f>Orders!I460</f>
        <v/>
      </c>
      <c r="J460" s="55">
        <f>Orders!J460</f>
        <v/>
      </c>
      <c r="K460" s="55">
        <f>Orders!K460</f>
        <v/>
      </c>
      <c r="L460" s="55">
        <f>VLOOKUP(D460,Products!$A$2:$F$61,3,FALSE())</f>
        <v/>
      </c>
      <c r="M460" s="55">
        <f>VLOOKUP(C460,Customers!$A$2:$F$301,5,FALSE())</f>
        <v/>
      </c>
      <c r="N460" s="55">
        <f>VLOOKUP(E460,Sales_Reps!$A$2:$E$31,3,FALSE())</f>
        <v/>
      </c>
      <c r="O460" s="55">
        <f>VLOOKUP(D460,Products!$A$2:$F$61,4,FALSE())</f>
        <v/>
      </c>
      <c r="P460" s="55">
        <f>VLOOKUP(C460,Customers!$A$2:$F$301,3,FALSE())</f>
        <v/>
      </c>
      <c r="Q460" s="55">
        <f>UPPER(TRIM(K460))</f>
        <v/>
      </c>
      <c r="R460" s="55">
        <f>(G460-O460)/G460</f>
        <v/>
      </c>
      <c r="S460" s="55">
        <f>VLOOKUP(D460,Products!$A$2:$F$61,6,FALSE())</f>
        <v/>
      </c>
    </row>
    <row r="461" ht="15" customHeight="1" s="56">
      <c r="A461" s="55">
        <f>Orders!A461</f>
        <v/>
      </c>
      <c r="B461" s="103">
        <f>Orders!B461</f>
        <v/>
      </c>
      <c r="C461" s="55">
        <f>Orders!C461</f>
        <v/>
      </c>
      <c r="D461" s="55">
        <f>Orders!D461</f>
        <v/>
      </c>
      <c r="E461" s="55">
        <f>Orders!E461</f>
        <v/>
      </c>
      <c r="F461" s="55">
        <f>Orders!F461</f>
        <v/>
      </c>
      <c r="G461" s="55">
        <f>Orders!G461</f>
        <v/>
      </c>
      <c r="H461" s="55">
        <f>Orders!H461</f>
        <v/>
      </c>
      <c r="I461" s="55">
        <f>Orders!I461</f>
        <v/>
      </c>
      <c r="J461" s="55">
        <f>Orders!J461</f>
        <v/>
      </c>
      <c r="K461" s="55">
        <f>Orders!K461</f>
        <v/>
      </c>
      <c r="L461" s="55">
        <f>VLOOKUP(D461,Products!$A$2:$F$61,3,FALSE())</f>
        <v/>
      </c>
      <c r="M461" s="55">
        <f>VLOOKUP(C461,Customers!$A$2:$F$301,5,FALSE())</f>
        <v/>
      </c>
      <c r="N461" s="55">
        <f>VLOOKUP(E461,Sales_Reps!$A$2:$E$31,3,FALSE())</f>
        <v/>
      </c>
      <c r="O461" s="55">
        <f>VLOOKUP(D461,Products!$A$2:$F$61,4,FALSE())</f>
        <v/>
      </c>
      <c r="P461" s="55">
        <f>VLOOKUP(C461,Customers!$A$2:$F$301,3,FALSE())</f>
        <v/>
      </c>
      <c r="Q461" s="55">
        <f>UPPER(TRIM(K461))</f>
        <v/>
      </c>
      <c r="R461" s="55">
        <f>(G461-O461)/G461</f>
        <v/>
      </c>
      <c r="S461" s="55">
        <f>VLOOKUP(D461,Products!$A$2:$F$61,6,FALSE())</f>
        <v/>
      </c>
    </row>
    <row r="462" ht="15" customHeight="1" s="56">
      <c r="A462" s="55">
        <f>Orders!A462</f>
        <v/>
      </c>
      <c r="B462" s="103">
        <f>Orders!B462</f>
        <v/>
      </c>
      <c r="C462" s="55">
        <f>Orders!C462</f>
        <v/>
      </c>
      <c r="D462" s="55">
        <f>Orders!D462</f>
        <v/>
      </c>
      <c r="E462" s="55">
        <f>Orders!E462</f>
        <v/>
      </c>
      <c r="F462" s="55">
        <f>Orders!F462</f>
        <v/>
      </c>
      <c r="G462" s="55">
        <f>Orders!G462</f>
        <v/>
      </c>
      <c r="H462" s="55">
        <f>Orders!H462</f>
        <v/>
      </c>
      <c r="I462" s="55">
        <f>Orders!I462</f>
        <v/>
      </c>
      <c r="J462" s="55">
        <f>Orders!J462</f>
        <v/>
      </c>
      <c r="K462" s="55">
        <f>Orders!K462</f>
        <v/>
      </c>
      <c r="L462" s="55">
        <f>VLOOKUP(D462,Products!$A$2:$F$61,3,FALSE())</f>
        <v/>
      </c>
      <c r="M462" s="55">
        <f>VLOOKUP(C462,Customers!$A$2:$F$301,5,FALSE())</f>
        <v/>
      </c>
      <c r="N462" s="55">
        <f>VLOOKUP(E462,Sales_Reps!$A$2:$E$31,3,FALSE())</f>
        <v/>
      </c>
      <c r="O462" s="55">
        <f>VLOOKUP(D462,Products!$A$2:$F$61,4,FALSE())</f>
        <v/>
      </c>
      <c r="P462" s="55">
        <f>VLOOKUP(C462,Customers!$A$2:$F$301,3,FALSE())</f>
        <v/>
      </c>
      <c r="Q462" s="55">
        <f>UPPER(TRIM(K462))</f>
        <v/>
      </c>
      <c r="R462" s="55">
        <f>(G462-O462)/G462</f>
        <v/>
      </c>
      <c r="S462" s="55">
        <f>VLOOKUP(D462,Products!$A$2:$F$61,6,FALSE())</f>
        <v/>
      </c>
    </row>
    <row r="463" ht="15" customHeight="1" s="56">
      <c r="A463" s="55">
        <f>Orders!A463</f>
        <v/>
      </c>
      <c r="B463" s="103">
        <f>Orders!B463</f>
        <v/>
      </c>
      <c r="C463" s="55">
        <f>Orders!C463</f>
        <v/>
      </c>
      <c r="D463" s="55">
        <f>Orders!D463</f>
        <v/>
      </c>
      <c r="E463" s="55">
        <f>Orders!E463</f>
        <v/>
      </c>
      <c r="F463" s="55">
        <f>Orders!F463</f>
        <v/>
      </c>
      <c r="G463" s="55">
        <f>Orders!G463</f>
        <v/>
      </c>
      <c r="H463" s="55">
        <f>Orders!H463</f>
        <v/>
      </c>
      <c r="I463" s="55">
        <f>Orders!I463</f>
        <v/>
      </c>
      <c r="J463" s="55">
        <f>Orders!J463</f>
        <v/>
      </c>
      <c r="K463" s="55">
        <f>Orders!K463</f>
        <v/>
      </c>
      <c r="L463" s="55">
        <f>VLOOKUP(D463,Products!$A$2:$F$61,3,FALSE())</f>
        <v/>
      </c>
      <c r="M463" s="55">
        <f>VLOOKUP(C463,Customers!$A$2:$F$301,5,FALSE())</f>
        <v/>
      </c>
      <c r="N463" s="55">
        <f>VLOOKUP(E463,Sales_Reps!$A$2:$E$31,3,FALSE())</f>
        <v/>
      </c>
      <c r="O463" s="55">
        <f>VLOOKUP(D463,Products!$A$2:$F$61,4,FALSE())</f>
        <v/>
      </c>
      <c r="P463" s="55">
        <f>VLOOKUP(C463,Customers!$A$2:$F$301,3,FALSE())</f>
        <v/>
      </c>
      <c r="Q463" s="55">
        <f>UPPER(TRIM(K463))</f>
        <v/>
      </c>
      <c r="R463" s="55">
        <f>(G463-O463)/G463</f>
        <v/>
      </c>
      <c r="S463" s="55">
        <f>VLOOKUP(D463,Products!$A$2:$F$61,6,FALSE())</f>
        <v/>
      </c>
    </row>
    <row r="464" ht="15" customHeight="1" s="56">
      <c r="A464" s="55">
        <f>Orders!A464</f>
        <v/>
      </c>
      <c r="B464" s="103">
        <f>Orders!B464</f>
        <v/>
      </c>
      <c r="C464" s="55">
        <f>Orders!C464</f>
        <v/>
      </c>
      <c r="D464" s="55">
        <f>Orders!D464</f>
        <v/>
      </c>
      <c r="E464" s="55">
        <f>Orders!E464</f>
        <v/>
      </c>
      <c r="F464" s="55">
        <f>Orders!F464</f>
        <v/>
      </c>
      <c r="G464" s="55">
        <f>Orders!G464</f>
        <v/>
      </c>
      <c r="H464" s="55">
        <f>Orders!H464</f>
        <v/>
      </c>
      <c r="I464" s="55">
        <f>Orders!I464</f>
        <v/>
      </c>
      <c r="J464" s="55">
        <f>Orders!J464</f>
        <v/>
      </c>
      <c r="K464" s="55">
        <f>Orders!K464</f>
        <v/>
      </c>
      <c r="L464" s="55">
        <f>VLOOKUP(D464,Products!$A$2:$F$61,3,FALSE())</f>
        <v/>
      </c>
      <c r="M464" s="55">
        <f>VLOOKUP(C464,Customers!$A$2:$F$301,5,FALSE())</f>
        <v/>
      </c>
      <c r="N464" s="55">
        <f>VLOOKUP(E464,Sales_Reps!$A$2:$E$31,3,FALSE())</f>
        <v/>
      </c>
      <c r="O464" s="55">
        <f>VLOOKUP(D464,Products!$A$2:$F$61,4,FALSE())</f>
        <v/>
      </c>
      <c r="P464" s="55">
        <f>VLOOKUP(C464,Customers!$A$2:$F$301,3,FALSE())</f>
        <v/>
      </c>
      <c r="Q464" s="55">
        <f>UPPER(TRIM(K464))</f>
        <v/>
      </c>
      <c r="R464" s="55">
        <f>(G464-O464)/G464</f>
        <v/>
      </c>
      <c r="S464" s="55">
        <f>VLOOKUP(D464,Products!$A$2:$F$61,6,FALSE())</f>
        <v/>
      </c>
    </row>
    <row r="465" ht="15" customHeight="1" s="56">
      <c r="A465" s="55">
        <f>Orders!A465</f>
        <v/>
      </c>
      <c r="B465" s="103">
        <f>Orders!B465</f>
        <v/>
      </c>
      <c r="C465" s="55">
        <f>Orders!C465</f>
        <v/>
      </c>
      <c r="D465" s="55">
        <f>Orders!D465</f>
        <v/>
      </c>
      <c r="E465" s="55">
        <f>Orders!E465</f>
        <v/>
      </c>
      <c r="F465" s="55">
        <f>Orders!F465</f>
        <v/>
      </c>
      <c r="G465" s="55">
        <f>Orders!G465</f>
        <v/>
      </c>
      <c r="H465" s="55">
        <f>Orders!H465</f>
        <v/>
      </c>
      <c r="I465" s="55">
        <f>Orders!I465</f>
        <v/>
      </c>
      <c r="J465" s="55">
        <f>Orders!J465</f>
        <v/>
      </c>
      <c r="K465" s="55">
        <f>Orders!K465</f>
        <v/>
      </c>
      <c r="L465" s="55">
        <f>VLOOKUP(D465,Products!$A$2:$F$61,3,FALSE())</f>
        <v/>
      </c>
      <c r="M465" s="55">
        <f>VLOOKUP(C465,Customers!$A$2:$F$301,5,FALSE())</f>
        <v/>
      </c>
      <c r="N465" s="55">
        <f>VLOOKUP(E465,Sales_Reps!$A$2:$E$31,3,FALSE())</f>
        <v/>
      </c>
      <c r="O465" s="55">
        <f>VLOOKUP(D465,Products!$A$2:$F$61,4,FALSE())</f>
        <v/>
      </c>
      <c r="P465" s="55">
        <f>VLOOKUP(C465,Customers!$A$2:$F$301,3,FALSE())</f>
        <v/>
      </c>
      <c r="Q465" s="55">
        <f>UPPER(TRIM(K465))</f>
        <v/>
      </c>
      <c r="R465" s="55">
        <f>(G465-O465)/G465</f>
        <v/>
      </c>
      <c r="S465" s="55">
        <f>VLOOKUP(D465,Products!$A$2:$F$61,6,FALSE())</f>
        <v/>
      </c>
    </row>
    <row r="466" ht="15" customHeight="1" s="56">
      <c r="A466" s="55">
        <f>Orders!A466</f>
        <v/>
      </c>
      <c r="B466" s="103">
        <f>Orders!B466</f>
        <v/>
      </c>
      <c r="C466" s="55">
        <f>Orders!C466</f>
        <v/>
      </c>
      <c r="D466" s="55">
        <f>Orders!D466</f>
        <v/>
      </c>
      <c r="E466" s="55">
        <f>Orders!E466</f>
        <v/>
      </c>
      <c r="F466" s="55">
        <f>Orders!F466</f>
        <v/>
      </c>
      <c r="G466" s="55">
        <f>Orders!G466</f>
        <v/>
      </c>
      <c r="H466" s="55">
        <f>Orders!H466</f>
        <v/>
      </c>
      <c r="I466" s="55">
        <f>Orders!I466</f>
        <v/>
      </c>
      <c r="J466" s="55">
        <f>Orders!J466</f>
        <v/>
      </c>
      <c r="K466" s="55">
        <f>Orders!K466</f>
        <v/>
      </c>
      <c r="L466" s="55">
        <f>VLOOKUP(D466,Products!$A$2:$F$61,3,FALSE())</f>
        <v/>
      </c>
      <c r="M466" s="55">
        <f>VLOOKUP(C466,Customers!$A$2:$F$301,5,FALSE())</f>
        <v/>
      </c>
      <c r="N466" s="55">
        <f>VLOOKUP(E466,Sales_Reps!$A$2:$E$31,3,FALSE())</f>
        <v/>
      </c>
      <c r="O466" s="55">
        <f>VLOOKUP(D466,Products!$A$2:$F$61,4,FALSE())</f>
        <v/>
      </c>
      <c r="P466" s="55">
        <f>VLOOKUP(C466,Customers!$A$2:$F$301,3,FALSE())</f>
        <v/>
      </c>
      <c r="Q466" s="55">
        <f>UPPER(TRIM(K466))</f>
        <v/>
      </c>
      <c r="R466" s="55">
        <f>(G466-O466)/G466</f>
        <v/>
      </c>
      <c r="S466" s="55">
        <f>VLOOKUP(D466,Products!$A$2:$F$61,6,FALSE())</f>
        <v/>
      </c>
    </row>
    <row r="467" ht="15" customHeight="1" s="56">
      <c r="A467" s="55">
        <f>Orders!A467</f>
        <v/>
      </c>
      <c r="B467" s="103">
        <f>Orders!B467</f>
        <v/>
      </c>
      <c r="C467" s="55">
        <f>Orders!C467</f>
        <v/>
      </c>
      <c r="D467" s="55">
        <f>Orders!D467</f>
        <v/>
      </c>
      <c r="E467" s="55">
        <f>Orders!E467</f>
        <v/>
      </c>
      <c r="F467" s="55">
        <f>Orders!F467</f>
        <v/>
      </c>
      <c r="G467" s="55">
        <f>Orders!G467</f>
        <v/>
      </c>
      <c r="H467" s="55">
        <f>Orders!H467</f>
        <v/>
      </c>
      <c r="I467" s="55">
        <f>Orders!I467</f>
        <v/>
      </c>
      <c r="J467" s="55">
        <f>Orders!J467</f>
        <v/>
      </c>
      <c r="K467" s="55">
        <f>Orders!K467</f>
        <v/>
      </c>
      <c r="L467" s="55">
        <f>VLOOKUP(D467,Products!$A$2:$F$61,3,FALSE())</f>
        <v/>
      </c>
      <c r="M467" s="55">
        <f>VLOOKUP(C467,Customers!$A$2:$F$301,5,FALSE())</f>
        <v/>
      </c>
      <c r="N467" s="55">
        <f>VLOOKUP(E467,Sales_Reps!$A$2:$E$31,3,FALSE())</f>
        <v/>
      </c>
      <c r="O467" s="55">
        <f>VLOOKUP(D467,Products!$A$2:$F$61,4,FALSE())</f>
        <v/>
      </c>
      <c r="P467" s="55">
        <f>VLOOKUP(C467,Customers!$A$2:$F$301,3,FALSE())</f>
        <v/>
      </c>
      <c r="Q467" s="55">
        <f>UPPER(TRIM(K467))</f>
        <v/>
      </c>
      <c r="R467" s="55">
        <f>(G467-O467)/G467</f>
        <v/>
      </c>
      <c r="S467" s="55">
        <f>VLOOKUP(D467,Products!$A$2:$F$61,6,FALSE())</f>
        <v/>
      </c>
    </row>
    <row r="468" ht="15" customHeight="1" s="56">
      <c r="A468" s="55">
        <f>Orders!A468</f>
        <v/>
      </c>
      <c r="B468" s="103">
        <f>Orders!B468</f>
        <v/>
      </c>
      <c r="C468" s="55">
        <f>Orders!C468</f>
        <v/>
      </c>
      <c r="D468" s="55">
        <f>Orders!D468</f>
        <v/>
      </c>
      <c r="E468" s="55">
        <f>Orders!E468</f>
        <v/>
      </c>
      <c r="F468" s="55">
        <f>Orders!F468</f>
        <v/>
      </c>
      <c r="G468" s="55">
        <f>Orders!G468</f>
        <v/>
      </c>
      <c r="H468" s="55">
        <f>Orders!H468</f>
        <v/>
      </c>
      <c r="I468" s="55">
        <f>Orders!I468</f>
        <v/>
      </c>
      <c r="J468" s="55">
        <f>Orders!J468</f>
        <v/>
      </c>
      <c r="K468" s="55">
        <f>Orders!K468</f>
        <v/>
      </c>
      <c r="L468" s="55">
        <f>VLOOKUP(D468,Products!$A$2:$F$61,3,FALSE())</f>
        <v/>
      </c>
      <c r="M468" s="55">
        <f>VLOOKUP(C468,Customers!$A$2:$F$301,5,FALSE())</f>
        <v/>
      </c>
      <c r="N468" s="55">
        <f>VLOOKUP(E468,Sales_Reps!$A$2:$E$31,3,FALSE())</f>
        <v/>
      </c>
      <c r="O468" s="55">
        <f>VLOOKUP(D468,Products!$A$2:$F$61,4,FALSE())</f>
        <v/>
      </c>
      <c r="P468" s="55">
        <f>VLOOKUP(C468,Customers!$A$2:$F$301,3,FALSE())</f>
        <v/>
      </c>
      <c r="Q468" s="55">
        <f>UPPER(TRIM(K468))</f>
        <v/>
      </c>
      <c r="R468" s="55">
        <f>(G468-O468)/G468</f>
        <v/>
      </c>
      <c r="S468" s="55">
        <f>VLOOKUP(D468,Products!$A$2:$F$61,6,FALSE())</f>
        <v/>
      </c>
    </row>
    <row r="469" ht="15" customHeight="1" s="56">
      <c r="A469" s="55">
        <f>Orders!A469</f>
        <v/>
      </c>
      <c r="B469" s="103">
        <f>Orders!B469</f>
        <v/>
      </c>
      <c r="C469" s="55">
        <f>Orders!C469</f>
        <v/>
      </c>
      <c r="D469" s="55">
        <f>Orders!D469</f>
        <v/>
      </c>
      <c r="E469" s="55">
        <f>Orders!E469</f>
        <v/>
      </c>
      <c r="F469" s="55">
        <f>Orders!F469</f>
        <v/>
      </c>
      <c r="G469" s="55">
        <f>Orders!G469</f>
        <v/>
      </c>
      <c r="H469" s="55">
        <f>Orders!H469</f>
        <v/>
      </c>
      <c r="I469" s="55">
        <f>Orders!I469</f>
        <v/>
      </c>
      <c r="J469" s="55">
        <f>Orders!J469</f>
        <v/>
      </c>
      <c r="K469" s="55">
        <f>Orders!K469</f>
        <v/>
      </c>
      <c r="L469" s="55">
        <f>VLOOKUP(D469,Products!$A$2:$F$61,3,FALSE())</f>
        <v/>
      </c>
      <c r="M469" s="55">
        <f>VLOOKUP(C469,Customers!$A$2:$F$301,5,FALSE())</f>
        <v/>
      </c>
      <c r="N469" s="55">
        <f>VLOOKUP(E469,Sales_Reps!$A$2:$E$31,3,FALSE())</f>
        <v/>
      </c>
      <c r="O469" s="55">
        <f>VLOOKUP(D469,Products!$A$2:$F$61,4,FALSE())</f>
        <v/>
      </c>
      <c r="P469" s="55">
        <f>VLOOKUP(C469,Customers!$A$2:$F$301,3,FALSE())</f>
        <v/>
      </c>
      <c r="Q469" s="55">
        <f>UPPER(TRIM(K469))</f>
        <v/>
      </c>
      <c r="R469" s="55">
        <f>(G469-O469)/G469</f>
        <v/>
      </c>
      <c r="S469" s="55">
        <f>VLOOKUP(D469,Products!$A$2:$F$61,6,FALSE())</f>
        <v/>
      </c>
    </row>
    <row r="470" ht="15" customHeight="1" s="56">
      <c r="A470" s="55">
        <f>Orders!A470</f>
        <v/>
      </c>
      <c r="B470" s="103">
        <f>Orders!B470</f>
        <v/>
      </c>
      <c r="C470" s="55">
        <f>Orders!C470</f>
        <v/>
      </c>
      <c r="D470" s="55">
        <f>Orders!D470</f>
        <v/>
      </c>
      <c r="E470" s="55">
        <f>Orders!E470</f>
        <v/>
      </c>
      <c r="F470" s="55">
        <f>Orders!F470</f>
        <v/>
      </c>
      <c r="G470" s="55">
        <f>Orders!G470</f>
        <v/>
      </c>
      <c r="H470" s="55">
        <f>Orders!H470</f>
        <v/>
      </c>
      <c r="I470" s="55">
        <f>Orders!I470</f>
        <v/>
      </c>
      <c r="J470" s="55">
        <f>Orders!J470</f>
        <v/>
      </c>
      <c r="K470" s="55">
        <f>Orders!K470</f>
        <v/>
      </c>
      <c r="L470" s="55">
        <f>VLOOKUP(D470,Products!$A$2:$F$61,3,FALSE())</f>
        <v/>
      </c>
      <c r="M470" s="55">
        <f>VLOOKUP(C470,Customers!$A$2:$F$301,5,FALSE())</f>
        <v/>
      </c>
      <c r="N470" s="55">
        <f>VLOOKUP(E470,Sales_Reps!$A$2:$E$31,3,FALSE())</f>
        <v/>
      </c>
      <c r="O470" s="55">
        <f>VLOOKUP(D470,Products!$A$2:$F$61,4,FALSE())</f>
        <v/>
      </c>
      <c r="P470" s="55">
        <f>VLOOKUP(C470,Customers!$A$2:$F$301,3,FALSE())</f>
        <v/>
      </c>
      <c r="Q470" s="55">
        <f>UPPER(TRIM(K470))</f>
        <v/>
      </c>
      <c r="R470" s="55">
        <f>(G470-O470)/G470</f>
        <v/>
      </c>
      <c r="S470" s="55">
        <f>VLOOKUP(D470,Products!$A$2:$F$61,6,FALSE())</f>
        <v/>
      </c>
    </row>
    <row r="471" ht="15" customHeight="1" s="56">
      <c r="A471" s="55">
        <f>Orders!A471</f>
        <v/>
      </c>
      <c r="B471" s="103">
        <f>Orders!B471</f>
        <v/>
      </c>
      <c r="C471" s="55">
        <f>Orders!C471</f>
        <v/>
      </c>
      <c r="D471" s="55">
        <f>Orders!D471</f>
        <v/>
      </c>
      <c r="E471" s="55">
        <f>Orders!E471</f>
        <v/>
      </c>
      <c r="F471" s="55">
        <f>Orders!F471</f>
        <v/>
      </c>
      <c r="G471" s="55">
        <f>Orders!G471</f>
        <v/>
      </c>
      <c r="H471" s="55">
        <f>Orders!H471</f>
        <v/>
      </c>
      <c r="I471" s="55">
        <f>Orders!I471</f>
        <v/>
      </c>
      <c r="J471" s="55">
        <f>Orders!J471</f>
        <v/>
      </c>
      <c r="K471" s="55">
        <f>Orders!K471</f>
        <v/>
      </c>
      <c r="L471" s="55">
        <f>VLOOKUP(D471,Products!$A$2:$F$61,3,FALSE())</f>
        <v/>
      </c>
      <c r="M471" s="55">
        <f>VLOOKUP(C471,Customers!$A$2:$F$301,5,FALSE())</f>
        <v/>
      </c>
      <c r="N471" s="55">
        <f>VLOOKUP(E471,Sales_Reps!$A$2:$E$31,3,FALSE())</f>
        <v/>
      </c>
      <c r="O471" s="55">
        <f>VLOOKUP(D471,Products!$A$2:$F$61,4,FALSE())</f>
        <v/>
      </c>
      <c r="P471" s="55">
        <f>VLOOKUP(C471,Customers!$A$2:$F$301,3,FALSE())</f>
        <v/>
      </c>
      <c r="Q471" s="55">
        <f>UPPER(TRIM(K471))</f>
        <v/>
      </c>
      <c r="R471" s="55">
        <f>(G471-O471)/G471</f>
        <v/>
      </c>
      <c r="S471" s="55">
        <f>VLOOKUP(D471,Products!$A$2:$F$61,6,FALSE())</f>
        <v/>
      </c>
    </row>
    <row r="472" ht="15" customHeight="1" s="56">
      <c r="A472" s="55">
        <f>Orders!A472</f>
        <v/>
      </c>
      <c r="B472" s="103">
        <f>Orders!B472</f>
        <v/>
      </c>
      <c r="C472" s="55">
        <f>Orders!C472</f>
        <v/>
      </c>
      <c r="D472" s="55">
        <f>Orders!D472</f>
        <v/>
      </c>
      <c r="E472" s="55">
        <f>Orders!E472</f>
        <v/>
      </c>
      <c r="F472" s="55">
        <f>Orders!F472</f>
        <v/>
      </c>
      <c r="G472" s="55">
        <f>Orders!G472</f>
        <v/>
      </c>
      <c r="H472" s="55">
        <f>Orders!H472</f>
        <v/>
      </c>
      <c r="I472" s="55">
        <f>Orders!I472</f>
        <v/>
      </c>
      <c r="J472" s="55">
        <f>Orders!J472</f>
        <v/>
      </c>
      <c r="K472" s="55">
        <f>Orders!K472</f>
        <v/>
      </c>
      <c r="L472" s="55">
        <f>VLOOKUP(D472,Products!$A$2:$F$61,3,FALSE())</f>
        <v/>
      </c>
      <c r="M472" s="55">
        <f>VLOOKUP(C472,Customers!$A$2:$F$301,5,FALSE())</f>
        <v/>
      </c>
      <c r="N472" s="55">
        <f>VLOOKUP(E472,Sales_Reps!$A$2:$E$31,3,FALSE())</f>
        <v/>
      </c>
      <c r="O472" s="55">
        <f>VLOOKUP(D472,Products!$A$2:$F$61,4,FALSE())</f>
        <v/>
      </c>
      <c r="P472" s="55">
        <f>VLOOKUP(C472,Customers!$A$2:$F$301,3,FALSE())</f>
        <v/>
      </c>
      <c r="Q472" s="55">
        <f>UPPER(TRIM(K472))</f>
        <v/>
      </c>
      <c r="R472" s="55">
        <f>(G472-O472)/G472</f>
        <v/>
      </c>
      <c r="S472" s="55">
        <f>VLOOKUP(D472,Products!$A$2:$F$61,6,FALSE())</f>
        <v/>
      </c>
    </row>
    <row r="473" ht="15" customHeight="1" s="56">
      <c r="A473" s="55">
        <f>Orders!A473</f>
        <v/>
      </c>
      <c r="B473" s="103">
        <f>Orders!B473</f>
        <v/>
      </c>
      <c r="C473" s="55">
        <f>Orders!C473</f>
        <v/>
      </c>
      <c r="D473" s="55">
        <f>Orders!D473</f>
        <v/>
      </c>
      <c r="E473" s="55">
        <f>Orders!E473</f>
        <v/>
      </c>
      <c r="F473" s="55">
        <f>Orders!F473</f>
        <v/>
      </c>
      <c r="G473" s="55">
        <f>Orders!G473</f>
        <v/>
      </c>
      <c r="H473" s="55">
        <f>Orders!H473</f>
        <v/>
      </c>
      <c r="I473" s="55">
        <f>Orders!I473</f>
        <v/>
      </c>
      <c r="J473" s="55">
        <f>Orders!J473</f>
        <v/>
      </c>
      <c r="K473" s="55">
        <f>Orders!K473</f>
        <v/>
      </c>
      <c r="L473" s="55">
        <f>VLOOKUP(D473,Products!$A$2:$F$61,3,FALSE())</f>
        <v/>
      </c>
      <c r="M473" s="55">
        <f>VLOOKUP(C473,Customers!$A$2:$F$301,5,FALSE())</f>
        <v/>
      </c>
      <c r="N473" s="55">
        <f>VLOOKUP(E473,Sales_Reps!$A$2:$E$31,3,FALSE())</f>
        <v/>
      </c>
      <c r="O473" s="55">
        <f>VLOOKUP(D473,Products!$A$2:$F$61,4,FALSE())</f>
        <v/>
      </c>
      <c r="P473" s="55">
        <f>VLOOKUP(C473,Customers!$A$2:$F$301,3,FALSE())</f>
        <v/>
      </c>
      <c r="Q473" s="55">
        <f>UPPER(TRIM(K473))</f>
        <v/>
      </c>
      <c r="R473" s="55">
        <f>(G473-O473)/G473</f>
        <v/>
      </c>
      <c r="S473" s="55">
        <f>VLOOKUP(D473,Products!$A$2:$F$61,6,FALSE())</f>
        <v/>
      </c>
    </row>
    <row r="474" ht="15" customHeight="1" s="56">
      <c r="A474" s="55">
        <f>Orders!A474</f>
        <v/>
      </c>
      <c r="B474" s="103">
        <f>Orders!B474</f>
        <v/>
      </c>
      <c r="C474" s="55">
        <f>Orders!C474</f>
        <v/>
      </c>
      <c r="D474" s="55">
        <f>Orders!D474</f>
        <v/>
      </c>
      <c r="E474" s="55">
        <f>Orders!E474</f>
        <v/>
      </c>
      <c r="F474" s="55">
        <f>Orders!F474</f>
        <v/>
      </c>
      <c r="G474" s="55">
        <f>Orders!G474</f>
        <v/>
      </c>
      <c r="H474" s="55">
        <f>Orders!H474</f>
        <v/>
      </c>
      <c r="I474" s="55">
        <f>Orders!I474</f>
        <v/>
      </c>
      <c r="J474" s="55">
        <f>Orders!J474</f>
        <v/>
      </c>
      <c r="K474" s="55">
        <f>Orders!K474</f>
        <v/>
      </c>
      <c r="L474" s="55">
        <f>VLOOKUP(D474,Products!$A$2:$F$61,3,FALSE())</f>
        <v/>
      </c>
      <c r="M474" s="55">
        <f>VLOOKUP(C474,Customers!$A$2:$F$301,5,FALSE())</f>
        <v/>
      </c>
      <c r="N474" s="55">
        <f>VLOOKUP(E474,Sales_Reps!$A$2:$E$31,3,FALSE())</f>
        <v/>
      </c>
      <c r="O474" s="55">
        <f>VLOOKUP(D474,Products!$A$2:$F$61,4,FALSE())</f>
        <v/>
      </c>
      <c r="P474" s="55">
        <f>VLOOKUP(C474,Customers!$A$2:$F$301,3,FALSE())</f>
        <v/>
      </c>
      <c r="Q474" s="55">
        <f>UPPER(TRIM(K474))</f>
        <v/>
      </c>
      <c r="R474" s="55">
        <f>(G474-O474)/G474</f>
        <v/>
      </c>
      <c r="S474" s="55">
        <f>VLOOKUP(D474,Products!$A$2:$F$61,6,FALSE())</f>
        <v/>
      </c>
    </row>
    <row r="475" ht="15" customHeight="1" s="56">
      <c r="A475" s="55">
        <f>Orders!A475</f>
        <v/>
      </c>
      <c r="B475" s="103">
        <f>Orders!B475</f>
        <v/>
      </c>
      <c r="C475" s="55">
        <f>Orders!C475</f>
        <v/>
      </c>
      <c r="D475" s="55">
        <f>Orders!D475</f>
        <v/>
      </c>
      <c r="E475" s="55">
        <f>Orders!E475</f>
        <v/>
      </c>
      <c r="F475" s="55">
        <f>Orders!F475</f>
        <v/>
      </c>
      <c r="G475" s="55">
        <f>Orders!G475</f>
        <v/>
      </c>
      <c r="H475" s="55">
        <f>Orders!H475</f>
        <v/>
      </c>
      <c r="I475" s="55">
        <f>Orders!I475</f>
        <v/>
      </c>
      <c r="J475" s="55">
        <f>Orders!J475</f>
        <v/>
      </c>
      <c r="K475" s="55">
        <f>Orders!K475</f>
        <v/>
      </c>
      <c r="L475" s="55">
        <f>VLOOKUP(D475,Products!$A$2:$F$61,3,FALSE())</f>
        <v/>
      </c>
      <c r="M475" s="55">
        <f>VLOOKUP(C475,Customers!$A$2:$F$301,5,FALSE())</f>
        <v/>
      </c>
      <c r="N475" s="55">
        <f>VLOOKUP(E475,Sales_Reps!$A$2:$E$31,3,FALSE())</f>
        <v/>
      </c>
      <c r="O475" s="55">
        <f>VLOOKUP(D475,Products!$A$2:$F$61,4,FALSE())</f>
        <v/>
      </c>
      <c r="P475" s="55">
        <f>VLOOKUP(C475,Customers!$A$2:$F$301,3,FALSE())</f>
        <v/>
      </c>
      <c r="Q475" s="55">
        <f>UPPER(TRIM(K475))</f>
        <v/>
      </c>
      <c r="R475" s="55">
        <f>(G475-O475)/G475</f>
        <v/>
      </c>
      <c r="S475" s="55">
        <f>VLOOKUP(D475,Products!$A$2:$F$61,6,FALSE())</f>
        <v/>
      </c>
    </row>
    <row r="476" ht="15" customHeight="1" s="56">
      <c r="A476" s="55">
        <f>Orders!A476</f>
        <v/>
      </c>
      <c r="B476" s="103">
        <f>Orders!B476</f>
        <v/>
      </c>
      <c r="C476" s="55">
        <f>Orders!C476</f>
        <v/>
      </c>
      <c r="D476" s="55">
        <f>Orders!D476</f>
        <v/>
      </c>
      <c r="E476" s="55">
        <f>Orders!E476</f>
        <v/>
      </c>
      <c r="F476" s="55">
        <f>Orders!F476</f>
        <v/>
      </c>
      <c r="G476" s="55">
        <f>Orders!G476</f>
        <v/>
      </c>
      <c r="H476" s="55">
        <f>Orders!H476</f>
        <v/>
      </c>
      <c r="I476" s="55">
        <f>Orders!I476</f>
        <v/>
      </c>
      <c r="J476" s="55">
        <f>Orders!J476</f>
        <v/>
      </c>
      <c r="K476" s="55">
        <f>Orders!K476</f>
        <v/>
      </c>
      <c r="L476" s="55">
        <f>VLOOKUP(D476,Products!$A$2:$F$61,3,FALSE())</f>
        <v/>
      </c>
      <c r="M476" s="55">
        <f>VLOOKUP(C476,Customers!$A$2:$F$301,5,FALSE())</f>
        <v/>
      </c>
      <c r="N476" s="55">
        <f>VLOOKUP(E476,Sales_Reps!$A$2:$E$31,3,FALSE())</f>
        <v/>
      </c>
      <c r="O476" s="55">
        <f>VLOOKUP(D476,Products!$A$2:$F$61,4,FALSE())</f>
        <v/>
      </c>
      <c r="P476" s="55">
        <f>VLOOKUP(C476,Customers!$A$2:$F$301,3,FALSE())</f>
        <v/>
      </c>
      <c r="Q476" s="55">
        <f>UPPER(TRIM(K476))</f>
        <v/>
      </c>
      <c r="R476" s="55">
        <f>(G476-O476)/G476</f>
        <v/>
      </c>
      <c r="S476" s="55">
        <f>VLOOKUP(D476,Products!$A$2:$F$61,6,FALSE())</f>
        <v/>
      </c>
    </row>
    <row r="477" ht="15" customHeight="1" s="56">
      <c r="A477" s="55">
        <f>Orders!A477</f>
        <v/>
      </c>
      <c r="B477" s="103">
        <f>Orders!B477</f>
        <v/>
      </c>
      <c r="C477" s="55">
        <f>Orders!C477</f>
        <v/>
      </c>
      <c r="D477" s="55">
        <f>Orders!D477</f>
        <v/>
      </c>
      <c r="E477" s="55">
        <f>Orders!E477</f>
        <v/>
      </c>
      <c r="F477" s="55">
        <f>Orders!F477</f>
        <v/>
      </c>
      <c r="G477" s="55">
        <f>Orders!G477</f>
        <v/>
      </c>
      <c r="H477" s="55">
        <f>Orders!H477</f>
        <v/>
      </c>
      <c r="I477" s="55">
        <f>Orders!I477</f>
        <v/>
      </c>
      <c r="J477" s="55">
        <f>Orders!J477</f>
        <v/>
      </c>
      <c r="K477" s="55">
        <f>Orders!K477</f>
        <v/>
      </c>
      <c r="L477" s="55">
        <f>VLOOKUP(D477,Products!$A$2:$F$61,3,FALSE())</f>
        <v/>
      </c>
      <c r="M477" s="55">
        <f>VLOOKUP(C477,Customers!$A$2:$F$301,5,FALSE())</f>
        <v/>
      </c>
      <c r="N477" s="55">
        <f>VLOOKUP(E477,Sales_Reps!$A$2:$E$31,3,FALSE())</f>
        <v/>
      </c>
      <c r="O477" s="55">
        <f>VLOOKUP(D477,Products!$A$2:$F$61,4,FALSE())</f>
        <v/>
      </c>
      <c r="P477" s="55">
        <f>VLOOKUP(C477,Customers!$A$2:$F$301,3,FALSE())</f>
        <v/>
      </c>
      <c r="Q477" s="55">
        <f>UPPER(TRIM(K477))</f>
        <v/>
      </c>
      <c r="R477" s="55">
        <f>(G477-O477)/G477</f>
        <v/>
      </c>
      <c r="S477" s="55">
        <f>VLOOKUP(D477,Products!$A$2:$F$61,6,FALSE())</f>
        <v/>
      </c>
    </row>
    <row r="478" ht="15" customHeight="1" s="56">
      <c r="A478" s="55">
        <f>Orders!A478</f>
        <v/>
      </c>
      <c r="B478" s="103">
        <f>Orders!B478</f>
        <v/>
      </c>
      <c r="C478" s="55">
        <f>Orders!C478</f>
        <v/>
      </c>
      <c r="D478" s="55">
        <f>Orders!D478</f>
        <v/>
      </c>
      <c r="E478" s="55">
        <f>Orders!E478</f>
        <v/>
      </c>
      <c r="F478" s="55">
        <f>Orders!F478</f>
        <v/>
      </c>
      <c r="G478" s="55">
        <f>Orders!G478</f>
        <v/>
      </c>
      <c r="H478" s="55">
        <f>Orders!H478</f>
        <v/>
      </c>
      <c r="I478" s="55">
        <f>Orders!I478</f>
        <v/>
      </c>
      <c r="J478" s="55">
        <f>Orders!J478</f>
        <v/>
      </c>
      <c r="K478" s="55">
        <f>Orders!K478</f>
        <v/>
      </c>
      <c r="L478" s="55">
        <f>VLOOKUP(D478,Products!$A$2:$F$61,3,FALSE())</f>
        <v/>
      </c>
      <c r="M478" s="55">
        <f>VLOOKUP(C478,Customers!$A$2:$F$301,5,FALSE())</f>
        <v/>
      </c>
      <c r="N478" s="55">
        <f>VLOOKUP(E478,Sales_Reps!$A$2:$E$31,3,FALSE())</f>
        <v/>
      </c>
      <c r="O478" s="55">
        <f>VLOOKUP(D478,Products!$A$2:$F$61,4,FALSE())</f>
        <v/>
      </c>
      <c r="P478" s="55">
        <f>VLOOKUP(C478,Customers!$A$2:$F$301,3,FALSE())</f>
        <v/>
      </c>
      <c r="Q478" s="55">
        <f>UPPER(TRIM(K478))</f>
        <v/>
      </c>
      <c r="R478" s="55">
        <f>(G478-O478)/G478</f>
        <v/>
      </c>
      <c r="S478" s="55">
        <f>VLOOKUP(D478,Products!$A$2:$F$61,6,FALSE())</f>
        <v/>
      </c>
    </row>
    <row r="479" ht="15" customHeight="1" s="56">
      <c r="A479" s="55">
        <f>Orders!A479</f>
        <v/>
      </c>
      <c r="B479" s="103">
        <f>Orders!B479</f>
        <v/>
      </c>
      <c r="C479" s="55">
        <f>Orders!C479</f>
        <v/>
      </c>
      <c r="D479" s="55">
        <f>Orders!D479</f>
        <v/>
      </c>
      <c r="E479" s="55">
        <f>Orders!E479</f>
        <v/>
      </c>
      <c r="F479" s="55">
        <f>Orders!F479</f>
        <v/>
      </c>
      <c r="G479" s="55">
        <f>Orders!G479</f>
        <v/>
      </c>
      <c r="H479" s="55">
        <f>Orders!H479</f>
        <v/>
      </c>
      <c r="I479" s="55">
        <f>Orders!I479</f>
        <v/>
      </c>
      <c r="J479" s="55">
        <f>Orders!J479</f>
        <v/>
      </c>
      <c r="K479" s="55">
        <f>Orders!K479</f>
        <v/>
      </c>
      <c r="L479" s="55">
        <f>VLOOKUP(D479,Products!$A$2:$F$61,3,FALSE())</f>
        <v/>
      </c>
      <c r="M479" s="55">
        <f>VLOOKUP(C479,Customers!$A$2:$F$301,5,FALSE())</f>
        <v/>
      </c>
      <c r="N479" s="55">
        <f>VLOOKUP(E479,Sales_Reps!$A$2:$E$31,3,FALSE())</f>
        <v/>
      </c>
      <c r="O479" s="55">
        <f>VLOOKUP(D479,Products!$A$2:$F$61,4,FALSE())</f>
        <v/>
      </c>
      <c r="P479" s="55">
        <f>VLOOKUP(C479,Customers!$A$2:$F$301,3,FALSE())</f>
        <v/>
      </c>
      <c r="Q479" s="55">
        <f>UPPER(TRIM(K479))</f>
        <v/>
      </c>
      <c r="R479" s="55">
        <f>(G479-O479)/G479</f>
        <v/>
      </c>
      <c r="S479" s="55">
        <f>VLOOKUP(D479,Products!$A$2:$F$61,6,FALSE())</f>
        <v/>
      </c>
    </row>
    <row r="480" ht="15" customHeight="1" s="56">
      <c r="A480" s="55">
        <f>Orders!A480</f>
        <v/>
      </c>
      <c r="B480" s="103">
        <f>Orders!B480</f>
        <v/>
      </c>
      <c r="C480" s="55">
        <f>Orders!C480</f>
        <v/>
      </c>
      <c r="D480" s="55">
        <f>Orders!D480</f>
        <v/>
      </c>
      <c r="E480" s="55">
        <f>Orders!E480</f>
        <v/>
      </c>
      <c r="F480" s="55">
        <f>Orders!F480</f>
        <v/>
      </c>
      <c r="G480" s="55">
        <f>Orders!G480</f>
        <v/>
      </c>
      <c r="H480" s="55">
        <f>Orders!H480</f>
        <v/>
      </c>
      <c r="I480" s="55">
        <f>Orders!I480</f>
        <v/>
      </c>
      <c r="J480" s="55">
        <f>Orders!J480</f>
        <v/>
      </c>
      <c r="K480" s="55">
        <f>Orders!K480</f>
        <v/>
      </c>
      <c r="L480" s="55">
        <f>VLOOKUP(D480,Products!$A$2:$F$61,3,FALSE())</f>
        <v/>
      </c>
      <c r="M480" s="55">
        <f>VLOOKUP(C480,Customers!$A$2:$F$301,5,FALSE())</f>
        <v/>
      </c>
      <c r="N480" s="55">
        <f>VLOOKUP(E480,Sales_Reps!$A$2:$E$31,3,FALSE())</f>
        <v/>
      </c>
      <c r="O480" s="55">
        <f>VLOOKUP(D480,Products!$A$2:$F$61,4,FALSE())</f>
        <v/>
      </c>
      <c r="P480" s="55">
        <f>VLOOKUP(C480,Customers!$A$2:$F$301,3,FALSE())</f>
        <v/>
      </c>
      <c r="Q480" s="55">
        <f>UPPER(TRIM(K480))</f>
        <v/>
      </c>
      <c r="R480" s="55">
        <f>(G480-O480)/G480</f>
        <v/>
      </c>
      <c r="S480" s="55">
        <f>VLOOKUP(D480,Products!$A$2:$F$61,6,FALSE())</f>
        <v/>
      </c>
    </row>
    <row r="481" ht="15" customHeight="1" s="56">
      <c r="A481" s="55">
        <f>Orders!A481</f>
        <v/>
      </c>
      <c r="B481" s="103">
        <f>Orders!B481</f>
        <v/>
      </c>
      <c r="C481" s="55">
        <f>Orders!C481</f>
        <v/>
      </c>
      <c r="D481" s="55">
        <f>Orders!D481</f>
        <v/>
      </c>
      <c r="E481" s="55">
        <f>Orders!E481</f>
        <v/>
      </c>
      <c r="F481" s="55">
        <f>Orders!F481</f>
        <v/>
      </c>
      <c r="G481" s="55">
        <f>Orders!G481</f>
        <v/>
      </c>
      <c r="H481" s="55">
        <f>Orders!H481</f>
        <v/>
      </c>
      <c r="I481" s="55">
        <f>Orders!I481</f>
        <v/>
      </c>
      <c r="J481" s="55">
        <f>Orders!J481</f>
        <v/>
      </c>
      <c r="K481" s="55">
        <f>Orders!K481</f>
        <v/>
      </c>
      <c r="L481" s="55">
        <f>VLOOKUP(D481,Products!$A$2:$F$61,3,FALSE())</f>
        <v/>
      </c>
      <c r="M481" s="55">
        <f>VLOOKUP(C481,Customers!$A$2:$F$301,5,FALSE())</f>
        <v/>
      </c>
      <c r="N481" s="55">
        <f>VLOOKUP(E481,Sales_Reps!$A$2:$E$31,3,FALSE())</f>
        <v/>
      </c>
      <c r="O481" s="55">
        <f>VLOOKUP(D481,Products!$A$2:$F$61,4,FALSE())</f>
        <v/>
      </c>
      <c r="P481" s="55">
        <f>VLOOKUP(C481,Customers!$A$2:$F$301,3,FALSE())</f>
        <v/>
      </c>
      <c r="Q481" s="55">
        <f>UPPER(TRIM(K481))</f>
        <v/>
      </c>
      <c r="R481" s="55">
        <f>(G481-O481)/G481</f>
        <v/>
      </c>
      <c r="S481" s="55">
        <f>VLOOKUP(D481,Products!$A$2:$F$61,6,FALSE())</f>
        <v/>
      </c>
    </row>
    <row r="482" ht="15" customHeight="1" s="56">
      <c r="A482" s="55">
        <f>Orders!A482</f>
        <v/>
      </c>
      <c r="B482" s="103">
        <f>Orders!B482</f>
        <v/>
      </c>
      <c r="C482" s="55">
        <f>Orders!C482</f>
        <v/>
      </c>
      <c r="D482" s="55">
        <f>Orders!D482</f>
        <v/>
      </c>
      <c r="E482" s="55">
        <f>Orders!E482</f>
        <v/>
      </c>
      <c r="F482" s="55">
        <f>Orders!F482</f>
        <v/>
      </c>
      <c r="G482" s="55">
        <f>Orders!G482</f>
        <v/>
      </c>
      <c r="H482" s="55">
        <f>Orders!H482</f>
        <v/>
      </c>
      <c r="I482" s="55">
        <f>Orders!I482</f>
        <v/>
      </c>
      <c r="J482" s="55">
        <f>Orders!J482</f>
        <v/>
      </c>
      <c r="K482" s="55">
        <f>Orders!K482</f>
        <v/>
      </c>
      <c r="L482" s="55">
        <f>VLOOKUP(D482,Products!$A$2:$F$61,3,FALSE())</f>
        <v/>
      </c>
      <c r="M482" s="55">
        <f>VLOOKUP(C482,Customers!$A$2:$F$301,5,FALSE())</f>
        <v/>
      </c>
      <c r="N482" s="55">
        <f>VLOOKUP(E482,Sales_Reps!$A$2:$E$31,3,FALSE())</f>
        <v/>
      </c>
      <c r="O482" s="55">
        <f>VLOOKUP(D482,Products!$A$2:$F$61,4,FALSE())</f>
        <v/>
      </c>
      <c r="P482" s="55">
        <f>VLOOKUP(C482,Customers!$A$2:$F$301,3,FALSE())</f>
        <v/>
      </c>
      <c r="Q482" s="55">
        <f>UPPER(TRIM(K482))</f>
        <v/>
      </c>
      <c r="R482" s="55">
        <f>(G482-O482)/G482</f>
        <v/>
      </c>
      <c r="S482" s="55">
        <f>VLOOKUP(D482,Products!$A$2:$F$61,6,FALSE())</f>
        <v/>
      </c>
    </row>
    <row r="483" ht="15" customHeight="1" s="56">
      <c r="A483" s="55">
        <f>Orders!A483</f>
        <v/>
      </c>
      <c r="B483" s="103">
        <f>Orders!B483</f>
        <v/>
      </c>
      <c r="C483" s="55">
        <f>Orders!C483</f>
        <v/>
      </c>
      <c r="D483" s="55">
        <f>Orders!D483</f>
        <v/>
      </c>
      <c r="E483" s="55">
        <f>Orders!E483</f>
        <v/>
      </c>
      <c r="F483" s="55">
        <f>Orders!F483</f>
        <v/>
      </c>
      <c r="G483" s="55">
        <f>Orders!G483</f>
        <v/>
      </c>
      <c r="H483" s="55">
        <f>Orders!H483</f>
        <v/>
      </c>
      <c r="I483" s="55">
        <f>Orders!I483</f>
        <v/>
      </c>
      <c r="J483" s="55">
        <f>Orders!J483</f>
        <v/>
      </c>
      <c r="K483" s="55">
        <f>Orders!K483</f>
        <v/>
      </c>
      <c r="L483" s="55">
        <f>VLOOKUP(D483,Products!$A$2:$F$61,3,FALSE())</f>
        <v/>
      </c>
      <c r="M483" s="55">
        <f>VLOOKUP(C483,Customers!$A$2:$F$301,5,FALSE())</f>
        <v/>
      </c>
      <c r="N483" s="55">
        <f>VLOOKUP(E483,Sales_Reps!$A$2:$E$31,3,FALSE())</f>
        <v/>
      </c>
      <c r="O483" s="55">
        <f>VLOOKUP(D483,Products!$A$2:$F$61,4,FALSE())</f>
        <v/>
      </c>
      <c r="P483" s="55">
        <f>VLOOKUP(C483,Customers!$A$2:$F$301,3,FALSE())</f>
        <v/>
      </c>
      <c r="Q483" s="55">
        <f>UPPER(TRIM(K483))</f>
        <v/>
      </c>
      <c r="R483" s="55">
        <f>(G483-O483)/G483</f>
        <v/>
      </c>
      <c r="S483" s="55">
        <f>VLOOKUP(D483,Products!$A$2:$F$61,6,FALSE())</f>
        <v/>
      </c>
    </row>
    <row r="484" ht="15" customHeight="1" s="56">
      <c r="A484" s="55">
        <f>Orders!A484</f>
        <v/>
      </c>
      <c r="B484" s="103">
        <f>Orders!B484</f>
        <v/>
      </c>
      <c r="C484" s="55">
        <f>Orders!C484</f>
        <v/>
      </c>
      <c r="D484" s="55">
        <f>Orders!D484</f>
        <v/>
      </c>
      <c r="E484" s="55">
        <f>Orders!E484</f>
        <v/>
      </c>
      <c r="F484" s="55">
        <f>Orders!F484</f>
        <v/>
      </c>
      <c r="G484" s="55">
        <f>Orders!G484</f>
        <v/>
      </c>
      <c r="H484" s="55">
        <f>Orders!H484</f>
        <v/>
      </c>
      <c r="I484" s="55">
        <f>Orders!I484</f>
        <v/>
      </c>
      <c r="J484" s="55">
        <f>Orders!J484</f>
        <v/>
      </c>
      <c r="K484" s="55">
        <f>Orders!K484</f>
        <v/>
      </c>
      <c r="L484" s="55">
        <f>VLOOKUP(D484,Products!$A$2:$F$61,3,FALSE())</f>
        <v/>
      </c>
      <c r="M484" s="55">
        <f>VLOOKUP(C484,Customers!$A$2:$F$301,5,FALSE())</f>
        <v/>
      </c>
      <c r="N484" s="55">
        <f>VLOOKUP(E484,Sales_Reps!$A$2:$E$31,3,FALSE())</f>
        <v/>
      </c>
      <c r="O484" s="55">
        <f>VLOOKUP(D484,Products!$A$2:$F$61,4,FALSE())</f>
        <v/>
      </c>
      <c r="P484" s="55">
        <f>VLOOKUP(C484,Customers!$A$2:$F$301,3,FALSE())</f>
        <v/>
      </c>
      <c r="Q484" s="55">
        <f>UPPER(TRIM(K484))</f>
        <v/>
      </c>
      <c r="R484" s="55">
        <f>(G484-O484)/G484</f>
        <v/>
      </c>
      <c r="S484" s="55">
        <f>VLOOKUP(D484,Products!$A$2:$F$61,6,FALSE())</f>
        <v/>
      </c>
    </row>
    <row r="485" ht="15" customHeight="1" s="56">
      <c r="A485" s="55">
        <f>Orders!A485</f>
        <v/>
      </c>
      <c r="B485" s="103">
        <f>Orders!B485</f>
        <v/>
      </c>
      <c r="C485" s="55">
        <f>Orders!C485</f>
        <v/>
      </c>
      <c r="D485" s="55">
        <f>Orders!D485</f>
        <v/>
      </c>
      <c r="E485" s="55">
        <f>Orders!E485</f>
        <v/>
      </c>
      <c r="F485" s="55">
        <f>Orders!F485</f>
        <v/>
      </c>
      <c r="G485" s="55">
        <f>Orders!G485</f>
        <v/>
      </c>
      <c r="H485" s="55">
        <f>Orders!H485</f>
        <v/>
      </c>
      <c r="I485" s="55">
        <f>Orders!I485</f>
        <v/>
      </c>
      <c r="J485" s="55">
        <f>Orders!J485</f>
        <v/>
      </c>
      <c r="K485" s="55">
        <f>Orders!K485</f>
        <v/>
      </c>
      <c r="L485" s="55">
        <f>VLOOKUP(D485,Products!$A$2:$F$61,3,FALSE())</f>
        <v/>
      </c>
      <c r="M485" s="55">
        <f>VLOOKUP(C485,Customers!$A$2:$F$301,5,FALSE())</f>
        <v/>
      </c>
      <c r="N485" s="55">
        <f>VLOOKUP(E485,Sales_Reps!$A$2:$E$31,3,FALSE())</f>
        <v/>
      </c>
      <c r="O485" s="55">
        <f>VLOOKUP(D485,Products!$A$2:$F$61,4,FALSE())</f>
        <v/>
      </c>
      <c r="P485" s="55">
        <f>VLOOKUP(C485,Customers!$A$2:$F$301,3,FALSE())</f>
        <v/>
      </c>
      <c r="Q485" s="55">
        <f>UPPER(TRIM(K485))</f>
        <v/>
      </c>
      <c r="R485" s="55">
        <f>(G485-O485)/G485</f>
        <v/>
      </c>
      <c r="S485" s="55">
        <f>VLOOKUP(D485,Products!$A$2:$F$61,6,FALSE())</f>
        <v/>
      </c>
    </row>
    <row r="486" ht="15" customHeight="1" s="56">
      <c r="A486" s="55">
        <f>Orders!A486</f>
        <v/>
      </c>
      <c r="B486" s="103">
        <f>Orders!B486</f>
        <v/>
      </c>
      <c r="C486" s="55">
        <f>Orders!C486</f>
        <v/>
      </c>
      <c r="D486" s="55">
        <f>Orders!D486</f>
        <v/>
      </c>
      <c r="E486" s="55">
        <f>Orders!E486</f>
        <v/>
      </c>
      <c r="F486" s="55">
        <f>Orders!F486</f>
        <v/>
      </c>
      <c r="G486" s="55">
        <f>Orders!G486</f>
        <v/>
      </c>
      <c r="H486" s="55">
        <f>Orders!H486</f>
        <v/>
      </c>
      <c r="I486" s="55">
        <f>Orders!I486</f>
        <v/>
      </c>
      <c r="J486" s="55">
        <f>Orders!J486</f>
        <v/>
      </c>
      <c r="K486" s="55">
        <f>Orders!K486</f>
        <v/>
      </c>
      <c r="L486" s="55">
        <f>VLOOKUP(D486,Products!$A$2:$F$61,3,FALSE())</f>
        <v/>
      </c>
      <c r="M486" s="55">
        <f>VLOOKUP(C486,Customers!$A$2:$F$301,5,FALSE())</f>
        <v/>
      </c>
      <c r="N486" s="55">
        <f>VLOOKUP(E486,Sales_Reps!$A$2:$E$31,3,FALSE())</f>
        <v/>
      </c>
      <c r="O486" s="55">
        <f>VLOOKUP(D486,Products!$A$2:$F$61,4,FALSE())</f>
        <v/>
      </c>
      <c r="P486" s="55">
        <f>VLOOKUP(C486,Customers!$A$2:$F$301,3,FALSE())</f>
        <v/>
      </c>
      <c r="Q486" s="55">
        <f>UPPER(TRIM(K486))</f>
        <v/>
      </c>
      <c r="R486" s="55">
        <f>(G486-O486)/G486</f>
        <v/>
      </c>
      <c r="S486" s="55">
        <f>VLOOKUP(D486,Products!$A$2:$F$61,6,FALSE())</f>
        <v/>
      </c>
    </row>
    <row r="487" ht="15" customHeight="1" s="56">
      <c r="A487" s="55">
        <f>Orders!A487</f>
        <v/>
      </c>
      <c r="B487" s="103">
        <f>Orders!B487</f>
        <v/>
      </c>
      <c r="C487" s="55">
        <f>Orders!C487</f>
        <v/>
      </c>
      <c r="D487" s="55">
        <f>Orders!D487</f>
        <v/>
      </c>
      <c r="E487" s="55">
        <f>Orders!E487</f>
        <v/>
      </c>
      <c r="F487" s="55">
        <f>Orders!F487</f>
        <v/>
      </c>
      <c r="G487" s="55">
        <f>Orders!G487</f>
        <v/>
      </c>
      <c r="H487" s="55">
        <f>Orders!H487</f>
        <v/>
      </c>
      <c r="I487" s="55">
        <f>Orders!I487</f>
        <v/>
      </c>
      <c r="J487" s="55">
        <f>Orders!J487</f>
        <v/>
      </c>
      <c r="K487" s="55">
        <f>Orders!K487</f>
        <v/>
      </c>
      <c r="L487" s="55">
        <f>VLOOKUP(D487,Products!$A$2:$F$61,3,FALSE())</f>
        <v/>
      </c>
      <c r="M487" s="55">
        <f>VLOOKUP(C487,Customers!$A$2:$F$301,5,FALSE())</f>
        <v/>
      </c>
      <c r="N487" s="55">
        <f>VLOOKUP(E487,Sales_Reps!$A$2:$E$31,3,FALSE())</f>
        <v/>
      </c>
      <c r="O487" s="55">
        <f>VLOOKUP(D487,Products!$A$2:$F$61,4,FALSE())</f>
        <v/>
      </c>
      <c r="P487" s="55">
        <f>VLOOKUP(C487,Customers!$A$2:$F$301,3,FALSE())</f>
        <v/>
      </c>
      <c r="Q487" s="55">
        <f>UPPER(TRIM(K487))</f>
        <v/>
      </c>
      <c r="R487" s="55">
        <f>(G487-O487)/G487</f>
        <v/>
      </c>
      <c r="S487" s="55">
        <f>VLOOKUP(D487,Products!$A$2:$F$61,6,FALSE())</f>
        <v/>
      </c>
    </row>
    <row r="488" ht="15" customHeight="1" s="56">
      <c r="A488" s="55">
        <f>Orders!A488</f>
        <v/>
      </c>
      <c r="B488" s="103">
        <f>Orders!B488</f>
        <v/>
      </c>
      <c r="C488" s="55">
        <f>Orders!C488</f>
        <v/>
      </c>
      <c r="D488" s="55">
        <f>Orders!D488</f>
        <v/>
      </c>
      <c r="E488" s="55">
        <f>Orders!E488</f>
        <v/>
      </c>
      <c r="F488" s="55">
        <f>Orders!F488</f>
        <v/>
      </c>
      <c r="G488" s="55">
        <f>Orders!G488</f>
        <v/>
      </c>
      <c r="H488" s="55">
        <f>Orders!H488</f>
        <v/>
      </c>
      <c r="I488" s="55">
        <f>Orders!I488</f>
        <v/>
      </c>
      <c r="J488" s="55">
        <f>Orders!J488</f>
        <v/>
      </c>
      <c r="K488" s="55">
        <f>Orders!K488</f>
        <v/>
      </c>
      <c r="L488" s="55">
        <f>VLOOKUP(D488,Products!$A$2:$F$61,3,FALSE())</f>
        <v/>
      </c>
      <c r="M488" s="55">
        <f>VLOOKUP(C488,Customers!$A$2:$F$301,5,FALSE())</f>
        <v/>
      </c>
      <c r="N488" s="55">
        <f>VLOOKUP(E488,Sales_Reps!$A$2:$E$31,3,FALSE())</f>
        <v/>
      </c>
      <c r="O488" s="55">
        <f>VLOOKUP(D488,Products!$A$2:$F$61,4,FALSE())</f>
        <v/>
      </c>
      <c r="P488" s="55">
        <f>VLOOKUP(C488,Customers!$A$2:$F$301,3,FALSE())</f>
        <v/>
      </c>
      <c r="Q488" s="55">
        <f>UPPER(TRIM(K488))</f>
        <v/>
      </c>
      <c r="R488" s="55">
        <f>(G488-O488)/G488</f>
        <v/>
      </c>
      <c r="S488" s="55">
        <f>VLOOKUP(D488,Products!$A$2:$F$61,6,FALSE())</f>
        <v/>
      </c>
    </row>
    <row r="489" ht="15" customHeight="1" s="56">
      <c r="A489" s="55">
        <f>Orders!A489</f>
        <v/>
      </c>
      <c r="B489" s="103">
        <f>Orders!B489</f>
        <v/>
      </c>
      <c r="C489" s="55">
        <f>Orders!C489</f>
        <v/>
      </c>
      <c r="D489" s="55">
        <f>Orders!D489</f>
        <v/>
      </c>
      <c r="E489" s="55">
        <f>Orders!E489</f>
        <v/>
      </c>
      <c r="F489" s="55">
        <f>Orders!F489</f>
        <v/>
      </c>
      <c r="G489" s="55">
        <f>Orders!G489</f>
        <v/>
      </c>
      <c r="H489" s="55">
        <f>Orders!H489</f>
        <v/>
      </c>
      <c r="I489" s="55">
        <f>Orders!I489</f>
        <v/>
      </c>
      <c r="J489" s="55">
        <f>Orders!J489</f>
        <v/>
      </c>
      <c r="K489" s="55">
        <f>Orders!K489</f>
        <v/>
      </c>
      <c r="L489" s="55">
        <f>VLOOKUP(D489,Products!$A$2:$F$61,3,FALSE())</f>
        <v/>
      </c>
      <c r="M489" s="55">
        <f>VLOOKUP(C489,Customers!$A$2:$F$301,5,FALSE())</f>
        <v/>
      </c>
      <c r="N489" s="55">
        <f>VLOOKUP(E489,Sales_Reps!$A$2:$E$31,3,FALSE())</f>
        <v/>
      </c>
      <c r="O489" s="55">
        <f>VLOOKUP(D489,Products!$A$2:$F$61,4,FALSE())</f>
        <v/>
      </c>
      <c r="P489" s="55">
        <f>VLOOKUP(C489,Customers!$A$2:$F$301,3,FALSE())</f>
        <v/>
      </c>
      <c r="Q489" s="55">
        <f>UPPER(TRIM(K489))</f>
        <v/>
      </c>
      <c r="R489" s="55">
        <f>(G489-O489)/G489</f>
        <v/>
      </c>
      <c r="S489" s="55">
        <f>VLOOKUP(D489,Products!$A$2:$F$61,6,FALSE())</f>
        <v/>
      </c>
    </row>
    <row r="490" ht="15" customHeight="1" s="56">
      <c r="A490" s="55">
        <f>Orders!A490</f>
        <v/>
      </c>
      <c r="B490" s="103">
        <f>Orders!B490</f>
        <v/>
      </c>
      <c r="C490" s="55">
        <f>Orders!C490</f>
        <v/>
      </c>
      <c r="D490" s="55">
        <f>Orders!D490</f>
        <v/>
      </c>
      <c r="E490" s="55">
        <f>Orders!E490</f>
        <v/>
      </c>
      <c r="F490" s="55">
        <f>Orders!F490</f>
        <v/>
      </c>
      <c r="G490" s="55">
        <f>Orders!G490</f>
        <v/>
      </c>
      <c r="H490" s="55">
        <f>Orders!H490</f>
        <v/>
      </c>
      <c r="I490" s="55">
        <f>Orders!I490</f>
        <v/>
      </c>
      <c r="J490" s="55">
        <f>Orders!J490</f>
        <v/>
      </c>
      <c r="K490" s="55">
        <f>Orders!K490</f>
        <v/>
      </c>
      <c r="L490" s="55">
        <f>VLOOKUP(D490,Products!$A$2:$F$61,3,FALSE())</f>
        <v/>
      </c>
      <c r="M490" s="55">
        <f>VLOOKUP(C490,Customers!$A$2:$F$301,5,FALSE())</f>
        <v/>
      </c>
      <c r="N490" s="55">
        <f>VLOOKUP(E490,Sales_Reps!$A$2:$E$31,3,FALSE())</f>
        <v/>
      </c>
      <c r="O490" s="55">
        <f>VLOOKUP(D490,Products!$A$2:$F$61,4,FALSE())</f>
        <v/>
      </c>
      <c r="P490" s="55">
        <f>VLOOKUP(C490,Customers!$A$2:$F$301,3,FALSE())</f>
        <v/>
      </c>
      <c r="Q490" s="55">
        <f>UPPER(TRIM(K490))</f>
        <v/>
      </c>
      <c r="R490" s="55">
        <f>(G490-O490)/G490</f>
        <v/>
      </c>
      <c r="S490" s="55">
        <f>VLOOKUP(D490,Products!$A$2:$F$61,6,FALSE())</f>
        <v/>
      </c>
    </row>
    <row r="491" ht="15" customHeight="1" s="56">
      <c r="A491" s="55">
        <f>Orders!A491</f>
        <v/>
      </c>
      <c r="B491" s="103">
        <f>Orders!B491</f>
        <v/>
      </c>
      <c r="C491" s="55">
        <f>Orders!C491</f>
        <v/>
      </c>
      <c r="D491" s="55">
        <f>Orders!D491</f>
        <v/>
      </c>
      <c r="E491" s="55">
        <f>Orders!E491</f>
        <v/>
      </c>
      <c r="F491" s="55">
        <f>Orders!F491</f>
        <v/>
      </c>
      <c r="G491" s="55">
        <f>Orders!G491</f>
        <v/>
      </c>
      <c r="H491" s="55">
        <f>Orders!H491</f>
        <v/>
      </c>
      <c r="I491" s="55">
        <f>Orders!I491</f>
        <v/>
      </c>
      <c r="J491" s="55">
        <f>Orders!J491</f>
        <v/>
      </c>
      <c r="K491" s="55">
        <f>Orders!K491</f>
        <v/>
      </c>
      <c r="L491" s="55">
        <f>VLOOKUP(D491,Products!$A$2:$F$61,3,FALSE())</f>
        <v/>
      </c>
      <c r="M491" s="55">
        <f>VLOOKUP(C491,Customers!$A$2:$F$301,5,FALSE())</f>
        <v/>
      </c>
      <c r="N491" s="55">
        <f>VLOOKUP(E491,Sales_Reps!$A$2:$E$31,3,FALSE())</f>
        <v/>
      </c>
      <c r="O491" s="55">
        <f>VLOOKUP(D491,Products!$A$2:$F$61,4,FALSE())</f>
        <v/>
      </c>
      <c r="P491" s="55">
        <f>VLOOKUP(C491,Customers!$A$2:$F$301,3,FALSE())</f>
        <v/>
      </c>
      <c r="Q491" s="55">
        <f>UPPER(TRIM(K491))</f>
        <v/>
      </c>
      <c r="R491" s="55">
        <f>(G491-O491)/G491</f>
        <v/>
      </c>
      <c r="S491" s="55">
        <f>VLOOKUP(D491,Products!$A$2:$F$61,6,FALSE())</f>
        <v/>
      </c>
    </row>
    <row r="492" ht="15" customHeight="1" s="56">
      <c r="A492" s="55">
        <f>Orders!A492</f>
        <v/>
      </c>
      <c r="B492" s="103">
        <f>Orders!B492</f>
        <v/>
      </c>
      <c r="C492" s="55">
        <f>Orders!C492</f>
        <v/>
      </c>
      <c r="D492" s="55">
        <f>Orders!D492</f>
        <v/>
      </c>
      <c r="E492" s="55">
        <f>Orders!E492</f>
        <v/>
      </c>
      <c r="F492" s="55">
        <f>Orders!F492</f>
        <v/>
      </c>
      <c r="G492" s="55">
        <f>Orders!G492</f>
        <v/>
      </c>
      <c r="H492" s="55">
        <f>Orders!H492</f>
        <v/>
      </c>
      <c r="I492" s="55">
        <f>Orders!I492</f>
        <v/>
      </c>
      <c r="J492" s="55">
        <f>Orders!J492</f>
        <v/>
      </c>
      <c r="K492" s="55">
        <f>Orders!K492</f>
        <v/>
      </c>
      <c r="L492" s="55">
        <f>VLOOKUP(D492,Products!$A$2:$F$61,3,FALSE())</f>
        <v/>
      </c>
      <c r="M492" s="55">
        <f>VLOOKUP(C492,Customers!$A$2:$F$301,5,FALSE())</f>
        <v/>
      </c>
      <c r="N492" s="55">
        <f>VLOOKUP(E492,Sales_Reps!$A$2:$E$31,3,FALSE())</f>
        <v/>
      </c>
      <c r="O492" s="55">
        <f>VLOOKUP(D492,Products!$A$2:$F$61,4,FALSE())</f>
        <v/>
      </c>
      <c r="P492" s="55">
        <f>VLOOKUP(C492,Customers!$A$2:$F$301,3,FALSE())</f>
        <v/>
      </c>
      <c r="Q492" s="55">
        <f>UPPER(TRIM(K492))</f>
        <v/>
      </c>
      <c r="R492" s="55">
        <f>(G492-O492)/G492</f>
        <v/>
      </c>
      <c r="S492" s="55">
        <f>VLOOKUP(D492,Products!$A$2:$F$61,6,FALSE())</f>
        <v/>
      </c>
    </row>
    <row r="493" ht="15" customHeight="1" s="56">
      <c r="A493" s="55">
        <f>Orders!A493</f>
        <v/>
      </c>
      <c r="B493" s="103">
        <f>Orders!B493</f>
        <v/>
      </c>
      <c r="C493" s="55">
        <f>Orders!C493</f>
        <v/>
      </c>
      <c r="D493" s="55">
        <f>Orders!D493</f>
        <v/>
      </c>
      <c r="E493" s="55">
        <f>Orders!E493</f>
        <v/>
      </c>
      <c r="F493" s="55">
        <f>Orders!F493</f>
        <v/>
      </c>
      <c r="G493" s="55">
        <f>Orders!G493</f>
        <v/>
      </c>
      <c r="H493" s="55">
        <f>Orders!H493</f>
        <v/>
      </c>
      <c r="I493" s="55">
        <f>Orders!I493</f>
        <v/>
      </c>
      <c r="J493" s="55">
        <f>Orders!J493</f>
        <v/>
      </c>
      <c r="K493" s="55">
        <f>Orders!K493</f>
        <v/>
      </c>
      <c r="L493" s="55">
        <f>VLOOKUP(D493,Products!$A$2:$F$61,3,FALSE())</f>
        <v/>
      </c>
      <c r="M493" s="55">
        <f>VLOOKUP(C493,Customers!$A$2:$F$301,5,FALSE())</f>
        <v/>
      </c>
      <c r="N493" s="55">
        <f>VLOOKUP(E493,Sales_Reps!$A$2:$E$31,3,FALSE())</f>
        <v/>
      </c>
      <c r="O493" s="55">
        <f>VLOOKUP(D493,Products!$A$2:$F$61,4,FALSE())</f>
        <v/>
      </c>
      <c r="P493" s="55">
        <f>VLOOKUP(C493,Customers!$A$2:$F$301,3,FALSE())</f>
        <v/>
      </c>
      <c r="Q493" s="55">
        <f>UPPER(TRIM(K493))</f>
        <v/>
      </c>
      <c r="R493" s="55">
        <f>(G493-O493)/G493</f>
        <v/>
      </c>
      <c r="S493" s="55">
        <f>VLOOKUP(D493,Products!$A$2:$F$61,6,FALSE())</f>
        <v/>
      </c>
    </row>
    <row r="494" ht="15" customHeight="1" s="56">
      <c r="A494" s="55">
        <f>Orders!A494</f>
        <v/>
      </c>
      <c r="B494" s="103">
        <f>Orders!B494</f>
        <v/>
      </c>
      <c r="C494" s="55">
        <f>Orders!C494</f>
        <v/>
      </c>
      <c r="D494" s="55">
        <f>Orders!D494</f>
        <v/>
      </c>
      <c r="E494" s="55">
        <f>Orders!E494</f>
        <v/>
      </c>
      <c r="F494" s="55">
        <f>Orders!F494</f>
        <v/>
      </c>
      <c r="G494" s="55">
        <f>Orders!G494</f>
        <v/>
      </c>
      <c r="H494" s="55">
        <f>Orders!H494</f>
        <v/>
      </c>
      <c r="I494" s="55">
        <f>Orders!I494</f>
        <v/>
      </c>
      <c r="J494" s="55">
        <f>Orders!J494</f>
        <v/>
      </c>
      <c r="K494" s="55">
        <f>Orders!K494</f>
        <v/>
      </c>
      <c r="L494" s="55">
        <f>VLOOKUP(D494,Products!$A$2:$F$61,3,FALSE())</f>
        <v/>
      </c>
      <c r="M494" s="55">
        <f>VLOOKUP(C494,Customers!$A$2:$F$301,5,FALSE())</f>
        <v/>
      </c>
      <c r="N494" s="55">
        <f>VLOOKUP(E494,Sales_Reps!$A$2:$E$31,3,FALSE())</f>
        <v/>
      </c>
      <c r="O494" s="55">
        <f>VLOOKUP(D494,Products!$A$2:$F$61,4,FALSE())</f>
        <v/>
      </c>
      <c r="P494" s="55">
        <f>VLOOKUP(C494,Customers!$A$2:$F$301,3,FALSE())</f>
        <v/>
      </c>
      <c r="Q494" s="55">
        <f>UPPER(TRIM(K494))</f>
        <v/>
      </c>
      <c r="R494" s="55">
        <f>(G494-O494)/G494</f>
        <v/>
      </c>
      <c r="S494" s="55">
        <f>VLOOKUP(D494,Products!$A$2:$F$61,6,FALSE())</f>
        <v/>
      </c>
    </row>
    <row r="495" ht="15" customHeight="1" s="56">
      <c r="A495" s="55">
        <f>Orders!A495</f>
        <v/>
      </c>
      <c r="B495" s="103">
        <f>Orders!B495</f>
        <v/>
      </c>
      <c r="C495" s="55">
        <f>Orders!C495</f>
        <v/>
      </c>
      <c r="D495" s="55">
        <f>Orders!D495</f>
        <v/>
      </c>
      <c r="E495" s="55">
        <f>Orders!E495</f>
        <v/>
      </c>
      <c r="F495" s="55">
        <f>Orders!F495</f>
        <v/>
      </c>
      <c r="G495" s="55">
        <f>Orders!G495</f>
        <v/>
      </c>
      <c r="H495" s="55">
        <f>Orders!H495</f>
        <v/>
      </c>
      <c r="I495" s="55">
        <f>Orders!I495</f>
        <v/>
      </c>
      <c r="J495" s="55">
        <f>Orders!J495</f>
        <v/>
      </c>
      <c r="K495" s="55">
        <f>Orders!K495</f>
        <v/>
      </c>
      <c r="L495" s="55">
        <f>VLOOKUP(D495,Products!$A$2:$F$61,3,FALSE())</f>
        <v/>
      </c>
      <c r="M495" s="55">
        <f>VLOOKUP(C495,Customers!$A$2:$F$301,5,FALSE())</f>
        <v/>
      </c>
      <c r="N495" s="55">
        <f>VLOOKUP(E495,Sales_Reps!$A$2:$E$31,3,FALSE())</f>
        <v/>
      </c>
      <c r="O495" s="55">
        <f>VLOOKUP(D495,Products!$A$2:$F$61,4,FALSE())</f>
        <v/>
      </c>
      <c r="P495" s="55">
        <f>VLOOKUP(C495,Customers!$A$2:$F$301,3,FALSE())</f>
        <v/>
      </c>
      <c r="Q495" s="55">
        <f>UPPER(TRIM(K495))</f>
        <v/>
      </c>
      <c r="R495" s="55">
        <f>(G495-O495)/G495</f>
        <v/>
      </c>
      <c r="S495" s="55">
        <f>VLOOKUP(D495,Products!$A$2:$F$61,6,FALSE())</f>
        <v/>
      </c>
    </row>
    <row r="496" ht="15" customHeight="1" s="56">
      <c r="A496" s="55">
        <f>Orders!A496</f>
        <v/>
      </c>
      <c r="B496" s="103">
        <f>Orders!B496</f>
        <v/>
      </c>
      <c r="C496" s="55">
        <f>Orders!C496</f>
        <v/>
      </c>
      <c r="D496" s="55">
        <f>Orders!D496</f>
        <v/>
      </c>
      <c r="E496" s="55">
        <f>Orders!E496</f>
        <v/>
      </c>
      <c r="F496" s="55">
        <f>Orders!F496</f>
        <v/>
      </c>
      <c r="G496" s="55">
        <f>Orders!G496</f>
        <v/>
      </c>
      <c r="H496" s="55">
        <f>Orders!H496</f>
        <v/>
      </c>
      <c r="I496" s="55">
        <f>Orders!I496</f>
        <v/>
      </c>
      <c r="J496" s="55">
        <f>Orders!J496</f>
        <v/>
      </c>
      <c r="K496" s="55">
        <f>Orders!K496</f>
        <v/>
      </c>
      <c r="L496" s="55">
        <f>VLOOKUP(D496,Products!$A$2:$F$61,3,FALSE())</f>
        <v/>
      </c>
      <c r="M496" s="55">
        <f>VLOOKUP(C496,Customers!$A$2:$F$301,5,FALSE())</f>
        <v/>
      </c>
      <c r="N496" s="55">
        <f>VLOOKUP(E496,Sales_Reps!$A$2:$E$31,3,FALSE())</f>
        <v/>
      </c>
      <c r="O496" s="55">
        <f>VLOOKUP(D496,Products!$A$2:$F$61,4,FALSE())</f>
        <v/>
      </c>
      <c r="P496" s="55">
        <f>VLOOKUP(C496,Customers!$A$2:$F$301,3,FALSE())</f>
        <v/>
      </c>
      <c r="Q496" s="55">
        <f>UPPER(TRIM(K496))</f>
        <v/>
      </c>
      <c r="R496" s="55">
        <f>(G496-O496)/G496</f>
        <v/>
      </c>
      <c r="S496" s="55">
        <f>VLOOKUP(D496,Products!$A$2:$F$61,6,FALSE())</f>
        <v/>
      </c>
    </row>
    <row r="497" ht="15" customHeight="1" s="56">
      <c r="A497" s="55">
        <f>Orders!A497</f>
        <v/>
      </c>
      <c r="B497" s="103">
        <f>Orders!B497</f>
        <v/>
      </c>
      <c r="C497" s="55">
        <f>Orders!C497</f>
        <v/>
      </c>
      <c r="D497" s="55">
        <f>Orders!D497</f>
        <v/>
      </c>
      <c r="E497" s="55">
        <f>Orders!E497</f>
        <v/>
      </c>
      <c r="F497" s="55">
        <f>Orders!F497</f>
        <v/>
      </c>
      <c r="G497" s="55">
        <f>Orders!G497</f>
        <v/>
      </c>
      <c r="H497" s="55">
        <f>Orders!H497</f>
        <v/>
      </c>
      <c r="I497" s="55">
        <f>Orders!I497</f>
        <v/>
      </c>
      <c r="J497" s="55">
        <f>Orders!J497</f>
        <v/>
      </c>
      <c r="K497" s="55">
        <f>Orders!K497</f>
        <v/>
      </c>
      <c r="L497" s="55">
        <f>VLOOKUP(D497,Products!$A$2:$F$61,3,FALSE())</f>
        <v/>
      </c>
      <c r="M497" s="55">
        <f>VLOOKUP(C497,Customers!$A$2:$F$301,5,FALSE())</f>
        <v/>
      </c>
      <c r="N497" s="55">
        <f>VLOOKUP(E497,Sales_Reps!$A$2:$E$31,3,FALSE())</f>
        <v/>
      </c>
      <c r="O497" s="55">
        <f>VLOOKUP(D497,Products!$A$2:$F$61,4,FALSE())</f>
        <v/>
      </c>
      <c r="P497" s="55">
        <f>VLOOKUP(C497,Customers!$A$2:$F$301,3,FALSE())</f>
        <v/>
      </c>
      <c r="Q497" s="55">
        <f>UPPER(TRIM(K497))</f>
        <v/>
      </c>
      <c r="R497" s="55">
        <f>(G497-O497)/G497</f>
        <v/>
      </c>
      <c r="S497" s="55">
        <f>VLOOKUP(D497,Products!$A$2:$F$61,6,FALSE())</f>
        <v/>
      </c>
    </row>
    <row r="498" ht="15" customHeight="1" s="56">
      <c r="A498" s="55">
        <f>Orders!A498</f>
        <v/>
      </c>
      <c r="B498" s="103">
        <f>Orders!B498</f>
        <v/>
      </c>
      <c r="C498" s="55">
        <f>Orders!C498</f>
        <v/>
      </c>
      <c r="D498" s="55">
        <f>Orders!D498</f>
        <v/>
      </c>
      <c r="E498" s="55">
        <f>Orders!E498</f>
        <v/>
      </c>
      <c r="F498" s="55">
        <f>Orders!F498</f>
        <v/>
      </c>
      <c r="G498" s="55">
        <f>Orders!G498</f>
        <v/>
      </c>
      <c r="H498" s="55">
        <f>Orders!H498</f>
        <v/>
      </c>
      <c r="I498" s="55">
        <f>Orders!I498</f>
        <v/>
      </c>
      <c r="J498" s="55">
        <f>Orders!J498</f>
        <v/>
      </c>
      <c r="K498" s="55">
        <f>Orders!K498</f>
        <v/>
      </c>
      <c r="L498" s="55">
        <f>VLOOKUP(D498,Products!$A$2:$F$61,3,FALSE())</f>
        <v/>
      </c>
      <c r="M498" s="55">
        <f>VLOOKUP(C498,Customers!$A$2:$F$301,5,FALSE())</f>
        <v/>
      </c>
      <c r="N498" s="55">
        <f>VLOOKUP(E498,Sales_Reps!$A$2:$E$31,3,FALSE())</f>
        <v/>
      </c>
      <c r="O498" s="55">
        <f>VLOOKUP(D498,Products!$A$2:$F$61,4,FALSE())</f>
        <v/>
      </c>
      <c r="P498" s="55">
        <f>VLOOKUP(C498,Customers!$A$2:$F$301,3,FALSE())</f>
        <v/>
      </c>
      <c r="Q498" s="55">
        <f>UPPER(TRIM(K498))</f>
        <v/>
      </c>
      <c r="R498" s="55">
        <f>(G498-O498)/G498</f>
        <v/>
      </c>
      <c r="S498" s="55">
        <f>VLOOKUP(D498,Products!$A$2:$F$61,6,FALSE())</f>
        <v/>
      </c>
    </row>
    <row r="499" ht="15" customHeight="1" s="56">
      <c r="A499" s="55">
        <f>Orders!A499</f>
        <v/>
      </c>
      <c r="B499" s="103">
        <f>Orders!B499</f>
        <v/>
      </c>
      <c r="C499" s="55">
        <f>Orders!C499</f>
        <v/>
      </c>
      <c r="D499" s="55">
        <f>Orders!D499</f>
        <v/>
      </c>
      <c r="E499" s="55">
        <f>Orders!E499</f>
        <v/>
      </c>
      <c r="F499" s="55">
        <f>Orders!F499</f>
        <v/>
      </c>
      <c r="G499" s="55">
        <f>Orders!G499</f>
        <v/>
      </c>
      <c r="H499" s="55">
        <f>Orders!H499</f>
        <v/>
      </c>
      <c r="I499" s="55">
        <f>Orders!I499</f>
        <v/>
      </c>
      <c r="J499" s="55">
        <f>Orders!J499</f>
        <v/>
      </c>
      <c r="K499" s="55">
        <f>Orders!K499</f>
        <v/>
      </c>
      <c r="L499" s="55">
        <f>VLOOKUP(D499,Products!$A$2:$F$61,3,FALSE())</f>
        <v/>
      </c>
      <c r="M499" s="55">
        <f>VLOOKUP(C499,Customers!$A$2:$F$301,5,FALSE())</f>
        <v/>
      </c>
      <c r="N499" s="55">
        <f>VLOOKUP(E499,Sales_Reps!$A$2:$E$31,3,FALSE())</f>
        <v/>
      </c>
      <c r="O499" s="55">
        <f>VLOOKUP(D499,Products!$A$2:$F$61,4,FALSE())</f>
        <v/>
      </c>
      <c r="P499" s="55">
        <f>VLOOKUP(C499,Customers!$A$2:$F$301,3,FALSE())</f>
        <v/>
      </c>
      <c r="Q499" s="55">
        <f>UPPER(TRIM(K499))</f>
        <v/>
      </c>
      <c r="R499" s="55">
        <f>(G499-O499)/G499</f>
        <v/>
      </c>
      <c r="S499" s="55">
        <f>VLOOKUP(D499,Products!$A$2:$F$61,6,FALSE())</f>
        <v/>
      </c>
    </row>
    <row r="500" ht="15" customHeight="1" s="56">
      <c r="A500" s="55">
        <f>Orders!A500</f>
        <v/>
      </c>
      <c r="B500" s="103">
        <f>Orders!B500</f>
        <v/>
      </c>
      <c r="C500" s="55">
        <f>Orders!C500</f>
        <v/>
      </c>
      <c r="D500" s="55">
        <f>Orders!D500</f>
        <v/>
      </c>
      <c r="E500" s="55">
        <f>Orders!E500</f>
        <v/>
      </c>
      <c r="F500" s="55">
        <f>Orders!F500</f>
        <v/>
      </c>
      <c r="G500" s="55">
        <f>Orders!G500</f>
        <v/>
      </c>
      <c r="H500" s="55">
        <f>Orders!H500</f>
        <v/>
      </c>
      <c r="I500" s="55">
        <f>Orders!I500</f>
        <v/>
      </c>
      <c r="J500" s="55">
        <f>Orders!J500</f>
        <v/>
      </c>
      <c r="K500" s="55">
        <f>Orders!K500</f>
        <v/>
      </c>
      <c r="L500" s="55">
        <f>VLOOKUP(D500,Products!$A$2:$F$61,3,FALSE())</f>
        <v/>
      </c>
      <c r="M500" s="55">
        <f>VLOOKUP(C500,Customers!$A$2:$F$301,5,FALSE())</f>
        <v/>
      </c>
      <c r="N500" s="55">
        <f>VLOOKUP(E500,Sales_Reps!$A$2:$E$31,3,FALSE())</f>
        <v/>
      </c>
      <c r="O500" s="55">
        <f>VLOOKUP(D500,Products!$A$2:$F$61,4,FALSE())</f>
        <v/>
      </c>
      <c r="P500" s="55">
        <f>VLOOKUP(C500,Customers!$A$2:$F$301,3,FALSE())</f>
        <v/>
      </c>
      <c r="Q500" s="55">
        <f>UPPER(TRIM(K500))</f>
        <v/>
      </c>
      <c r="R500" s="55">
        <f>(G500-O500)/G500</f>
        <v/>
      </c>
      <c r="S500" s="55">
        <f>VLOOKUP(D500,Products!$A$2:$F$61,6,FALSE())</f>
        <v/>
      </c>
    </row>
    <row r="501" ht="15" customHeight="1" s="56">
      <c r="A501" s="55">
        <f>Orders!A501</f>
        <v/>
      </c>
      <c r="B501" s="103">
        <f>Orders!B501</f>
        <v/>
      </c>
      <c r="C501" s="55">
        <f>Orders!C501</f>
        <v/>
      </c>
      <c r="D501" s="55">
        <f>Orders!D501</f>
        <v/>
      </c>
      <c r="E501" s="55">
        <f>Orders!E501</f>
        <v/>
      </c>
      <c r="F501" s="55">
        <f>Orders!F501</f>
        <v/>
      </c>
      <c r="G501" s="55">
        <f>Orders!G501</f>
        <v/>
      </c>
      <c r="H501" s="55">
        <f>Orders!H501</f>
        <v/>
      </c>
      <c r="I501" s="55">
        <f>Orders!I501</f>
        <v/>
      </c>
      <c r="J501" s="55">
        <f>Orders!J501</f>
        <v/>
      </c>
      <c r="K501" s="55">
        <f>Orders!K501</f>
        <v/>
      </c>
      <c r="L501" s="55">
        <f>VLOOKUP(D501,Products!$A$2:$F$61,3,FALSE())</f>
        <v/>
      </c>
      <c r="M501" s="55">
        <f>VLOOKUP(C501,Customers!$A$2:$F$301,5,FALSE())</f>
        <v/>
      </c>
      <c r="N501" s="55">
        <f>VLOOKUP(E501,Sales_Reps!$A$2:$E$31,3,FALSE())</f>
        <v/>
      </c>
      <c r="O501" s="55">
        <f>VLOOKUP(D501,Products!$A$2:$F$61,4,FALSE())</f>
        <v/>
      </c>
      <c r="P501" s="55">
        <f>VLOOKUP(C501,Customers!$A$2:$F$301,3,FALSE())</f>
        <v/>
      </c>
      <c r="Q501" s="55">
        <f>UPPER(TRIM(K501))</f>
        <v/>
      </c>
      <c r="R501" s="55">
        <f>(G501-O501)/G501</f>
        <v/>
      </c>
      <c r="S501" s="55">
        <f>VLOOKUP(D501,Products!$A$2:$F$61,6,FALSE())</f>
        <v/>
      </c>
    </row>
    <row r="502" ht="15" customHeight="1" s="56">
      <c r="A502" s="55">
        <f>Orders!A502</f>
        <v/>
      </c>
      <c r="B502" s="103">
        <f>Orders!B502</f>
        <v/>
      </c>
      <c r="C502" s="55">
        <f>Orders!C502</f>
        <v/>
      </c>
      <c r="D502" s="55">
        <f>Orders!D502</f>
        <v/>
      </c>
      <c r="E502" s="55">
        <f>Orders!E502</f>
        <v/>
      </c>
      <c r="F502" s="55">
        <f>Orders!F502</f>
        <v/>
      </c>
      <c r="G502" s="55">
        <f>Orders!G502</f>
        <v/>
      </c>
      <c r="H502" s="55">
        <f>Orders!H502</f>
        <v/>
      </c>
      <c r="I502" s="55">
        <f>Orders!I502</f>
        <v/>
      </c>
      <c r="J502" s="55">
        <f>Orders!J502</f>
        <v/>
      </c>
      <c r="K502" s="55">
        <f>Orders!K502</f>
        <v/>
      </c>
      <c r="L502" s="55">
        <f>VLOOKUP(D502,Products!$A$2:$F$61,3,FALSE())</f>
        <v/>
      </c>
      <c r="M502" s="55">
        <f>VLOOKUP(C502,Customers!$A$2:$F$301,5,FALSE())</f>
        <v/>
      </c>
      <c r="N502" s="55">
        <f>VLOOKUP(E502,Sales_Reps!$A$2:$E$31,3,FALSE())</f>
        <v/>
      </c>
      <c r="O502" s="55">
        <f>VLOOKUP(D502,Products!$A$2:$F$61,4,FALSE())</f>
        <v/>
      </c>
      <c r="P502" s="55">
        <f>VLOOKUP(C502,Customers!$A$2:$F$301,3,FALSE())</f>
        <v/>
      </c>
      <c r="Q502" s="55">
        <f>UPPER(TRIM(K502))</f>
        <v/>
      </c>
      <c r="R502" s="55">
        <f>(G502-O502)/G502</f>
        <v/>
      </c>
      <c r="S502" s="55">
        <f>VLOOKUP(D502,Products!$A$2:$F$61,6,FALSE())</f>
        <v/>
      </c>
    </row>
    <row r="503" ht="15" customHeight="1" s="56">
      <c r="A503" s="55">
        <f>Orders!A503</f>
        <v/>
      </c>
      <c r="B503" s="103">
        <f>Orders!B503</f>
        <v/>
      </c>
      <c r="C503" s="55">
        <f>Orders!C503</f>
        <v/>
      </c>
      <c r="D503" s="55">
        <f>Orders!D503</f>
        <v/>
      </c>
      <c r="E503" s="55">
        <f>Orders!E503</f>
        <v/>
      </c>
      <c r="F503" s="55">
        <f>Orders!F503</f>
        <v/>
      </c>
      <c r="G503" s="55">
        <f>Orders!G503</f>
        <v/>
      </c>
      <c r="H503" s="55">
        <f>Orders!H503</f>
        <v/>
      </c>
      <c r="I503" s="55">
        <f>Orders!I503</f>
        <v/>
      </c>
      <c r="J503" s="55">
        <f>Orders!J503</f>
        <v/>
      </c>
      <c r="K503" s="55">
        <f>Orders!K503</f>
        <v/>
      </c>
      <c r="L503" s="55">
        <f>VLOOKUP(D503,Products!$A$2:$F$61,3,FALSE())</f>
        <v/>
      </c>
      <c r="M503" s="55">
        <f>VLOOKUP(C503,Customers!$A$2:$F$301,5,FALSE())</f>
        <v/>
      </c>
      <c r="N503" s="55">
        <f>VLOOKUP(E503,Sales_Reps!$A$2:$E$31,3,FALSE())</f>
        <v/>
      </c>
      <c r="O503" s="55">
        <f>VLOOKUP(D503,Products!$A$2:$F$61,4,FALSE())</f>
        <v/>
      </c>
      <c r="P503" s="55">
        <f>VLOOKUP(C503,Customers!$A$2:$F$301,3,FALSE())</f>
        <v/>
      </c>
      <c r="Q503" s="55">
        <f>UPPER(TRIM(K503))</f>
        <v/>
      </c>
      <c r="R503" s="55">
        <f>(G503-O503)/G503</f>
        <v/>
      </c>
      <c r="S503" s="55">
        <f>VLOOKUP(D503,Products!$A$2:$F$61,6,FALSE())</f>
        <v/>
      </c>
    </row>
    <row r="504" ht="15" customHeight="1" s="56">
      <c r="A504" s="55">
        <f>Orders!A504</f>
        <v/>
      </c>
      <c r="B504" s="103">
        <f>Orders!B504</f>
        <v/>
      </c>
      <c r="C504" s="55">
        <f>Orders!C504</f>
        <v/>
      </c>
      <c r="D504" s="55">
        <f>Orders!D504</f>
        <v/>
      </c>
      <c r="E504" s="55">
        <f>Orders!E504</f>
        <v/>
      </c>
      <c r="F504" s="55">
        <f>Orders!F504</f>
        <v/>
      </c>
      <c r="G504" s="55">
        <f>Orders!G504</f>
        <v/>
      </c>
      <c r="H504" s="55">
        <f>Orders!H504</f>
        <v/>
      </c>
      <c r="I504" s="55">
        <f>Orders!I504</f>
        <v/>
      </c>
      <c r="J504" s="55">
        <f>Orders!J504</f>
        <v/>
      </c>
      <c r="K504" s="55">
        <f>Orders!K504</f>
        <v/>
      </c>
      <c r="L504" s="55">
        <f>VLOOKUP(D504,Products!$A$2:$F$61,3,FALSE())</f>
        <v/>
      </c>
      <c r="M504" s="55">
        <f>VLOOKUP(C504,Customers!$A$2:$F$301,5,FALSE())</f>
        <v/>
      </c>
      <c r="N504" s="55">
        <f>VLOOKUP(E504,Sales_Reps!$A$2:$E$31,3,FALSE())</f>
        <v/>
      </c>
      <c r="O504" s="55">
        <f>VLOOKUP(D504,Products!$A$2:$F$61,4,FALSE())</f>
        <v/>
      </c>
      <c r="P504" s="55">
        <f>VLOOKUP(C504,Customers!$A$2:$F$301,3,FALSE())</f>
        <v/>
      </c>
      <c r="Q504" s="55">
        <f>UPPER(TRIM(K504))</f>
        <v/>
      </c>
      <c r="R504" s="55">
        <f>(G504-O504)/G504</f>
        <v/>
      </c>
      <c r="S504" s="55">
        <f>VLOOKUP(D504,Products!$A$2:$F$61,6,FALSE())</f>
        <v/>
      </c>
    </row>
    <row r="505" ht="15" customHeight="1" s="56">
      <c r="A505" s="55">
        <f>Orders!A505</f>
        <v/>
      </c>
      <c r="B505" s="103">
        <f>Orders!B505</f>
        <v/>
      </c>
      <c r="C505" s="55">
        <f>Orders!C505</f>
        <v/>
      </c>
      <c r="D505" s="55">
        <f>Orders!D505</f>
        <v/>
      </c>
      <c r="E505" s="55">
        <f>Orders!E505</f>
        <v/>
      </c>
      <c r="F505" s="55">
        <f>Orders!F505</f>
        <v/>
      </c>
      <c r="G505" s="55">
        <f>Orders!G505</f>
        <v/>
      </c>
      <c r="H505" s="55">
        <f>Orders!H505</f>
        <v/>
      </c>
      <c r="I505" s="55">
        <f>Orders!I505</f>
        <v/>
      </c>
      <c r="J505" s="55">
        <f>Orders!J505</f>
        <v/>
      </c>
      <c r="K505" s="55">
        <f>Orders!K505</f>
        <v/>
      </c>
      <c r="L505" s="55">
        <f>VLOOKUP(D505,Products!$A$2:$F$61,3,FALSE())</f>
        <v/>
      </c>
      <c r="M505" s="55">
        <f>VLOOKUP(C505,Customers!$A$2:$F$301,5,FALSE())</f>
        <v/>
      </c>
      <c r="N505" s="55">
        <f>VLOOKUP(E505,Sales_Reps!$A$2:$E$31,3,FALSE())</f>
        <v/>
      </c>
      <c r="O505" s="55">
        <f>VLOOKUP(D505,Products!$A$2:$F$61,4,FALSE())</f>
        <v/>
      </c>
      <c r="P505" s="55">
        <f>VLOOKUP(C505,Customers!$A$2:$F$301,3,FALSE())</f>
        <v/>
      </c>
      <c r="Q505" s="55">
        <f>UPPER(TRIM(K505))</f>
        <v/>
      </c>
      <c r="R505" s="55">
        <f>(G505-O505)/G505</f>
        <v/>
      </c>
      <c r="S505" s="55">
        <f>VLOOKUP(D505,Products!$A$2:$F$61,6,FALSE())</f>
        <v/>
      </c>
    </row>
    <row r="506" ht="15" customHeight="1" s="56">
      <c r="A506" s="55">
        <f>Orders!A506</f>
        <v/>
      </c>
      <c r="B506" s="103">
        <f>Orders!B506</f>
        <v/>
      </c>
      <c r="C506" s="55">
        <f>Orders!C506</f>
        <v/>
      </c>
      <c r="D506" s="55">
        <f>Orders!D506</f>
        <v/>
      </c>
      <c r="E506" s="55">
        <f>Orders!E506</f>
        <v/>
      </c>
      <c r="F506" s="55">
        <f>Orders!F506</f>
        <v/>
      </c>
      <c r="G506" s="55">
        <f>Orders!G506</f>
        <v/>
      </c>
      <c r="H506" s="55">
        <f>Orders!H506</f>
        <v/>
      </c>
      <c r="I506" s="55">
        <f>Orders!I506</f>
        <v/>
      </c>
      <c r="J506" s="55">
        <f>Orders!J506</f>
        <v/>
      </c>
      <c r="K506" s="55">
        <f>Orders!K506</f>
        <v/>
      </c>
      <c r="L506" s="55">
        <f>VLOOKUP(D506,Products!$A$2:$F$61,3,FALSE())</f>
        <v/>
      </c>
      <c r="M506" s="55">
        <f>VLOOKUP(C506,Customers!$A$2:$F$301,5,FALSE())</f>
        <v/>
      </c>
      <c r="N506" s="55">
        <f>VLOOKUP(E506,Sales_Reps!$A$2:$E$31,3,FALSE())</f>
        <v/>
      </c>
      <c r="O506" s="55">
        <f>VLOOKUP(D506,Products!$A$2:$F$61,4,FALSE())</f>
        <v/>
      </c>
      <c r="P506" s="55">
        <f>VLOOKUP(C506,Customers!$A$2:$F$301,3,FALSE())</f>
        <v/>
      </c>
      <c r="Q506" s="55">
        <f>UPPER(TRIM(K506))</f>
        <v/>
      </c>
      <c r="R506" s="55">
        <f>(G506-O506)/G506</f>
        <v/>
      </c>
      <c r="S506" s="55">
        <f>VLOOKUP(D506,Products!$A$2:$F$61,6,FALSE())</f>
        <v/>
      </c>
    </row>
    <row r="507" ht="15" customHeight="1" s="56">
      <c r="A507" s="55">
        <f>Orders!A507</f>
        <v/>
      </c>
      <c r="B507" s="103">
        <f>Orders!B507</f>
        <v/>
      </c>
      <c r="C507" s="55">
        <f>Orders!C507</f>
        <v/>
      </c>
      <c r="D507" s="55">
        <f>Orders!D507</f>
        <v/>
      </c>
      <c r="E507" s="55">
        <f>Orders!E507</f>
        <v/>
      </c>
      <c r="F507" s="55">
        <f>Orders!F507</f>
        <v/>
      </c>
      <c r="G507" s="55">
        <f>Orders!G507</f>
        <v/>
      </c>
      <c r="H507" s="55">
        <f>Orders!H507</f>
        <v/>
      </c>
      <c r="I507" s="55">
        <f>Orders!I507</f>
        <v/>
      </c>
      <c r="J507" s="55">
        <f>Orders!J507</f>
        <v/>
      </c>
      <c r="K507" s="55">
        <f>Orders!K507</f>
        <v/>
      </c>
      <c r="L507" s="55">
        <f>VLOOKUP(D507,Products!$A$2:$F$61,3,FALSE())</f>
        <v/>
      </c>
      <c r="M507" s="55">
        <f>VLOOKUP(C507,Customers!$A$2:$F$301,5,FALSE())</f>
        <v/>
      </c>
      <c r="N507" s="55">
        <f>VLOOKUP(E507,Sales_Reps!$A$2:$E$31,3,FALSE())</f>
        <v/>
      </c>
      <c r="O507" s="55">
        <f>VLOOKUP(D507,Products!$A$2:$F$61,4,FALSE())</f>
        <v/>
      </c>
      <c r="P507" s="55">
        <f>VLOOKUP(C507,Customers!$A$2:$F$301,3,FALSE())</f>
        <v/>
      </c>
      <c r="Q507" s="55">
        <f>UPPER(TRIM(K507))</f>
        <v/>
      </c>
      <c r="R507" s="55">
        <f>(G507-O507)/G507</f>
        <v/>
      </c>
      <c r="S507" s="55">
        <f>VLOOKUP(D507,Products!$A$2:$F$61,6,FALSE())</f>
        <v/>
      </c>
    </row>
    <row r="508" ht="15" customHeight="1" s="56">
      <c r="A508" s="55">
        <f>Orders!A508</f>
        <v/>
      </c>
      <c r="B508" s="103">
        <f>Orders!B508</f>
        <v/>
      </c>
      <c r="C508" s="55">
        <f>Orders!C508</f>
        <v/>
      </c>
      <c r="D508" s="55">
        <f>Orders!D508</f>
        <v/>
      </c>
      <c r="E508" s="55">
        <f>Orders!E508</f>
        <v/>
      </c>
      <c r="F508" s="55">
        <f>Orders!F508</f>
        <v/>
      </c>
      <c r="G508" s="55">
        <f>Orders!G508</f>
        <v/>
      </c>
      <c r="H508" s="55">
        <f>Orders!H508</f>
        <v/>
      </c>
      <c r="I508" s="55">
        <f>Orders!I508</f>
        <v/>
      </c>
      <c r="J508" s="55">
        <f>Orders!J508</f>
        <v/>
      </c>
      <c r="K508" s="55">
        <f>Orders!K508</f>
        <v/>
      </c>
      <c r="L508" s="55">
        <f>VLOOKUP(D508,Products!$A$2:$F$61,3,FALSE())</f>
        <v/>
      </c>
      <c r="M508" s="55">
        <f>VLOOKUP(C508,Customers!$A$2:$F$301,5,FALSE())</f>
        <v/>
      </c>
      <c r="N508" s="55">
        <f>VLOOKUP(E508,Sales_Reps!$A$2:$E$31,3,FALSE())</f>
        <v/>
      </c>
      <c r="O508" s="55">
        <f>VLOOKUP(D508,Products!$A$2:$F$61,4,FALSE())</f>
        <v/>
      </c>
      <c r="P508" s="55">
        <f>VLOOKUP(C508,Customers!$A$2:$F$301,3,FALSE())</f>
        <v/>
      </c>
      <c r="Q508" s="55">
        <f>UPPER(TRIM(K508))</f>
        <v/>
      </c>
      <c r="R508" s="55">
        <f>(G508-O508)/G508</f>
        <v/>
      </c>
      <c r="S508" s="55">
        <f>VLOOKUP(D508,Products!$A$2:$F$61,6,FALSE())</f>
        <v/>
      </c>
    </row>
    <row r="509" ht="15" customHeight="1" s="56">
      <c r="A509" s="55">
        <f>Orders!A509</f>
        <v/>
      </c>
      <c r="B509" s="103">
        <f>Orders!B509</f>
        <v/>
      </c>
      <c r="C509" s="55">
        <f>Orders!C509</f>
        <v/>
      </c>
      <c r="D509" s="55">
        <f>Orders!D509</f>
        <v/>
      </c>
      <c r="E509" s="55">
        <f>Orders!E509</f>
        <v/>
      </c>
      <c r="F509" s="55">
        <f>Orders!F509</f>
        <v/>
      </c>
      <c r="G509" s="55">
        <f>Orders!G509</f>
        <v/>
      </c>
      <c r="H509" s="55">
        <f>Orders!H509</f>
        <v/>
      </c>
      <c r="I509" s="55">
        <f>Orders!I509</f>
        <v/>
      </c>
      <c r="J509" s="55">
        <f>Orders!J509</f>
        <v/>
      </c>
      <c r="K509" s="55">
        <f>Orders!K509</f>
        <v/>
      </c>
      <c r="L509" s="55">
        <f>VLOOKUP(D509,Products!$A$2:$F$61,3,FALSE())</f>
        <v/>
      </c>
      <c r="M509" s="55">
        <f>VLOOKUP(C509,Customers!$A$2:$F$301,5,FALSE())</f>
        <v/>
      </c>
      <c r="N509" s="55">
        <f>VLOOKUP(E509,Sales_Reps!$A$2:$E$31,3,FALSE())</f>
        <v/>
      </c>
      <c r="O509" s="55">
        <f>VLOOKUP(D509,Products!$A$2:$F$61,4,FALSE())</f>
        <v/>
      </c>
      <c r="P509" s="55">
        <f>VLOOKUP(C509,Customers!$A$2:$F$301,3,FALSE())</f>
        <v/>
      </c>
      <c r="Q509" s="55">
        <f>UPPER(TRIM(K509))</f>
        <v/>
      </c>
      <c r="R509" s="55">
        <f>(G509-O509)/G509</f>
        <v/>
      </c>
      <c r="S509" s="55">
        <f>VLOOKUP(D509,Products!$A$2:$F$61,6,FALSE())</f>
        <v/>
      </c>
    </row>
    <row r="510" ht="15" customHeight="1" s="56">
      <c r="A510" s="55">
        <f>Orders!A510</f>
        <v/>
      </c>
      <c r="B510" s="103">
        <f>Orders!B510</f>
        <v/>
      </c>
      <c r="C510" s="55">
        <f>Orders!C510</f>
        <v/>
      </c>
      <c r="D510" s="55">
        <f>Orders!D510</f>
        <v/>
      </c>
      <c r="E510" s="55">
        <f>Orders!E510</f>
        <v/>
      </c>
      <c r="F510" s="55">
        <f>Orders!F510</f>
        <v/>
      </c>
      <c r="G510" s="55">
        <f>Orders!G510</f>
        <v/>
      </c>
      <c r="H510" s="55">
        <f>Orders!H510</f>
        <v/>
      </c>
      <c r="I510" s="55">
        <f>Orders!I510</f>
        <v/>
      </c>
      <c r="J510" s="55">
        <f>Orders!J510</f>
        <v/>
      </c>
      <c r="K510" s="55">
        <f>Orders!K510</f>
        <v/>
      </c>
      <c r="L510" s="55">
        <f>VLOOKUP(D510,Products!$A$2:$F$61,3,FALSE())</f>
        <v/>
      </c>
      <c r="M510" s="55">
        <f>VLOOKUP(C510,Customers!$A$2:$F$301,5,FALSE())</f>
        <v/>
      </c>
      <c r="N510" s="55">
        <f>VLOOKUP(E510,Sales_Reps!$A$2:$E$31,3,FALSE())</f>
        <v/>
      </c>
      <c r="O510" s="55">
        <f>VLOOKUP(D510,Products!$A$2:$F$61,4,FALSE())</f>
        <v/>
      </c>
      <c r="P510" s="55">
        <f>VLOOKUP(C510,Customers!$A$2:$F$301,3,FALSE())</f>
        <v/>
      </c>
      <c r="Q510" s="55">
        <f>UPPER(TRIM(K510))</f>
        <v/>
      </c>
      <c r="R510" s="55">
        <f>(G510-O510)/G510</f>
        <v/>
      </c>
      <c r="S510" s="55">
        <f>VLOOKUP(D510,Products!$A$2:$F$61,6,FALSE())</f>
        <v/>
      </c>
    </row>
    <row r="511" ht="15" customHeight="1" s="56">
      <c r="A511" s="55">
        <f>Orders!A511</f>
        <v/>
      </c>
      <c r="B511" s="103">
        <f>Orders!B511</f>
        <v/>
      </c>
      <c r="C511" s="55">
        <f>Orders!C511</f>
        <v/>
      </c>
      <c r="D511" s="55">
        <f>Orders!D511</f>
        <v/>
      </c>
      <c r="E511" s="55">
        <f>Orders!E511</f>
        <v/>
      </c>
      <c r="F511" s="55">
        <f>Orders!F511</f>
        <v/>
      </c>
      <c r="G511" s="55">
        <f>Orders!G511</f>
        <v/>
      </c>
      <c r="H511" s="55">
        <f>Orders!H511</f>
        <v/>
      </c>
      <c r="I511" s="55">
        <f>Orders!I511</f>
        <v/>
      </c>
      <c r="J511" s="55">
        <f>Orders!J511</f>
        <v/>
      </c>
      <c r="K511" s="55">
        <f>Orders!K511</f>
        <v/>
      </c>
      <c r="L511" s="55">
        <f>VLOOKUP(D511,Products!$A$2:$F$61,3,FALSE())</f>
        <v/>
      </c>
      <c r="M511" s="55">
        <f>VLOOKUP(C511,Customers!$A$2:$F$301,5,FALSE())</f>
        <v/>
      </c>
      <c r="N511" s="55">
        <f>VLOOKUP(E511,Sales_Reps!$A$2:$E$31,3,FALSE())</f>
        <v/>
      </c>
      <c r="O511" s="55">
        <f>VLOOKUP(D511,Products!$A$2:$F$61,4,FALSE())</f>
        <v/>
      </c>
      <c r="P511" s="55">
        <f>VLOOKUP(C511,Customers!$A$2:$F$301,3,FALSE())</f>
        <v/>
      </c>
      <c r="Q511" s="55">
        <f>UPPER(TRIM(K511))</f>
        <v/>
      </c>
      <c r="R511" s="55">
        <f>(G511-O511)/G511</f>
        <v/>
      </c>
      <c r="S511" s="55">
        <f>VLOOKUP(D511,Products!$A$2:$F$61,6,FALSE())</f>
        <v/>
      </c>
    </row>
    <row r="512" ht="15" customHeight="1" s="56">
      <c r="A512" s="55">
        <f>Orders!A512</f>
        <v/>
      </c>
      <c r="B512" s="103">
        <f>Orders!B512</f>
        <v/>
      </c>
      <c r="C512" s="55">
        <f>Orders!C512</f>
        <v/>
      </c>
      <c r="D512" s="55">
        <f>Orders!D512</f>
        <v/>
      </c>
      <c r="E512" s="55">
        <f>Orders!E512</f>
        <v/>
      </c>
      <c r="F512" s="55">
        <f>Orders!F512</f>
        <v/>
      </c>
      <c r="G512" s="55">
        <f>Orders!G512</f>
        <v/>
      </c>
      <c r="H512" s="55">
        <f>Orders!H512</f>
        <v/>
      </c>
      <c r="I512" s="55">
        <f>Orders!I512</f>
        <v/>
      </c>
      <c r="J512" s="55">
        <f>Orders!J512</f>
        <v/>
      </c>
      <c r="K512" s="55">
        <f>Orders!K512</f>
        <v/>
      </c>
      <c r="L512" s="55">
        <f>VLOOKUP(D512,Products!$A$2:$F$61,3,FALSE())</f>
        <v/>
      </c>
      <c r="M512" s="55">
        <f>VLOOKUP(C512,Customers!$A$2:$F$301,5,FALSE())</f>
        <v/>
      </c>
      <c r="N512" s="55">
        <f>VLOOKUP(E512,Sales_Reps!$A$2:$E$31,3,FALSE())</f>
        <v/>
      </c>
      <c r="O512" s="55">
        <f>VLOOKUP(D512,Products!$A$2:$F$61,4,FALSE())</f>
        <v/>
      </c>
      <c r="P512" s="55">
        <f>VLOOKUP(C512,Customers!$A$2:$F$301,3,FALSE())</f>
        <v/>
      </c>
      <c r="Q512" s="55">
        <f>UPPER(TRIM(K512))</f>
        <v/>
      </c>
      <c r="R512" s="55">
        <f>(G512-O512)/G512</f>
        <v/>
      </c>
      <c r="S512" s="55">
        <f>VLOOKUP(D512,Products!$A$2:$F$61,6,FALSE())</f>
        <v/>
      </c>
    </row>
    <row r="513" ht="15" customHeight="1" s="56">
      <c r="A513" s="55">
        <f>Orders!A513</f>
        <v/>
      </c>
      <c r="B513" s="103">
        <f>Orders!B513</f>
        <v/>
      </c>
      <c r="C513" s="55">
        <f>Orders!C513</f>
        <v/>
      </c>
      <c r="D513" s="55">
        <f>Orders!D513</f>
        <v/>
      </c>
      <c r="E513" s="55">
        <f>Orders!E513</f>
        <v/>
      </c>
      <c r="F513" s="55">
        <f>Orders!F513</f>
        <v/>
      </c>
      <c r="G513" s="55">
        <f>Orders!G513</f>
        <v/>
      </c>
      <c r="H513" s="55">
        <f>Orders!H513</f>
        <v/>
      </c>
      <c r="I513" s="55">
        <f>Orders!I513</f>
        <v/>
      </c>
      <c r="J513" s="55">
        <f>Orders!J513</f>
        <v/>
      </c>
      <c r="K513" s="55">
        <f>Orders!K513</f>
        <v/>
      </c>
      <c r="L513" s="55">
        <f>VLOOKUP(D513,Products!$A$2:$F$61,3,FALSE())</f>
        <v/>
      </c>
      <c r="M513" s="55">
        <f>VLOOKUP(C513,Customers!$A$2:$F$301,5,FALSE())</f>
        <v/>
      </c>
      <c r="N513" s="55">
        <f>VLOOKUP(E513,Sales_Reps!$A$2:$E$31,3,FALSE())</f>
        <v/>
      </c>
      <c r="O513" s="55">
        <f>VLOOKUP(D513,Products!$A$2:$F$61,4,FALSE())</f>
        <v/>
      </c>
      <c r="P513" s="55">
        <f>VLOOKUP(C513,Customers!$A$2:$F$301,3,FALSE())</f>
        <v/>
      </c>
      <c r="Q513" s="55">
        <f>UPPER(TRIM(K513))</f>
        <v/>
      </c>
      <c r="R513" s="55">
        <f>(G513-O513)/G513</f>
        <v/>
      </c>
      <c r="S513" s="55">
        <f>VLOOKUP(D513,Products!$A$2:$F$61,6,FALSE())</f>
        <v/>
      </c>
    </row>
    <row r="514" ht="15" customHeight="1" s="56">
      <c r="A514" s="55">
        <f>Orders!A514</f>
        <v/>
      </c>
      <c r="B514" s="103">
        <f>Orders!B514</f>
        <v/>
      </c>
      <c r="C514" s="55">
        <f>Orders!C514</f>
        <v/>
      </c>
      <c r="D514" s="55">
        <f>Orders!D514</f>
        <v/>
      </c>
      <c r="E514" s="55">
        <f>Orders!E514</f>
        <v/>
      </c>
      <c r="F514" s="55">
        <f>Orders!F514</f>
        <v/>
      </c>
      <c r="G514" s="55">
        <f>Orders!G514</f>
        <v/>
      </c>
      <c r="H514" s="55">
        <f>Orders!H514</f>
        <v/>
      </c>
      <c r="I514" s="55">
        <f>Orders!I514</f>
        <v/>
      </c>
      <c r="J514" s="55">
        <f>Orders!J514</f>
        <v/>
      </c>
      <c r="K514" s="55">
        <f>Orders!K514</f>
        <v/>
      </c>
      <c r="L514" s="55">
        <f>VLOOKUP(D514,Products!$A$2:$F$61,3,FALSE())</f>
        <v/>
      </c>
      <c r="M514" s="55">
        <f>VLOOKUP(C514,Customers!$A$2:$F$301,5,FALSE())</f>
        <v/>
      </c>
      <c r="N514" s="55">
        <f>VLOOKUP(E514,Sales_Reps!$A$2:$E$31,3,FALSE())</f>
        <v/>
      </c>
      <c r="O514" s="55">
        <f>VLOOKUP(D514,Products!$A$2:$F$61,4,FALSE())</f>
        <v/>
      </c>
      <c r="P514" s="55">
        <f>VLOOKUP(C514,Customers!$A$2:$F$301,3,FALSE())</f>
        <v/>
      </c>
      <c r="Q514" s="55">
        <f>UPPER(TRIM(K514))</f>
        <v/>
      </c>
      <c r="R514" s="55">
        <f>(G514-O514)/G514</f>
        <v/>
      </c>
      <c r="S514" s="55">
        <f>VLOOKUP(D514,Products!$A$2:$F$61,6,FALSE())</f>
        <v/>
      </c>
    </row>
    <row r="515" ht="15" customHeight="1" s="56">
      <c r="A515" s="55">
        <f>Orders!A515</f>
        <v/>
      </c>
      <c r="B515" s="103">
        <f>Orders!B515</f>
        <v/>
      </c>
      <c r="C515" s="55">
        <f>Orders!C515</f>
        <v/>
      </c>
      <c r="D515" s="55">
        <f>Orders!D515</f>
        <v/>
      </c>
      <c r="E515" s="55">
        <f>Orders!E515</f>
        <v/>
      </c>
      <c r="F515" s="55">
        <f>Orders!F515</f>
        <v/>
      </c>
      <c r="G515" s="55">
        <f>Orders!G515</f>
        <v/>
      </c>
      <c r="H515" s="55">
        <f>Orders!H515</f>
        <v/>
      </c>
      <c r="I515" s="55">
        <f>Orders!I515</f>
        <v/>
      </c>
      <c r="J515" s="55">
        <f>Orders!J515</f>
        <v/>
      </c>
      <c r="K515" s="55">
        <f>Orders!K515</f>
        <v/>
      </c>
      <c r="L515" s="55">
        <f>VLOOKUP(D515,Products!$A$2:$F$61,3,FALSE())</f>
        <v/>
      </c>
      <c r="M515" s="55">
        <f>VLOOKUP(C515,Customers!$A$2:$F$301,5,FALSE())</f>
        <v/>
      </c>
      <c r="N515" s="55">
        <f>VLOOKUP(E515,Sales_Reps!$A$2:$E$31,3,FALSE())</f>
        <v/>
      </c>
      <c r="O515" s="55">
        <f>VLOOKUP(D515,Products!$A$2:$F$61,4,FALSE())</f>
        <v/>
      </c>
      <c r="P515" s="55">
        <f>VLOOKUP(C515,Customers!$A$2:$F$301,3,FALSE())</f>
        <v/>
      </c>
      <c r="Q515" s="55">
        <f>UPPER(TRIM(K515))</f>
        <v/>
      </c>
      <c r="R515" s="55">
        <f>(G515-O515)/G515</f>
        <v/>
      </c>
      <c r="S515" s="55">
        <f>VLOOKUP(D515,Products!$A$2:$F$61,6,FALSE())</f>
        <v/>
      </c>
    </row>
    <row r="516" ht="15" customHeight="1" s="56">
      <c r="A516" s="55">
        <f>Orders!A516</f>
        <v/>
      </c>
      <c r="B516" s="103">
        <f>Orders!B516</f>
        <v/>
      </c>
      <c r="C516" s="55">
        <f>Orders!C516</f>
        <v/>
      </c>
      <c r="D516" s="55">
        <f>Orders!D516</f>
        <v/>
      </c>
      <c r="E516" s="55">
        <f>Orders!E516</f>
        <v/>
      </c>
      <c r="F516" s="55">
        <f>Orders!F516</f>
        <v/>
      </c>
      <c r="G516" s="55">
        <f>Orders!G516</f>
        <v/>
      </c>
      <c r="H516" s="55">
        <f>Orders!H516</f>
        <v/>
      </c>
      <c r="I516" s="55">
        <f>Orders!I516</f>
        <v/>
      </c>
      <c r="J516" s="55">
        <f>Orders!J516</f>
        <v/>
      </c>
      <c r="K516" s="55">
        <f>Orders!K516</f>
        <v/>
      </c>
      <c r="L516" s="55">
        <f>VLOOKUP(D516,Products!$A$2:$F$61,3,FALSE())</f>
        <v/>
      </c>
      <c r="M516" s="55">
        <f>VLOOKUP(C516,Customers!$A$2:$F$301,5,FALSE())</f>
        <v/>
      </c>
      <c r="N516" s="55">
        <f>VLOOKUP(E516,Sales_Reps!$A$2:$E$31,3,FALSE())</f>
        <v/>
      </c>
      <c r="O516" s="55">
        <f>VLOOKUP(D516,Products!$A$2:$F$61,4,FALSE())</f>
        <v/>
      </c>
      <c r="P516" s="55">
        <f>VLOOKUP(C516,Customers!$A$2:$F$301,3,FALSE())</f>
        <v/>
      </c>
      <c r="Q516" s="55">
        <f>UPPER(TRIM(K516))</f>
        <v/>
      </c>
      <c r="R516" s="55">
        <f>(G516-O516)/G516</f>
        <v/>
      </c>
      <c r="S516" s="55">
        <f>VLOOKUP(D516,Products!$A$2:$F$61,6,FALSE())</f>
        <v/>
      </c>
    </row>
    <row r="517" ht="15" customHeight="1" s="56">
      <c r="A517" s="55">
        <f>Orders!A517</f>
        <v/>
      </c>
      <c r="B517" s="103">
        <f>Orders!B517</f>
        <v/>
      </c>
      <c r="C517" s="55">
        <f>Orders!C517</f>
        <v/>
      </c>
      <c r="D517" s="55">
        <f>Orders!D517</f>
        <v/>
      </c>
      <c r="E517" s="55">
        <f>Orders!E517</f>
        <v/>
      </c>
      <c r="F517" s="55">
        <f>Orders!F517</f>
        <v/>
      </c>
      <c r="G517" s="55">
        <f>Orders!G517</f>
        <v/>
      </c>
      <c r="H517" s="55">
        <f>Orders!H517</f>
        <v/>
      </c>
      <c r="I517" s="55">
        <f>Orders!I517</f>
        <v/>
      </c>
      <c r="J517" s="55">
        <f>Orders!J517</f>
        <v/>
      </c>
      <c r="K517" s="55">
        <f>Orders!K517</f>
        <v/>
      </c>
      <c r="L517" s="55">
        <f>VLOOKUP(D517,Products!$A$2:$F$61,3,FALSE())</f>
        <v/>
      </c>
      <c r="M517" s="55">
        <f>VLOOKUP(C517,Customers!$A$2:$F$301,5,FALSE())</f>
        <v/>
      </c>
      <c r="N517" s="55">
        <f>VLOOKUP(E517,Sales_Reps!$A$2:$E$31,3,FALSE())</f>
        <v/>
      </c>
      <c r="O517" s="55">
        <f>VLOOKUP(D517,Products!$A$2:$F$61,4,FALSE())</f>
        <v/>
      </c>
      <c r="P517" s="55">
        <f>VLOOKUP(C517,Customers!$A$2:$F$301,3,FALSE())</f>
        <v/>
      </c>
      <c r="Q517" s="55">
        <f>UPPER(TRIM(K517))</f>
        <v/>
      </c>
      <c r="R517" s="55">
        <f>(G517-O517)/G517</f>
        <v/>
      </c>
      <c r="S517" s="55">
        <f>VLOOKUP(D517,Products!$A$2:$F$61,6,FALSE())</f>
        <v/>
      </c>
    </row>
    <row r="518" ht="15" customHeight="1" s="56">
      <c r="A518" s="55">
        <f>Orders!A518</f>
        <v/>
      </c>
      <c r="B518" s="103">
        <f>Orders!B518</f>
        <v/>
      </c>
      <c r="C518" s="55">
        <f>Orders!C518</f>
        <v/>
      </c>
      <c r="D518" s="55">
        <f>Orders!D518</f>
        <v/>
      </c>
      <c r="E518" s="55">
        <f>Orders!E518</f>
        <v/>
      </c>
      <c r="F518" s="55">
        <f>Orders!F518</f>
        <v/>
      </c>
      <c r="G518" s="55">
        <f>Orders!G518</f>
        <v/>
      </c>
      <c r="H518" s="55">
        <f>Orders!H518</f>
        <v/>
      </c>
      <c r="I518" s="55">
        <f>Orders!I518</f>
        <v/>
      </c>
      <c r="J518" s="55">
        <f>Orders!J518</f>
        <v/>
      </c>
      <c r="K518" s="55">
        <f>Orders!K518</f>
        <v/>
      </c>
      <c r="L518" s="55">
        <f>VLOOKUP(D518,Products!$A$2:$F$61,3,FALSE())</f>
        <v/>
      </c>
      <c r="M518" s="55">
        <f>VLOOKUP(C518,Customers!$A$2:$F$301,5,FALSE())</f>
        <v/>
      </c>
      <c r="N518" s="55">
        <f>VLOOKUP(E518,Sales_Reps!$A$2:$E$31,3,FALSE())</f>
        <v/>
      </c>
      <c r="O518" s="55">
        <f>VLOOKUP(D518,Products!$A$2:$F$61,4,FALSE())</f>
        <v/>
      </c>
      <c r="P518" s="55">
        <f>VLOOKUP(C518,Customers!$A$2:$F$301,3,FALSE())</f>
        <v/>
      </c>
      <c r="Q518" s="55">
        <f>UPPER(TRIM(K518))</f>
        <v/>
      </c>
      <c r="R518" s="55">
        <f>(G518-O518)/G518</f>
        <v/>
      </c>
      <c r="S518" s="55">
        <f>VLOOKUP(D518,Products!$A$2:$F$61,6,FALSE())</f>
        <v/>
      </c>
    </row>
    <row r="519" ht="15" customHeight="1" s="56">
      <c r="A519" s="55">
        <f>Orders!A519</f>
        <v/>
      </c>
      <c r="B519" s="103">
        <f>Orders!B519</f>
        <v/>
      </c>
      <c r="C519" s="55">
        <f>Orders!C519</f>
        <v/>
      </c>
      <c r="D519" s="55">
        <f>Orders!D519</f>
        <v/>
      </c>
      <c r="E519" s="55">
        <f>Orders!E519</f>
        <v/>
      </c>
      <c r="F519" s="55">
        <f>Orders!F519</f>
        <v/>
      </c>
      <c r="G519" s="55">
        <f>Orders!G519</f>
        <v/>
      </c>
      <c r="H519" s="55">
        <f>Orders!H519</f>
        <v/>
      </c>
      <c r="I519" s="55">
        <f>Orders!I519</f>
        <v/>
      </c>
      <c r="J519" s="55">
        <f>Orders!J519</f>
        <v/>
      </c>
      <c r="K519" s="55">
        <f>Orders!K519</f>
        <v/>
      </c>
      <c r="L519" s="55">
        <f>VLOOKUP(D519,Products!$A$2:$F$61,3,FALSE())</f>
        <v/>
      </c>
      <c r="M519" s="55">
        <f>VLOOKUP(C519,Customers!$A$2:$F$301,5,FALSE())</f>
        <v/>
      </c>
      <c r="N519" s="55">
        <f>VLOOKUP(E519,Sales_Reps!$A$2:$E$31,3,FALSE())</f>
        <v/>
      </c>
      <c r="O519" s="55">
        <f>VLOOKUP(D519,Products!$A$2:$F$61,4,FALSE())</f>
        <v/>
      </c>
      <c r="P519" s="55">
        <f>VLOOKUP(C519,Customers!$A$2:$F$301,3,FALSE())</f>
        <v/>
      </c>
      <c r="Q519" s="55">
        <f>UPPER(TRIM(K519))</f>
        <v/>
      </c>
      <c r="R519" s="55">
        <f>(G519-O519)/G519</f>
        <v/>
      </c>
      <c r="S519" s="55">
        <f>VLOOKUP(D519,Products!$A$2:$F$61,6,FALSE())</f>
        <v/>
      </c>
    </row>
    <row r="520" ht="15" customHeight="1" s="56">
      <c r="A520" s="55">
        <f>Orders!A520</f>
        <v/>
      </c>
      <c r="B520" s="103">
        <f>Orders!B520</f>
        <v/>
      </c>
      <c r="C520" s="55">
        <f>Orders!C520</f>
        <v/>
      </c>
      <c r="D520" s="55">
        <f>Orders!D520</f>
        <v/>
      </c>
      <c r="E520" s="55">
        <f>Orders!E520</f>
        <v/>
      </c>
      <c r="F520" s="55">
        <f>Orders!F520</f>
        <v/>
      </c>
      <c r="G520" s="55">
        <f>Orders!G520</f>
        <v/>
      </c>
      <c r="H520" s="55">
        <f>Orders!H520</f>
        <v/>
      </c>
      <c r="I520" s="55">
        <f>Orders!I520</f>
        <v/>
      </c>
      <c r="J520" s="55">
        <f>Orders!J520</f>
        <v/>
      </c>
      <c r="K520" s="55">
        <f>Orders!K520</f>
        <v/>
      </c>
      <c r="L520" s="55">
        <f>VLOOKUP(D520,Products!$A$2:$F$61,3,FALSE())</f>
        <v/>
      </c>
      <c r="M520" s="55">
        <f>VLOOKUP(C520,Customers!$A$2:$F$301,5,FALSE())</f>
        <v/>
      </c>
      <c r="N520" s="55">
        <f>VLOOKUP(E520,Sales_Reps!$A$2:$E$31,3,FALSE())</f>
        <v/>
      </c>
      <c r="O520" s="55">
        <f>VLOOKUP(D520,Products!$A$2:$F$61,4,FALSE())</f>
        <v/>
      </c>
      <c r="P520" s="55">
        <f>VLOOKUP(C520,Customers!$A$2:$F$301,3,FALSE())</f>
        <v/>
      </c>
      <c r="Q520" s="55">
        <f>UPPER(TRIM(K520))</f>
        <v/>
      </c>
      <c r="R520" s="55">
        <f>(G520-O520)/G520</f>
        <v/>
      </c>
      <c r="S520" s="55">
        <f>VLOOKUP(D520,Products!$A$2:$F$61,6,FALSE())</f>
        <v/>
      </c>
    </row>
    <row r="521" ht="15" customHeight="1" s="56">
      <c r="A521" s="55">
        <f>Orders!A521</f>
        <v/>
      </c>
      <c r="B521" s="103">
        <f>Orders!B521</f>
        <v/>
      </c>
      <c r="C521" s="55">
        <f>Orders!C521</f>
        <v/>
      </c>
      <c r="D521" s="55">
        <f>Orders!D521</f>
        <v/>
      </c>
      <c r="E521" s="55">
        <f>Orders!E521</f>
        <v/>
      </c>
      <c r="F521" s="55">
        <f>Orders!F521</f>
        <v/>
      </c>
      <c r="G521" s="55">
        <f>Orders!G521</f>
        <v/>
      </c>
      <c r="H521" s="55">
        <f>Orders!H521</f>
        <v/>
      </c>
      <c r="I521" s="55">
        <f>Orders!I521</f>
        <v/>
      </c>
      <c r="J521" s="55">
        <f>Orders!J521</f>
        <v/>
      </c>
      <c r="K521" s="55">
        <f>Orders!K521</f>
        <v/>
      </c>
      <c r="L521" s="55">
        <f>VLOOKUP(D521,Products!$A$2:$F$61,3,FALSE())</f>
        <v/>
      </c>
      <c r="M521" s="55">
        <f>VLOOKUP(C521,Customers!$A$2:$F$301,5,FALSE())</f>
        <v/>
      </c>
      <c r="N521" s="55">
        <f>VLOOKUP(E521,Sales_Reps!$A$2:$E$31,3,FALSE())</f>
        <v/>
      </c>
      <c r="O521" s="55">
        <f>VLOOKUP(D521,Products!$A$2:$F$61,4,FALSE())</f>
        <v/>
      </c>
      <c r="P521" s="55">
        <f>VLOOKUP(C521,Customers!$A$2:$F$301,3,FALSE())</f>
        <v/>
      </c>
      <c r="Q521" s="55">
        <f>UPPER(TRIM(K521))</f>
        <v/>
      </c>
      <c r="R521" s="55">
        <f>(G521-O521)/G521</f>
        <v/>
      </c>
      <c r="S521" s="55">
        <f>VLOOKUP(D521,Products!$A$2:$F$61,6,FALSE())</f>
        <v/>
      </c>
    </row>
    <row r="522" ht="15" customHeight="1" s="56">
      <c r="A522" s="55">
        <f>Orders!A522</f>
        <v/>
      </c>
      <c r="B522" s="103">
        <f>Orders!B522</f>
        <v/>
      </c>
      <c r="C522" s="55">
        <f>Orders!C522</f>
        <v/>
      </c>
      <c r="D522" s="55">
        <f>Orders!D522</f>
        <v/>
      </c>
      <c r="E522" s="55">
        <f>Orders!E522</f>
        <v/>
      </c>
      <c r="F522" s="55">
        <f>Orders!F522</f>
        <v/>
      </c>
      <c r="G522" s="55">
        <f>Orders!G522</f>
        <v/>
      </c>
      <c r="H522" s="55">
        <f>Orders!H522</f>
        <v/>
      </c>
      <c r="I522" s="55">
        <f>Orders!I522</f>
        <v/>
      </c>
      <c r="J522" s="55">
        <f>Orders!J522</f>
        <v/>
      </c>
      <c r="K522" s="55">
        <f>Orders!K522</f>
        <v/>
      </c>
      <c r="L522" s="55">
        <f>VLOOKUP(D522,Products!$A$2:$F$61,3,FALSE())</f>
        <v/>
      </c>
      <c r="M522" s="55">
        <f>VLOOKUP(C522,Customers!$A$2:$F$301,5,FALSE())</f>
        <v/>
      </c>
      <c r="N522" s="55">
        <f>VLOOKUP(E522,Sales_Reps!$A$2:$E$31,3,FALSE())</f>
        <v/>
      </c>
      <c r="O522" s="55">
        <f>VLOOKUP(D522,Products!$A$2:$F$61,4,FALSE())</f>
        <v/>
      </c>
      <c r="P522" s="55">
        <f>VLOOKUP(C522,Customers!$A$2:$F$301,3,FALSE())</f>
        <v/>
      </c>
      <c r="Q522" s="55">
        <f>UPPER(TRIM(K522))</f>
        <v/>
      </c>
      <c r="R522" s="55">
        <f>(G522-O522)/G522</f>
        <v/>
      </c>
      <c r="S522" s="55">
        <f>VLOOKUP(D522,Products!$A$2:$F$61,6,FALSE())</f>
        <v/>
      </c>
    </row>
    <row r="523" ht="15" customHeight="1" s="56">
      <c r="A523" s="55">
        <f>Orders!A523</f>
        <v/>
      </c>
      <c r="B523" s="103">
        <f>Orders!B523</f>
        <v/>
      </c>
      <c r="C523" s="55">
        <f>Orders!C523</f>
        <v/>
      </c>
      <c r="D523" s="55">
        <f>Orders!D523</f>
        <v/>
      </c>
      <c r="E523" s="55">
        <f>Orders!E523</f>
        <v/>
      </c>
      <c r="F523" s="55">
        <f>Orders!F523</f>
        <v/>
      </c>
      <c r="G523" s="55">
        <f>Orders!G523</f>
        <v/>
      </c>
      <c r="H523" s="55">
        <f>Orders!H523</f>
        <v/>
      </c>
      <c r="I523" s="55">
        <f>Orders!I523</f>
        <v/>
      </c>
      <c r="J523" s="55">
        <f>Orders!J523</f>
        <v/>
      </c>
      <c r="K523" s="55">
        <f>Orders!K523</f>
        <v/>
      </c>
      <c r="L523" s="55">
        <f>VLOOKUP(D523,Products!$A$2:$F$61,3,FALSE())</f>
        <v/>
      </c>
      <c r="M523" s="55">
        <f>VLOOKUP(C523,Customers!$A$2:$F$301,5,FALSE())</f>
        <v/>
      </c>
      <c r="N523" s="55">
        <f>VLOOKUP(E523,Sales_Reps!$A$2:$E$31,3,FALSE())</f>
        <v/>
      </c>
      <c r="O523" s="55">
        <f>VLOOKUP(D523,Products!$A$2:$F$61,4,FALSE())</f>
        <v/>
      </c>
      <c r="P523" s="55">
        <f>VLOOKUP(C523,Customers!$A$2:$F$301,3,FALSE())</f>
        <v/>
      </c>
      <c r="Q523" s="55">
        <f>UPPER(TRIM(K523))</f>
        <v/>
      </c>
      <c r="R523" s="55">
        <f>(G523-O523)/G523</f>
        <v/>
      </c>
      <c r="S523" s="55">
        <f>VLOOKUP(D523,Products!$A$2:$F$61,6,FALSE())</f>
        <v/>
      </c>
    </row>
    <row r="524" ht="15" customHeight="1" s="56">
      <c r="A524" s="55">
        <f>Orders!A524</f>
        <v/>
      </c>
      <c r="B524" s="103">
        <f>Orders!B524</f>
        <v/>
      </c>
      <c r="C524" s="55">
        <f>Orders!C524</f>
        <v/>
      </c>
      <c r="D524" s="55">
        <f>Orders!D524</f>
        <v/>
      </c>
      <c r="E524" s="55">
        <f>Orders!E524</f>
        <v/>
      </c>
      <c r="F524" s="55">
        <f>Orders!F524</f>
        <v/>
      </c>
      <c r="G524" s="55">
        <f>Orders!G524</f>
        <v/>
      </c>
      <c r="H524" s="55">
        <f>Orders!H524</f>
        <v/>
      </c>
      <c r="I524" s="55">
        <f>Orders!I524</f>
        <v/>
      </c>
      <c r="J524" s="55">
        <f>Orders!J524</f>
        <v/>
      </c>
      <c r="K524" s="55">
        <f>Orders!K524</f>
        <v/>
      </c>
      <c r="L524" s="55">
        <f>VLOOKUP(D524,Products!$A$2:$F$61,3,FALSE())</f>
        <v/>
      </c>
      <c r="M524" s="55">
        <f>VLOOKUP(C524,Customers!$A$2:$F$301,5,FALSE())</f>
        <v/>
      </c>
      <c r="N524" s="55">
        <f>VLOOKUP(E524,Sales_Reps!$A$2:$E$31,3,FALSE())</f>
        <v/>
      </c>
      <c r="O524" s="55">
        <f>VLOOKUP(D524,Products!$A$2:$F$61,4,FALSE())</f>
        <v/>
      </c>
      <c r="P524" s="55">
        <f>VLOOKUP(C524,Customers!$A$2:$F$301,3,FALSE())</f>
        <v/>
      </c>
      <c r="Q524" s="55">
        <f>UPPER(TRIM(K524))</f>
        <v/>
      </c>
      <c r="R524" s="55">
        <f>(G524-O524)/G524</f>
        <v/>
      </c>
      <c r="S524" s="55">
        <f>VLOOKUP(D524,Products!$A$2:$F$61,6,FALSE())</f>
        <v/>
      </c>
    </row>
    <row r="525" ht="15" customHeight="1" s="56">
      <c r="A525" s="55">
        <f>Orders!A525</f>
        <v/>
      </c>
      <c r="B525" s="103">
        <f>Orders!B525</f>
        <v/>
      </c>
      <c r="C525" s="55">
        <f>Orders!C525</f>
        <v/>
      </c>
      <c r="D525" s="55">
        <f>Orders!D525</f>
        <v/>
      </c>
      <c r="E525" s="55">
        <f>Orders!E525</f>
        <v/>
      </c>
      <c r="F525" s="55">
        <f>Orders!F525</f>
        <v/>
      </c>
      <c r="G525" s="55">
        <f>Orders!G525</f>
        <v/>
      </c>
      <c r="H525" s="55">
        <f>Orders!H525</f>
        <v/>
      </c>
      <c r="I525" s="55">
        <f>Orders!I525</f>
        <v/>
      </c>
      <c r="J525" s="55">
        <f>Orders!J525</f>
        <v/>
      </c>
      <c r="K525" s="55">
        <f>Orders!K525</f>
        <v/>
      </c>
      <c r="L525" s="55">
        <f>VLOOKUP(D525,Products!$A$2:$F$61,3,FALSE())</f>
        <v/>
      </c>
      <c r="M525" s="55">
        <f>VLOOKUP(C525,Customers!$A$2:$F$301,5,FALSE())</f>
        <v/>
      </c>
      <c r="N525" s="55">
        <f>VLOOKUP(E525,Sales_Reps!$A$2:$E$31,3,FALSE())</f>
        <v/>
      </c>
      <c r="O525" s="55">
        <f>VLOOKUP(D525,Products!$A$2:$F$61,4,FALSE())</f>
        <v/>
      </c>
      <c r="P525" s="55">
        <f>VLOOKUP(C525,Customers!$A$2:$F$301,3,FALSE())</f>
        <v/>
      </c>
      <c r="Q525" s="55">
        <f>UPPER(TRIM(K525))</f>
        <v/>
      </c>
      <c r="R525" s="55">
        <f>(G525-O525)/G525</f>
        <v/>
      </c>
      <c r="S525" s="55">
        <f>VLOOKUP(D525,Products!$A$2:$F$61,6,FALSE())</f>
        <v/>
      </c>
    </row>
    <row r="526" ht="15" customHeight="1" s="56">
      <c r="A526" s="55">
        <f>Orders!A526</f>
        <v/>
      </c>
      <c r="B526" s="103">
        <f>Orders!B526</f>
        <v/>
      </c>
      <c r="C526" s="55">
        <f>Orders!C526</f>
        <v/>
      </c>
      <c r="D526" s="55">
        <f>Orders!D526</f>
        <v/>
      </c>
      <c r="E526" s="55">
        <f>Orders!E526</f>
        <v/>
      </c>
      <c r="F526" s="55">
        <f>Orders!F526</f>
        <v/>
      </c>
      <c r="G526" s="55">
        <f>Orders!G526</f>
        <v/>
      </c>
      <c r="H526" s="55">
        <f>Orders!H526</f>
        <v/>
      </c>
      <c r="I526" s="55">
        <f>Orders!I526</f>
        <v/>
      </c>
      <c r="J526" s="55">
        <f>Orders!J526</f>
        <v/>
      </c>
      <c r="K526" s="55">
        <f>Orders!K526</f>
        <v/>
      </c>
      <c r="L526" s="55">
        <f>VLOOKUP(D526,Products!$A$2:$F$61,3,FALSE())</f>
        <v/>
      </c>
      <c r="M526" s="55">
        <f>VLOOKUP(C526,Customers!$A$2:$F$301,5,FALSE())</f>
        <v/>
      </c>
      <c r="N526" s="55">
        <f>VLOOKUP(E526,Sales_Reps!$A$2:$E$31,3,FALSE())</f>
        <v/>
      </c>
      <c r="O526" s="55">
        <f>VLOOKUP(D526,Products!$A$2:$F$61,4,FALSE())</f>
        <v/>
      </c>
      <c r="P526" s="55">
        <f>VLOOKUP(C526,Customers!$A$2:$F$301,3,FALSE())</f>
        <v/>
      </c>
      <c r="Q526" s="55">
        <f>UPPER(TRIM(K526))</f>
        <v/>
      </c>
      <c r="R526" s="55">
        <f>(G526-O526)/G526</f>
        <v/>
      </c>
      <c r="S526" s="55">
        <f>VLOOKUP(D526,Products!$A$2:$F$61,6,FALSE())</f>
        <v/>
      </c>
    </row>
    <row r="527" ht="15" customHeight="1" s="56">
      <c r="A527" s="55">
        <f>Orders!A527</f>
        <v/>
      </c>
      <c r="B527" s="103">
        <f>Orders!B527</f>
        <v/>
      </c>
      <c r="C527" s="55">
        <f>Orders!C527</f>
        <v/>
      </c>
      <c r="D527" s="55">
        <f>Orders!D527</f>
        <v/>
      </c>
      <c r="E527" s="55">
        <f>Orders!E527</f>
        <v/>
      </c>
      <c r="F527" s="55">
        <f>Orders!F527</f>
        <v/>
      </c>
      <c r="G527" s="55">
        <f>Orders!G527</f>
        <v/>
      </c>
      <c r="H527" s="55">
        <f>Orders!H527</f>
        <v/>
      </c>
      <c r="I527" s="55">
        <f>Orders!I527</f>
        <v/>
      </c>
      <c r="J527" s="55">
        <f>Orders!J527</f>
        <v/>
      </c>
      <c r="K527" s="55">
        <f>Orders!K527</f>
        <v/>
      </c>
      <c r="L527" s="55">
        <f>VLOOKUP(D527,Products!$A$2:$F$61,3,FALSE())</f>
        <v/>
      </c>
      <c r="M527" s="55">
        <f>VLOOKUP(C527,Customers!$A$2:$F$301,5,FALSE())</f>
        <v/>
      </c>
      <c r="N527" s="55">
        <f>VLOOKUP(E527,Sales_Reps!$A$2:$E$31,3,FALSE())</f>
        <v/>
      </c>
      <c r="O527" s="55">
        <f>VLOOKUP(D527,Products!$A$2:$F$61,4,FALSE())</f>
        <v/>
      </c>
      <c r="P527" s="55">
        <f>VLOOKUP(C527,Customers!$A$2:$F$301,3,FALSE())</f>
        <v/>
      </c>
      <c r="Q527" s="55">
        <f>UPPER(TRIM(K527))</f>
        <v/>
      </c>
      <c r="R527" s="55">
        <f>(G527-O527)/G527</f>
        <v/>
      </c>
      <c r="S527" s="55">
        <f>VLOOKUP(D527,Products!$A$2:$F$61,6,FALSE())</f>
        <v/>
      </c>
    </row>
    <row r="528" ht="15" customHeight="1" s="56">
      <c r="A528" s="55">
        <f>Orders!A528</f>
        <v/>
      </c>
      <c r="B528" s="103">
        <f>Orders!B528</f>
        <v/>
      </c>
      <c r="C528" s="55">
        <f>Orders!C528</f>
        <v/>
      </c>
      <c r="D528" s="55">
        <f>Orders!D528</f>
        <v/>
      </c>
      <c r="E528" s="55">
        <f>Orders!E528</f>
        <v/>
      </c>
      <c r="F528" s="55">
        <f>Orders!F528</f>
        <v/>
      </c>
      <c r="G528" s="55">
        <f>Orders!G528</f>
        <v/>
      </c>
      <c r="H528" s="55">
        <f>Orders!H528</f>
        <v/>
      </c>
      <c r="I528" s="55">
        <f>Orders!I528</f>
        <v/>
      </c>
      <c r="J528" s="55">
        <f>Orders!J528</f>
        <v/>
      </c>
      <c r="K528" s="55">
        <f>Orders!K528</f>
        <v/>
      </c>
      <c r="L528" s="55">
        <f>VLOOKUP(D528,Products!$A$2:$F$61,3,FALSE())</f>
        <v/>
      </c>
      <c r="M528" s="55">
        <f>VLOOKUP(C528,Customers!$A$2:$F$301,5,FALSE())</f>
        <v/>
      </c>
      <c r="N528" s="55">
        <f>VLOOKUP(E528,Sales_Reps!$A$2:$E$31,3,FALSE())</f>
        <v/>
      </c>
      <c r="O528" s="55">
        <f>VLOOKUP(D528,Products!$A$2:$F$61,4,FALSE())</f>
        <v/>
      </c>
      <c r="P528" s="55">
        <f>VLOOKUP(C528,Customers!$A$2:$F$301,3,FALSE())</f>
        <v/>
      </c>
      <c r="Q528" s="55">
        <f>UPPER(TRIM(K528))</f>
        <v/>
      </c>
      <c r="R528" s="55">
        <f>(G528-O528)/G528</f>
        <v/>
      </c>
      <c r="S528" s="55">
        <f>VLOOKUP(D528,Products!$A$2:$F$61,6,FALSE())</f>
        <v/>
      </c>
    </row>
    <row r="529" ht="15" customHeight="1" s="56">
      <c r="A529" s="55">
        <f>Orders!A529</f>
        <v/>
      </c>
      <c r="B529" s="103">
        <f>Orders!B529</f>
        <v/>
      </c>
      <c r="C529" s="55">
        <f>Orders!C529</f>
        <v/>
      </c>
      <c r="D529" s="55">
        <f>Orders!D529</f>
        <v/>
      </c>
      <c r="E529" s="55">
        <f>Orders!E529</f>
        <v/>
      </c>
      <c r="F529" s="55">
        <f>Orders!F529</f>
        <v/>
      </c>
      <c r="G529" s="55">
        <f>Orders!G529</f>
        <v/>
      </c>
      <c r="H529" s="55">
        <f>Orders!H529</f>
        <v/>
      </c>
      <c r="I529" s="55">
        <f>Orders!I529</f>
        <v/>
      </c>
      <c r="J529" s="55">
        <f>Orders!J529</f>
        <v/>
      </c>
      <c r="K529" s="55">
        <f>Orders!K529</f>
        <v/>
      </c>
      <c r="L529" s="55">
        <f>VLOOKUP(D529,Products!$A$2:$F$61,3,FALSE())</f>
        <v/>
      </c>
      <c r="M529" s="55">
        <f>VLOOKUP(C529,Customers!$A$2:$F$301,5,FALSE())</f>
        <v/>
      </c>
      <c r="N529" s="55">
        <f>VLOOKUP(E529,Sales_Reps!$A$2:$E$31,3,FALSE())</f>
        <v/>
      </c>
      <c r="O529" s="55">
        <f>VLOOKUP(D529,Products!$A$2:$F$61,4,FALSE())</f>
        <v/>
      </c>
      <c r="P529" s="55">
        <f>VLOOKUP(C529,Customers!$A$2:$F$301,3,FALSE())</f>
        <v/>
      </c>
      <c r="Q529" s="55">
        <f>UPPER(TRIM(K529))</f>
        <v/>
      </c>
      <c r="R529" s="55">
        <f>(G529-O529)/G529</f>
        <v/>
      </c>
      <c r="S529" s="55">
        <f>VLOOKUP(D529,Products!$A$2:$F$61,6,FALSE())</f>
        <v/>
      </c>
    </row>
    <row r="530" ht="15" customHeight="1" s="56">
      <c r="A530" s="55">
        <f>Orders!A530</f>
        <v/>
      </c>
      <c r="B530" s="103">
        <f>Orders!B530</f>
        <v/>
      </c>
      <c r="C530" s="55">
        <f>Orders!C530</f>
        <v/>
      </c>
      <c r="D530" s="55">
        <f>Orders!D530</f>
        <v/>
      </c>
      <c r="E530" s="55">
        <f>Orders!E530</f>
        <v/>
      </c>
      <c r="F530" s="55">
        <f>Orders!F530</f>
        <v/>
      </c>
      <c r="G530" s="55">
        <f>Orders!G530</f>
        <v/>
      </c>
      <c r="H530" s="55">
        <f>Orders!H530</f>
        <v/>
      </c>
      <c r="I530" s="55">
        <f>Orders!I530</f>
        <v/>
      </c>
      <c r="J530" s="55">
        <f>Orders!J530</f>
        <v/>
      </c>
      <c r="K530" s="55">
        <f>Orders!K530</f>
        <v/>
      </c>
      <c r="L530" s="55">
        <f>VLOOKUP(D530,Products!$A$2:$F$61,3,FALSE())</f>
        <v/>
      </c>
      <c r="M530" s="55">
        <f>VLOOKUP(C530,Customers!$A$2:$F$301,5,FALSE())</f>
        <v/>
      </c>
      <c r="N530" s="55">
        <f>VLOOKUP(E530,Sales_Reps!$A$2:$E$31,3,FALSE())</f>
        <v/>
      </c>
      <c r="O530" s="55">
        <f>VLOOKUP(D530,Products!$A$2:$F$61,4,FALSE())</f>
        <v/>
      </c>
      <c r="P530" s="55">
        <f>VLOOKUP(C530,Customers!$A$2:$F$301,3,FALSE())</f>
        <v/>
      </c>
      <c r="Q530" s="55">
        <f>UPPER(TRIM(K530))</f>
        <v/>
      </c>
      <c r="R530" s="55">
        <f>(G530-O530)/G530</f>
        <v/>
      </c>
      <c r="S530" s="55">
        <f>VLOOKUP(D530,Products!$A$2:$F$61,6,FALSE())</f>
        <v/>
      </c>
    </row>
    <row r="531" ht="15" customHeight="1" s="56">
      <c r="A531" s="55">
        <f>Orders!A531</f>
        <v/>
      </c>
      <c r="B531" s="103">
        <f>Orders!B531</f>
        <v/>
      </c>
      <c r="C531" s="55">
        <f>Orders!C531</f>
        <v/>
      </c>
      <c r="D531" s="55">
        <f>Orders!D531</f>
        <v/>
      </c>
      <c r="E531" s="55">
        <f>Orders!E531</f>
        <v/>
      </c>
      <c r="F531" s="55">
        <f>Orders!F531</f>
        <v/>
      </c>
      <c r="G531" s="55">
        <f>Orders!G531</f>
        <v/>
      </c>
      <c r="H531" s="55">
        <f>Orders!H531</f>
        <v/>
      </c>
      <c r="I531" s="55">
        <f>Orders!I531</f>
        <v/>
      </c>
      <c r="J531" s="55">
        <f>Orders!J531</f>
        <v/>
      </c>
      <c r="K531" s="55">
        <f>Orders!K531</f>
        <v/>
      </c>
      <c r="L531" s="55">
        <f>VLOOKUP(D531,Products!$A$2:$F$61,3,FALSE())</f>
        <v/>
      </c>
      <c r="M531" s="55">
        <f>VLOOKUP(C531,Customers!$A$2:$F$301,5,FALSE())</f>
        <v/>
      </c>
      <c r="N531" s="55">
        <f>VLOOKUP(E531,Sales_Reps!$A$2:$E$31,3,FALSE())</f>
        <v/>
      </c>
      <c r="O531" s="55">
        <f>VLOOKUP(D531,Products!$A$2:$F$61,4,FALSE())</f>
        <v/>
      </c>
      <c r="P531" s="55">
        <f>VLOOKUP(C531,Customers!$A$2:$F$301,3,FALSE())</f>
        <v/>
      </c>
      <c r="Q531" s="55">
        <f>UPPER(TRIM(K531))</f>
        <v/>
      </c>
      <c r="R531" s="55">
        <f>(G531-O531)/G531</f>
        <v/>
      </c>
      <c r="S531" s="55">
        <f>VLOOKUP(D531,Products!$A$2:$F$61,6,FALSE())</f>
        <v/>
      </c>
    </row>
    <row r="532" ht="15" customHeight="1" s="56">
      <c r="A532" s="55">
        <f>Orders!A532</f>
        <v/>
      </c>
      <c r="B532" s="103">
        <f>Orders!B532</f>
        <v/>
      </c>
      <c r="C532" s="55">
        <f>Orders!C532</f>
        <v/>
      </c>
      <c r="D532" s="55">
        <f>Orders!D532</f>
        <v/>
      </c>
      <c r="E532" s="55">
        <f>Orders!E532</f>
        <v/>
      </c>
      <c r="F532" s="55">
        <f>Orders!F532</f>
        <v/>
      </c>
      <c r="G532" s="55">
        <f>Orders!G532</f>
        <v/>
      </c>
      <c r="H532" s="55">
        <f>Orders!H532</f>
        <v/>
      </c>
      <c r="I532" s="55">
        <f>Orders!I532</f>
        <v/>
      </c>
      <c r="J532" s="55">
        <f>Orders!J532</f>
        <v/>
      </c>
      <c r="K532" s="55">
        <f>Orders!K532</f>
        <v/>
      </c>
      <c r="L532" s="55">
        <f>VLOOKUP(D532,Products!$A$2:$F$61,3,FALSE())</f>
        <v/>
      </c>
      <c r="M532" s="55">
        <f>VLOOKUP(C532,Customers!$A$2:$F$301,5,FALSE())</f>
        <v/>
      </c>
      <c r="N532" s="55">
        <f>VLOOKUP(E532,Sales_Reps!$A$2:$E$31,3,FALSE())</f>
        <v/>
      </c>
      <c r="O532" s="55">
        <f>VLOOKUP(D532,Products!$A$2:$F$61,4,FALSE())</f>
        <v/>
      </c>
      <c r="P532" s="55">
        <f>VLOOKUP(C532,Customers!$A$2:$F$301,3,FALSE())</f>
        <v/>
      </c>
      <c r="Q532" s="55">
        <f>UPPER(TRIM(K532))</f>
        <v/>
      </c>
      <c r="R532" s="55">
        <f>(G532-O532)/G532</f>
        <v/>
      </c>
      <c r="S532" s="55">
        <f>VLOOKUP(D532,Products!$A$2:$F$61,6,FALSE())</f>
        <v/>
      </c>
    </row>
    <row r="533" ht="15" customHeight="1" s="56">
      <c r="A533" s="55">
        <f>Orders!A533</f>
        <v/>
      </c>
      <c r="B533" s="103">
        <f>Orders!B533</f>
        <v/>
      </c>
      <c r="C533" s="55">
        <f>Orders!C533</f>
        <v/>
      </c>
      <c r="D533" s="55">
        <f>Orders!D533</f>
        <v/>
      </c>
      <c r="E533" s="55">
        <f>Orders!E533</f>
        <v/>
      </c>
      <c r="F533" s="55">
        <f>Orders!F533</f>
        <v/>
      </c>
      <c r="G533" s="55">
        <f>Orders!G533</f>
        <v/>
      </c>
      <c r="H533" s="55">
        <f>Orders!H533</f>
        <v/>
      </c>
      <c r="I533" s="55">
        <f>Orders!I533</f>
        <v/>
      </c>
      <c r="J533" s="55">
        <f>Orders!J533</f>
        <v/>
      </c>
      <c r="K533" s="55">
        <f>Orders!K533</f>
        <v/>
      </c>
      <c r="L533" s="55">
        <f>VLOOKUP(D533,Products!$A$2:$F$61,3,FALSE())</f>
        <v/>
      </c>
      <c r="M533" s="55">
        <f>VLOOKUP(C533,Customers!$A$2:$F$301,5,FALSE())</f>
        <v/>
      </c>
      <c r="N533" s="55">
        <f>VLOOKUP(E533,Sales_Reps!$A$2:$E$31,3,FALSE())</f>
        <v/>
      </c>
      <c r="O533" s="55">
        <f>VLOOKUP(D533,Products!$A$2:$F$61,4,FALSE())</f>
        <v/>
      </c>
      <c r="P533" s="55">
        <f>VLOOKUP(C533,Customers!$A$2:$F$301,3,FALSE())</f>
        <v/>
      </c>
      <c r="Q533" s="55">
        <f>UPPER(TRIM(K533))</f>
        <v/>
      </c>
      <c r="R533" s="55">
        <f>(G533-O533)/G533</f>
        <v/>
      </c>
      <c r="S533" s="55">
        <f>VLOOKUP(D533,Products!$A$2:$F$61,6,FALSE())</f>
        <v/>
      </c>
    </row>
    <row r="534" ht="15" customHeight="1" s="56">
      <c r="A534" s="55">
        <f>Orders!A534</f>
        <v/>
      </c>
      <c r="B534" s="103">
        <f>Orders!B534</f>
        <v/>
      </c>
      <c r="C534" s="55">
        <f>Orders!C534</f>
        <v/>
      </c>
      <c r="D534" s="55">
        <f>Orders!D534</f>
        <v/>
      </c>
      <c r="E534" s="55">
        <f>Orders!E534</f>
        <v/>
      </c>
      <c r="F534" s="55">
        <f>Orders!F534</f>
        <v/>
      </c>
      <c r="G534" s="55">
        <f>Orders!G534</f>
        <v/>
      </c>
      <c r="H534" s="55">
        <f>Orders!H534</f>
        <v/>
      </c>
      <c r="I534" s="55">
        <f>Orders!I534</f>
        <v/>
      </c>
      <c r="J534" s="55">
        <f>Orders!J534</f>
        <v/>
      </c>
      <c r="K534" s="55">
        <f>Orders!K534</f>
        <v/>
      </c>
      <c r="L534" s="55">
        <f>VLOOKUP(D534,Products!$A$2:$F$61,3,FALSE())</f>
        <v/>
      </c>
      <c r="M534" s="55">
        <f>VLOOKUP(C534,Customers!$A$2:$F$301,5,FALSE())</f>
        <v/>
      </c>
      <c r="N534" s="55">
        <f>VLOOKUP(E534,Sales_Reps!$A$2:$E$31,3,FALSE())</f>
        <v/>
      </c>
      <c r="O534" s="55">
        <f>VLOOKUP(D534,Products!$A$2:$F$61,4,FALSE())</f>
        <v/>
      </c>
      <c r="P534" s="55">
        <f>VLOOKUP(C534,Customers!$A$2:$F$301,3,FALSE())</f>
        <v/>
      </c>
      <c r="Q534" s="55">
        <f>UPPER(TRIM(K534))</f>
        <v/>
      </c>
      <c r="R534" s="55">
        <f>(G534-O534)/G534</f>
        <v/>
      </c>
      <c r="S534" s="55">
        <f>VLOOKUP(D534,Products!$A$2:$F$61,6,FALSE())</f>
        <v/>
      </c>
    </row>
    <row r="535" ht="15" customHeight="1" s="56">
      <c r="A535" s="55">
        <f>Orders!A535</f>
        <v/>
      </c>
      <c r="B535" s="103">
        <f>Orders!B535</f>
        <v/>
      </c>
      <c r="C535" s="55">
        <f>Orders!C535</f>
        <v/>
      </c>
      <c r="D535" s="55">
        <f>Orders!D535</f>
        <v/>
      </c>
      <c r="E535" s="55">
        <f>Orders!E535</f>
        <v/>
      </c>
      <c r="F535" s="55">
        <f>Orders!F535</f>
        <v/>
      </c>
      <c r="G535" s="55">
        <f>Orders!G535</f>
        <v/>
      </c>
      <c r="H535" s="55">
        <f>Orders!H535</f>
        <v/>
      </c>
      <c r="I535" s="55">
        <f>Orders!I535</f>
        <v/>
      </c>
      <c r="J535" s="55">
        <f>Orders!J535</f>
        <v/>
      </c>
      <c r="K535" s="55">
        <f>Orders!K535</f>
        <v/>
      </c>
      <c r="L535" s="55">
        <f>VLOOKUP(D535,Products!$A$2:$F$61,3,FALSE())</f>
        <v/>
      </c>
      <c r="M535" s="55">
        <f>VLOOKUP(C535,Customers!$A$2:$F$301,5,FALSE())</f>
        <v/>
      </c>
      <c r="N535" s="55">
        <f>VLOOKUP(E535,Sales_Reps!$A$2:$E$31,3,FALSE())</f>
        <v/>
      </c>
      <c r="O535" s="55">
        <f>VLOOKUP(D535,Products!$A$2:$F$61,4,FALSE())</f>
        <v/>
      </c>
      <c r="P535" s="55">
        <f>VLOOKUP(C535,Customers!$A$2:$F$301,3,FALSE())</f>
        <v/>
      </c>
      <c r="Q535" s="55">
        <f>UPPER(TRIM(K535))</f>
        <v/>
      </c>
      <c r="R535" s="55">
        <f>(G535-O535)/G535</f>
        <v/>
      </c>
      <c r="S535" s="55">
        <f>VLOOKUP(D535,Products!$A$2:$F$61,6,FALSE())</f>
        <v/>
      </c>
    </row>
    <row r="536" ht="15" customHeight="1" s="56">
      <c r="A536" s="55">
        <f>Orders!A536</f>
        <v/>
      </c>
      <c r="B536" s="103">
        <f>Orders!B536</f>
        <v/>
      </c>
      <c r="C536" s="55">
        <f>Orders!C536</f>
        <v/>
      </c>
      <c r="D536" s="55">
        <f>Orders!D536</f>
        <v/>
      </c>
      <c r="E536" s="55">
        <f>Orders!E536</f>
        <v/>
      </c>
      <c r="F536" s="55">
        <f>Orders!F536</f>
        <v/>
      </c>
      <c r="G536" s="55">
        <f>Orders!G536</f>
        <v/>
      </c>
      <c r="H536" s="55">
        <f>Orders!H536</f>
        <v/>
      </c>
      <c r="I536" s="55">
        <f>Orders!I536</f>
        <v/>
      </c>
      <c r="J536" s="55">
        <f>Orders!J536</f>
        <v/>
      </c>
      <c r="K536" s="55">
        <f>Orders!K536</f>
        <v/>
      </c>
      <c r="L536" s="55">
        <f>VLOOKUP(D536,Products!$A$2:$F$61,3,FALSE())</f>
        <v/>
      </c>
      <c r="M536" s="55">
        <f>VLOOKUP(C536,Customers!$A$2:$F$301,5,FALSE())</f>
        <v/>
      </c>
      <c r="N536" s="55">
        <f>VLOOKUP(E536,Sales_Reps!$A$2:$E$31,3,FALSE())</f>
        <v/>
      </c>
      <c r="O536" s="55">
        <f>VLOOKUP(D536,Products!$A$2:$F$61,4,FALSE())</f>
        <v/>
      </c>
      <c r="P536" s="55">
        <f>VLOOKUP(C536,Customers!$A$2:$F$301,3,FALSE())</f>
        <v/>
      </c>
      <c r="Q536" s="55">
        <f>UPPER(TRIM(K536))</f>
        <v/>
      </c>
      <c r="R536" s="55">
        <f>(G536-O536)/G536</f>
        <v/>
      </c>
      <c r="S536" s="55">
        <f>VLOOKUP(D536,Products!$A$2:$F$61,6,FALSE())</f>
        <v/>
      </c>
    </row>
    <row r="537" ht="15" customHeight="1" s="56">
      <c r="A537" s="55">
        <f>Orders!A537</f>
        <v/>
      </c>
      <c r="B537" s="103">
        <f>Orders!B537</f>
        <v/>
      </c>
      <c r="C537" s="55">
        <f>Orders!C537</f>
        <v/>
      </c>
      <c r="D537" s="55">
        <f>Orders!D537</f>
        <v/>
      </c>
      <c r="E537" s="55">
        <f>Orders!E537</f>
        <v/>
      </c>
      <c r="F537" s="55">
        <f>Orders!F537</f>
        <v/>
      </c>
      <c r="G537" s="55">
        <f>Orders!G537</f>
        <v/>
      </c>
      <c r="H537" s="55">
        <f>Orders!H537</f>
        <v/>
      </c>
      <c r="I537" s="55">
        <f>Orders!I537</f>
        <v/>
      </c>
      <c r="J537" s="55">
        <f>Orders!J537</f>
        <v/>
      </c>
      <c r="K537" s="55">
        <f>Orders!K537</f>
        <v/>
      </c>
      <c r="L537" s="55">
        <f>VLOOKUP(D537,Products!$A$2:$F$61,3,FALSE())</f>
        <v/>
      </c>
      <c r="M537" s="55">
        <f>VLOOKUP(C537,Customers!$A$2:$F$301,5,FALSE())</f>
        <v/>
      </c>
      <c r="N537" s="55">
        <f>VLOOKUP(E537,Sales_Reps!$A$2:$E$31,3,FALSE())</f>
        <v/>
      </c>
      <c r="O537" s="55">
        <f>VLOOKUP(D537,Products!$A$2:$F$61,4,FALSE())</f>
        <v/>
      </c>
      <c r="P537" s="55">
        <f>VLOOKUP(C537,Customers!$A$2:$F$301,3,FALSE())</f>
        <v/>
      </c>
      <c r="Q537" s="55">
        <f>UPPER(TRIM(K537))</f>
        <v/>
      </c>
      <c r="R537" s="55">
        <f>(G537-O537)/G537</f>
        <v/>
      </c>
      <c r="S537" s="55">
        <f>VLOOKUP(D537,Products!$A$2:$F$61,6,FALSE())</f>
        <v/>
      </c>
    </row>
    <row r="538" ht="15" customHeight="1" s="56">
      <c r="A538" s="55">
        <f>Orders!A538</f>
        <v/>
      </c>
      <c r="B538" s="103">
        <f>Orders!B538</f>
        <v/>
      </c>
      <c r="C538" s="55">
        <f>Orders!C538</f>
        <v/>
      </c>
      <c r="D538" s="55">
        <f>Orders!D538</f>
        <v/>
      </c>
      <c r="E538" s="55">
        <f>Orders!E538</f>
        <v/>
      </c>
      <c r="F538" s="55">
        <f>Orders!F538</f>
        <v/>
      </c>
      <c r="G538" s="55">
        <f>Orders!G538</f>
        <v/>
      </c>
      <c r="H538" s="55">
        <f>Orders!H538</f>
        <v/>
      </c>
      <c r="I538" s="55">
        <f>Orders!I538</f>
        <v/>
      </c>
      <c r="J538" s="55">
        <f>Orders!J538</f>
        <v/>
      </c>
      <c r="K538" s="55">
        <f>Orders!K538</f>
        <v/>
      </c>
      <c r="L538" s="55">
        <f>VLOOKUP(D538,Products!$A$2:$F$61,3,FALSE())</f>
        <v/>
      </c>
      <c r="M538" s="55">
        <f>VLOOKUP(C538,Customers!$A$2:$F$301,5,FALSE())</f>
        <v/>
      </c>
      <c r="N538" s="55">
        <f>VLOOKUP(E538,Sales_Reps!$A$2:$E$31,3,FALSE())</f>
        <v/>
      </c>
      <c r="O538" s="55">
        <f>VLOOKUP(D538,Products!$A$2:$F$61,4,FALSE())</f>
        <v/>
      </c>
      <c r="P538" s="55">
        <f>VLOOKUP(C538,Customers!$A$2:$F$301,3,FALSE())</f>
        <v/>
      </c>
      <c r="Q538" s="55">
        <f>UPPER(TRIM(K538))</f>
        <v/>
      </c>
      <c r="R538" s="55">
        <f>(G538-O538)/G538</f>
        <v/>
      </c>
      <c r="S538" s="55">
        <f>VLOOKUP(D538,Products!$A$2:$F$61,6,FALSE())</f>
        <v/>
      </c>
    </row>
    <row r="539" ht="15" customHeight="1" s="56">
      <c r="A539" s="55">
        <f>Orders!A539</f>
        <v/>
      </c>
      <c r="B539" s="103">
        <f>Orders!B539</f>
        <v/>
      </c>
      <c r="C539" s="55">
        <f>Orders!C539</f>
        <v/>
      </c>
      <c r="D539" s="55">
        <f>Orders!D539</f>
        <v/>
      </c>
      <c r="E539" s="55">
        <f>Orders!E539</f>
        <v/>
      </c>
      <c r="F539" s="55">
        <f>Orders!F539</f>
        <v/>
      </c>
      <c r="G539" s="55">
        <f>Orders!G539</f>
        <v/>
      </c>
      <c r="H539" s="55">
        <f>Orders!H539</f>
        <v/>
      </c>
      <c r="I539" s="55">
        <f>Orders!I539</f>
        <v/>
      </c>
      <c r="J539" s="55">
        <f>Orders!J539</f>
        <v/>
      </c>
      <c r="K539" s="55">
        <f>Orders!K539</f>
        <v/>
      </c>
      <c r="L539" s="55">
        <f>VLOOKUP(D539,Products!$A$2:$F$61,3,FALSE())</f>
        <v/>
      </c>
      <c r="M539" s="55">
        <f>VLOOKUP(C539,Customers!$A$2:$F$301,5,FALSE())</f>
        <v/>
      </c>
      <c r="N539" s="55">
        <f>VLOOKUP(E539,Sales_Reps!$A$2:$E$31,3,FALSE())</f>
        <v/>
      </c>
      <c r="O539" s="55">
        <f>VLOOKUP(D539,Products!$A$2:$F$61,4,FALSE())</f>
        <v/>
      </c>
      <c r="P539" s="55">
        <f>VLOOKUP(C539,Customers!$A$2:$F$301,3,FALSE())</f>
        <v/>
      </c>
      <c r="Q539" s="55">
        <f>UPPER(TRIM(K539))</f>
        <v/>
      </c>
      <c r="R539" s="55">
        <f>(G539-O539)/G539</f>
        <v/>
      </c>
      <c r="S539" s="55">
        <f>VLOOKUP(D539,Products!$A$2:$F$61,6,FALSE())</f>
        <v/>
      </c>
    </row>
    <row r="540" ht="15" customHeight="1" s="56">
      <c r="A540" s="55">
        <f>Orders!A540</f>
        <v/>
      </c>
      <c r="B540" s="103">
        <f>Orders!B540</f>
        <v/>
      </c>
      <c r="C540" s="55">
        <f>Orders!C540</f>
        <v/>
      </c>
      <c r="D540" s="55">
        <f>Orders!D540</f>
        <v/>
      </c>
      <c r="E540" s="55">
        <f>Orders!E540</f>
        <v/>
      </c>
      <c r="F540" s="55">
        <f>Orders!F540</f>
        <v/>
      </c>
      <c r="G540" s="55">
        <f>Orders!G540</f>
        <v/>
      </c>
      <c r="H540" s="55">
        <f>Orders!H540</f>
        <v/>
      </c>
      <c r="I540" s="55">
        <f>Orders!I540</f>
        <v/>
      </c>
      <c r="J540" s="55">
        <f>Orders!J540</f>
        <v/>
      </c>
      <c r="K540" s="55">
        <f>Orders!K540</f>
        <v/>
      </c>
      <c r="L540" s="55">
        <f>VLOOKUP(D540,Products!$A$2:$F$61,3,FALSE())</f>
        <v/>
      </c>
      <c r="M540" s="55">
        <f>VLOOKUP(C540,Customers!$A$2:$F$301,5,FALSE())</f>
        <v/>
      </c>
      <c r="N540" s="55">
        <f>VLOOKUP(E540,Sales_Reps!$A$2:$E$31,3,FALSE())</f>
        <v/>
      </c>
      <c r="O540" s="55">
        <f>VLOOKUP(D540,Products!$A$2:$F$61,4,FALSE())</f>
        <v/>
      </c>
      <c r="P540" s="55">
        <f>VLOOKUP(C540,Customers!$A$2:$F$301,3,FALSE())</f>
        <v/>
      </c>
      <c r="Q540" s="55">
        <f>UPPER(TRIM(K540))</f>
        <v/>
      </c>
      <c r="R540" s="55">
        <f>(G540-O540)/G540</f>
        <v/>
      </c>
      <c r="S540" s="55">
        <f>VLOOKUP(D540,Products!$A$2:$F$61,6,FALSE())</f>
        <v/>
      </c>
    </row>
    <row r="541" ht="15" customHeight="1" s="56">
      <c r="A541" s="55">
        <f>Orders!A541</f>
        <v/>
      </c>
      <c r="B541" s="103">
        <f>Orders!B541</f>
        <v/>
      </c>
      <c r="C541" s="55">
        <f>Orders!C541</f>
        <v/>
      </c>
      <c r="D541" s="55">
        <f>Orders!D541</f>
        <v/>
      </c>
      <c r="E541" s="55">
        <f>Orders!E541</f>
        <v/>
      </c>
      <c r="F541" s="55">
        <f>Orders!F541</f>
        <v/>
      </c>
      <c r="G541" s="55">
        <f>Orders!G541</f>
        <v/>
      </c>
      <c r="H541" s="55">
        <f>Orders!H541</f>
        <v/>
      </c>
      <c r="I541" s="55">
        <f>Orders!I541</f>
        <v/>
      </c>
      <c r="J541" s="55">
        <f>Orders!J541</f>
        <v/>
      </c>
      <c r="K541" s="55">
        <f>Orders!K541</f>
        <v/>
      </c>
      <c r="L541" s="55">
        <f>VLOOKUP(D541,Products!$A$2:$F$61,3,FALSE())</f>
        <v/>
      </c>
      <c r="M541" s="55">
        <f>VLOOKUP(C541,Customers!$A$2:$F$301,5,FALSE())</f>
        <v/>
      </c>
      <c r="N541" s="55">
        <f>VLOOKUP(E541,Sales_Reps!$A$2:$E$31,3,FALSE())</f>
        <v/>
      </c>
      <c r="O541" s="55">
        <f>VLOOKUP(D541,Products!$A$2:$F$61,4,FALSE())</f>
        <v/>
      </c>
      <c r="P541" s="55">
        <f>VLOOKUP(C541,Customers!$A$2:$F$301,3,FALSE())</f>
        <v/>
      </c>
      <c r="Q541" s="55">
        <f>UPPER(TRIM(K541))</f>
        <v/>
      </c>
      <c r="R541" s="55">
        <f>(G541-O541)/G541</f>
        <v/>
      </c>
      <c r="S541" s="55">
        <f>VLOOKUP(D541,Products!$A$2:$F$61,6,FALSE())</f>
        <v/>
      </c>
    </row>
    <row r="542" ht="15" customHeight="1" s="56">
      <c r="A542" s="55">
        <f>Orders!A542</f>
        <v/>
      </c>
      <c r="B542" s="103">
        <f>Orders!B542</f>
        <v/>
      </c>
      <c r="C542" s="55">
        <f>Orders!C542</f>
        <v/>
      </c>
      <c r="D542" s="55">
        <f>Orders!D542</f>
        <v/>
      </c>
      <c r="E542" s="55">
        <f>Orders!E542</f>
        <v/>
      </c>
      <c r="F542" s="55">
        <f>Orders!F542</f>
        <v/>
      </c>
      <c r="G542" s="55">
        <f>Orders!G542</f>
        <v/>
      </c>
      <c r="H542" s="55">
        <f>Orders!H542</f>
        <v/>
      </c>
      <c r="I542" s="55">
        <f>Orders!I542</f>
        <v/>
      </c>
      <c r="J542" s="55">
        <f>Orders!J542</f>
        <v/>
      </c>
      <c r="K542" s="55">
        <f>Orders!K542</f>
        <v/>
      </c>
      <c r="L542" s="55">
        <f>VLOOKUP(D542,Products!$A$2:$F$61,3,FALSE())</f>
        <v/>
      </c>
      <c r="M542" s="55">
        <f>VLOOKUP(C542,Customers!$A$2:$F$301,5,FALSE())</f>
        <v/>
      </c>
      <c r="N542" s="55">
        <f>VLOOKUP(E542,Sales_Reps!$A$2:$E$31,3,FALSE())</f>
        <v/>
      </c>
      <c r="O542" s="55">
        <f>VLOOKUP(D542,Products!$A$2:$F$61,4,FALSE())</f>
        <v/>
      </c>
      <c r="P542" s="55">
        <f>VLOOKUP(C542,Customers!$A$2:$F$301,3,FALSE())</f>
        <v/>
      </c>
      <c r="Q542" s="55">
        <f>UPPER(TRIM(K542))</f>
        <v/>
      </c>
      <c r="R542" s="55">
        <f>(G542-O542)/G542</f>
        <v/>
      </c>
      <c r="S542" s="55">
        <f>VLOOKUP(D542,Products!$A$2:$F$61,6,FALSE())</f>
        <v/>
      </c>
    </row>
    <row r="543" ht="15" customHeight="1" s="56">
      <c r="A543" s="55">
        <f>Orders!A543</f>
        <v/>
      </c>
      <c r="B543" s="103">
        <f>Orders!B543</f>
        <v/>
      </c>
      <c r="C543" s="55">
        <f>Orders!C543</f>
        <v/>
      </c>
      <c r="D543" s="55">
        <f>Orders!D543</f>
        <v/>
      </c>
      <c r="E543" s="55">
        <f>Orders!E543</f>
        <v/>
      </c>
      <c r="F543" s="55">
        <f>Orders!F543</f>
        <v/>
      </c>
      <c r="G543" s="55">
        <f>Orders!G543</f>
        <v/>
      </c>
      <c r="H543" s="55">
        <f>Orders!H543</f>
        <v/>
      </c>
      <c r="I543" s="55">
        <f>Orders!I543</f>
        <v/>
      </c>
      <c r="J543" s="55">
        <f>Orders!J543</f>
        <v/>
      </c>
      <c r="K543" s="55">
        <f>Orders!K543</f>
        <v/>
      </c>
      <c r="L543" s="55">
        <f>VLOOKUP(D543,Products!$A$2:$F$61,3,FALSE())</f>
        <v/>
      </c>
      <c r="M543" s="55">
        <f>VLOOKUP(C543,Customers!$A$2:$F$301,5,FALSE())</f>
        <v/>
      </c>
      <c r="N543" s="55">
        <f>VLOOKUP(E543,Sales_Reps!$A$2:$E$31,3,FALSE())</f>
        <v/>
      </c>
      <c r="O543" s="55">
        <f>VLOOKUP(D543,Products!$A$2:$F$61,4,FALSE())</f>
        <v/>
      </c>
      <c r="P543" s="55">
        <f>VLOOKUP(C543,Customers!$A$2:$F$301,3,FALSE())</f>
        <v/>
      </c>
      <c r="Q543" s="55">
        <f>UPPER(TRIM(K543))</f>
        <v/>
      </c>
      <c r="R543" s="55">
        <f>(G543-O543)/G543</f>
        <v/>
      </c>
      <c r="S543" s="55">
        <f>VLOOKUP(D543,Products!$A$2:$F$61,6,FALSE())</f>
        <v/>
      </c>
    </row>
    <row r="544" ht="15" customHeight="1" s="56">
      <c r="A544" s="55">
        <f>Orders!A544</f>
        <v/>
      </c>
      <c r="B544" s="103">
        <f>Orders!B544</f>
        <v/>
      </c>
      <c r="C544" s="55">
        <f>Orders!C544</f>
        <v/>
      </c>
      <c r="D544" s="55">
        <f>Orders!D544</f>
        <v/>
      </c>
      <c r="E544" s="55">
        <f>Orders!E544</f>
        <v/>
      </c>
      <c r="F544" s="55">
        <f>Orders!F544</f>
        <v/>
      </c>
      <c r="G544" s="55">
        <f>Orders!G544</f>
        <v/>
      </c>
      <c r="H544" s="55">
        <f>Orders!H544</f>
        <v/>
      </c>
      <c r="I544" s="55">
        <f>Orders!I544</f>
        <v/>
      </c>
      <c r="J544" s="55">
        <f>Orders!J544</f>
        <v/>
      </c>
      <c r="K544" s="55">
        <f>Orders!K544</f>
        <v/>
      </c>
      <c r="L544" s="55">
        <f>VLOOKUP(D544,Products!$A$2:$F$61,3,FALSE())</f>
        <v/>
      </c>
      <c r="M544" s="55">
        <f>VLOOKUP(C544,Customers!$A$2:$F$301,5,FALSE())</f>
        <v/>
      </c>
      <c r="N544" s="55">
        <f>VLOOKUP(E544,Sales_Reps!$A$2:$E$31,3,FALSE())</f>
        <v/>
      </c>
      <c r="O544" s="55">
        <f>VLOOKUP(D544,Products!$A$2:$F$61,4,FALSE())</f>
        <v/>
      </c>
      <c r="P544" s="55">
        <f>VLOOKUP(C544,Customers!$A$2:$F$301,3,FALSE())</f>
        <v/>
      </c>
      <c r="Q544" s="55">
        <f>UPPER(TRIM(K544))</f>
        <v/>
      </c>
      <c r="R544" s="55">
        <f>(G544-O544)/G544</f>
        <v/>
      </c>
      <c r="S544" s="55">
        <f>VLOOKUP(D544,Products!$A$2:$F$61,6,FALSE())</f>
        <v/>
      </c>
    </row>
    <row r="545" ht="15" customHeight="1" s="56">
      <c r="A545" s="55">
        <f>Orders!A545</f>
        <v/>
      </c>
      <c r="B545" s="103">
        <f>Orders!B545</f>
        <v/>
      </c>
      <c r="C545" s="55">
        <f>Orders!C545</f>
        <v/>
      </c>
      <c r="D545" s="55">
        <f>Orders!D545</f>
        <v/>
      </c>
      <c r="E545" s="55">
        <f>Orders!E545</f>
        <v/>
      </c>
      <c r="F545" s="55">
        <f>Orders!F545</f>
        <v/>
      </c>
      <c r="G545" s="55">
        <f>Orders!G545</f>
        <v/>
      </c>
      <c r="H545" s="55">
        <f>Orders!H545</f>
        <v/>
      </c>
      <c r="I545" s="55">
        <f>Orders!I545</f>
        <v/>
      </c>
      <c r="J545" s="55">
        <f>Orders!J545</f>
        <v/>
      </c>
      <c r="K545" s="55">
        <f>Orders!K545</f>
        <v/>
      </c>
      <c r="L545" s="55">
        <f>VLOOKUP(D545,Products!$A$2:$F$61,3,FALSE())</f>
        <v/>
      </c>
      <c r="M545" s="55">
        <f>VLOOKUP(C545,Customers!$A$2:$F$301,5,FALSE())</f>
        <v/>
      </c>
      <c r="N545" s="55">
        <f>VLOOKUP(E545,Sales_Reps!$A$2:$E$31,3,FALSE())</f>
        <v/>
      </c>
      <c r="O545" s="55">
        <f>VLOOKUP(D545,Products!$A$2:$F$61,4,FALSE())</f>
        <v/>
      </c>
      <c r="P545" s="55">
        <f>VLOOKUP(C545,Customers!$A$2:$F$301,3,FALSE())</f>
        <v/>
      </c>
      <c r="Q545" s="55">
        <f>UPPER(TRIM(K545))</f>
        <v/>
      </c>
      <c r="R545" s="55">
        <f>(G545-O545)/G545</f>
        <v/>
      </c>
      <c r="S545" s="55">
        <f>VLOOKUP(D545,Products!$A$2:$F$61,6,FALSE())</f>
        <v/>
      </c>
    </row>
    <row r="546" ht="15" customHeight="1" s="56">
      <c r="A546" s="55">
        <f>Orders!A546</f>
        <v/>
      </c>
      <c r="B546" s="103">
        <f>Orders!B546</f>
        <v/>
      </c>
      <c r="C546" s="55">
        <f>Orders!C546</f>
        <v/>
      </c>
      <c r="D546" s="55">
        <f>Orders!D546</f>
        <v/>
      </c>
      <c r="E546" s="55">
        <f>Orders!E546</f>
        <v/>
      </c>
      <c r="F546" s="55">
        <f>Orders!F546</f>
        <v/>
      </c>
      <c r="G546" s="55">
        <f>Orders!G546</f>
        <v/>
      </c>
      <c r="H546" s="55">
        <f>Orders!H546</f>
        <v/>
      </c>
      <c r="I546" s="55">
        <f>Orders!I546</f>
        <v/>
      </c>
      <c r="J546" s="55">
        <f>Orders!J546</f>
        <v/>
      </c>
      <c r="K546" s="55">
        <f>Orders!K546</f>
        <v/>
      </c>
      <c r="L546" s="55">
        <f>VLOOKUP(D546,Products!$A$2:$F$61,3,FALSE())</f>
        <v/>
      </c>
      <c r="M546" s="55">
        <f>VLOOKUP(C546,Customers!$A$2:$F$301,5,FALSE())</f>
        <v/>
      </c>
      <c r="N546" s="55">
        <f>VLOOKUP(E546,Sales_Reps!$A$2:$E$31,3,FALSE())</f>
        <v/>
      </c>
      <c r="O546" s="55">
        <f>VLOOKUP(D546,Products!$A$2:$F$61,4,FALSE())</f>
        <v/>
      </c>
      <c r="P546" s="55">
        <f>VLOOKUP(C546,Customers!$A$2:$F$301,3,FALSE())</f>
        <v/>
      </c>
      <c r="Q546" s="55">
        <f>UPPER(TRIM(K546))</f>
        <v/>
      </c>
      <c r="R546" s="55">
        <f>(G546-O546)/G546</f>
        <v/>
      </c>
      <c r="S546" s="55">
        <f>VLOOKUP(D546,Products!$A$2:$F$61,6,FALSE())</f>
        <v/>
      </c>
    </row>
    <row r="547" ht="15" customHeight="1" s="56">
      <c r="A547" s="55">
        <f>Orders!A547</f>
        <v/>
      </c>
      <c r="B547" s="103">
        <f>Orders!B547</f>
        <v/>
      </c>
      <c r="C547" s="55">
        <f>Orders!C547</f>
        <v/>
      </c>
      <c r="D547" s="55">
        <f>Orders!D547</f>
        <v/>
      </c>
      <c r="E547" s="55">
        <f>Orders!E547</f>
        <v/>
      </c>
      <c r="F547" s="55">
        <f>Orders!F547</f>
        <v/>
      </c>
      <c r="G547" s="55">
        <f>Orders!G547</f>
        <v/>
      </c>
      <c r="H547" s="55">
        <f>Orders!H547</f>
        <v/>
      </c>
      <c r="I547" s="55">
        <f>Orders!I547</f>
        <v/>
      </c>
      <c r="J547" s="55">
        <f>Orders!J547</f>
        <v/>
      </c>
      <c r="K547" s="55">
        <f>Orders!K547</f>
        <v/>
      </c>
      <c r="L547" s="55">
        <f>VLOOKUP(D547,Products!$A$2:$F$61,3,FALSE())</f>
        <v/>
      </c>
      <c r="M547" s="55">
        <f>VLOOKUP(C547,Customers!$A$2:$F$301,5,FALSE())</f>
        <v/>
      </c>
      <c r="N547" s="55">
        <f>VLOOKUP(E547,Sales_Reps!$A$2:$E$31,3,FALSE())</f>
        <v/>
      </c>
      <c r="O547" s="55">
        <f>VLOOKUP(D547,Products!$A$2:$F$61,4,FALSE())</f>
        <v/>
      </c>
      <c r="P547" s="55">
        <f>VLOOKUP(C547,Customers!$A$2:$F$301,3,FALSE())</f>
        <v/>
      </c>
      <c r="Q547" s="55">
        <f>UPPER(TRIM(K547))</f>
        <v/>
      </c>
      <c r="R547" s="55">
        <f>(G547-O547)/G547</f>
        <v/>
      </c>
      <c r="S547" s="55">
        <f>VLOOKUP(D547,Products!$A$2:$F$61,6,FALSE())</f>
        <v/>
      </c>
    </row>
    <row r="548" ht="15" customHeight="1" s="56">
      <c r="A548" s="55">
        <f>Orders!A548</f>
        <v/>
      </c>
      <c r="B548" s="103">
        <f>Orders!B548</f>
        <v/>
      </c>
      <c r="C548" s="55">
        <f>Orders!C548</f>
        <v/>
      </c>
      <c r="D548" s="55">
        <f>Orders!D548</f>
        <v/>
      </c>
      <c r="E548" s="55">
        <f>Orders!E548</f>
        <v/>
      </c>
      <c r="F548" s="55">
        <f>Orders!F548</f>
        <v/>
      </c>
      <c r="G548" s="55">
        <f>Orders!G548</f>
        <v/>
      </c>
      <c r="H548" s="55">
        <f>Orders!H548</f>
        <v/>
      </c>
      <c r="I548" s="55">
        <f>Orders!I548</f>
        <v/>
      </c>
      <c r="J548" s="55">
        <f>Orders!J548</f>
        <v/>
      </c>
      <c r="K548" s="55">
        <f>Orders!K548</f>
        <v/>
      </c>
      <c r="L548" s="55">
        <f>VLOOKUP(D548,Products!$A$2:$F$61,3,FALSE())</f>
        <v/>
      </c>
      <c r="M548" s="55">
        <f>VLOOKUP(C548,Customers!$A$2:$F$301,5,FALSE())</f>
        <v/>
      </c>
      <c r="N548" s="55">
        <f>VLOOKUP(E548,Sales_Reps!$A$2:$E$31,3,FALSE())</f>
        <v/>
      </c>
      <c r="O548" s="55">
        <f>VLOOKUP(D548,Products!$A$2:$F$61,4,FALSE())</f>
        <v/>
      </c>
      <c r="P548" s="55">
        <f>VLOOKUP(C548,Customers!$A$2:$F$301,3,FALSE())</f>
        <v/>
      </c>
      <c r="Q548" s="55">
        <f>UPPER(TRIM(K548))</f>
        <v/>
      </c>
      <c r="R548" s="55">
        <f>(G548-O548)/G548</f>
        <v/>
      </c>
      <c r="S548" s="55">
        <f>VLOOKUP(D548,Products!$A$2:$F$61,6,FALSE())</f>
        <v/>
      </c>
    </row>
    <row r="549" ht="15" customHeight="1" s="56">
      <c r="A549" s="55">
        <f>Orders!A549</f>
        <v/>
      </c>
      <c r="B549" s="103">
        <f>Orders!B549</f>
        <v/>
      </c>
      <c r="C549" s="55">
        <f>Orders!C549</f>
        <v/>
      </c>
      <c r="D549" s="55">
        <f>Orders!D549</f>
        <v/>
      </c>
      <c r="E549" s="55">
        <f>Orders!E549</f>
        <v/>
      </c>
      <c r="F549" s="55">
        <f>Orders!F549</f>
        <v/>
      </c>
      <c r="G549" s="55">
        <f>Orders!G549</f>
        <v/>
      </c>
      <c r="H549" s="55">
        <f>Orders!H549</f>
        <v/>
      </c>
      <c r="I549" s="55">
        <f>Orders!I549</f>
        <v/>
      </c>
      <c r="J549" s="55">
        <f>Orders!J549</f>
        <v/>
      </c>
      <c r="K549" s="55">
        <f>Orders!K549</f>
        <v/>
      </c>
      <c r="L549" s="55">
        <f>VLOOKUP(D549,Products!$A$2:$F$61,3,FALSE())</f>
        <v/>
      </c>
      <c r="M549" s="55">
        <f>VLOOKUP(C549,Customers!$A$2:$F$301,5,FALSE())</f>
        <v/>
      </c>
      <c r="N549" s="55">
        <f>VLOOKUP(E549,Sales_Reps!$A$2:$E$31,3,FALSE())</f>
        <v/>
      </c>
      <c r="O549" s="55">
        <f>VLOOKUP(D549,Products!$A$2:$F$61,4,FALSE())</f>
        <v/>
      </c>
      <c r="P549" s="55">
        <f>VLOOKUP(C549,Customers!$A$2:$F$301,3,FALSE())</f>
        <v/>
      </c>
      <c r="Q549" s="55">
        <f>UPPER(TRIM(K549))</f>
        <v/>
      </c>
      <c r="R549" s="55">
        <f>(G549-O549)/G549</f>
        <v/>
      </c>
      <c r="S549" s="55">
        <f>VLOOKUP(D549,Products!$A$2:$F$61,6,FALSE())</f>
        <v/>
      </c>
    </row>
    <row r="550" ht="15" customHeight="1" s="56">
      <c r="A550" s="55">
        <f>Orders!A550</f>
        <v/>
      </c>
      <c r="B550" s="103">
        <f>Orders!B550</f>
        <v/>
      </c>
      <c r="C550" s="55">
        <f>Orders!C550</f>
        <v/>
      </c>
      <c r="D550" s="55">
        <f>Orders!D550</f>
        <v/>
      </c>
      <c r="E550" s="55">
        <f>Orders!E550</f>
        <v/>
      </c>
      <c r="F550" s="55">
        <f>Orders!F550</f>
        <v/>
      </c>
      <c r="G550" s="55">
        <f>Orders!G550</f>
        <v/>
      </c>
      <c r="H550" s="55">
        <f>Orders!H550</f>
        <v/>
      </c>
      <c r="I550" s="55">
        <f>Orders!I550</f>
        <v/>
      </c>
      <c r="J550" s="55">
        <f>Orders!J550</f>
        <v/>
      </c>
      <c r="K550" s="55">
        <f>Orders!K550</f>
        <v/>
      </c>
      <c r="L550" s="55">
        <f>VLOOKUP(D550,Products!$A$2:$F$61,3,FALSE())</f>
        <v/>
      </c>
      <c r="M550" s="55">
        <f>VLOOKUP(C550,Customers!$A$2:$F$301,5,FALSE())</f>
        <v/>
      </c>
      <c r="N550" s="55">
        <f>VLOOKUP(E550,Sales_Reps!$A$2:$E$31,3,FALSE())</f>
        <v/>
      </c>
      <c r="O550" s="55">
        <f>VLOOKUP(D550,Products!$A$2:$F$61,4,FALSE())</f>
        <v/>
      </c>
      <c r="P550" s="55">
        <f>VLOOKUP(C550,Customers!$A$2:$F$301,3,FALSE())</f>
        <v/>
      </c>
      <c r="Q550" s="55">
        <f>UPPER(TRIM(K550))</f>
        <v/>
      </c>
      <c r="R550" s="55">
        <f>(G550-O550)/G550</f>
        <v/>
      </c>
      <c r="S550" s="55">
        <f>VLOOKUP(D550,Products!$A$2:$F$61,6,FALSE())</f>
        <v/>
      </c>
    </row>
    <row r="551" ht="15" customHeight="1" s="56">
      <c r="A551" s="55">
        <f>Orders!A551</f>
        <v/>
      </c>
      <c r="B551" s="103">
        <f>Orders!B551</f>
        <v/>
      </c>
      <c r="C551" s="55">
        <f>Orders!C551</f>
        <v/>
      </c>
      <c r="D551" s="55">
        <f>Orders!D551</f>
        <v/>
      </c>
      <c r="E551" s="55">
        <f>Orders!E551</f>
        <v/>
      </c>
      <c r="F551" s="55">
        <f>Orders!F551</f>
        <v/>
      </c>
      <c r="G551" s="55">
        <f>Orders!G551</f>
        <v/>
      </c>
      <c r="H551" s="55">
        <f>Orders!H551</f>
        <v/>
      </c>
      <c r="I551" s="55">
        <f>Orders!I551</f>
        <v/>
      </c>
      <c r="J551" s="55">
        <f>Orders!J551</f>
        <v/>
      </c>
      <c r="K551" s="55">
        <f>Orders!K551</f>
        <v/>
      </c>
      <c r="L551" s="55">
        <f>VLOOKUP(D551,Products!$A$2:$F$61,3,FALSE())</f>
        <v/>
      </c>
      <c r="M551" s="55">
        <f>VLOOKUP(C551,Customers!$A$2:$F$301,5,FALSE())</f>
        <v/>
      </c>
      <c r="N551" s="55">
        <f>VLOOKUP(E551,Sales_Reps!$A$2:$E$31,3,FALSE())</f>
        <v/>
      </c>
      <c r="O551" s="55">
        <f>VLOOKUP(D551,Products!$A$2:$F$61,4,FALSE())</f>
        <v/>
      </c>
      <c r="P551" s="55">
        <f>VLOOKUP(C551,Customers!$A$2:$F$301,3,FALSE())</f>
        <v/>
      </c>
      <c r="Q551" s="55">
        <f>UPPER(TRIM(K551))</f>
        <v/>
      </c>
      <c r="R551" s="55">
        <f>(G551-O551)/G551</f>
        <v/>
      </c>
      <c r="S551" s="55">
        <f>VLOOKUP(D551,Products!$A$2:$F$61,6,FALSE())</f>
        <v/>
      </c>
    </row>
    <row r="552" ht="15" customHeight="1" s="56">
      <c r="A552" s="55">
        <f>Orders!A552</f>
        <v/>
      </c>
      <c r="B552" s="103">
        <f>Orders!B552</f>
        <v/>
      </c>
      <c r="C552" s="55">
        <f>Orders!C552</f>
        <v/>
      </c>
      <c r="D552" s="55">
        <f>Orders!D552</f>
        <v/>
      </c>
      <c r="E552" s="55">
        <f>Orders!E552</f>
        <v/>
      </c>
      <c r="F552" s="55">
        <f>Orders!F552</f>
        <v/>
      </c>
      <c r="G552" s="55">
        <f>Orders!G552</f>
        <v/>
      </c>
      <c r="H552" s="55">
        <f>Orders!H552</f>
        <v/>
      </c>
      <c r="I552" s="55">
        <f>Orders!I552</f>
        <v/>
      </c>
      <c r="J552" s="55">
        <f>Orders!J552</f>
        <v/>
      </c>
      <c r="K552" s="55">
        <f>Orders!K552</f>
        <v/>
      </c>
      <c r="L552" s="55">
        <f>VLOOKUP(D552,Products!$A$2:$F$61,3,FALSE())</f>
        <v/>
      </c>
      <c r="M552" s="55">
        <f>VLOOKUP(C552,Customers!$A$2:$F$301,5,FALSE())</f>
        <v/>
      </c>
      <c r="N552" s="55">
        <f>VLOOKUP(E552,Sales_Reps!$A$2:$E$31,3,FALSE())</f>
        <v/>
      </c>
      <c r="O552" s="55">
        <f>VLOOKUP(D552,Products!$A$2:$F$61,4,FALSE())</f>
        <v/>
      </c>
      <c r="P552" s="55">
        <f>VLOOKUP(C552,Customers!$A$2:$F$301,3,FALSE())</f>
        <v/>
      </c>
      <c r="Q552" s="55">
        <f>UPPER(TRIM(K552))</f>
        <v/>
      </c>
      <c r="R552" s="55">
        <f>(G552-O552)/G552</f>
        <v/>
      </c>
      <c r="S552" s="55">
        <f>VLOOKUP(D552,Products!$A$2:$F$61,6,FALSE())</f>
        <v/>
      </c>
    </row>
    <row r="553" ht="15" customHeight="1" s="56">
      <c r="A553" s="55">
        <f>Orders!A553</f>
        <v/>
      </c>
      <c r="B553" s="103">
        <f>Orders!B553</f>
        <v/>
      </c>
      <c r="C553" s="55">
        <f>Orders!C553</f>
        <v/>
      </c>
      <c r="D553" s="55">
        <f>Orders!D553</f>
        <v/>
      </c>
      <c r="E553" s="55">
        <f>Orders!E553</f>
        <v/>
      </c>
      <c r="F553" s="55">
        <f>Orders!F553</f>
        <v/>
      </c>
      <c r="G553" s="55">
        <f>Orders!G553</f>
        <v/>
      </c>
      <c r="H553" s="55">
        <f>Orders!H553</f>
        <v/>
      </c>
      <c r="I553" s="55">
        <f>Orders!I553</f>
        <v/>
      </c>
      <c r="J553" s="55">
        <f>Orders!J553</f>
        <v/>
      </c>
      <c r="K553" s="55">
        <f>Orders!K553</f>
        <v/>
      </c>
      <c r="L553" s="55">
        <f>VLOOKUP(D553,Products!$A$2:$F$61,3,FALSE())</f>
        <v/>
      </c>
      <c r="M553" s="55">
        <f>VLOOKUP(C553,Customers!$A$2:$F$301,5,FALSE())</f>
        <v/>
      </c>
      <c r="N553" s="55">
        <f>VLOOKUP(E553,Sales_Reps!$A$2:$E$31,3,FALSE())</f>
        <v/>
      </c>
      <c r="O553" s="55">
        <f>VLOOKUP(D553,Products!$A$2:$F$61,4,FALSE())</f>
        <v/>
      </c>
      <c r="P553" s="55">
        <f>VLOOKUP(C553,Customers!$A$2:$F$301,3,FALSE())</f>
        <v/>
      </c>
      <c r="Q553" s="55">
        <f>UPPER(TRIM(K553))</f>
        <v/>
      </c>
      <c r="R553" s="55">
        <f>(G553-O553)/G553</f>
        <v/>
      </c>
      <c r="S553" s="55">
        <f>VLOOKUP(D553,Products!$A$2:$F$61,6,FALSE())</f>
        <v/>
      </c>
    </row>
    <row r="554" ht="15" customHeight="1" s="56">
      <c r="A554" s="55">
        <f>Orders!A554</f>
        <v/>
      </c>
      <c r="B554" s="103">
        <f>Orders!B554</f>
        <v/>
      </c>
      <c r="C554" s="55">
        <f>Orders!C554</f>
        <v/>
      </c>
      <c r="D554" s="55">
        <f>Orders!D554</f>
        <v/>
      </c>
      <c r="E554" s="55">
        <f>Orders!E554</f>
        <v/>
      </c>
      <c r="F554" s="55">
        <f>Orders!F554</f>
        <v/>
      </c>
      <c r="G554" s="55">
        <f>Orders!G554</f>
        <v/>
      </c>
      <c r="H554" s="55">
        <f>Orders!H554</f>
        <v/>
      </c>
      <c r="I554" s="55">
        <f>Orders!I554</f>
        <v/>
      </c>
      <c r="J554" s="55">
        <f>Orders!J554</f>
        <v/>
      </c>
      <c r="K554" s="55">
        <f>Orders!K554</f>
        <v/>
      </c>
      <c r="L554" s="55">
        <f>VLOOKUP(D554,Products!$A$2:$F$61,3,FALSE())</f>
        <v/>
      </c>
      <c r="M554" s="55">
        <f>VLOOKUP(C554,Customers!$A$2:$F$301,5,FALSE())</f>
        <v/>
      </c>
      <c r="N554" s="55">
        <f>VLOOKUP(E554,Sales_Reps!$A$2:$E$31,3,FALSE())</f>
        <v/>
      </c>
      <c r="O554" s="55">
        <f>VLOOKUP(D554,Products!$A$2:$F$61,4,FALSE())</f>
        <v/>
      </c>
      <c r="P554" s="55">
        <f>VLOOKUP(C554,Customers!$A$2:$F$301,3,FALSE())</f>
        <v/>
      </c>
      <c r="Q554" s="55">
        <f>UPPER(TRIM(K554))</f>
        <v/>
      </c>
      <c r="R554" s="55">
        <f>(G554-O554)/G554</f>
        <v/>
      </c>
      <c r="S554" s="55">
        <f>VLOOKUP(D554,Products!$A$2:$F$61,6,FALSE())</f>
        <v/>
      </c>
    </row>
    <row r="555" ht="15" customHeight="1" s="56">
      <c r="A555" s="55">
        <f>Orders!A555</f>
        <v/>
      </c>
      <c r="B555" s="103">
        <f>Orders!B555</f>
        <v/>
      </c>
      <c r="C555" s="55">
        <f>Orders!C555</f>
        <v/>
      </c>
      <c r="D555" s="55">
        <f>Orders!D555</f>
        <v/>
      </c>
      <c r="E555" s="55">
        <f>Orders!E555</f>
        <v/>
      </c>
      <c r="F555" s="55">
        <f>Orders!F555</f>
        <v/>
      </c>
      <c r="G555" s="55">
        <f>Orders!G555</f>
        <v/>
      </c>
      <c r="H555" s="55">
        <f>Orders!H555</f>
        <v/>
      </c>
      <c r="I555" s="55">
        <f>Orders!I555</f>
        <v/>
      </c>
      <c r="J555" s="55">
        <f>Orders!J555</f>
        <v/>
      </c>
      <c r="K555" s="55">
        <f>Orders!K555</f>
        <v/>
      </c>
      <c r="L555" s="55">
        <f>VLOOKUP(D555,Products!$A$2:$F$61,3,FALSE())</f>
        <v/>
      </c>
      <c r="M555" s="55">
        <f>VLOOKUP(C555,Customers!$A$2:$F$301,5,FALSE())</f>
        <v/>
      </c>
      <c r="N555" s="55">
        <f>VLOOKUP(E555,Sales_Reps!$A$2:$E$31,3,FALSE())</f>
        <v/>
      </c>
      <c r="O555" s="55">
        <f>VLOOKUP(D555,Products!$A$2:$F$61,4,FALSE())</f>
        <v/>
      </c>
      <c r="P555" s="55">
        <f>VLOOKUP(C555,Customers!$A$2:$F$301,3,FALSE())</f>
        <v/>
      </c>
      <c r="Q555" s="55">
        <f>UPPER(TRIM(K555))</f>
        <v/>
      </c>
      <c r="R555" s="55">
        <f>(G555-O555)/G555</f>
        <v/>
      </c>
      <c r="S555" s="55">
        <f>VLOOKUP(D555,Products!$A$2:$F$61,6,FALSE())</f>
        <v/>
      </c>
    </row>
    <row r="556" ht="15" customHeight="1" s="56">
      <c r="A556" s="55">
        <f>Orders!A556</f>
        <v/>
      </c>
      <c r="B556" s="103">
        <f>Orders!B556</f>
        <v/>
      </c>
      <c r="C556" s="55">
        <f>Orders!C556</f>
        <v/>
      </c>
      <c r="D556" s="55">
        <f>Orders!D556</f>
        <v/>
      </c>
      <c r="E556" s="55">
        <f>Orders!E556</f>
        <v/>
      </c>
      <c r="F556" s="55">
        <f>Orders!F556</f>
        <v/>
      </c>
      <c r="G556" s="55">
        <f>Orders!G556</f>
        <v/>
      </c>
      <c r="H556" s="55">
        <f>Orders!H556</f>
        <v/>
      </c>
      <c r="I556" s="55">
        <f>Orders!I556</f>
        <v/>
      </c>
      <c r="J556" s="55">
        <f>Orders!J556</f>
        <v/>
      </c>
      <c r="K556" s="55">
        <f>Orders!K556</f>
        <v/>
      </c>
      <c r="L556" s="55">
        <f>VLOOKUP(D556,Products!$A$2:$F$61,3,FALSE())</f>
        <v/>
      </c>
      <c r="M556" s="55">
        <f>VLOOKUP(C556,Customers!$A$2:$F$301,5,FALSE())</f>
        <v/>
      </c>
      <c r="N556" s="55">
        <f>VLOOKUP(E556,Sales_Reps!$A$2:$E$31,3,FALSE())</f>
        <v/>
      </c>
      <c r="O556" s="55">
        <f>VLOOKUP(D556,Products!$A$2:$F$61,4,FALSE())</f>
        <v/>
      </c>
      <c r="P556" s="55">
        <f>VLOOKUP(C556,Customers!$A$2:$F$301,3,FALSE())</f>
        <v/>
      </c>
      <c r="Q556" s="55">
        <f>UPPER(TRIM(K556))</f>
        <v/>
      </c>
      <c r="R556" s="55">
        <f>(G556-O556)/G556</f>
        <v/>
      </c>
      <c r="S556" s="55">
        <f>VLOOKUP(D556,Products!$A$2:$F$61,6,FALSE())</f>
        <v/>
      </c>
    </row>
    <row r="557" ht="15" customHeight="1" s="56">
      <c r="A557" s="55">
        <f>Orders!A557</f>
        <v/>
      </c>
      <c r="B557" s="103">
        <f>Orders!B557</f>
        <v/>
      </c>
      <c r="C557" s="55">
        <f>Orders!C557</f>
        <v/>
      </c>
      <c r="D557" s="55">
        <f>Orders!D557</f>
        <v/>
      </c>
      <c r="E557" s="55">
        <f>Orders!E557</f>
        <v/>
      </c>
      <c r="F557" s="55">
        <f>Orders!F557</f>
        <v/>
      </c>
      <c r="G557" s="55">
        <f>Orders!G557</f>
        <v/>
      </c>
      <c r="H557" s="55">
        <f>Orders!H557</f>
        <v/>
      </c>
      <c r="I557" s="55">
        <f>Orders!I557</f>
        <v/>
      </c>
      <c r="J557" s="55">
        <f>Orders!J557</f>
        <v/>
      </c>
      <c r="K557" s="55">
        <f>Orders!K557</f>
        <v/>
      </c>
      <c r="L557" s="55">
        <f>VLOOKUP(D557,Products!$A$2:$F$61,3,FALSE())</f>
        <v/>
      </c>
      <c r="M557" s="55">
        <f>VLOOKUP(C557,Customers!$A$2:$F$301,5,FALSE())</f>
        <v/>
      </c>
      <c r="N557" s="55">
        <f>VLOOKUP(E557,Sales_Reps!$A$2:$E$31,3,FALSE())</f>
        <v/>
      </c>
      <c r="O557" s="55">
        <f>VLOOKUP(D557,Products!$A$2:$F$61,4,FALSE())</f>
        <v/>
      </c>
      <c r="P557" s="55">
        <f>VLOOKUP(C557,Customers!$A$2:$F$301,3,FALSE())</f>
        <v/>
      </c>
      <c r="Q557" s="55">
        <f>UPPER(TRIM(K557))</f>
        <v/>
      </c>
      <c r="R557" s="55">
        <f>(G557-O557)/G557</f>
        <v/>
      </c>
      <c r="S557" s="55">
        <f>VLOOKUP(D557,Products!$A$2:$F$61,6,FALSE())</f>
        <v/>
      </c>
    </row>
    <row r="558" ht="15" customHeight="1" s="56">
      <c r="A558" s="55">
        <f>Orders!A558</f>
        <v/>
      </c>
      <c r="B558" s="103">
        <f>Orders!B558</f>
        <v/>
      </c>
      <c r="C558" s="55">
        <f>Orders!C558</f>
        <v/>
      </c>
      <c r="D558" s="55">
        <f>Orders!D558</f>
        <v/>
      </c>
      <c r="E558" s="55">
        <f>Orders!E558</f>
        <v/>
      </c>
      <c r="F558" s="55">
        <f>Orders!F558</f>
        <v/>
      </c>
      <c r="G558" s="55">
        <f>Orders!G558</f>
        <v/>
      </c>
      <c r="H558" s="55">
        <f>Orders!H558</f>
        <v/>
      </c>
      <c r="I558" s="55">
        <f>Orders!I558</f>
        <v/>
      </c>
      <c r="J558" s="55">
        <f>Orders!J558</f>
        <v/>
      </c>
      <c r="K558" s="55">
        <f>Orders!K558</f>
        <v/>
      </c>
      <c r="L558" s="55">
        <f>VLOOKUP(D558,Products!$A$2:$F$61,3,FALSE())</f>
        <v/>
      </c>
      <c r="M558" s="55">
        <f>VLOOKUP(C558,Customers!$A$2:$F$301,5,FALSE())</f>
        <v/>
      </c>
      <c r="N558" s="55">
        <f>VLOOKUP(E558,Sales_Reps!$A$2:$E$31,3,FALSE())</f>
        <v/>
      </c>
      <c r="O558" s="55">
        <f>VLOOKUP(D558,Products!$A$2:$F$61,4,FALSE())</f>
        <v/>
      </c>
      <c r="P558" s="55">
        <f>VLOOKUP(C558,Customers!$A$2:$F$301,3,FALSE())</f>
        <v/>
      </c>
      <c r="Q558" s="55">
        <f>UPPER(TRIM(K558))</f>
        <v/>
      </c>
      <c r="R558" s="55">
        <f>(G558-O558)/G558</f>
        <v/>
      </c>
      <c r="S558" s="55">
        <f>VLOOKUP(D558,Products!$A$2:$F$61,6,FALSE())</f>
        <v/>
      </c>
    </row>
    <row r="559" ht="15" customHeight="1" s="56">
      <c r="A559" s="55">
        <f>Orders!A559</f>
        <v/>
      </c>
      <c r="B559" s="103">
        <f>Orders!B559</f>
        <v/>
      </c>
      <c r="C559" s="55">
        <f>Orders!C559</f>
        <v/>
      </c>
      <c r="D559" s="55">
        <f>Orders!D559</f>
        <v/>
      </c>
      <c r="E559" s="55">
        <f>Orders!E559</f>
        <v/>
      </c>
      <c r="F559" s="55">
        <f>Orders!F559</f>
        <v/>
      </c>
      <c r="G559" s="55">
        <f>Orders!G559</f>
        <v/>
      </c>
      <c r="H559" s="55">
        <f>Orders!H559</f>
        <v/>
      </c>
      <c r="I559" s="55">
        <f>Orders!I559</f>
        <v/>
      </c>
      <c r="J559" s="55">
        <f>Orders!J559</f>
        <v/>
      </c>
      <c r="K559" s="55">
        <f>Orders!K559</f>
        <v/>
      </c>
      <c r="L559" s="55">
        <f>VLOOKUP(D559,Products!$A$2:$F$61,3,FALSE())</f>
        <v/>
      </c>
      <c r="M559" s="55">
        <f>VLOOKUP(C559,Customers!$A$2:$F$301,5,FALSE())</f>
        <v/>
      </c>
      <c r="N559" s="55">
        <f>VLOOKUP(E559,Sales_Reps!$A$2:$E$31,3,FALSE())</f>
        <v/>
      </c>
      <c r="O559" s="55">
        <f>VLOOKUP(D559,Products!$A$2:$F$61,4,FALSE())</f>
        <v/>
      </c>
      <c r="P559" s="55">
        <f>VLOOKUP(C559,Customers!$A$2:$F$301,3,FALSE())</f>
        <v/>
      </c>
      <c r="Q559" s="55">
        <f>UPPER(TRIM(K559))</f>
        <v/>
      </c>
      <c r="R559" s="55">
        <f>(G559-O559)/G559</f>
        <v/>
      </c>
      <c r="S559" s="55">
        <f>VLOOKUP(D559,Products!$A$2:$F$61,6,FALSE())</f>
        <v/>
      </c>
    </row>
    <row r="560" ht="15" customHeight="1" s="56">
      <c r="A560" s="55">
        <f>Orders!A560</f>
        <v/>
      </c>
      <c r="B560" s="103">
        <f>Orders!B560</f>
        <v/>
      </c>
      <c r="C560" s="55">
        <f>Orders!C560</f>
        <v/>
      </c>
      <c r="D560" s="55">
        <f>Orders!D560</f>
        <v/>
      </c>
      <c r="E560" s="55">
        <f>Orders!E560</f>
        <v/>
      </c>
      <c r="F560" s="55">
        <f>Orders!F560</f>
        <v/>
      </c>
      <c r="G560" s="55">
        <f>Orders!G560</f>
        <v/>
      </c>
      <c r="H560" s="55">
        <f>Orders!H560</f>
        <v/>
      </c>
      <c r="I560" s="55">
        <f>Orders!I560</f>
        <v/>
      </c>
      <c r="J560" s="55">
        <f>Orders!J560</f>
        <v/>
      </c>
      <c r="K560" s="55">
        <f>Orders!K560</f>
        <v/>
      </c>
      <c r="L560" s="55">
        <f>VLOOKUP(D560,Products!$A$2:$F$61,3,FALSE())</f>
        <v/>
      </c>
      <c r="M560" s="55">
        <f>VLOOKUP(C560,Customers!$A$2:$F$301,5,FALSE())</f>
        <v/>
      </c>
      <c r="N560" s="55">
        <f>VLOOKUP(E560,Sales_Reps!$A$2:$E$31,3,FALSE())</f>
        <v/>
      </c>
      <c r="O560" s="55">
        <f>VLOOKUP(D560,Products!$A$2:$F$61,4,FALSE())</f>
        <v/>
      </c>
      <c r="P560" s="55">
        <f>VLOOKUP(C560,Customers!$A$2:$F$301,3,FALSE())</f>
        <v/>
      </c>
      <c r="Q560" s="55">
        <f>UPPER(TRIM(K560))</f>
        <v/>
      </c>
      <c r="R560" s="55">
        <f>(G560-O560)/G560</f>
        <v/>
      </c>
      <c r="S560" s="55">
        <f>VLOOKUP(D560,Products!$A$2:$F$61,6,FALSE())</f>
        <v/>
      </c>
    </row>
    <row r="561" ht="15" customHeight="1" s="56">
      <c r="A561" s="55">
        <f>Orders!A561</f>
        <v/>
      </c>
      <c r="B561" s="103">
        <f>Orders!B561</f>
        <v/>
      </c>
      <c r="C561" s="55">
        <f>Orders!C561</f>
        <v/>
      </c>
      <c r="D561" s="55">
        <f>Orders!D561</f>
        <v/>
      </c>
      <c r="E561" s="55">
        <f>Orders!E561</f>
        <v/>
      </c>
      <c r="F561" s="55">
        <f>Orders!F561</f>
        <v/>
      </c>
      <c r="G561" s="55">
        <f>Orders!G561</f>
        <v/>
      </c>
      <c r="H561" s="55">
        <f>Orders!H561</f>
        <v/>
      </c>
      <c r="I561" s="55">
        <f>Orders!I561</f>
        <v/>
      </c>
      <c r="J561" s="55">
        <f>Orders!J561</f>
        <v/>
      </c>
      <c r="K561" s="55">
        <f>Orders!K561</f>
        <v/>
      </c>
      <c r="L561" s="55">
        <f>VLOOKUP(D561,Products!$A$2:$F$61,3,FALSE())</f>
        <v/>
      </c>
      <c r="M561" s="55">
        <f>VLOOKUP(C561,Customers!$A$2:$F$301,5,FALSE())</f>
        <v/>
      </c>
      <c r="N561" s="55">
        <f>VLOOKUP(E561,Sales_Reps!$A$2:$E$31,3,FALSE())</f>
        <v/>
      </c>
      <c r="O561" s="55">
        <f>VLOOKUP(D561,Products!$A$2:$F$61,4,FALSE())</f>
        <v/>
      </c>
      <c r="P561" s="55">
        <f>VLOOKUP(C561,Customers!$A$2:$F$301,3,FALSE())</f>
        <v/>
      </c>
      <c r="Q561" s="55">
        <f>UPPER(TRIM(K561))</f>
        <v/>
      </c>
      <c r="R561" s="55">
        <f>(G561-O561)/G561</f>
        <v/>
      </c>
      <c r="S561" s="55">
        <f>VLOOKUP(D561,Products!$A$2:$F$61,6,FALSE())</f>
        <v/>
      </c>
    </row>
    <row r="562" ht="15" customHeight="1" s="56">
      <c r="A562" s="55">
        <f>Orders!A562</f>
        <v/>
      </c>
      <c r="B562" s="103">
        <f>Orders!B562</f>
        <v/>
      </c>
      <c r="C562" s="55">
        <f>Orders!C562</f>
        <v/>
      </c>
      <c r="D562" s="55">
        <f>Orders!D562</f>
        <v/>
      </c>
      <c r="E562" s="55">
        <f>Orders!E562</f>
        <v/>
      </c>
      <c r="F562" s="55">
        <f>Orders!F562</f>
        <v/>
      </c>
      <c r="G562" s="55">
        <f>Orders!G562</f>
        <v/>
      </c>
      <c r="H562" s="55">
        <f>Orders!H562</f>
        <v/>
      </c>
      <c r="I562" s="55">
        <f>Orders!I562</f>
        <v/>
      </c>
      <c r="J562" s="55">
        <f>Orders!J562</f>
        <v/>
      </c>
      <c r="K562" s="55">
        <f>Orders!K562</f>
        <v/>
      </c>
      <c r="L562" s="55">
        <f>VLOOKUP(D562,Products!$A$2:$F$61,3,FALSE())</f>
        <v/>
      </c>
      <c r="M562" s="55">
        <f>VLOOKUP(C562,Customers!$A$2:$F$301,5,FALSE())</f>
        <v/>
      </c>
      <c r="N562" s="55">
        <f>VLOOKUP(E562,Sales_Reps!$A$2:$E$31,3,FALSE())</f>
        <v/>
      </c>
      <c r="O562" s="55">
        <f>VLOOKUP(D562,Products!$A$2:$F$61,4,FALSE())</f>
        <v/>
      </c>
      <c r="P562" s="55">
        <f>VLOOKUP(C562,Customers!$A$2:$F$301,3,FALSE())</f>
        <v/>
      </c>
      <c r="Q562" s="55">
        <f>UPPER(TRIM(K562))</f>
        <v/>
      </c>
      <c r="R562" s="55">
        <f>(G562-O562)/G562</f>
        <v/>
      </c>
      <c r="S562" s="55">
        <f>VLOOKUP(D562,Products!$A$2:$F$61,6,FALSE())</f>
        <v/>
      </c>
    </row>
    <row r="563" ht="15" customHeight="1" s="56">
      <c r="A563" s="55">
        <f>Orders!A563</f>
        <v/>
      </c>
      <c r="B563" s="103">
        <f>Orders!B563</f>
        <v/>
      </c>
      <c r="C563" s="55">
        <f>Orders!C563</f>
        <v/>
      </c>
      <c r="D563" s="55">
        <f>Orders!D563</f>
        <v/>
      </c>
      <c r="E563" s="55">
        <f>Orders!E563</f>
        <v/>
      </c>
      <c r="F563" s="55">
        <f>Orders!F563</f>
        <v/>
      </c>
      <c r="G563" s="55">
        <f>Orders!G563</f>
        <v/>
      </c>
      <c r="H563" s="55">
        <f>Orders!H563</f>
        <v/>
      </c>
      <c r="I563" s="55">
        <f>Orders!I563</f>
        <v/>
      </c>
      <c r="J563" s="55">
        <f>Orders!J563</f>
        <v/>
      </c>
      <c r="K563" s="55">
        <f>Orders!K563</f>
        <v/>
      </c>
      <c r="L563" s="55">
        <f>VLOOKUP(D563,Products!$A$2:$F$61,3,FALSE())</f>
        <v/>
      </c>
      <c r="M563" s="55">
        <f>VLOOKUP(C563,Customers!$A$2:$F$301,5,FALSE())</f>
        <v/>
      </c>
      <c r="N563" s="55">
        <f>VLOOKUP(E563,Sales_Reps!$A$2:$E$31,3,FALSE())</f>
        <v/>
      </c>
      <c r="O563" s="55">
        <f>VLOOKUP(D563,Products!$A$2:$F$61,4,FALSE())</f>
        <v/>
      </c>
      <c r="P563" s="55">
        <f>VLOOKUP(C563,Customers!$A$2:$F$301,3,FALSE())</f>
        <v/>
      </c>
      <c r="Q563" s="55">
        <f>UPPER(TRIM(K563))</f>
        <v/>
      </c>
      <c r="R563" s="55">
        <f>(G563-O563)/G563</f>
        <v/>
      </c>
      <c r="S563" s="55">
        <f>VLOOKUP(D563,Products!$A$2:$F$61,6,FALSE())</f>
        <v/>
      </c>
    </row>
    <row r="564" ht="15" customHeight="1" s="56">
      <c r="A564" s="55">
        <f>Orders!A564</f>
        <v/>
      </c>
      <c r="B564" s="103">
        <f>Orders!B564</f>
        <v/>
      </c>
      <c r="C564" s="55">
        <f>Orders!C564</f>
        <v/>
      </c>
      <c r="D564" s="55">
        <f>Orders!D564</f>
        <v/>
      </c>
      <c r="E564" s="55">
        <f>Orders!E564</f>
        <v/>
      </c>
      <c r="F564" s="55">
        <f>Orders!F564</f>
        <v/>
      </c>
      <c r="G564" s="55">
        <f>Orders!G564</f>
        <v/>
      </c>
      <c r="H564" s="55">
        <f>Orders!H564</f>
        <v/>
      </c>
      <c r="I564" s="55">
        <f>Orders!I564</f>
        <v/>
      </c>
      <c r="J564" s="55">
        <f>Orders!J564</f>
        <v/>
      </c>
      <c r="K564" s="55">
        <f>Orders!K564</f>
        <v/>
      </c>
      <c r="L564" s="55">
        <f>VLOOKUP(D564,Products!$A$2:$F$61,3,FALSE())</f>
        <v/>
      </c>
      <c r="M564" s="55">
        <f>VLOOKUP(C564,Customers!$A$2:$F$301,5,FALSE())</f>
        <v/>
      </c>
      <c r="N564" s="55">
        <f>VLOOKUP(E564,Sales_Reps!$A$2:$E$31,3,FALSE())</f>
        <v/>
      </c>
      <c r="O564" s="55">
        <f>VLOOKUP(D564,Products!$A$2:$F$61,4,FALSE())</f>
        <v/>
      </c>
      <c r="P564" s="55">
        <f>VLOOKUP(C564,Customers!$A$2:$F$301,3,FALSE())</f>
        <v/>
      </c>
      <c r="Q564" s="55">
        <f>UPPER(TRIM(K564))</f>
        <v/>
      </c>
      <c r="R564" s="55">
        <f>(G564-O564)/G564</f>
        <v/>
      </c>
      <c r="S564" s="55">
        <f>VLOOKUP(D564,Products!$A$2:$F$61,6,FALSE())</f>
        <v/>
      </c>
    </row>
    <row r="565" ht="15" customHeight="1" s="56">
      <c r="A565" s="55">
        <f>Orders!A565</f>
        <v/>
      </c>
      <c r="B565" s="103">
        <f>Orders!B565</f>
        <v/>
      </c>
      <c r="C565" s="55">
        <f>Orders!C565</f>
        <v/>
      </c>
      <c r="D565" s="55">
        <f>Orders!D565</f>
        <v/>
      </c>
      <c r="E565" s="55">
        <f>Orders!E565</f>
        <v/>
      </c>
      <c r="F565" s="55">
        <f>Orders!F565</f>
        <v/>
      </c>
      <c r="G565" s="55">
        <f>Orders!G565</f>
        <v/>
      </c>
      <c r="H565" s="55">
        <f>Orders!H565</f>
        <v/>
      </c>
      <c r="I565" s="55">
        <f>Orders!I565</f>
        <v/>
      </c>
      <c r="J565" s="55">
        <f>Orders!J565</f>
        <v/>
      </c>
      <c r="K565" s="55">
        <f>Orders!K565</f>
        <v/>
      </c>
      <c r="L565" s="55">
        <f>VLOOKUP(D565,Products!$A$2:$F$61,3,FALSE())</f>
        <v/>
      </c>
      <c r="M565" s="55">
        <f>VLOOKUP(C565,Customers!$A$2:$F$301,5,FALSE())</f>
        <v/>
      </c>
      <c r="N565" s="55">
        <f>VLOOKUP(E565,Sales_Reps!$A$2:$E$31,3,FALSE())</f>
        <v/>
      </c>
      <c r="O565" s="55">
        <f>VLOOKUP(D565,Products!$A$2:$F$61,4,FALSE())</f>
        <v/>
      </c>
      <c r="P565" s="55">
        <f>VLOOKUP(C565,Customers!$A$2:$F$301,3,FALSE())</f>
        <v/>
      </c>
      <c r="Q565" s="55">
        <f>UPPER(TRIM(K565))</f>
        <v/>
      </c>
      <c r="R565" s="55">
        <f>(G565-O565)/G565</f>
        <v/>
      </c>
      <c r="S565" s="55">
        <f>VLOOKUP(D565,Products!$A$2:$F$61,6,FALSE())</f>
        <v/>
      </c>
    </row>
    <row r="566" ht="15" customHeight="1" s="56">
      <c r="A566" s="55">
        <f>Orders!A566</f>
        <v/>
      </c>
      <c r="B566" s="103">
        <f>Orders!B566</f>
        <v/>
      </c>
      <c r="C566" s="55">
        <f>Orders!C566</f>
        <v/>
      </c>
      <c r="D566" s="55">
        <f>Orders!D566</f>
        <v/>
      </c>
      <c r="E566" s="55">
        <f>Orders!E566</f>
        <v/>
      </c>
      <c r="F566" s="55">
        <f>Orders!F566</f>
        <v/>
      </c>
      <c r="G566" s="55">
        <f>Orders!G566</f>
        <v/>
      </c>
      <c r="H566" s="55">
        <f>Orders!H566</f>
        <v/>
      </c>
      <c r="I566" s="55">
        <f>Orders!I566</f>
        <v/>
      </c>
      <c r="J566" s="55">
        <f>Orders!J566</f>
        <v/>
      </c>
      <c r="K566" s="55">
        <f>Orders!K566</f>
        <v/>
      </c>
      <c r="L566" s="55">
        <f>VLOOKUP(D566,Products!$A$2:$F$61,3,FALSE())</f>
        <v/>
      </c>
      <c r="M566" s="55">
        <f>VLOOKUP(C566,Customers!$A$2:$F$301,5,FALSE())</f>
        <v/>
      </c>
      <c r="N566" s="55">
        <f>VLOOKUP(E566,Sales_Reps!$A$2:$E$31,3,FALSE())</f>
        <v/>
      </c>
      <c r="O566" s="55">
        <f>VLOOKUP(D566,Products!$A$2:$F$61,4,FALSE())</f>
        <v/>
      </c>
      <c r="P566" s="55">
        <f>VLOOKUP(C566,Customers!$A$2:$F$301,3,FALSE())</f>
        <v/>
      </c>
      <c r="Q566" s="55">
        <f>UPPER(TRIM(K566))</f>
        <v/>
      </c>
      <c r="R566" s="55">
        <f>(G566-O566)/G566</f>
        <v/>
      </c>
      <c r="S566" s="55">
        <f>VLOOKUP(D566,Products!$A$2:$F$61,6,FALSE())</f>
        <v/>
      </c>
    </row>
    <row r="567" ht="15" customHeight="1" s="56">
      <c r="A567" s="55">
        <f>Orders!A567</f>
        <v/>
      </c>
      <c r="B567" s="103">
        <f>Orders!B567</f>
        <v/>
      </c>
      <c r="C567" s="55">
        <f>Orders!C567</f>
        <v/>
      </c>
      <c r="D567" s="55">
        <f>Orders!D567</f>
        <v/>
      </c>
      <c r="E567" s="55">
        <f>Orders!E567</f>
        <v/>
      </c>
      <c r="F567" s="55">
        <f>Orders!F567</f>
        <v/>
      </c>
      <c r="G567" s="55">
        <f>Orders!G567</f>
        <v/>
      </c>
      <c r="H567" s="55">
        <f>Orders!H567</f>
        <v/>
      </c>
      <c r="I567" s="55">
        <f>Orders!I567</f>
        <v/>
      </c>
      <c r="J567" s="55">
        <f>Orders!J567</f>
        <v/>
      </c>
      <c r="K567" s="55">
        <f>Orders!K567</f>
        <v/>
      </c>
      <c r="L567" s="55">
        <f>VLOOKUP(D567,Products!$A$2:$F$61,3,FALSE())</f>
        <v/>
      </c>
      <c r="M567" s="55">
        <f>VLOOKUP(C567,Customers!$A$2:$F$301,5,FALSE())</f>
        <v/>
      </c>
      <c r="N567" s="55">
        <f>VLOOKUP(E567,Sales_Reps!$A$2:$E$31,3,FALSE())</f>
        <v/>
      </c>
      <c r="O567" s="55">
        <f>VLOOKUP(D567,Products!$A$2:$F$61,4,FALSE())</f>
        <v/>
      </c>
      <c r="P567" s="55">
        <f>VLOOKUP(C567,Customers!$A$2:$F$301,3,FALSE())</f>
        <v/>
      </c>
      <c r="Q567" s="55">
        <f>UPPER(TRIM(K567))</f>
        <v/>
      </c>
      <c r="R567" s="55">
        <f>(G567-O567)/G567</f>
        <v/>
      </c>
      <c r="S567" s="55">
        <f>VLOOKUP(D567,Products!$A$2:$F$61,6,FALSE())</f>
        <v/>
      </c>
    </row>
    <row r="568" ht="15" customHeight="1" s="56">
      <c r="A568" s="55">
        <f>Orders!A568</f>
        <v/>
      </c>
      <c r="B568" s="103">
        <f>Orders!B568</f>
        <v/>
      </c>
      <c r="C568" s="55">
        <f>Orders!C568</f>
        <v/>
      </c>
      <c r="D568" s="55">
        <f>Orders!D568</f>
        <v/>
      </c>
      <c r="E568" s="55">
        <f>Orders!E568</f>
        <v/>
      </c>
      <c r="F568" s="55">
        <f>Orders!F568</f>
        <v/>
      </c>
      <c r="G568" s="55">
        <f>Orders!G568</f>
        <v/>
      </c>
      <c r="H568" s="55">
        <f>Orders!H568</f>
        <v/>
      </c>
      <c r="I568" s="55">
        <f>Orders!I568</f>
        <v/>
      </c>
      <c r="J568" s="55">
        <f>Orders!J568</f>
        <v/>
      </c>
      <c r="K568" s="55">
        <f>Orders!K568</f>
        <v/>
      </c>
      <c r="L568" s="55">
        <f>VLOOKUP(D568,Products!$A$2:$F$61,3,FALSE())</f>
        <v/>
      </c>
      <c r="M568" s="55">
        <f>VLOOKUP(C568,Customers!$A$2:$F$301,5,FALSE())</f>
        <v/>
      </c>
      <c r="N568" s="55">
        <f>VLOOKUP(E568,Sales_Reps!$A$2:$E$31,3,FALSE())</f>
        <v/>
      </c>
      <c r="O568" s="55">
        <f>VLOOKUP(D568,Products!$A$2:$F$61,4,FALSE())</f>
        <v/>
      </c>
      <c r="P568" s="55">
        <f>VLOOKUP(C568,Customers!$A$2:$F$301,3,FALSE())</f>
        <v/>
      </c>
      <c r="Q568" s="55">
        <f>UPPER(TRIM(K568))</f>
        <v/>
      </c>
      <c r="R568" s="55">
        <f>(G568-O568)/G568</f>
        <v/>
      </c>
      <c r="S568" s="55">
        <f>VLOOKUP(D568,Products!$A$2:$F$61,6,FALSE())</f>
        <v/>
      </c>
    </row>
    <row r="569" ht="15" customHeight="1" s="56">
      <c r="A569" s="55">
        <f>Orders!A569</f>
        <v/>
      </c>
      <c r="B569" s="103">
        <f>Orders!B569</f>
        <v/>
      </c>
      <c r="C569" s="55">
        <f>Orders!C569</f>
        <v/>
      </c>
      <c r="D569" s="55">
        <f>Orders!D569</f>
        <v/>
      </c>
      <c r="E569" s="55">
        <f>Orders!E569</f>
        <v/>
      </c>
      <c r="F569" s="55">
        <f>Orders!F569</f>
        <v/>
      </c>
      <c r="G569" s="55">
        <f>Orders!G569</f>
        <v/>
      </c>
      <c r="H569" s="55">
        <f>Orders!H569</f>
        <v/>
      </c>
      <c r="I569" s="55">
        <f>Orders!I569</f>
        <v/>
      </c>
      <c r="J569" s="55">
        <f>Orders!J569</f>
        <v/>
      </c>
      <c r="K569" s="55">
        <f>Orders!K569</f>
        <v/>
      </c>
      <c r="L569" s="55">
        <f>VLOOKUP(D569,Products!$A$2:$F$61,3,FALSE())</f>
        <v/>
      </c>
      <c r="M569" s="55">
        <f>VLOOKUP(C569,Customers!$A$2:$F$301,5,FALSE())</f>
        <v/>
      </c>
      <c r="N569" s="55">
        <f>VLOOKUP(E569,Sales_Reps!$A$2:$E$31,3,FALSE())</f>
        <v/>
      </c>
      <c r="O569" s="55">
        <f>VLOOKUP(D569,Products!$A$2:$F$61,4,FALSE())</f>
        <v/>
      </c>
      <c r="P569" s="55">
        <f>VLOOKUP(C569,Customers!$A$2:$F$301,3,FALSE())</f>
        <v/>
      </c>
      <c r="Q569" s="55">
        <f>UPPER(TRIM(K569))</f>
        <v/>
      </c>
      <c r="R569" s="55">
        <f>(G569-O569)/G569</f>
        <v/>
      </c>
      <c r="S569" s="55">
        <f>VLOOKUP(D569,Products!$A$2:$F$61,6,FALSE())</f>
        <v/>
      </c>
    </row>
    <row r="570" ht="15" customHeight="1" s="56">
      <c r="A570" s="55">
        <f>Orders!A570</f>
        <v/>
      </c>
      <c r="B570" s="103">
        <f>Orders!B570</f>
        <v/>
      </c>
      <c r="C570" s="55">
        <f>Orders!C570</f>
        <v/>
      </c>
      <c r="D570" s="55">
        <f>Orders!D570</f>
        <v/>
      </c>
      <c r="E570" s="55">
        <f>Orders!E570</f>
        <v/>
      </c>
      <c r="F570" s="55">
        <f>Orders!F570</f>
        <v/>
      </c>
      <c r="G570" s="55">
        <f>Orders!G570</f>
        <v/>
      </c>
      <c r="H570" s="55">
        <f>Orders!H570</f>
        <v/>
      </c>
      <c r="I570" s="55">
        <f>Orders!I570</f>
        <v/>
      </c>
      <c r="J570" s="55">
        <f>Orders!J570</f>
        <v/>
      </c>
      <c r="K570" s="55">
        <f>Orders!K570</f>
        <v/>
      </c>
      <c r="L570" s="55">
        <f>VLOOKUP(D570,Products!$A$2:$F$61,3,FALSE())</f>
        <v/>
      </c>
      <c r="M570" s="55">
        <f>VLOOKUP(C570,Customers!$A$2:$F$301,5,FALSE())</f>
        <v/>
      </c>
      <c r="N570" s="55">
        <f>VLOOKUP(E570,Sales_Reps!$A$2:$E$31,3,FALSE())</f>
        <v/>
      </c>
      <c r="O570" s="55">
        <f>VLOOKUP(D570,Products!$A$2:$F$61,4,FALSE())</f>
        <v/>
      </c>
      <c r="P570" s="55">
        <f>VLOOKUP(C570,Customers!$A$2:$F$301,3,FALSE())</f>
        <v/>
      </c>
      <c r="Q570" s="55">
        <f>UPPER(TRIM(K570))</f>
        <v/>
      </c>
      <c r="R570" s="55">
        <f>(G570-O570)/G570</f>
        <v/>
      </c>
      <c r="S570" s="55">
        <f>VLOOKUP(D570,Products!$A$2:$F$61,6,FALSE())</f>
        <v/>
      </c>
    </row>
    <row r="571" ht="15" customHeight="1" s="56">
      <c r="A571" s="55">
        <f>Orders!A571</f>
        <v/>
      </c>
      <c r="B571" s="103">
        <f>Orders!B571</f>
        <v/>
      </c>
      <c r="C571" s="55">
        <f>Orders!C571</f>
        <v/>
      </c>
      <c r="D571" s="55">
        <f>Orders!D571</f>
        <v/>
      </c>
      <c r="E571" s="55">
        <f>Orders!E571</f>
        <v/>
      </c>
      <c r="F571" s="55">
        <f>Orders!F571</f>
        <v/>
      </c>
      <c r="G571" s="55">
        <f>Orders!G571</f>
        <v/>
      </c>
      <c r="H571" s="55">
        <f>Orders!H571</f>
        <v/>
      </c>
      <c r="I571" s="55">
        <f>Orders!I571</f>
        <v/>
      </c>
      <c r="J571" s="55">
        <f>Orders!J571</f>
        <v/>
      </c>
      <c r="K571" s="55">
        <f>Orders!K571</f>
        <v/>
      </c>
      <c r="L571" s="55">
        <f>VLOOKUP(D571,Products!$A$2:$F$61,3,FALSE())</f>
        <v/>
      </c>
      <c r="M571" s="55">
        <f>VLOOKUP(C571,Customers!$A$2:$F$301,5,FALSE())</f>
        <v/>
      </c>
      <c r="N571" s="55">
        <f>VLOOKUP(E571,Sales_Reps!$A$2:$E$31,3,FALSE())</f>
        <v/>
      </c>
      <c r="O571" s="55">
        <f>VLOOKUP(D571,Products!$A$2:$F$61,4,FALSE())</f>
        <v/>
      </c>
      <c r="P571" s="55">
        <f>VLOOKUP(C571,Customers!$A$2:$F$301,3,FALSE())</f>
        <v/>
      </c>
      <c r="Q571" s="55">
        <f>UPPER(TRIM(K571))</f>
        <v/>
      </c>
      <c r="R571" s="55">
        <f>(G571-O571)/G571</f>
        <v/>
      </c>
      <c r="S571" s="55">
        <f>VLOOKUP(D571,Products!$A$2:$F$61,6,FALSE())</f>
        <v/>
      </c>
    </row>
    <row r="572" ht="15" customHeight="1" s="56">
      <c r="A572" s="55">
        <f>Orders!A572</f>
        <v/>
      </c>
      <c r="B572" s="103">
        <f>Orders!B572</f>
        <v/>
      </c>
      <c r="C572" s="55">
        <f>Orders!C572</f>
        <v/>
      </c>
      <c r="D572" s="55">
        <f>Orders!D572</f>
        <v/>
      </c>
      <c r="E572" s="55">
        <f>Orders!E572</f>
        <v/>
      </c>
      <c r="F572" s="55">
        <f>Orders!F572</f>
        <v/>
      </c>
      <c r="G572" s="55">
        <f>Orders!G572</f>
        <v/>
      </c>
      <c r="H572" s="55">
        <f>Orders!H572</f>
        <v/>
      </c>
      <c r="I572" s="55">
        <f>Orders!I572</f>
        <v/>
      </c>
      <c r="J572" s="55">
        <f>Orders!J572</f>
        <v/>
      </c>
      <c r="K572" s="55">
        <f>Orders!K572</f>
        <v/>
      </c>
      <c r="L572" s="55">
        <f>VLOOKUP(D572,Products!$A$2:$F$61,3,FALSE())</f>
        <v/>
      </c>
      <c r="M572" s="55">
        <f>VLOOKUP(C572,Customers!$A$2:$F$301,5,FALSE())</f>
        <v/>
      </c>
      <c r="N572" s="55">
        <f>VLOOKUP(E572,Sales_Reps!$A$2:$E$31,3,FALSE())</f>
        <v/>
      </c>
      <c r="O572" s="55">
        <f>VLOOKUP(D572,Products!$A$2:$F$61,4,FALSE())</f>
        <v/>
      </c>
      <c r="P572" s="55">
        <f>VLOOKUP(C572,Customers!$A$2:$F$301,3,FALSE())</f>
        <v/>
      </c>
      <c r="Q572" s="55">
        <f>UPPER(TRIM(K572))</f>
        <v/>
      </c>
      <c r="R572" s="55">
        <f>(G572-O572)/G572</f>
        <v/>
      </c>
      <c r="S572" s="55">
        <f>VLOOKUP(D572,Products!$A$2:$F$61,6,FALSE())</f>
        <v/>
      </c>
    </row>
    <row r="573" ht="15" customHeight="1" s="56">
      <c r="A573" s="55">
        <f>Orders!A573</f>
        <v/>
      </c>
      <c r="B573" s="103">
        <f>Orders!B573</f>
        <v/>
      </c>
      <c r="C573" s="55">
        <f>Orders!C573</f>
        <v/>
      </c>
      <c r="D573" s="55">
        <f>Orders!D573</f>
        <v/>
      </c>
      <c r="E573" s="55">
        <f>Orders!E573</f>
        <v/>
      </c>
      <c r="F573" s="55">
        <f>Orders!F573</f>
        <v/>
      </c>
      <c r="G573" s="55">
        <f>Orders!G573</f>
        <v/>
      </c>
      <c r="H573" s="55">
        <f>Orders!H573</f>
        <v/>
      </c>
      <c r="I573" s="55">
        <f>Orders!I573</f>
        <v/>
      </c>
      <c r="J573" s="55">
        <f>Orders!J573</f>
        <v/>
      </c>
      <c r="K573" s="55">
        <f>Orders!K573</f>
        <v/>
      </c>
      <c r="L573" s="55">
        <f>VLOOKUP(D573,Products!$A$2:$F$61,3,FALSE())</f>
        <v/>
      </c>
      <c r="M573" s="55">
        <f>VLOOKUP(C573,Customers!$A$2:$F$301,5,FALSE())</f>
        <v/>
      </c>
      <c r="N573" s="55">
        <f>VLOOKUP(E573,Sales_Reps!$A$2:$E$31,3,FALSE())</f>
        <v/>
      </c>
      <c r="O573" s="55">
        <f>VLOOKUP(D573,Products!$A$2:$F$61,4,FALSE())</f>
        <v/>
      </c>
      <c r="P573" s="55">
        <f>VLOOKUP(C573,Customers!$A$2:$F$301,3,FALSE())</f>
        <v/>
      </c>
      <c r="Q573" s="55">
        <f>UPPER(TRIM(K573))</f>
        <v/>
      </c>
      <c r="R573" s="55">
        <f>(G573-O573)/G573</f>
        <v/>
      </c>
      <c r="S573" s="55">
        <f>VLOOKUP(D573,Products!$A$2:$F$61,6,FALSE())</f>
        <v/>
      </c>
    </row>
    <row r="574" ht="15" customHeight="1" s="56">
      <c r="A574" s="55">
        <f>Orders!A574</f>
        <v/>
      </c>
      <c r="B574" s="103">
        <f>Orders!B574</f>
        <v/>
      </c>
      <c r="C574" s="55">
        <f>Orders!C574</f>
        <v/>
      </c>
      <c r="D574" s="55">
        <f>Orders!D574</f>
        <v/>
      </c>
      <c r="E574" s="55">
        <f>Orders!E574</f>
        <v/>
      </c>
      <c r="F574" s="55">
        <f>Orders!F574</f>
        <v/>
      </c>
      <c r="G574" s="55">
        <f>Orders!G574</f>
        <v/>
      </c>
      <c r="H574" s="55">
        <f>Orders!H574</f>
        <v/>
      </c>
      <c r="I574" s="55">
        <f>Orders!I574</f>
        <v/>
      </c>
      <c r="J574" s="55">
        <f>Orders!J574</f>
        <v/>
      </c>
      <c r="K574" s="55">
        <f>Orders!K574</f>
        <v/>
      </c>
      <c r="L574" s="55">
        <f>VLOOKUP(D574,Products!$A$2:$F$61,3,FALSE())</f>
        <v/>
      </c>
      <c r="M574" s="55">
        <f>VLOOKUP(C574,Customers!$A$2:$F$301,5,FALSE())</f>
        <v/>
      </c>
      <c r="N574" s="55">
        <f>VLOOKUP(E574,Sales_Reps!$A$2:$E$31,3,FALSE())</f>
        <v/>
      </c>
      <c r="O574" s="55">
        <f>VLOOKUP(D574,Products!$A$2:$F$61,4,FALSE())</f>
        <v/>
      </c>
      <c r="P574" s="55">
        <f>VLOOKUP(C574,Customers!$A$2:$F$301,3,FALSE())</f>
        <v/>
      </c>
      <c r="Q574" s="55">
        <f>UPPER(TRIM(K574))</f>
        <v/>
      </c>
      <c r="R574" s="55">
        <f>(G574-O574)/G574</f>
        <v/>
      </c>
      <c r="S574" s="55">
        <f>VLOOKUP(D574,Products!$A$2:$F$61,6,FALSE())</f>
        <v/>
      </c>
    </row>
    <row r="575" ht="15" customHeight="1" s="56">
      <c r="A575" s="55">
        <f>Orders!A575</f>
        <v/>
      </c>
      <c r="B575" s="103">
        <f>Orders!B575</f>
        <v/>
      </c>
      <c r="C575" s="55">
        <f>Orders!C575</f>
        <v/>
      </c>
      <c r="D575" s="55">
        <f>Orders!D575</f>
        <v/>
      </c>
      <c r="E575" s="55">
        <f>Orders!E575</f>
        <v/>
      </c>
      <c r="F575" s="55">
        <f>Orders!F575</f>
        <v/>
      </c>
      <c r="G575" s="55">
        <f>Orders!G575</f>
        <v/>
      </c>
      <c r="H575" s="55">
        <f>Orders!H575</f>
        <v/>
      </c>
      <c r="I575" s="55">
        <f>Orders!I575</f>
        <v/>
      </c>
      <c r="J575" s="55">
        <f>Orders!J575</f>
        <v/>
      </c>
      <c r="K575" s="55">
        <f>Orders!K575</f>
        <v/>
      </c>
      <c r="L575" s="55">
        <f>VLOOKUP(D575,Products!$A$2:$F$61,3,FALSE())</f>
        <v/>
      </c>
      <c r="M575" s="55">
        <f>VLOOKUP(C575,Customers!$A$2:$F$301,5,FALSE())</f>
        <v/>
      </c>
      <c r="N575" s="55">
        <f>VLOOKUP(E575,Sales_Reps!$A$2:$E$31,3,FALSE())</f>
        <v/>
      </c>
      <c r="O575" s="55">
        <f>VLOOKUP(D575,Products!$A$2:$F$61,4,FALSE())</f>
        <v/>
      </c>
      <c r="P575" s="55">
        <f>VLOOKUP(C575,Customers!$A$2:$F$301,3,FALSE())</f>
        <v/>
      </c>
      <c r="Q575" s="55">
        <f>UPPER(TRIM(K575))</f>
        <v/>
      </c>
      <c r="R575" s="55">
        <f>(G575-O575)/G575</f>
        <v/>
      </c>
      <c r="S575" s="55">
        <f>VLOOKUP(D575,Products!$A$2:$F$61,6,FALSE())</f>
        <v/>
      </c>
    </row>
    <row r="576" ht="15" customHeight="1" s="56">
      <c r="A576" s="55">
        <f>Orders!A576</f>
        <v/>
      </c>
      <c r="B576" s="103">
        <f>Orders!B576</f>
        <v/>
      </c>
      <c r="C576" s="55">
        <f>Orders!C576</f>
        <v/>
      </c>
      <c r="D576" s="55">
        <f>Orders!D576</f>
        <v/>
      </c>
      <c r="E576" s="55">
        <f>Orders!E576</f>
        <v/>
      </c>
      <c r="F576" s="55">
        <f>Orders!F576</f>
        <v/>
      </c>
      <c r="G576" s="55">
        <f>Orders!G576</f>
        <v/>
      </c>
      <c r="H576" s="55">
        <f>Orders!H576</f>
        <v/>
      </c>
      <c r="I576" s="55">
        <f>Orders!I576</f>
        <v/>
      </c>
      <c r="J576" s="55">
        <f>Orders!J576</f>
        <v/>
      </c>
      <c r="K576" s="55">
        <f>Orders!K576</f>
        <v/>
      </c>
      <c r="L576" s="55">
        <f>VLOOKUP(D576,Products!$A$2:$F$61,3,FALSE())</f>
        <v/>
      </c>
      <c r="M576" s="55">
        <f>VLOOKUP(C576,Customers!$A$2:$F$301,5,FALSE())</f>
        <v/>
      </c>
      <c r="N576" s="55">
        <f>VLOOKUP(E576,Sales_Reps!$A$2:$E$31,3,FALSE())</f>
        <v/>
      </c>
      <c r="O576" s="55">
        <f>VLOOKUP(D576,Products!$A$2:$F$61,4,FALSE())</f>
        <v/>
      </c>
      <c r="P576" s="55">
        <f>VLOOKUP(C576,Customers!$A$2:$F$301,3,FALSE())</f>
        <v/>
      </c>
      <c r="Q576" s="55">
        <f>UPPER(TRIM(K576))</f>
        <v/>
      </c>
      <c r="R576" s="55">
        <f>(G576-O576)/G576</f>
        <v/>
      </c>
      <c r="S576" s="55">
        <f>VLOOKUP(D576,Products!$A$2:$F$61,6,FALSE())</f>
        <v/>
      </c>
    </row>
    <row r="577" ht="15" customHeight="1" s="56">
      <c r="A577" s="55">
        <f>Orders!A577</f>
        <v/>
      </c>
      <c r="B577" s="103">
        <f>Orders!B577</f>
        <v/>
      </c>
      <c r="C577" s="55">
        <f>Orders!C577</f>
        <v/>
      </c>
      <c r="D577" s="55">
        <f>Orders!D577</f>
        <v/>
      </c>
      <c r="E577" s="55">
        <f>Orders!E577</f>
        <v/>
      </c>
      <c r="F577" s="55">
        <f>Orders!F577</f>
        <v/>
      </c>
      <c r="G577" s="55">
        <f>Orders!G577</f>
        <v/>
      </c>
      <c r="H577" s="55">
        <f>Orders!H577</f>
        <v/>
      </c>
      <c r="I577" s="55">
        <f>Orders!I577</f>
        <v/>
      </c>
      <c r="J577" s="55">
        <f>Orders!J577</f>
        <v/>
      </c>
      <c r="K577" s="55">
        <f>Orders!K577</f>
        <v/>
      </c>
      <c r="L577" s="55">
        <f>VLOOKUP(D577,Products!$A$2:$F$61,3,FALSE())</f>
        <v/>
      </c>
      <c r="M577" s="55">
        <f>VLOOKUP(C577,Customers!$A$2:$F$301,5,FALSE())</f>
        <v/>
      </c>
      <c r="N577" s="55">
        <f>VLOOKUP(E577,Sales_Reps!$A$2:$E$31,3,FALSE())</f>
        <v/>
      </c>
      <c r="O577" s="55">
        <f>VLOOKUP(D577,Products!$A$2:$F$61,4,FALSE())</f>
        <v/>
      </c>
      <c r="P577" s="55">
        <f>VLOOKUP(C577,Customers!$A$2:$F$301,3,FALSE())</f>
        <v/>
      </c>
      <c r="Q577" s="55">
        <f>UPPER(TRIM(K577))</f>
        <v/>
      </c>
      <c r="R577" s="55">
        <f>(G577-O577)/G577</f>
        <v/>
      </c>
      <c r="S577" s="55">
        <f>VLOOKUP(D577,Products!$A$2:$F$61,6,FALSE())</f>
        <v/>
      </c>
    </row>
    <row r="578" ht="15" customHeight="1" s="56">
      <c r="A578" s="55">
        <f>Orders!A578</f>
        <v/>
      </c>
      <c r="B578" s="103">
        <f>Orders!B578</f>
        <v/>
      </c>
      <c r="C578" s="55">
        <f>Orders!C578</f>
        <v/>
      </c>
      <c r="D578" s="55">
        <f>Orders!D578</f>
        <v/>
      </c>
      <c r="E578" s="55">
        <f>Orders!E578</f>
        <v/>
      </c>
      <c r="F578" s="55">
        <f>Orders!F578</f>
        <v/>
      </c>
      <c r="G578" s="55">
        <f>Orders!G578</f>
        <v/>
      </c>
      <c r="H578" s="55">
        <f>Orders!H578</f>
        <v/>
      </c>
      <c r="I578" s="55">
        <f>Orders!I578</f>
        <v/>
      </c>
      <c r="J578" s="55">
        <f>Orders!J578</f>
        <v/>
      </c>
      <c r="K578" s="55">
        <f>Orders!K578</f>
        <v/>
      </c>
      <c r="L578" s="55">
        <f>VLOOKUP(D578,Products!$A$2:$F$61,3,FALSE())</f>
        <v/>
      </c>
      <c r="M578" s="55">
        <f>VLOOKUP(C578,Customers!$A$2:$F$301,5,FALSE())</f>
        <v/>
      </c>
      <c r="N578" s="55">
        <f>VLOOKUP(E578,Sales_Reps!$A$2:$E$31,3,FALSE())</f>
        <v/>
      </c>
      <c r="O578" s="55">
        <f>VLOOKUP(D578,Products!$A$2:$F$61,4,FALSE())</f>
        <v/>
      </c>
      <c r="P578" s="55">
        <f>VLOOKUP(C578,Customers!$A$2:$F$301,3,FALSE())</f>
        <v/>
      </c>
      <c r="Q578" s="55">
        <f>UPPER(TRIM(K578))</f>
        <v/>
      </c>
      <c r="R578" s="55">
        <f>(G578-O578)/G578</f>
        <v/>
      </c>
      <c r="S578" s="55">
        <f>VLOOKUP(D578,Products!$A$2:$F$61,6,FALSE())</f>
        <v/>
      </c>
    </row>
    <row r="579" ht="15" customHeight="1" s="56">
      <c r="A579" s="55">
        <f>Orders!A579</f>
        <v/>
      </c>
      <c r="B579" s="103">
        <f>Orders!B579</f>
        <v/>
      </c>
      <c r="C579" s="55">
        <f>Orders!C579</f>
        <v/>
      </c>
      <c r="D579" s="55">
        <f>Orders!D579</f>
        <v/>
      </c>
      <c r="E579" s="55">
        <f>Orders!E579</f>
        <v/>
      </c>
      <c r="F579" s="55">
        <f>Orders!F579</f>
        <v/>
      </c>
      <c r="G579" s="55">
        <f>Orders!G579</f>
        <v/>
      </c>
      <c r="H579" s="55">
        <f>Orders!H579</f>
        <v/>
      </c>
      <c r="I579" s="55">
        <f>Orders!I579</f>
        <v/>
      </c>
      <c r="J579" s="55">
        <f>Orders!J579</f>
        <v/>
      </c>
      <c r="K579" s="55">
        <f>Orders!K579</f>
        <v/>
      </c>
      <c r="L579" s="55">
        <f>VLOOKUP(D579,Products!$A$2:$F$61,3,FALSE())</f>
        <v/>
      </c>
      <c r="M579" s="55">
        <f>VLOOKUP(C579,Customers!$A$2:$F$301,5,FALSE())</f>
        <v/>
      </c>
      <c r="N579" s="55">
        <f>VLOOKUP(E579,Sales_Reps!$A$2:$E$31,3,FALSE())</f>
        <v/>
      </c>
      <c r="O579" s="55">
        <f>VLOOKUP(D579,Products!$A$2:$F$61,4,FALSE())</f>
        <v/>
      </c>
      <c r="P579" s="55">
        <f>VLOOKUP(C579,Customers!$A$2:$F$301,3,FALSE())</f>
        <v/>
      </c>
      <c r="Q579" s="55">
        <f>UPPER(TRIM(K579))</f>
        <v/>
      </c>
      <c r="R579" s="55">
        <f>(G579-O579)/G579</f>
        <v/>
      </c>
      <c r="S579" s="55">
        <f>VLOOKUP(D579,Products!$A$2:$F$61,6,FALSE())</f>
        <v/>
      </c>
    </row>
    <row r="580" ht="15" customHeight="1" s="56">
      <c r="A580" s="55">
        <f>Orders!A580</f>
        <v/>
      </c>
      <c r="B580" s="103">
        <f>Orders!B580</f>
        <v/>
      </c>
      <c r="C580" s="55">
        <f>Orders!C580</f>
        <v/>
      </c>
      <c r="D580" s="55">
        <f>Orders!D580</f>
        <v/>
      </c>
      <c r="E580" s="55">
        <f>Orders!E580</f>
        <v/>
      </c>
      <c r="F580" s="55">
        <f>Orders!F580</f>
        <v/>
      </c>
      <c r="G580" s="55">
        <f>Orders!G580</f>
        <v/>
      </c>
      <c r="H580" s="55">
        <f>Orders!H580</f>
        <v/>
      </c>
      <c r="I580" s="55">
        <f>Orders!I580</f>
        <v/>
      </c>
      <c r="J580" s="55">
        <f>Orders!J580</f>
        <v/>
      </c>
      <c r="K580" s="55">
        <f>Orders!K580</f>
        <v/>
      </c>
      <c r="L580" s="55">
        <f>VLOOKUP(D580,Products!$A$2:$F$61,3,FALSE())</f>
        <v/>
      </c>
      <c r="M580" s="55">
        <f>VLOOKUP(C580,Customers!$A$2:$F$301,5,FALSE())</f>
        <v/>
      </c>
      <c r="N580" s="55">
        <f>VLOOKUP(E580,Sales_Reps!$A$2:$E$31,3,FALSE())</f>
        <v/>
      </c>
      <c r="O580" s="55">
        <f>VLOOKUP(D580,Products!$A$2:$F$61,4,FALSE())</f>
        <v/>
      </c>
      <c r="P580" s="55">
        <f>VLOOKUP(C580,Customers!$A$2:$F$301,3,FALSE())</f>
        <v/>
      </c>
      <c r="Q580" s="55">
        <f>UPPER(TRIM(K580))</f>
        <v/>
      </c>
      <c r="R580" s="55">
        <f>(G580-O580)/G580</f>
        <v/>
      </c>
      <c r="S580" s="55">
        <f>VLOOKUP(D580,Products!$A$2:$F$61,6,FALSE())</f>
        <v/>
      </c>
    </row>
    <row r="581" ht="15" customHeight="1" s="56">
      <c r="A581" s="55">
        <f>Orders!A581</f>
        <v/>
      </c>
      <c r="B581" s="103">
        <f>Orders!B581</f>
        <v/>
      </c>
      <c r="C581" s="55">
        <f>Orders!C581</f>
        <v/>
      </c>
      <c r="D581" s="55">
        <f>Orders!D581</f>
        <v/>
      </c>
      <c r="E581" s="55">
        <f>Orders!E581</f>
        <v/>
      </c>
      <c r="F581" s="55">
        <f>Orders!F581</f>
        <v/>
      </c>
      <c r="G581" s="55">
        <f>Orders!G581</f>
        <v/>
      </c>
      <c r="H581" s="55">
        <f>Orders!H581</f>
        <v/>
      </c>
      <c r="I581" s="55">
        <f>Orders!I581</f>
        <v/>
      </c>
      <c r="J581" s="55">
        <f>Orders!J581</f>
        <v/>
      </c>
      <c r="K581" s="55">
        <f>Orders!K581</f>
        <v/>
      </c>
      <c r="L581" s="55">
        <f>VLOOKUP(D581,Products!$A$2:$F$61,3,FALSE())</f>
        <v/>
      </c>
      <c r="M581" s="55">
        <f>VLOOKUP(C581,Customers!$A$2:$F$301,5,FALSE())</f>
        <v/>
      </c>
      <c r="N581" s="55">
        <f>VLOOKUP(E581,Sales_Reps!$A$2:$E$31,3,FALSE())</f>
        <v/>
      </c>
      <c r="O581" s="55">
        <f>VLOOKUP(D581,Products!$A$2:$F$61,4,FALSE())</f>
        <v/>
      </c>
      <c r="P581" s="55">
        <f>VLOOKUP(C581,Customers!$A$2:$F$301,3,FALSE())</f>
        <v/>
      </c>
      <c r="Q581" s="55">
        <f>UPPER(TRIM(K581))</f>
        <v/>
      </c>
      <c r="R581" s="55">
        <f>(G581-O581)/G581</f>
        <v/>
      </c>
      <c r="S581" s="55">
        <f>VLOOKUP(D581,Products!$A$2:$F$61,6,FALSE())</f>
        <v/>
      </c>
    </row>
    <row r="582" ht="15" customHeight="1" s="56">
      <c r="A582" s="55">
        <f>Orders!A582</f>
        <v/>
      </c>
      <c r="B582" s="103">
        <f>Orders!B582</f>
        <v/>
      </c>
      <c r="C582" s="55">
        <f>Orders!C582</f>
        <v/>
      </c>
      <c r="D582" s="55">
        <f>Orders!D582</f>
        <v/>
      </c>
      <c r="E582" s="55">
        <f>Orders!E582</f>
        <v/>
      </c>
      <c r="F582" s="55">
        <f>Orders!F582</f>
        <v/>
      </c>
      <c r="G582" s="55">
        <f>Orders!G582</f>
        <v/>
      </c>
      <c r="H582" s="55">
        <f>Orders!H582</f>
        <v/>
      </c>
      <c r="I582" s="55">
        <f>Orders!I582</f>
        <v/>
      </c>
      <c r="J582" s="55">
        <f>Orders!J582</f>
        <v/>
      </c>
      <c r="K582" s="55">
        <f>Orders!K582</f>
        <v/>
      </c>
      <c r="L582" s="55">
        <f>VLOOKUP(D582,Products!$A$2:$F$61,3,FALSE())</f>
        <v/>
      </c>
      <c r="M582" s="55">
        <f>VLOOKUP(C582,Customers!$A$2:$F$301,5,FALSE())</f>
        <v/>
      </c>
      <c r="N582" s="55">
        <f>VLOOKUP(E582,Sales_Reps!$A$2:$E$31,3,FALSE())</f>
        <v/>
      </c>
      <c r="O582" s="55">
        <f>VLOOKUP(D582,Products!$A$2:$F$61,4,FALSE())</f>
        <v/>
      </c>
      <c r="P582" s="55">
        <f>VLOOKUP(C582,Customers!$A$2:$F$301,3,FALSE())</f>
        <v/>
      </c>
      <c r="Q582" s="55">
        <f>UPPER(TRIM(K582))</f>
        <v/>
      </c>
      <c r="R582" s="55">
        <f>(G582-O582)/G582</f>
        <v/>
      </c>
      <c r="S582" s="55">
        <f>VLOOKUP(D582,Products!$A$2:$F$61,6,FALSE())</f>
        <v/>
      </c>
    </row>
    <row r="583" ht="15" customHeight="1" s="56">
      <c r="A583" s="55">
        <f>Orders!A583</f>
        <v/>
      </c>
      <c r="B583" s="103">
        <f>Orders!B583</f>
        <v/>
      </c>
      <c r="C583" s="55">
        <f>Orders!C583</f>
        <v/>
      </c>
      <c r="D583" s="55">
        <f>Orders!D583</f>
        <v/>
      </c>
      <c r="E583" s="55">
        <f>Orders!E583</f>
        <v/>
      </c>
      <c r="F583" s="55">
        <f>Orders!F583</f>
        <v/>
      </c>
      <c r="G583" s="55">
        <f>Orders!G583</f>
        <v/>
      </c>
      <c r="H583" s="55">
        <f>Orders!H583</f>
        <v/>
      </c>
      <c r="I583" s="55">
        <f>Orders!I583</f>
        <v/>
      </c>
      <c r="J583" s="55">
        <f>Orders!J583</f>
        <v/>
      </c>
      <c r="K583" s="55">
        <f>Orders!K583</f>
        <v/>
      </c>
      <c r="L583" s="55">
        <f>VLOOKUP(D583,Products!$A$2:$F$61,3,FALSE())</f>
        <v/>
      </c>
      <c r="M583" s="55">
        <f>VLOOKUP(C583,Customers!$A$2:$F$301,5,FALSE())</f>
        <v/>
      </c>
      <c r="N583" s="55">
        <f>VLOOKUP(E583,Sales_Reps!$A$2:$E$31,3,FALSE())</f>
        <v/>
      </c>
      <c r="O583" s="55">
        <f>VLOOKUP(D583,Products!$A$2:$F$61,4,FALSE())</f>
        <v/>
      </c>
      <c r="P583" s="55">
        <f>VLOOKUP(C583,Customers!$A$2:$F$301,3,FALSE())</f>
        <v/>
      </c>
      <c r="Q583" s="55">
        <f>UPPER(TRIM(K583))</f>
        <v/>
      </c>
      <c r="R583" s="55">
        <f>(G583-O583)/G583</f>
        <v/>
      </c>
      <c r="S583" s="55">
        <f>VLOOKUP(D583,Products!$A$2:$F$61,6,FALSE())</f>
        <v/>
      </c>
    </row>
    <row r="584" ht="15" customHeight="1" s="56">
      <c r="A584" s="55">
        <f>Orders!A584</f>
        <v/>
      </c>
      <c r="B584" s="103">
        <f>Orders!B584</f>
        <v/>
      </c>
      <c r="C584" s="55">
        <f>Orders!C584</f>
        <v/>
      </c>
      <c r="D584" s="55">
        <f>Orders!D584</f>
        <v/>
      </c>
      <c r="E584" s="55">
        <f>Orders!E584</f>
        <v/>
      </c>
      <c r="F584" s="55">
        <f>Orders!F584</f>
        <v/>
      </c>
      <c r="G584" s="55">
        <f>Orders!G584</f>
        <v/>
      </c>
      <c r="H584" s="55">
        <f>Orders!H584</f>
        <v/>
      </c>
      <c r="I584" s="55">
        <f>Orders!I584</f>
        <v/>
      </c>
      <c r="J584" s="55">
        <f>Orders!J584</f>
        <v/>
      </c>
      <c r="K584" s="55">
        <f>Orders!K584</f>
        <v/>
      </c>
      <c r="L584" s="55">
        <f>VLOOKUP(D584,Products!$A$2:$F$61,3,FALSE())</f>
        <v/>
      </c>
      <c r="M584" s="55">
        <f>VLOOKUP(C584,Customers!$A$2:$F$301,5,FALSE())</f>
        <v/>
      </c>
      <c r="N584" s="55">
        <f>VLOOKUP(E584,Sales_Reps!$A$2:$E$31,3,FALSE())</f>
        <v/>
      </c>
      <c r="O584" s="55">
        <f>VLOOKUP(D584,Products!$A$2:$F$61,4,FALSE())</f>
        <v/>
      </c>
      <c r="P584" s="55">
        <f>VLOOKUP(C584,Customers!$A$2:$F$301,3,FALSE())</f>
        <v/>
      </c>
      <c r="Q584" s="55">
        <f>UPPER(TRIM(K584))</f>
        <v/>
      </c>
      <c r="R584" s="55">
        <f>(G584-O584)/G584</f>
        <v/>
      </c>
      <c r="S584" s="55">
        <f>VLOOKUP(D584,Products!$A$2:$F$61,6,FALSE())</f>
        <v/>
      </c>
    </row>
    <row r="585" ht="15" customHeight="1" s="56">
      <c r="A585" s="55">
        <f>Orders!A585</f>
        <v/>
      </c>
      <c r="B585" s="103">
        <f>Orders!B585</f>
        <v/>
      </c>
      <c r="C585" s="55">
        <f>Orders!C585</f>
        <v/>
      </c>
      <c r="D585" s="55">
        <f>Orders!D585</f>
        <v/>
      </c>
      <c r="E585" s="55">
        <f>Orders!E585</f>
        <v/>
      </c>
      <c r="F585" s="55">
        <f>Orders!F585</f>
        <v/>
      </c>
      <c r="G585" s="55">
        <f>Orders!G585</f>
        <v/>
      </c>
      <c r="H585" s="55">
        <f>Orders!H585</f>
        <v/>
      </c>
      <c r="I585" s="55">
        <f>Orders!I585</f>
        <v/>
      </c>
      <c r="J585" s="55">
        <f>Orders!J585</f>
        <v/>
      </c>
      <c r="K585" s="55">
        <f>Orders!K585</f>
        <v/>
      </c>
      <c r="L585" s="55">
        <f>VLOOKUP(D585,Products!$A$2:$F$61,3,FALSE())</f>
        <v/>
      </c>
      <c r="M585" s="55">
        <f>VLOOKUP(C585,Customers!$A$2:$F$301,5,FALSE())</f>
        <v/>
      </c>
      <c r="N585" s="55">
        <f>VLOOKUP(E585,Sales_Reps!$A$2:$E$31,3,FALSE())</f>
        <v/>
      </c>
      <c r="O585" s="55">
        <f>VLOOKUP(D585,Products!$A$2:$F$61,4,FALSE())</f>
        <v/>
      </c>
      <c r="P585" s="55">
        <f>VLOOKUP(C585,Customers!$A$2:$F$301,3,FALSE())</f>
        <v/>
      </c>
      <c r="Q585" s="55">
        <f>UPPER(TRIM(K585))</f>
        <v/>
      </c>
      <c r="R585" s="55">
        <f>(G585-O585)/G585</f>
        <v/>
      </c>
      <c r="S585" s="55">
        <f>VLOOKUP(D585,Products!$A$2:$F$61,6,FALSE())</f>
        <v/>
      </c>
    </row>
    <row r="586" ht="15" customHeight="1" s="56">
      <c r="A586" s="55">
        <f>Orders!A586</f>
        <v/>
      </c>
      <c r="B586" s="103">
        <f>Orders!B586</f>
        <v/>
      </c>
      <c r="C586" s="55">
        <f>Orders!C586</f>
        <v/>
      </c>
      <c r="D586" s="55">
        <f>Orders!D586</f>
        <v/>
      </c>
      <c r="E586" s="55">
        <f>Orders!E586</f>
        <v/>
      </c>
      <c r="F586" s="55">
        <f>Orders!F586</f>
        <v/>
      </c>
      <c r="G586" s="55">
        <f>Orders!G586</f>
        <v/>
      </c>
      <c r="H586" s="55">
        <f>Orders!H586</f>
        <v/>
      </c>
      <c r="I586" s="55">
        <f>Orders!I586</f>
        <v/>
      </c>
      <c r="J586" s="55">
        <f>Orders!J586</f>
        <v/>
      </c>
      <c r="K586" s="55">
        <f>Orders!K586</f>
        <v/>
      </c>
      <c r="L586" s="55">
        <f>VLOOKUP(D586,Products!$A$2:$F$61,3,FALSE())</f>
        <v/>
      </c>
      <c r="M586" s="55">
        <f>VLOOKUP(C586,Customers!$A$2:$F$301,5,FALSE())</f>
        <v/>
      </c>
      <c r="N586" s="55">
        <f>VLOOKUP(E586,Sales_Reps!$A$2:$E$31,3,FALSE())</f>
        <v/>
      </c>
      <c r="O586" s="55">
        <f>VLOOKUP(D586,Products!$A$2:$F$61,4,FALSE())</f>
        <v/>
      </c>
      <c r="P586" s="55">
        <f>VLOOKUP(C586,Customers!$A$2:$F$301,3,FALSE())</f>
        <v/>
      </c>
      <c r="Q586" s="55">
        <f>UPPER(TRIM(K586))</f>
        <v/>
      </c>
      <c r="R586" s="55">
        <f>(G586-O586)/G586</f>
        <v/>
      </c>
      <c r="S586" s="55">
        <f>VLOOKUP(D586,Products!$A$2:$F$61,6,FALSE())</f>
        <v/>
      </c>
    </row>
    <row r="587" ht="15" customHeight="1" s="56">
      <c r="A587" s="55">
        <f>Orders!A587</f>
        <v/>
      </c>
      <c r="B587" s="103">
        <f>Orders!B587</f>
        <v/>
      </c>
      <c r="C587" s="55">
        <f>Orders!C587</f>
        <v/>
      </c>
      <c r="D587" s="55">
        <f>Orders!D587</f>
        <v/>
      </c>
      <c r="E587" s="55">
        <f>Orders!E587</f>
        <v/>
      </c>
      <c r="F587" s="55">
        <f>Orders!F587</f>
        <v/>
      </c>
      <c r="G587" s="55">
        <f>Orders!G587</f>
        <v/>
      </c>
      <c r="H587" s="55">
        <f>Orders!H587</f>
        <v/>
      </c>
      <c r="I587" s="55">
        <f>Orders!I587</f>
        <v/>
      </c>
      <c r="J587" s="55">
        <f>Orders!J587</f>
        <v/>
      </c>
      <c r="K587" s="55">
        <f>Orders!K587</f>
        <v/>
      </c>
      <c r="L587" s="55">
        <f>VLOOKUP(D587,Products!$A$2:$F$61,3,FALSE())</f>
        <v/>
      </c>
      <c r="M587" s="55">
        <f>VLOOKUP(C587,Customers!$A$2:$F$301,5,FALSE())</f>
        <v/>
      </c>
      <c r="N587" s="55">
        <f>VLOOKUP(E587,Sales_Reps!$A$2:$E$31,3,FALSE())</f>
        <v/>
      </c>
      <c r="O587" s="55">
        <f>VLOOKUP(D587,Products!$A$2:$F$61,4,FALSE())</f>
        <v/>
      </c>
      <c r="P587" s="55">
        <f>VLOOKUP(C587,Customers!$A$2:$F$301,3,FALSE())</f>
        <v/>
      </c>
      <c r="Q587" s="55">
        <f>UPPER(TRIM(K587))</f>
        <v/>
      </c>
      <c r="R587" s="55">
        <f>(G587-O587)/G587</f>
        <v/>
      </c>
      <c r="S587" s="55">
        <f>VLOOKUP(D587,Products!$A$2:$F$61,6,FALSE())</f>
        <v/>
      </c>
    </row>
    <row r="588" ht="15" customHeight="1" s="56">
      <c r="A588" s="55">
        <f>Orders!A588</f>
        <v/>
      </c>
      <c r="B588" s="103">
        <f>Orders!B588</f>
        <v/>
      </c>
      <c r="C588" s="55">
        <f>Orders!C588</f>
        <v/>
      </c>
      <c r="D588" s="55">
        <f>Orders!D588</f>
        <v/>
      </c>
      <c r="E588" s="55">
        <f>Orders!E588</f>
        <v/>
      </c>
      <c r="F588" s="55">
        <f>Orders!F588</f>
        <v/>
      </c>
      <c r="G588" s="55">
        <f>Orders!G588</f>
        <v/>
      </c>
      <c r="H588" s="55">
        <f>Orders!H588</f>
        <v/>
      </c>
      <c r="I588" s="55">
        <f>Orders!I588</f>
        <v/>
      </c>
      <c r="J588" s="55">
        <f>Orders!J588</f>
        <v/>
      </c>
      <c r="K588" s="55">
        <f>Orders!K588</f>
        <v/>
      </c>
      <c r="L588" s="55">
        <f>VLOOKUP(D588,Products!$A$2:$F$61,3,FALSE())</f>
        <v/>
      </c>
      <c r="M588" s="55">
        <f>VLOOKUP(C588,Customers!$A$2:$F$301,5,FALSE())</f>
        <v/>
      </c>
      <c r="N588" s="55">
        <f>VLOOKUP(E588,Sales_Reps!$A$2:$E$31,3,FALSE())</f>
        <v/>
      </c>
      <c r="O588" s="55">
        <f>VLOOKUP(D588,Products!$A$2:$F$61,4,FALSE())</f>
        <v/>
      </c>
      <c r="P588" s="55">
        <f>VLOOKUP(C588,Customers!$A$2:$F$301,3,FALSE())</f>
        <v/>
      </c>
      <c r="Q588" s="55">
        <f>UPPER(TRIM(K588))</f>
        <v/>
      </c>
      <c r="R588" s="55">
        <f>(G588-O588)/G588</f>
        <v/>
      </c>
      <c r="S588" s="55">
        <f>VLOOKUP(D588,Products!$A$2:$F$61,6,FALSE())</f>
        <v/>
      </c>
    </row>
    <row r="589" ht="15" customHeight="1" s="56">
      <c r="A589" s="55">
        <f>Orders!A589</f>
        <v/>
      </c>
      <c r="B589" s="103">
        <f>Orders!B589</f>
        <v/>
      </c>
      <c r="C589" s="55">
        <f>Orders!C589</f>
        <v/>
      </c>
      <c r="D589" s="55">
        <f>Orders!D589</f>
        <v/>
      </c>
      <c r="E589" s="55">
        <f>Orders!E589</f>
        <v/>
      </c>
      <c r="F589" s="55">
        <f>Orders!F589</f>
        <v/>
      </c>
      <c r="G589" s="55">
        <f>Orders!G589</f>
        <v/>
      </c>
      <c r="H589" s="55">
        <f>Orders!H589</f>
        <v/>
      </c>
      <c r="I589" s="55">
        <f>Orders!I589</f>
        <v/>
      </c>
      <c r="J589" s="55">
        <f>Orders!J589</f>
        <v/>
      </c>
      <c r="K589" s="55">
        <f>Orders!K589</f>
        <v/>
      </c>
      <c r="L589" s="55">
        <f>VLOOKUP(D589,Products!$A$2:$F$61,3,FALSE())</f>
        <v/>
      </c>
      <c r="M589" s="55">
        <f>VLOOKUP(C589,Customers!$A$2:$F$301,5,FALSE())</f>
        <v/>
      </c>
      <c r="N589" s="55">
        <f>VLOOKUP(E589,Sales_Reps!$A$2:$E$31,3,FALSE())</f>
        <v/>
      </c>
      <c r="O589" s="55">
        <f>VLOOKUP(D589,Products!$A$2:$F$61,4,FALSE())</f>
        <v/>
      </c>
      <c r="P589" s="55">
        <f>VLOOKUP(C589,Customers!$A$2:$F$301,3,FALSE())</f>
        <v/>
      </c>
      <c r="Q589" s="55">
        <f>UPPER(TRIM(K589))</f>
        <v/>
      </c>
      <c r="R589" s="55">
        <f>(G589-O589)/G589</f>
        <v/>
      </c>
      <c r="S589" s="55">
        <f>VLOOKUP(D589,Products!$A$2:$F$61,6,FALSE())</f>
        <v/>
      </c>
    </row>
    <row r="590" ht="15" customHeight="1" s="56">
      <c r="A590" s="55">
        <f>Orders!A590</f>
        <v/>
      </c>
      <c r="B590" s="103">
        <f>Orders!B590</f>
        <v/>
      </c>
      <c r="C590" s="55">
        <f>Orders!C590</f>
        <v/>
      </c>
      <c r="D590" s="55">
        <f>Orders!D590</f>
        <v/>
      </c>
      <c r="E590" s="55">
        <f>Orders!E590</f>
        <v/>
      </c>
      <c r="F590" s="55">
        <f>Orders!F590</f>
        <v/>
      </c>
      <c r="G590" s="55">
        <f>Orders!G590</f>
        <v/>
      </c>
      <c r="H590" s="55">
        <f>Orders!H590</f>
        <v/>
      </c>
      <c r="I590" s="55">
        <f>Orders!I590</f>
        <v/>
      </c>
      <c r="J590" s="55">
        <f>Orders!J590</f>
        <v/>
      </c>
      <c r="K590" s="55">
        <f>Orders!K590</f>
        <v/>
      </c>
      <c r="L590" s="55">
        <f>VLOOKUP(D590,Products!$A$2:$F$61,3,FALSE())</f>
        <v/>
      </c>
      <c r="M590" s="55">
        <f>VLOOKUP(C590,Customers!$A$2:$F$301,5,FALSE())</f>
        <v/>
      </c>
      <c r="N590" s="55">
        <f>VLOOKUP(E590,Sales_Reps!$A$2:$E$31,3,FALSE())</f>
        <v/>
      </c>
      <c r="O590" s="55">
        <f>VLOOKUP(D590,Products!$A$2:$F$61,4,FALSE())</f>
        <v/>
      </c>
      <c r="P590" s="55">
        <f>VLOOKUP(C590,Customers!$A$2:$F$301,3,FALSE())</f>
        <v/>
      </c>
      <c r="Q590" s="55">
        <f>UPPER(TRIM(K590))</f>
        <v/>
      </c>
      <c r="R590" s="55">
        <f>(G590-O590)/G590</f>
        <v/>
      </c>
      <c r="S590" s="55">
        <f>VLOOKUP(D590,Products!$A$2:$F$61,6,FALSE())</f>
        <v/>
      </c>
    </row>
    <row r="591" ht="15" customHeight="1" s="56">
      <c r="A591" s="55">
        <f>Orders!A591</f>
        <v/>
      </c>
      <c r="B591" s="103">
        <f>Orders!B591</f>
        <v/>
      </c>
      <c r="C591" s="55">
        <f>Orders!C591</f>
        <v/>
      </c>
      <c r="D591" s="55">
        <f>Orders!D591</f>
        <v/>
      </c>
      <c r="E591" s="55">
        <f>Orders!E591</f>
        <v/>
      </c>
      <c r="F591" s="55">
        <f>Orders!F591</f>
        <v/>
      </c>
      <c r="G591" s="55">
        <f>Orders!G591</f>
        <v/>
      </c>
      <c r="H591" s="55">
        <f>Orders!H591</f>
        <v/>
      </c>
      <c r="I591" s="55">
        <f>Orders!I591</f>
        <v/>
      </c>
      <c r="J591" s="55">
        <f>Orders!J591</f>
        <v/>
      </c>
      <c r="K591" s="55">
        <f>Orders!K591</f>
        <v/>
      </c>
      <c r="L591" s="55">
        <f>VLOOKUP(D591,Products!$A$2:$F$61,3,FALSE())</f>
        <v/>
      </c>
      <c r="M591" s="55">
        <f>VLOOKUP(C591,Customers!$A$2:$F$301,5,FALSE())</f>
        <v/>
      </c>
      <c r="N591" s="55">
        <f>VLOOKUP(E591,Sales_Reps!$A$2:$E$31,3,FALSE())</f>
        <v/>
      </c>
      <c r="O591" s="55">
        <f>VLOOKUP(D591,Products!$A$2:$F$61,4,FALSE())</f>
        <v/>
      </c>
      <c r="P591" s="55">
        <f>VLOOKUP(C591,Customers!$A$2:$F$301,3,FALSE())</f>
        <v/>
      </c>
      <c r="Q591" s="55">
        <f>UPPER(TRIM(K591))</f>
        <v/>
      </c>
      <c r="R591" s="55">
        <f>(G591-O591)/G591</f>
        <v/>
      </c>
      <c r="S591" s="55">
        <f>VLOOKUP(D591,Products!$A$2:$F$61,6,FALSE())</f>
        <v/>
      </c>
    </row>
    <row r="592" ht="15" customHeight="1" s="56">
      <c r="A592" s="55">
        <f>Orders!A592</f>
        <v/>
      </c>
      <c r="B592" s="103">
        <f>Orders!B592</f>
        <v/>
      </c>
      <c r="C592" s="55">
        <f>Orders!C592</f>
        <v/>
      </c>
      <c r="D592" s="55">
        <f>Orders!D592</f>
        <v/>
      </c>
      <c r="E592" s="55">
        <f>Orders!E592</f>
        <v/>
      </c>
      <c r="F592" s="55">
        <f>Orders!F592</f>
        <v/>
      </c>
      <c r="G592" s="55">
        <f>Orders!G592</f>
        <v/>
      </c>
      <c r="H592" s="55">
        <f>Orders!H592</f>
        <v/>
      </c>
      <c r="I592" s="55">
        <f>Orders!I592</f>
        <v/>
      </c>
      <c r="J592" s="55">
        <f>Orders!J592</f>
        <v/>
      </c>
      <c r="K592" s="55">
        <f>Orders!K592</f>
        <v/>
      </c>
      <c r="L592" s="55">
        <f>VLOOKUP(D592,Products!$A$2:$F$61,3,FALSE())</f>
        <v/>
      </c>
      <c r="M592" s="55">
        <f>VLOOKUP(C592,Customers!$A$2:$F$301,5,FALSE())</f>
        <v/>
      </c>
      <c r="N592" s="55">
        <f>VLOOKUP(E592,Sales_Reps!$A$2:$E$31,3,FALSE())</f>
        <v/>
      </c>
      <c r="O592" s="55">
        <f>VLOOKUP(D592,Products!$A$2:$F$61,4,FALSE())</f>
        <v/>
      </c>
      <c r="P592" s="55">
        <f>VLOOKUP(C592,Customers!$A$2:$F$301,3,FALSE())</f>
        <v/>
      </c>
      <c r="Q592" s="55">
        <f>UPPER(TRIM(K592))</f>
        <v/>
      </c>
      <c r="R592" s="55">
        <f>(G592-O592)/G592</f>
        <v/>
      </c>
      <c r="S592" s="55">
        <f>VLOOKUP(D592,Products!$A$2:$F$61,6,FALSE())</f>
        <v/>
      </c>
    </row>
    <row r="593" ht="15" customHeight="1" s="56">
      <c r="A593" s="55">
        <f>Orders!A593</f>
        <v/>
      </c>
      <c r="B593" s="103">
        <f>Orders!B593</f>
        <v/>
      </c>
      <c r="C593" s="55">
        <f>Orders!C593</f>
        <v/>
      </c>
      <c r="D593" s="55">
        <f>Orders!D593</f>
        <v/>
      </c>
      <c r="E593" s="55">
        <f>Orders!E593</f>
        <v/>
      </c>
      <c r="F593" s="55">
        <f>Orders!F593</f>
        <v/>
      </c>
      <c r="G593" s="55">
        <f>Orders!G593</f>
        <v/>
      </c>
      <c r="H593" s="55">
        <f>Orders!H593</f>
        <v/>
      </c>
      <c r="I593" s="55">
        <f>Orders!I593</f>
        <v/>
      </c>
      <c r="J593" s="55">
        <f>Orders!J593</f>
        <v/>
      </c>
      <c r="K593" s="55">
        <f>Orders!K593</f>
        <v/>
      </c>
      <c r="L593" s="55">
        <f>VLOOKUP(D593,Products!$A$2:$F$61,3,FALSE())</f>
        <v/>
      </c>
      <c r="M593" s="55">
        <f>VLOOKUP(C593,Customers!$A$2:$F$301,5,FALSE())</f>
        <v/>
      </c>
      <c r="N593" s="55">
        <f>VLOOKUP(E593,Sales_Reps!$A$2:$E$31,3,FALSE())</f>
        <v/>
      </c>
      <c r="O593" s="55">
        <f>VLOOKUP(D593,Products!$A$2:$F$61,4,FALSE())</f>
        <v/>
      </c>
      <c r="P593" s="55">
        <f>VLOOKUP(C593,Customers!$A$2:$F$301,3,FALSE())</f>
        <v/>
      </c>
      <c r="Q593" s="55">
        <f>UPPER(TRIM(K593))</f>
        <v/>
      </c>
      <c r="R593" s="55">
        <f>(G593-O593)/G593</f>
        <v/>
      </c>
      <c r="S593" s="55">
        <f>VLOOKUP(D593,Products!$A$2:$F$61,6,FALSE())</f>
        <v/>
      </c>
    </row>
    <row r="594" ht="15" customHeight="1" s="56">
      <c r="A594" s="55">
        <f>Orders!A594</f>
        <v/>
      </c>
      <c r="B594" s="103">
        <f>Orders!B594</f>
        <v/>
      </c>
      <c r="C594" s="55">
        <f>Orders!C594</f>
        <v/>
      </c>
      <c r="D594" s="55">
        <f>Orders!D594</f>
        <v/>
      </c>
      <c r="E594" s="55">
        <f>Orders!E594</f>
        <v/>
      </c>
      <c r="F594" s="55">
        <f>Orders!F594</f>
        <v/>
      </c>
      <c r="G594" s="55">
        <f>Orders!G594</f>
        <v/>
      </c>
      <c r="H594" s="55">
        <f>Orders!H594</f>
        <v/>
      </c>
      <c r="I594" s="55">
        <f>Orders!I594</f>
        <v/>
      </c>
      <c r="J594" s="55">
        <f>Orders!J594</f>
        <v/>
      </c>
      <c r="K594" s="55">
        <f>Orders!K594</f>
        <v/>
      </c>
      <c r="L594" s="55">
        <f>VLOOKUP(D594,Products!$A$2:$F$61,3,FALSE())</f>
        <v/>
      </c>
      <c r="M594" s="55">
        <f>VLOOKUP(C594,Customers!$A$2:$F$301,5,FALSE())</f>
        <v/>
      </c>
      <c r="N594" s="55">
        <f>VLOOKUP(E594,Sales_Reps!$A$2:$E$31,3,FALSE())</f>
        <v/>
      </c>
      <c r="O594" s="55">
        <f>VLOOKUP(D594,Products!$A$2:$F$61,4,FALSE())</f>
        <v/>
      </c>
      <c r="P594" s="55">
        <f>VLOOKUP(C594,Customers!$A$2:$F$301,3,FALSE())</f>
        <v/>
      </c>
      <c r="Q594" s="55">
        <f>UPPER(TRIM(K594))</f>
        <v/>
      </c>
      <c r="R594" s="55">
        <f>(G594-O594)/G594</f>
        <v/>
      </c>
      <c r="S594" s="55">
        <f>VLOOKUP(D594,Products!$A$2:$F$61,6,FALSE())</f>
        <v/>
      </c>
    </row>
    <row r="595" ht="15" customHeight="1" s="56">
      <c r="A595" s="55">
        <f>Orders!A595</f>
        <v/>
      </c>
      <c r="B595" s="103">
        <f>Orders!B595</f>
        <v/>
      </c>
      <c r="C595" s="55">
        <f>Orders!C595</f>
        <v/>
      </c>
      <c r="D595" s="55">
        <f>Orders!D595</f>
        <v/>
      </c>
      <c r="E595" s="55">
        <f>Orders!E595</f>
        <v/>
      </c>
      <c r="F595" s="55">
        <f>Orders!F595</f>
        <v/>
      </c>
      <c r="G595" s="55">
        <f>Orders!G595</f>
        <v/>
      </c>
      <c r="H595" s="55">
        <f>Orders!H595</f>
        <v/>
      </c>
      <c r="I595" s="55">
        <f>Orders!I595</f>
        <v/>
      </c>
      <c r="J595" s="55">
        <f>Orders!J595</f>
        <v/>
      </c>
      <c r="K595" s="55">
        <f>Orders!K595</f>
        <v/>
      </c>
      <c r="L595" s="55">
        <f>VLOOKUP(D595,Products!$A$2:$F$61,3,FALSE())</f>
        <v/>
      </c>
      <c r="M595" s="55">
        <f>VLOOKUP(C595,Customers!$A$2:$F$301,5,FALSE())</f>
        <v/>
      </c>
      <c r="N595" s="55">
        <f>VLOOKUP(E595,Sales_Reps!$A$2:$E$31,3,FALSE())</f>
        <v/>
      </c>
      <c r="O595" s="55">
        <f>VLOOKUP(D595,Products!$A$2:$F$61,4,FALSE())</f>
        <v/>
      </c>
      <c r="P595" s="55">
        <f>VLOOKUP(C595,Customers!$A$2:$F$301,3,FALSE())</f>
        <v/>
      </c>
      <c r="Q595" s="55">
        <f>UPPER(TRIM(K595))</f>
        <v/>
      </c>
      <c r="R595" s="55">
        <f>(G595-O595)/G595</f>
        <v/>
      </c>
      <c r="S595" s="55">
        <f>VLOOKUP(D595,Products!$A$2:$F$61,6,FALSE())</f>
        <v/>
      </c>
    </row>
    <row r="596" ht="15" customHeight="1" s="56">
      <c r="A596" s="55">
        <f>Orders!A596</f>
        <v/>
      </c>
      <c r="B596" s="103">
        <f>Orders!B596</f>
        <v/>
      </c>
      <c r="C596" s="55">
        <f>Orders!C596</f>
        <v/>
      </c>
      <c r="D596" s="55">
        <f>Orders!D596</f>
        <v/>
      </c>
      <c r="E596" s="55">
        <f>Orders!E596</f>
        <v/>
      </c>
      <c r="F596" s="55">
        <f>Orders!F596</f>
        <v/>
      </c>
      <c r="G596" s="55">
        <f>Orders!G596</f>
        <v/>
      </c>
      <c r="H596" s="55">
        <f>Orders!H596</f>
        <v/>
      </c>
      <c r="I596" s="55">
        <f>Orders!I596</f>
        <v/>
      </c>
      <c r="J596" s="55">
        <f>Orders!J596</f>
        <v/>
      </c>
      <c r="K596" s="55">
        <f>Orders!K596</f>
        <v/>
      </c>
      <c r="L596" s="55">
        <f>VLOOKUP(D596,Products!$A$2:$F$61,3,FALSE())</f>
        <v/>
      </c>
      <c r="M596" s="55">
        <f>VLOOKUP(C596,Customers!$A$2:$F$301,5,FALSE())</f>
        <v/>
      </c>
      <c r="N596" s="55">
        <f>VLOOKUP(E596,Sales_Reps!$A$2:$E$31,3,FALSE())</f>
        <v/>
      </c>
      <c r="O596" s="55">
        <f>VLOOKUP(D596,Products!$A$2:$F$61,4,FALSE())</f>
        <v/>
      </c>
      <c r="P596" s="55">
        <f>VLOOKUP(C596,Customers!$A$2:$F$301,3,FALSE())</f>
        <v/>
      </c>
      <c r="Q596" s="55">
        <f>UPPER(TRIM(K596))</f>
        <v/>
      </c>
      <c r="R596" s="55">
        <f>(G596-O596)/G596</f>
        <v/>
      </c>
      <c r="S596" s="55">
        <f>VLOOKUP(D596,Products!$A$2:$F$61,6,FALSE())</f>
        <v/>
      </c>
    </row>
    <row r="597" ht="15" customHeight="1" s="56">
      <c r="A597" s="55">
        <f>Orders!A597</f>
        <v/>
      </c>
      <c r="B597" s="103">
        <f>Orders!B597</f>
        <v/>
      </c>
      <c r="C597" s="55">
        <f>Orders!C597</f>
        <v/>
      </c>
      <c r="D597" s="55">
        <f>Orders!D597</f>
        <v/>
      </c>
      <c r="E597" s="55">
        <f>Orders!E597</f>
        <v/>
      </c>
      <c r="F597" s="55">
        <f>Orders!F597</f>
        <v/>
      </c>
      <c r="G597" s="55">
        <f>Orders!G597</f>
        <v/>
      </c>
      <c r="H597" s="55">
        <f>Orders!H597</f>
        <v/>
      </c>
      <c r="I597" s="55">
        <f>Orders!I597</f>
        <v/>
      </c>
      <c r="J597" s="55">
        <f>Orders!J597</f>
        <v/>
      </c>
      <c r="K597" s="55">
        <f>Orders!K597</f>
        <v/>
      </c>
      <c r="L597" s="55">
        <f>VLOOKUP(D597,Products!$A$2:$F$61,3,FALSE())</f>
        <v/>
      </c>
      <c r="M597" s="55">
        <f>VLOOKUP(C597,Customers!$A$2:$F$301,5,FALSE())</f>
        <v/>
      </c>
      <c r="N597" s="55">
        <f>VLOOKUP(E597,Sales_Reps!$A$2:$E$31,3,FALSE())</f>
        <v/>
      </c>
      <c r="O597" s="55">
        <f>VLOOKUP(D597,Products!$A$2:$F$61,4,FALSE())</f>
        <v/>
      </c>
      <c r="P597" s="55">
        <f>VLOOKUP(C597,Customers!$A$2:$F$301,3,FALSE())</f>
        <v/>
      </c>
      <c r="Q597" s="55">
        <f>UPPER(TRIM(K597))</f>
        <v/>
      </c>
      <c r="R597" s="55">
        <f>(G597-O597)/G597</f>
        <v/>
      </c>
      <c r="S597" s="55">
        <f>VLOOKUP(D597,Products!$A$2:$F$61,6,FALSE())</f>
        <v/>
      </c>
    </row>
    <row r="598" ht="15" customHeight="1" s="56">
      <c r="A598" s="55">
        <f>Orders!A598</f>
        <v/>
      </c>
      <c r="B598" s="103">
        <f>Orders!B598</f>
        <v/>
      </c>
      <c r="C598" s="55">
        <f>Orders!C598</f>
        <v/>
      </c>
      <c r="D598" s="55">
        <f>Orders!D598</f>
        <v/>
      </c>
      <c r="E598" s="55">
        <f>Orders!E598</f>
        <v/>
      </c>
      <c r="F598" s="55">
        <f>Orders!F598</f>
        <v/>
      </c>
      <c r="G598" s="55">
        <f>Orders!G598</f>
        <v/>
      </c>
      <c r="H598" s="55">
        <f>Orders!H598</f>
        <v/>
      </c>
      <c r="I598" s="55">
        <f>Orders!I598</f>
        <v/>
      </c>
      <c r="J598" s="55">
        <f>Orders!J598</f>
        <v/>
      </c>
      <c r="K598" s="55">
        <f>Orders!K598</f>
        <v/>
      </c>
      <c r="L598" s="55">
        <f>VLOOKUP(D598,Products!$A$2:$F$61,3,FALSE())</f>
        <v/>
      </c>
      <c r="M598" s="55">
        <f>VLOOKUP(C598,Customers!$A$2:$F$301,5,FALSE())</f>
        <v/>
      </c>
      <c r="N598" s="55">
        <f>VLOOKUP(E598,Sales_Reps!$A$2:$E$31,3,FALSE())</f>
        <v/>
      </c>
      <c r="O598" s="55">
        <f>VLOOKUP(D598,Products!$A$2:$F$61,4,FALSE())</f>
        <v/>
      </c>
      <c r="P598" s="55">
        <f>VLOOKUP(C598,Customers!$A$2:$F$301,3,FALSE())</f>
        <v/>
      </c>
      <c r="Q598" s="55">
        <f>UPPER(TRIM(K598))</f>
        <v/>
      </c>
      <c r="R598" s="55">
        <f>(G598-O598)/G598</f>
        <v/>
      </c>
      <c r="S598" s="55">
        <f>VLOOKUP(D598,Products!$A$2:$F$61,6,FALSE())</f>
        <v/>
      </c>
    </row>
    <row r="599" ht="15" customHeight="1" s="56">
      <c r="A599" s="55">
        <f>Orders!A599</f>
        <v/>
      </c>
      <c r="B599" s="103">
        <f>Orders!B599</f>
        <v/>
      </c>
      <c r="C599" s="55">
        <f>Orders!C599</f>
        <v/>
      </c>
      <c r="D599" s="55">
        <f>Orders!D599</f>
        <v/>
      </c>
      <c r="E599" s="55">
        <f>Orders!E599</f>
        <v/>
      </c>
      <c r="F599" s="55">
        <f>Orders!F599</f>
        <v/>
      </c>
      <c r="G599" s="55">
        <f>Orders!G599</f>
        <v/>
      </c>
      <c r="H599" s="55">
        <f>Orders!H599</f>
        <v/>
      </c>
      <c r="I599" s="55">
        <f>Orders!I599</f>
        <v/>
      </c>
      <c r="J599" s="55">
        <f>Orders!J599</f>
        <v/>
      </c>
      <c r="K599" s="55">
        <f>Orders!K599</f>
        <v/>
      </c>
      <c r="L599" s="55">
        <f>VLOOKUP(D599,Products!$A$2:$F$61,3,FALSE())</f>
        <v/>
      </c>
      <c r="M599" s="55">
        <f>VLOOKUP(C599,Customers!$A$2:$F$301,5,FALSE())</f>
        <v/>
      </c>
      <c r="N599" s="55">
        <f>VLOOKUP(E599,Sales_Reps!$A$2:$E$31,3,FALSE())</f>
        <v/>
      </c>
      <c r="O599" s="55">
        <f>VLOOKUP(D599,Products!$A$2:$F$61,4,FALSE())</f>
        <v/>
      </c>
      <c r="P599" s="55">
        <f>VLOOKUP(C599,Customers!$A$2:$F$301,3,FALSE())</f>
        <v/>
      </c>
      <c r="Q599" s="55">
        <f>UPPER(TRIM(K599))</f>
        <v/>
      </c>
      <c r="R599" s="55">
        <f>(G599-O599)/G599</f>
        <v/>
      </c>
      <c r="S599" s="55">
        <f>VLOOKUP(D599,Products!$A$2:$F$61,6,FALSE())</f>
        <v/>
      </c>
    </row>
    <row r="600" ht="15" customHeight="1" s="56">
      <c r="A600" s="55">
        <f>Orders!A600</f>
        <v/>
      </c>
      <c r="B600" s="103">
        <f>Orders!B600</f>
        <v/>
      </c>
      <c r="C600" s="55">
        <f>Orders!C600</f>
        <v/>
      </c>
      <c r="D600" s="55">
        <f>Orders!D600</f>
        <v/>
      </c>
      <c r="E600" s="55">
        <f>Orders!E600</f>
        <v/>
      </c>
      <c r="F600" s="55">
        <f>Orders!F600</f>
        <v/>
      </c>
      <c r="G600" s="55">
        <f>Orders!G600</f>
        <v/>
      </c>
      <c r="H600" s="55">
        <f>Orders!H600</f>
        <v/>
      </c>
      <c r="I600" s="55">
        <f>Orders!I600</f>
        <v/>
      </c>
      <c r="J600" s="55">
        <f>Orders!J600</f>
        <v/>
      </c>
      <c r="K600" s="55">
        <f>Orders!K600</f>
        <v/>
      </c>
      <c r="L600" s="55">
        <f>VLOOKUP(D600,Products!$A$2:$F$61,3,FALSE())</f>
        <v/>
      </c>
      <c r="M600" s="55">
        <f>VLOOKUP(C600,Customers!$A$2:$F$301,5,FALSE())</f>
        <v/>
      </c>
      <c r="N600" s="55">
        <f>VLOOKUP(E600,Sales_Reps!$A$2:$E$31,3,FALSE())</f>
        <v/>
      </c>
      <c r="O600" s="55">
        <f>VLOOKUP(D600,Products!$A$2:$F$61,4,FALSE())</f>
        <v/>
      </c>
      <c r="P600" s="55">
        <f>VLOOKUP(C600,Customers!$A$2:$F$301,3,FALSE())</f>
        <v/>
      </c>
      <c r="Q600" s="55">
        <f>UPPER(TRIM(K600))</f>
        <v/>
      </c>
      <c r="R600" s="55">
        <f>(G600-O600)/G600</f>
        <v/>
      </c>
      <c r="S600" s="55">
        <f>VLOOKUP(D600,Products!$A$2:$F$61,6,FALSE())</f>
        <v/>
      </c>
    </row>
    <row r="601" ht="15" customHeight="1" s="56">
      <c r="A601" s="55">
        <f>Orders!A601</f>
        <v/>
      </c>
      <c r="B601" s="103">
        <f>Orders!B601</f>
        <v/>
      </c>
      <c r="C601" s="55">
        <f>Orders!C601</f>
        <v/>
      </c>
      <c r="D601" s="55">
        <f>Orders!D601</f>
        <v/>
      </c>
      <c r="E601" s="55">
        <f>Orders!E601</f>
        <v/>
      </c>
      <c r="F601" s="55">
        <f>Orders!F601</f>
        <v/>
      </c>
      <c r="G601" s="55">
        <f>Orders!G601</f>
        <v/>
      </c>
      <c r="H601" s="55">
        <f>Orders!H601</f>
        <v/>
      </c>
      <c r="I601" s="55">
        <f>Orders!I601</f>
        <v/>
      </c>
      <c r="J601" s="55">
        <f>Orders!J601</f>
        <v/>
      </c>
      <c r="K601" s="55">
        <f>Orders!K601</f>
        <v/>
      </c>
      <c r="L601" s="55">
        <f>VLOOKUP(D601,Products!$A$2:$F$61,3,FALSE())</f>
        <v/>
      </c>
      <c r="M601" s="55">
        <f>VLOOKUP(C601,Customers!$A$2:$F$301,5,FALSE())</f>
        <v/>
      </c>
      <c r="N601" s="55">
        <f>VLOOKUP(E601,Sales_Reps!$A$2:$E$31,3,FALSE())</f>
        <v/>
      </c>
      <c r="O601" s="55">
        <f>VLOOKUP(D601,Products!$A$2:$F$61,4,FALSE())</f>
        <v/>
      </c>
      <c r="P601" s="55">
        <f>VLOOKUP(C601,Customers!$A$2:$F$301,3,FALSE())</f>
        <v/>
      </c>
      <c r="Q601" s="55">
        <f>UPPER(TRIM(K601))</f>
        <v/>
      </c>
      <c r="R601" s="55">
        <f>(G601-O601)/G601</f>
        <v/>
      </c>
      <c r="S601" s="55">
        <f>VLOOKUP(D601,Products!$A$2:$F$61,6,FALSE())</f>
        <v/>
      </c>
    </row>
    <row r="602" ht="15" customHeight="1" s="56">
      <c r="A602" s="55">
        <f>Orders!A602</f>
        <v/>
      </c>
      <c r="B602" s="103">
        <f>Orders!B602</f>
        <v/>
      </c>
      <c r="C602" s="55">
        <f>Orders!C602</f>
        <v/>
      </c>
      <c r="D602" s="55">
        <f>Orders!D602</f>
        <v/>
      </c>
      <c r="E602" s="55">
        <f>Orders!E602</f>
        <v/>
      </c>
      <c r="F602" s="55">
        <f>Orders!F602</f>
        <v/>
      </c>
      <c r="G602" s="55">
        <f>Orders!G602</f>
        <v/>
      </c>
      <c r="H602" s="55">
        <f>Orders!H602</f>
        <v/>
      </c>
      <c r="I602" s="55">
        <f>Orders!I602</f>
        <v/>
      </c>
      <c r="J602" s="55">
        <f>Orders!J602</f>
        <v/>
      </c>
      <c r="K602" s="55">
        <f>Orders!K602</f>
        <v/>
      </c>
      <c r="L602" s="55">
        <f>VLOOKUP(D602,Products!$A$2:$F$61,3,FALSE())</f>
        <v/>
      </c>
      <c r="M602" s="55">
        <f>VLOOKUP(C602,Customers!$A$2:$F$301,5,FALSE())</f>
        <v/>
      </c>
      <c r="N602" s="55">
        <f>VLOOKUP(E602,Sales_Reps!$A$2:$E$31,3,FALSE())</f>
        <v/>
      </c>
      <c r="O602" s="55">
        <f>VLOOKUP(D602,Products!$A$2:$F$61,4,FALSE())</f>
        <v/>
      </c>
      <c r="P602" s="55">
        <f>VLOOKUP(C602,Customers!$A$2:$F$301,3,FALSE())</f>
        <v/>
      </c>
      <c r="Q602" s="55">
        <f>UPPER(TRIM(K602))</f>
        <v/>
      </c>
      <c r="R602" s="55">
        <f>(G602-O602)/G602</f>
        <v/>
      </c>
      <c r="S602" s="55">
        <f>VLOOKUP(D602,Products!$A$2:$F$61,6,FALSE())</f>
        <v/>
      </c>
    </row>
    <row r="603" ht="15" customHeight="1" s="56">
      <c r="A603" s="55">
        <f>Orders!A603</f>
        <v/>
      </c>
      <c r="B603" s="103">
        <f>Orders!B603</f>
        <v/>
      </c>
      <c r="C603" s="55">
        <f>Orders!C603</f>
        <v/>
      </c>
      <c r="D603" s="55">
        <f>Orders!D603</f>
        <v/>
      </c>
      <c r="E603" s="55">
        <f>Orders!E603</f>
        <v/>
      </c>
      <c r="F603" s="55">
        <f>Orders!F603</f>
        <v/>
      </c>
      <c r="G603" s="55">
        <f>Orders!G603</f>
        <v/>
      </c>
      <c r="H603" s="55">
        <f>Orders!H603</f>
        <v/>
      </c>
      <c r="I603" s="55">
        <f>Orders!I603</f>
        <v/>
      </c>
      <c r="J603" s="55">
        <f>Orders!J603</f>
        <v/>
      </c>
      <c r="K603" s="55">
        <f>Orders!K603</f>
        <v/>
      </c>
      <c r="L603" s="55">
        <f>VLOOKUP(D603,Products!$A$2:$F$61,3,FALSE())</f>
        <v/>
      </c>
      <c r="M603" s="55">
        <f>VLOOKUP(C603,Customers!$A$2:$F$301,5,FALSE())</f>
        <v/>
      </c>
      <c r="N603" s="55">
        <f>VLOOKUP(E603,Sales_Reps!$A$2:$E$31,3,FALSE())</f>
        <v/>
      </c>
      <c r="O603" s="55">
        <f>VLOOKUP(D603,Products!$A$2:$F$61,4,FALSE())</f>
        <v/>
      </c>
      <c r="P603" s="55">
        <f>VLOOKUP(C603,Customers!$A$2:$F$301,3,FALSE())</f>
        <v/>
      </c>
      <c r="Q603" s="55">
        <f>UPPER(TRIM(K603))</f>
        <v/>
      </c>
      <c r="R603" s="55">
        <f>(G603-O603)/G603</f>
        <v/>
      </c>
      <c r="S603" s="55">
        <f>VLOOKUP(D603,Products!$A$2:$F$61,6,FALSE())</f>
        <v/>
      </c>
    </row>
    <row r="604" ht="15" customHeight="1" s="56">
      <c r="A604" s="55">
        <f>Orders!A604</f>
        <v/>
      </c>
      <c r="B604" s="103">
        <f>Orders!B604</f>
        <v/>
      </c>
      <c r="C604" s="55">
        <f>Orders!C604</f>
        <v/>
      </c>
      <c r="D604" s="55">
        <f>Orders!D604</f>
        <v/>
      </c>
      <c r="E604" s="55">
        <f>Orders!E604</f>
        <v/>
      </c>
      <c r="F604" s="55">
        <f>Orders!F604</f>
        <v/>
      </c>
      <c r="G604" s="55">
        <f>Orders!G604</f>
        <v/>
      </c>
      <c r="H604" s="55">
        <f>Orders!H604</f>
        <v/>
      </c>
      <c r="I604" s="55">
        <f>Orders!I604</f>
        <v/>
      </c>
      <c r="J604" s="55">
        <f>Orders!J604</f>
        <v/>
      </c>
      <c r="K604" s="55">
        <f>Orders!K604</f>
        <v/>
      </c>
      <c r="L604" s="55">
        <f>VLOOKUP(D604,Products!$A$2:$F$61,3,FALSE())</f>
        <v/>
      </c>
      <c r="M604" s="55">
        <f>VLOOKUP(C604,Customers!$A$2:$F$301,5,FALSE())</f>
        <v/>
      </c>
      <c r="N604" s="55">
        <f>VLOOKUP(E604,Sales_Reps!$A$2:$E$31,3,FALSE())</f>
        <v/>
      </c>
      <c r="O604" s="55">
        <f>VLOOKUP(D604,Products!$A$2:$F$61,4,FALSE())</f>
        <v/>
      </c>
      <c r="P604" s="55">
        <f>VLOOKUP(C604,Customers!$A$2:$F$301,3,FALSE())</f>
        <v/>
      </c>
      <c r="Q604" s="55">
        <f>UPPER(TRIM(K604))</f>
        <v/>
      </c>
      <c r="R604" s="55">
        <f>(G604-O604)/G604</f>
        <v/>
      </c>
      <c r="S604" s="55">
        <f>VLOOKUP(D604,Products!$A$2:$F$61,6,FALSE())</f>
        <v/>
      </c>
    </row>
    <row r="605" ht="15" customHeight="1" s="56">
      <c r="A605" s="55">
        <f>Orders!A605</f>
        <v/>
      </c>
      <c r="B605" s="103">
        <f>Orders!B605</f>
        <v/>
      </c>
      <c r="C605" s="55">
        <f>Orders!C605</f>
        <v/>
      </c>
      <c r="D605" s="55">
        <f>Orders!D605</f>
        <v/>
      </c>
      <c r="E605" s="55">
        <f>Orders!E605</f>
        <v/>
      </c>
      <c r="F605" s="55">
        <f>Orders!F605</f>
        <v/>
      </c>
      <c r="G605" s="55">
        <f>Orders!G605</f>
        <v/>
      </c>
      <c r="H605" s="55">
        <f>Orders!H605</f>
        <v/>
      </c>
      <c r="I605" s="55">
        <f>Orders!I605</f>
        <v/>
      </c>
      <c r="J605" s="55">
        <f>Orders!J605</f>
        <v/>
      </c>
      <c r="K605" s="55">
        <f>Orders!K605</f>
        <v/>
      </c>
      <c r="L605" s="55">
        <f>VLOOKUP(D605,Products!$A$2:$F$61,3,FALSE())</f>
        <v/>
      </c>
      <c r="M605" s="55">
        <f>VLOOKUP(C605,Customers!$A$2:$F$301,5,FALSE())</f>
        <v/>
      </c>
      <c r="N605" s="55">
        <f>VLOOKUP(E605,Sales_Reps!$A$2:$E$31,3,FALSE())</f>
        <v/>
      </c>
      <c r="O605" s="55">
        <f>VLOOKUP(D605,Products!$A$2:$F$61,4,FALSE())</f>
        <v/>
      </c>
      <c r="P605" s="55">
        <f>VLOOKUP(C605,Customers!$A$2:$F$301,3,FALSE())</f>
        <v/>
      </c>
      <c r="Q605" s="55">
        <f>UPPER(TRIM(K605))</f>
        <v/>
      </c>
      <c r="R605" s="55">
        <f>(G605-O605)/G605</f>
        <v/>
      </c>
      <c r="S605" s="55">
        <f>VLOOKUP(D605,Products!$A$2:$F$61,6,FALSE())</f>
        <v/>
      </c>
    </row>
    <row r="606" ht="15" customHeight="1" s="56">
      <c r="A606" s="55">
        <f>Orders!A606</f>
        <v/>
      </c>
      <c r="B606" s="103">
        <f>Orders!B606</f>
        <v/>
      </c>
      <c r="C606" s="55">
        <f>Orders!C606</f>
        <v/>
      </c>
      <c r="D606" s="55">
        <f>Orders!D606</f>
        <v/>
      </c>
      <c r="E606" s="55">
        <f>Orders!E606</f>
        <v/>
      </c>
      <c r="F606" s="55">
        <f>Orders!F606</f>
        <v/>
      </c>
      <c r="G606" s="55">
        <f>Orders!G606</f>
        <v/>
      </c>
      <c r="H606" s="55">
        <f>Orders!H606</f>
        <v/>
      </c>
      <c r="I606" s="55">
        <f>Orders!I606</f>
        <v/>
      </c>
      <c r="J606" s="55">
        <f>Orders!J606</f>
        <v/>
      </c>
      <c r="K606" s="55">
        <f>Orders!K606</f>
        <v/>
      </c>
      <c r="L606" s="55">
        <f>VLOOKUP(D606,Products!$A$2:$F$61,3,FALSE())</f>
        <v/>
      </c>
      <c r="M606" s="55">
        <f>VLOOKUP(C606,Customers!$A$2:$F$301,5,FALSE())</f>
        <v/>
      </c>
      <c r="N606" s="55">
        <f>VLOOKUP(E606,Sales_Reps!$A$2:$E$31,3,FALSE())</f>
        <v/>
      </c>
      <c r="O606" s="55">
        <f>VLOOKUP(D606,Products!$A$2:$F$61,4,FALSE())</f>
        <v/>
      </c>
      <c r="P606" s="55">
        <f>VLOOKUP(C606,Customers!$A$2:$F$301,3,FALSE())</f>
        <v/>
      </c>
      <c r="Q606" s="55">
        <f>UPPER(TRIM(K606))</f>
        <v/>
      </c>
      <c r="R606" s="55">
        <f>(G606-O606)/G606</f>
        <v/>
      </c>
      <c r="S606" s="55">
        <f>VLOOKUP(D606,Products!$A$2:$F$61,6,FALSE())</f>
        <v/>
      </c>
    </row>
    <row r="607" ht="15" customHeight="1" s="56">
      <c r="A607" s="55">
        <f>Orders!A607</f>
        <v/>
      </c>
      <c r="B607" s="103">
        <f>Orders!B607</f>
        <v/>
      </c>
      <c r="C607" s="55">
        <f>Orders!C607</f>
        <v/>
      </c>
      <c r="D607" s="55">
        <f>Orders!D607</f>
        <v/>
      </c>
      <c r="E607" s="55">
        <f>Orders!E607</f>
        <v/>
      </c>
      <c r="F607" s="55">
        <f>Orders!F607</f>
        <v/>
      </c>
      <c r="G607" s="55">
        <f>Orders!G607</f>
        <v/>
      </c>
      <c r="H607" s="55">
        <f>Orders!H607</f>
        <v/>
      </c>
      <c r="I607" s="55">
        <f>Orders!I607</f>
        <v/>
      </c>
      <c r="J607" s="55">
        <f>Orders!J607</f>
        <v/>
      </c>
      <c r="K607" s="55">
        <f>Orders!K607</f>
        <v/>
      </c>
      <c r="L607" s="55">
        <f>VLOOKUP(D607,Products!$A$2:$F$61,3,FALSE())</f>
        <v/>
      </c>
      <c r="M607" s="55">
        <f>VLOOKUP(C607,Customers!$A$2:$F$301,5,FALSE())</f>
        <v/>
      </c>
      <c r="N607" s="55">
        <f>VLOOKUP(E607,Sales_Reps!$A$2:$E$31,3,FALSE())</f>
        <v/>
      </c>
      <c r="O607" s="55">
        <f>VLOOKUP(D607,Products!$A$2:$F$61,4,FALSE())</f>
        <v/>
      </c>
      <c r="P607" s="55">
        <f>VLOOKUP(C607,Customers!$A$2:$F$301,3,FALSE())</f>
        <v/>
      </c>
      <c r="Q607" s="55">
        <f>UPPER(TRIM(K607))</f>
        <v/>
      </c>
      <c r="R607" s="55">
        <f>(G607-O607)/G607</f>
        <v/>
      </c>
      <c r="S607" s="55">
        <f>VLOOKUP(D607,Products!$A$2:$F$61,6,FALSE())</f>
        <v/>
      </c>
    </row>
    <row r="608" ht="15" customHeight="1" s="56">
      <c r="A608" s="55">
        <f>Orders!A608</f>
        <v/>
      </c>
      <c r="B608" s="103">
        <f>Orders!B608</f>
        <v/>
      </c>
      <c r="C608" s="55">
        <f>Orders!C608</f>
        <v/>
      </c>
      <c r="D608" s="55">
        <f>Orders!D608</f>
        <v/>
      </c>
      <c r="E608" s="55">
        <f>Orders!E608</f>
        <v/>
      </c>
      <c r="F608" s="55">
        <f>Orders!F608</f>
        <v/>
      </c>
      <c r="G608" s="55">
        <f>Orders!G608</f>
        <v/>
      </c>
      <c r="H608" s="55">
        <f>Orders!H608</f>
        <v/>
      </c>
      <c r="I608" s="55">
        <f>Orders!I608</f>
        <v/>
      </c>
      <c r="J608" s="55">
        <f>Orders!J608</f>
        <v/>
      </c>
      <c r="K608" s="55">
        <f>Orders!K608</f>
        <v/>
      </c>
      <c r="L608" s="55">
        <f>VLOOKUP(D608,Products!$A$2:$F$61,3,FALSE())</f>
        <v/>
      </c>
      <c r="M608" s="55">
        <f>VLOOKUP(C608,Customers!$A$2:$F$301,5,FALSE())</f>
        <v/>
      </c>
      <c r="N608" s="55">
        <f>VLOOKUP(E608,Sales_Reps!$A$2:$E$31,3,FALSE())</f>
        <v/>
      </c>
      <c r="O608" s="55">
        <f>VLOOKUP(D608,Products!$A$2:$F$61,4,FALSE())</f>
        <v/>
      </c>
      <c r="P608" s="55">
        <f>VLOOKUP(C608,Customers!$A$2:$F$301,3,FALSE())</f>
        <v/>
      </c>
      <c r="Q608" s="55">
        <f>UPPER(TRIM(K608))</f>
        <v/>
      </c>
      <c r="R608" s="55">
        <f>(G608-O608)/G608</f>
        <v/>
      </c>
      <c r="S608" s="55">
        <f>VLOOKUP(D608,Products!$A$2:$F$61,6,FALSE())</f>
        <v/>
      </c>
    </row>
    <row r="609" ht="15" customHeight="1" s="56">
      <c r="A609" s="55">
        <f>Orders!A609</f>
        <v/>
      </c>
      <c r="B609" s="103">
        <f>Orders!B609</f>
        <v/>
      </c>
      <c r="C609" s="55">
        <f>Orders!C609</f>
        <v/>
      </c>
      <c r="D609" s="55">
        <f>Orders!D609</f>
        <v/>
      </c>
      <c r="E609" s="55">
        <f>Orders!E609</f>
        <v/>
      </c>
      <c r="F609" s="55">
        <f>Orders!F609</f>
        <v/>
      </c>
      <c r="G609" s="55">
        <f>Orders!G609</f>
        <v/>
      </c>
      <c r="H609" s="55">
        <f>Orders!H609</f>
        <v/>
      </c>
      <c r="I609" s="55">
        <f>Orders!I609</f>
        <v/>
      </c>
      <c r="J609" s="55">
        <f>Orders!J609</f>
        <v/>
      </c>
      <c r="K609" s="55">
        <f>Orders!K609</f>
        <v/>
      </c>
      <c r="L609" s="55">
        <f>VLOOKUP(D609,Products!$A$2:$F$61,3,FALSE())</f>
        <v/>
      </c>
      <c r="M609" s="55">
        <f>VLOOKUP(C609,Customers!$A$2:$F$301,5,FALSE())</f>
        <v/>
      </c>
      <c r="N609" s="55">
        <f>VLOOKUP(E609,Sales_Reps!$A$2:$E$31,3,FALSE())</f>
        <v/>
      </c>
      <c r="O609" s="55">
        <f>VLOOKUP(D609,Products!$A$2:$F$61,4,FALSE())</f>
        <v/>
      </c>
      <c r="P609" s="55">
        <f>VLOOKUP(C609,Customers!$A$2:$F$301,3,FALSE())</f>
        <v/>
      </c>
      <c r="Q609" s="55">
        <f>UPPER(TRIM(K609))</f>
        <v/>
      </c>
      <c r="R609" s="55">
        <f>(G609-O609)/G609</f>
        <v/>
      </c>
      <c r="S609" s="55">
        <f>VLOOKUP(D609,Products!$A$2:$F$61,6,FALSE())</f>
        <v/>
      </c>
    </row>
    <row r="610" ht="15" customHeight="1" s="56">
      <c r="A610" s="55">
        <f>Orders!A610</f>
        <v/>
      </c>
      <c r="B610" s="103">
        <f>Orders!B610</f>
        <v/>
      </c>
      <c r="C610" s="55">
        <f>Orders!C610</f>
        <v/>
      </c>
      <c r="D610" s="55">
        <f>Orders!D610</f>
        <v/>
      </c>
      <c r="E610" s="55">
        <f>Orders!E610</f>
        <v/>
      </c>
      <c r="F610" s="55">
        <f>Orders!F610</f>
        <v/>
      </c>
      <c r="G610" s="55">
        <f>Orders!G610</f>
        <v/>
      </c>
      <c r="H610" s="55">
        <f>Orders!H610</f>
        <v/>
      </c>
      <c r="I610" s="55">
        <f>Orders!I610</f>
        <v/>
      </c>
      <c r="J610" s="55">
        <f>Orders!J610</f>
        <v/>
      </c>
      <c r="K610" s="55">
        <f>Orders!K610</f>
        <v/>
      </c>
      <c r="L610" s="55">
        <f>VLOOKUP(D610,Products!$A$2:$F$61,3,FALSE())</f>
        <v/>
      </c>
      <c r="M610" s="55">
        <f>VLOOKUP(C610,Customers!$A$2:$F$301,5,FALSE())</f>
        <v/>
      </c>
      <c r="N610" s="55">
        <f>VLOOKUP(E610,Sales_Reps!$A$2:$E$31,3,FALSE())</f>
        <v/>
      </c>
      <c r="O610" s="55">
        <f>VLOOKUP(D610,Products!$A$2:$F$61,4,FALSE())</f>
        <v/>
      </c>
      <c r="P610" s="55">
        <f>VLOOKUP(C610,Customers!$A$2:$F$301,3,FALSE())</f>
        <v/>
      </c>
      <c r="Q610" s="55">
        <f>UPPER(TRIM(K610))</f>
        <v/>
      </c>
      <c r="R610" s="55">
        <f>(G610-O610)/G610</f>
        <v/>
      </c>
      <c r="S610" s="55">
        <f>VLOOKUP(D610,Products!$A$2:$F$61,6,FALSE())</f>
        <v/>
      </c>
    </row>
    <row r="611" ht="15" customHeight="1" s="56">
      <c r="A611" s="55">
        <f>Orders!A611</f>
        <v/>
      </c>
      <c r="B611" s="103">
        <f>Orders!B611</f>
        <v/>
      </c>
      <c r="C611" s="55">
        <f>Orders!C611</f>
        <v/>
      </c>
      <c r="D611" s="55">
        <f>Orders!D611</f>
        <v/>
      </c>
      <c r="E611" s="55">
        <f>Orders!E611</f>
        <v/>
      </c>
      <c r="F611" s="55">
        <f>Orders!F611</f>
        <v/>
      </c>
      <c r="G611" s="55">
        <f>Orders!G611</f>
        <v/>
      </c>
      <c r="H611" s="55">
        <f>Orders!H611</f>
        <v/>
      </c>
      <c r="I611" s="55">
        <f>Orders!I611</f>
        <v/>
      </c>
      <c r="J611" s="55">
        <f>Orders!J611</f>
        <v/>
      </c>
      <c r="K611" s="55">
        <f>Orders!K611</f>
        <v/>
      </c>
      <c r="L611" s="55">
        <f>VLOOKUP(D611,Products!$A$2:$F$61,3,FALSE())</f>
        <v/>
      </c>
      <c r="M611" s="55">
        <f>VLOOKUP(C611,Customers!$A$2:$F$301,5,FALSE())</f>
        <v/>
      </c>
      <c r="N611" s="55">
        <f>VLOOKUP(E611,Sales_Reps!$A$2:$E$31,3,FALSE())</f>
        <v/>
      </c>
      <c r="O611" s="55">
        <f>VLOOKUP(D611,Products!$A$2:$F$61,4,FALSE())</f>
        <v/>
      </c>
      <c r="P611" s="55">
        <f>VLOOKUP(C611,Customers!$A$2:$F$301,3,FALSE())</f>
        <v/>
      </c>
      <c r="Q611" s="55">
        <f>UPPER(TRIM(K611))</f>
        <v/>
      </c>
      <c r="R611" s="55">
        <f>(G611-O611)/G611</f>
        <v/>
      </c>
      <c r="S611" s="55">
        <f>VLOOKUP(D611,Products!$A$2:$F$61,6,FALSE())</f>
        <v/>
      </c>
    </row>
    <row r="612" ht="15" customHeight="1" s="56">
      <c r="A612" s="55">
        <f>Orders!A612</f>
        <v/>
      </c>
      <c r="B612" s="103">
        <f>Orders!B612</f>
        <v/>
      </c>
      <c r="C612" s="55">
        <f>Orders!C612</f>
        <v/>
      </c>
      <c r="D612" s="55">
        <f>Orders!D612</f>
        <v/>
      </c>
      <c r="E612" s="55">
        <f>Orders!E612</f>
        <v/>
      </c>
      <c r="F612" s="55">
        <f>Orders!F612</f>
        <v/>
      </c>
      <c r="G612" s="55">
        <f>Orders!G612</f>
        <v/>
      </c>
      <c r="H612" s="55">
        <f>Orders!H612</f>
        <v/>
      </c>
      <c r="I612" s="55">
        <f>Orders!I612</f>
        <v/>
      </c>
      <c r="J612" s="55">
        <f>Orders!J612</f>
        <v/>
      </c>
      <c r="K612" s="55">
        <f>Orders!K612</f>
        <v/>
      </c>
      <c r="L612" s="55">
        <f>VLOOKUP(D612,Products!$A$2:$F$61,3,FALSE())</f>
        <v/>
      </c>
      <c r="M612" s="55">
        <f>VLOOKUP(C612,Customers!$A$2:$F$301,5,FALSE())</f>
        <v/>
      </c>
      <c r="N612" s="55">
        <f>VLOOKUP(E612,Sales_Reps!$A$2:$E$31,3,FALSE())</f>
        <v/>
      </c>
      <c r="O612" s="55">
        <f>VLOOKUP(D612,Products!$A$2:$F$61,4,FALSE())</f>
        <v/>
      </c>
      <c r="P612" s="55">
        <f>VLOOKUP(C612,Customers!$A$2:$F$301,3,FALSE())</f>
        <v/>
      </c>
      <c r="Q612" s="55">
        <f>UPPER(TRIM(K612))</f>
        <v/>
      </c>
      <c r="R612" s="55">
        <f>(G612-O612)/G612</f>
        <v/>
      </c>
      <c r="S612" s="55">
        <f>VLOOKUP(D612,Products!$A$2:$F$61,6,FALSE())</f>
        <v/>
      </c>
    </row>
    <row r="613" ht="15" customHeight="1" s="56">
      <c r="A613" s="55">
        <f>Orders!A613</f>
        <v/>
      </c>
      <c r="B613" s="103">
        <f>Orders!B613</f>
        <v/>
      </c>
      <c r="C613" s="55">
        <f>Orders!C613</f>
        <v/>
      </c>
      <c r="D613" s="55">
        <f>Orders!D613</f>
        <v/>
      </c>
      <c r="E613" s="55">
        <f>Orders!E613</f>
        <v/>
      </c>
      <c r="F613" s="55">
        <f>Orders!F613</f>
        <v/>
      </c>
      <c r="G613" s="55">
        <f>Orders!G613</f>
        <v/>
      </c>
      <c r="H613" s="55">
        <f>Orders!H613</f>
        <v/>
      </c>
      <c r="I613" s="55">
        <f>Orders!I613</f>
        <v/>
      </c>
      <c r="J613" s="55">
        <f>Orders!J613</f>
        <v/>
      </c>
      <c r="K613" s="55">
        <f>Orders!K613</f>
        <v/>
      </c>
      <c r="L613" s="55">
        <f>VLOOKUP(D613,Products!$A$2:$F$61,3,FALSE())</f>
        <v/>
      </c>
      <c r="M613" s="55">
        <f>VLOOKUP(C613,Customers!$A$2:$F$301,5,FALSE())</f>
        <v/>
      </c>
      <c r="N613" s="55">
        <f>VLOOKUP(E613,Sales_Reps!$A$2:$E$31,3,FALSE())</f>
        <v/>
      </c>
      <c r="O613" s="55">
        <f>VLOOKUP(D613,Products!$A$2:$F$61,4,FALSE())</f>
        <v/>
      </c>
      <c r="P613" s="55">
        <f>VLOOKUP(C613,Customers!$A$2:$F$301,3,FALSE())</f>
        <v/>
      </c>
      <c r="Q613" s="55">
        <f>UPPER(TRIM(K613))</f>
        <v/>
      </c>
      <c r="R613" s="55">
        <f>(G613-O613)/G613</f>
        <v/>
      </c>
      <c r="S613" s="55">
        <f>VLOOKUP(D613,Products!$A$2:$F$61,6,FALSE())</f>
        <v/>
      </c>
    </row>
    <row r="614" ht="15" customHeight="1" s="56">
      <c r="A614" s="55">
        <f>Orders!A614</f>
        <v/>
      </c>
      <c r="B614" s="103">
        <f>Orders!B614</f>
        <v/>
      </c>
      <c r="C614" s="55">
        <f>Orders!C614</f>
        <v/>
      </c>
      <c r="D614" s="55">
        <f>Orders!D614</f>
        <v/>
      </c>
      <c r="E614" s="55">
        <f>Orders!E614</f>
        <v/>
      </c>
      <c r="F614" s="55">
        <f>Orders!F614</f>
        <v/>
      </c>
      <c r="G614" s="55">
        <f>Orders!G614</f>
        <v/>
      </c>
      <c r="H614" s="55">
        <f>Orders!H614</f>
        <v/>
      </c>
      <c r="I614" s="55">
        <f>Orders!I614</f>
        <v/>
      </c>
      <c r="J614" s="55">
        <f>Orders!J614</f>
        <v/>
      </c>
      <c r="K614" s="55">
        <f>Orders!K614</f>
        <v/>
      </c>
      <c r="L614" s="55">
        <f>VLOOKUP(D614,Products!$A$2:$F$61,3,FALSE())</f>
        <v/>
      </c>
      <c r="M614" s="55">
        <f>VLOOKUP(C614,Customers!$A$2:$F$301,5,FALSE())</f>
        <v/>
      </c>
      <c r="N614" s="55">
        <f>VLOOKUP(E614,Sales_Reps!$A$2:$E$31,3,FALSE())</f>
        <v/>
      </c>
      <c r="O614" s="55">
        <f>VLOOKUP(D614,Products!$A$2:$F$61,4,FALSE())</f>
        <v/>
      </c>
      <c r="P614" s="55">
        <f>VLOOKUP(C614,Customers!$A$2:$F$301,3,FALSE())</f>
        <v/>
      </c>
      <c r="Q614" s="55">
        <f>UPPER(TRIM(K614))</f>
        <v/>
      </c>
      <c r="R614" s="55">
        <f>(G614-O614)/G614</f>
        <v/>
      </c>
      <c r="S614" s="55">
        <f>VLOOKUP(D614,Products!$A$2:$F$61,6,FALSE())</f>
        <v/>
      </c>
    </row>
    <row r="615" ht="15" customHeight="1" s="56">
      <c r="A615" s="55">
        <f>Orders!A615</f>
        <v/>
      </c>
      <c r="B615" s="103">
        <f>Orders!B615</f>
        <v/>
      </c>
      <c r="C615" s="55">
        <f>Orders!C615</f>
        <v/>
      </c>
      <c r="D615" s="55">
        <f>Orders!D615</f>
        <v/>
      </c>
      <c r="E615" s="55">
        <f>Orders!E615</f>
        <v/>
      </c>
      <c r="F615" s="55">
        <f>Orders!F615</f>
        <v/>
      </c>
      <c r="G615" s="55">
        <f>Orders!G615</f>
        <v/>
      </c>
      <c r="H615" s="55">
        <f>Orders!H615</f>
        <v/>
      </c>
      <c r="I615" s="55">
        <f>Orders!I615</f>
        <v/>
      </c>
      <c r="J615" s="55">
        <f>Orders!J615</f>
        <v/>
      </c>
      <c r="K615" s="55">
        <f>Orders!K615</f>
        <v/>
      </c>
      <c r="L615" s="55">
        <f>VLOOKUP(D615,Products!$A$2:$F$61,3,FALSE())</f>
        <v/>
      </c>
      <c r="M615" s="55">
        <f>VLOOKUP(C615,Customers!$A$2:$F$301,5,FALSE())</f>
        <v/>
      </c>
      <c r="N615" s="55">
        <f>VLOOKUP(E615,Sales_Reps!$A$2:$E$31,3,FALSE())</f>
        <v/>
      </c>
      <c r="O615" s="55">
        <f>VLOOKUP(D615,Products!$A$2:$F$61,4,FALSE())</f>
        <v/>
      </c>
      <c r="P615" s="55">
        <f>VLOOKUP(C615,Customers!$A$2:$F$301,3,FALSE())</f>
        <v/>
      </c>
      <c r="Q615" s="55">
        <f>UPPER(TRIM(K615))</f>
        <v/>
      </c>
      <c r="R615" s="55">
        <f>(G615-O615)/G615</f>
        <v/>
      </c>
      <c r="S615" s="55">
        <f>VLOOKUP(D615,Products!$A$2:$F$61,6,FALSE())</f>
        <v/>
      </c>
    </row>
    <row r="616" ht="15" customHeight="1" s="56">
      <c r="A616" s="55">
        <f>Orders!A616</f>
        <v/>
      </c>
      <c r="B616" s="103">
        <f>Orders!B616</f>
        <v/>
      </c>
      <c r="C616" s="55">
        <f>Orders!C616</f>
        <v/>
      </c>
      <c r="D616" s="55">
        <f>Orders!D616</f>
        <v/>
      </c>
      <c r="E616" s="55">
        <f>Orders!E616</f>
        <v/>
      </c>
      <c r="F616" s="55">
        <f>Orders!F616</f>
        <v/>
      </c>
      <c r="G616" s="55">
        <f>Orders!G616</f>
        <v/>
      </c>
      <c r="H616" s="55">
        <f>Orders!H616</f>
        <v/>
      </c>
      <c r="I616" s="55">
        <f>Orders!I616</f>
        <v/>
      </c>
      <c r="J616" s="55">
        <f>Orders!J616</f>
        <v/>
      </c>
      <c r="K616" s="55">
        <f>Orders!K616</f>
        <v/>
      </c>
      <c r="L616" s="55">
        <f>VLOOKUP(D616,Products!$A$2:$F$61,3,FALSE())</f>
        <v/>
      </c>
      <c r="M616" s="55">
        <f>VLOOKUP(C616,Customers!$A$2:$F$301,5,FALSE())</f>
        <v/>
      </c>
      <c r="N616" s="55">
        <f>VLOOKUP(E616,Sales_Reps!$A$2:$E$31,3,FALSE())</f>
        <v/>
      </c>
      <c r="O616" s="55">
        <f>VLOOKUP(D616,Products!$A$2:$F$61,4,FALSE())</f>
        <v/>
      </c>
      <c r="P616" s="55">
        <f>VLOOKUP(C616,Customers!$A$2:$F$301,3,FALSE())</f>
        <v/>
      </c>
      <c r="Q616" s="55">
        <f>UPPER(TRIM(K616))</f>
        <v/>
      </c>
      <c r="R616" s="55">
        <f>(G616-O616)/G616</f>
        <v/>
      </c>
      <c r="S616" s="55">
        <f>VLOOKUP(D616,Products!$A$2:$F$61,6,FALSE())</f>
        <v/>
      </c>
    </row>
    <row r="617" ht="15" customHeight="1" s="56">
      <c r="A617" s="55">
        <f>Orders!A617</f>
        <v/>
      </c>
      <c r="B617" s="103">
        <f>Orders!B617</f>
        <v/>
      </c>
      <c r="C617" s="55">
        <f>Orders!C617</f>
        <v/>
      </c>
      <c r="D617" s="55">
        <f>Orders!D617</f>
        <v/>
      </c>
      <c r="E617" s="55">
        <f>Orders!E617</f>
        <v/>
      </c>
      <c r="F617" s="55">
        <f>Orders!F617</f>
        <v/>
      </c>
      <c r="G617" s="55">
        <f>Orders!G617</f>
        <v/>
      </c>
      <c r="H617" s="55">
        <f>Orders!H617</f>
        <v/>
      </c>
      <c r="I617" s="55">
        <f>Orders!I617</f>
        <v/>
      </c>
      <c r="J617" s="55">
        <f>Orders!J617</f>
        <v/>
      </c>
      <c r="K617" s="55">
        <f>Orders!K617</f>
        <v/>
      </c>
      <c r="L617" s="55">
        <f>VLOOKUP(D617,Products!$A$2:$F$61,3,FALSE())</f>
        <v/>
      </c>
      <c r="M617" s="55">
        <f>VLOOKUP(C617,Customers!$A$2:$F$301,5,FALSE())</f>
        <v/>
      </c>
      <c r="N617" s="55">
        <f>VLOOKUP(E617,Sales_Reps!$A$2:$E$31,3,FALSE())</f>
        <v/>
      </c>
      <c r="O617" s="55">
        <f>VLOOKUP(D617,Products!$A$2:$F$61,4,FALSE())</f>
        <v/>
      </c>
      <c r="P617" s="55">
        <f>VLOOKUP(C617,Customers!$A$2:$F$301,3,FALSE())</f>
        <v/>
      </c>
      <c r="Q617" s="55">
        <f>UPPER(TRIM(K617))</f>
        <v/>
      </c>
      <c r="R617" s="55">
        <f>(G617-O617)/G617</f>
        <v/>
      </c>
      <c r="S617" s="55">
        <f>VLOOKUP(D617,Products!$A$2:$F$61,6,FALSE())</f>
        <v/>
      </c>
    </row>
    <row r="618" ht="15" customHeight="1" s="56">
      <c r="A618" s="55">
        <f>Orders!A618</f>
        <v/>
      </c>
      <c r="B618" s="103">
        <f>Orders!B618</f>
        <v/>
      </c>
      <c r="C618" s="55">
        <f>Orders!C618</f>
        <v/>
      </c>
      <c r="D618" s="55">
        <f>Orders!D618</f>
        <v/>
      </c>
      <c r="E618" s="55">
        <f>Orders!E618</f>
        <v/>
      </c>
      <c r="F618" s="55">
        <f>Orders!F618</f>
        <v/>
      </c>
      <c r="G618" s="55">
        <f>Orders!G618</f>
        <v/>
      </c>
      <c r="H618" s="55">
        <f>Orders!H618</f>
        <v/>
      </c>
      <c r="I618" s="55">
        <f>Orders!I618</f>
        <v/>
      </c>
      <c r="J618" s="55">
        <f>Orders!J618</f>
        <v/>
      </c>
      <c r="K618" s="55">
        <f>Orders!K618</f>
        <v/>
      </c>
      <c r="L618" s="55">
        <f>VLOOKUP(D618,Products!$A$2:$F$61,3,FALSE())</f>
        <v/>
      </c>
      <c r="M618" s="55">
        <f>VLOOKUP(C618,Customers!$A$2:$F$301,5,FALSE())</f>
        <v/>
      </c>
      <c r="N618" s="55">
        <f>VLOOKUP(E618,Sales_Reps!$A$2:$E$31,3,FALSE())</f>
        <v/>
      </c>
      <c r="O618" s="55">
        <f>VLOOKUP(D618,Products!$A$2:$F$61,4,FALSE())</f>
        <v/>
      </c>
      <c r="P618" s="55">
        <f>VLOOKUP(C618,Customers!$A$2:$F$301,3,FALSE())</f>
        <v/>
      </c>
      <c r="Q618" s="55">
        <f>UPPER(TRIM(K618))</f>
        <v/>
      </c>
      <c r="R618" s="55">
        <f>(G618-O618)/G618</f>
        <v/>
      </c>
      <c r="S618" s="55">
        <f>VLOOKUP(D618,Products!$A$2:$F$61,6,FALSE())</f>
        <v/>
      </c>
    </row>
    <row r="619" ht="15" customHeight="1" s="56">
      <c r="A619" s="55">
        <f>Orders!A619</f>
        <v/>
      </c>
      <c r="B619" s="103">
        <f>Orders!B619</f>
        <v/>
      </c>
      <c r="C619" s="55">
        <f>Orders!C619</f>
        <v/>
      </c>
      <c r="D619" s="55">
        <f>Orders!D619</f>
        <v/>
      </c>
      <c r="E619" s="55">
        <f>Orders!E619</f>
        <v/>
      </c>
      <c r="F619" s="55">
        <f>Orders!F619</f>
        <v/>
      </c>
      <c r="G619" s="55">
        <f>Orders!G619</f>
        <v/>
      </c>
      <c r="H619" s="55">
        <f>Orders!H619</f>
        <v/>
      </c>
      <c r="I619" s="55">
        <f>Orders!I619</f>
        <v/>
      </c>
      <c r="J619" s="55">
        <f>Orders!J619</f>
        <v/>
      </c>
      <c r="K619" s="55">
        <f>Orders!K619</f>
        <v/>
      </c>
      <c r="L619" s="55">
        <f>VLOOKUP(D619,Products!$A$2:$F$61,3,FALSE())</f>
        <v/>
      </c>
      <c r="M619" s="55">
        <f>VLOOKUP(C619,Customers!$A$2:$F$301,5,FALSE())</f>
        <v/>
      </c>
      <c r="N619" s="55">
        <f>VLOOKUP(E619,Sales_Reps!$A$2:$E$31,3,FALSE())</f>
        <v/>
      </c>
      <c r="O619" s="55">
        <f>VLOOKUP(D619,Products!$A$2:$F$61,4,FALSE())</f>
        <v/>
      </c>
      <c r="P619" s="55">
        <f>VLOOKUP(C619,Customers!$A$2:$F$301,3,FALSE())</f>
        <v/>
      </c>
      <c r="Q619" s="55">
        <f>UPPER(TRIM(K619))</f>
        <v/>
      </c>
      <c r="R619" s="55">
        <f>(G619-O619)/G619</f>
        <v/>
      </c>
      <c r="S619" s="55">
        <f>VLOOKUP(D619,Products!$A$2:$F$61,6,FALSE())</f>
        <v/>
      </c>
    </row>
    <row r="620" ht="15" customHeight="1" s="56">
      <c r="A620" s="55">
        <f>Orders!A620</f>
        <v/>
      </c>
      <c r="B620" s="103">
        <f>Orders!B620</f>
        <v/>
      </c>
      <c r="C620" s="55">
        <f>Orders!C620</f>
        <v/>
      </c>
      <c r="D620" s="55">
        <f>Orders!D620</f>
        <v/>
      </c>
      <c r="E620" s="55">
        <f>Orders!E620</f>
        <v/>
      </c>
      <c r="F620" s="55">
        <f>Orders!F620</f>
        <v/>
      </c>
      <c r="G620" s="55">
        <f>Orders!G620</f>
        <v/>
      </c>
      <c r="H620" s="55">
        <f>Orders!H620</f>
        <v/>
      </c>
      <c r="I620" s="55">
        <f>Orders!I620</f>
        <v/>
      </c>
      <c r="J620" s="55">
        <f>Orders!J620</f>
        <v/>
      </c>
      <c r="K620" s="55">
        <f>Orders!K620</f>
        <v/>
      </c>
      <c r="L620" s="55">
        <f>VLOOKUP(D620,Products!$A$2:$F$61,3,FALSE())</f>
        <v/>
      </c>
      <c r="M620" s="55">
        <f>VLOOKUP(C620,Customers!$A$2:$F$301,5,FALSE())</f>
        <v/>
      </c>
      <c r="N620" s="55">
        <f>VLOOKUP(E620,Sales_Reps!$A$2:$E$31,3,FALSE())</f>
        <v/>
      </c>
      <c r="O620" s="55">
        <f>VLOOKUP(D620,Products!$A$2:$F$61,4,FALSE())</f>
        <v/>
      </c>
      <c r="P620" s="55">
        <f>VLOOKUP(C620,Customers!$A$2:$F$301,3,FALSE())</f>
        <v/>
      </c>
      <c r="Q620" s="55">
        <f>UPPER(TRIM(K620))</f>
        <v/>
      </c>
      <c r="R620" s="55">
        <f>(G620-O620)/G620</f>
        <v/>
      </c>
      <c r="S620" s="55">
        <f>VLOOKUP(D620,Products!$A$2:$F$61,6,FALSE())</f>
        <v/>
      </c>
    </row>
    <row r="621" ht="15" customHeight="1" s="56">
      <c r="A621" s="55">
        <f>Orders!A621</f>
        <v/>
      </c>
      <c r="B621" s="103">
        <f>Orders!B621</f>
        <v/>
      </c>
      <c r="C621" s="55">
        <f>Orders!C621</f>
        <v/>
      </c>
      <c r="D621" s="55">
        <f>Orders!D621</f>
        <v/>
      </c>
      <c r="E621" s="55">
        <f>Orders!E621</f>
        <v/>
      </c>
      <c r="F621" s="55">
        <f>Orders!F621</f>
        <v/>
      </c>
      <c r="G621" s="55">
        <f>Orders!G621</f>
        <v/>
      </c>
      <c r="H621" s="55">
        <f>Orders!H621</f>
        <v/>
      </c>
      <c r="I621" s="55">
        <f>Orders!I621</f>
        <v/>
      </c>
      <c r="J621" s="55">
        <f>Orders!J621</f>
        <v/>
      </c>
      <c r="K621" s="55">
        <f>Orders!K621</f>
        <v/>
      </c>
      <c r="L621" s="55">
        <f>VLOOKUP(D621,Products!$A$2:$F$61,3,FALSE())</f>
        <v/>
      </c>
      <c r="M621" s="55">
        <f>VLOOKUP(C621,Customers!$A$2:$F$301,5,FALSE())</f>
        <v/>
      </c>
      <c r="N621" s="55">
        <f>VLOOKUP(E621,Sales_Reps!$A$2:$E$31,3,FALSE())</f>
        <v/>
      </c>
      <c r="O621" s="55">
        <f>VLOOKUP(D621,Products!$A$2:$F$61,4,FALSE())</f>
        <v/>
      </c>
      <c r="P621" s="55">
        <f>VLOOKUP(C621,Customers!$A$2:$F$301,3,FALSE())</f>
        <v/>
      </c>
      <c r="Q621" s="55">
        <f>UPPER(TRIM(K621))</f>
        <v/>
      </c>
      <c r="R621" s="55">
        <f>(G621-O621)/G621</f>
        <v/>
      </c>
      <c r="S621" s="55">
        <f>VLOOKUP(D621,Products!$A$2:$F$61,6,FALSE())</f>
        <v/>
      </c>
    </row>
    <row r="622" ht="15" customHeight="1" s="56">
      <c r="A622" s="55">
        <f>Orders!A622</f>
        <v/>
      </c>
      <c r="B622" s="103">
        <f>Orders!B622</f>
        <v/>
      </c>
      <c r="C622" s="55">
        <f>Orders!C622</f>
        <v/>
      </c>
      <c r="D622" s="55">
        <f>Orders!D622</f>
        <v/>
      </c>
      <c r="E622" s="55">
        <f>Orders!E622</f>
        <v/>
      </c>
      <c r="F622" s="55">
        <f>Orders!F622</f>
        <v/>
      </c>
      <c r="G622" s="55">
        <f>Orders!G622</f>
        <v/>
      </c>
      <c r="H622" s="55">
        <f>Orders!H622</f>
        <v/>
      </c>
      <c r="I622" s="55">
        <f>Orders!I622</f>
        <v/>
      </c>
      <c r="J622" s="55">
        <f>Orders!J622</f>
        <v/>
      </c>
      <c r="K622" s="55">
        <f>Orders!K622</f>
        <v/>
      </c>
      <c r="L622" s="55">
        <f>VLOOKUP(D622,Products!$A$2:$F$61,3,FALSE())</f>
        <v/>
      </c>
      <c r="M622" s="55">
        <f>VLOOKUP(C622,Customers!$A$2:$F$301,5,FALSE())</f>
        <v/>
      </c>
      <c r="N622" s="55">
        <f>VLOOKUP(E622,Sales_Reps!$A$2:$E$31,3,FALSE())</f>
        <v/>
      </c>
      <c r="O622" s="55">
        <f>VLOOKUP(D622,Products!$A$2:$F$61,4,FALSE())</f>
        <v/>
      </c>
      <c r="P622" s="55">
        <f>VLOOKUP(C622,Customers!$A$2:$F$301,3,FALSE())</f>
        <v/>
      </c>
      <c r="Q622" s="55">
        <f>UPPER(TRIM(K622))</f>
        <v/>
      </c>
      <c r="R622" s="55">
        <f>(G622-O622)/G622</f>
        <v/>
      </c>
      <c r="S622" s="55">
        <f>VLOOKUP(D622,Products!$A$2:$F$61,6,FALSE())</f>
        <v/>
      </c>
    </row>
    <row r="623" ht="15" customHeight="1" s="56">
      <c r="A623" s="55">
        <f>Orders!A623</f>
        <v/>
      </c>
      <c r="B623" s="103">
        <f>Orders!B623</f>
        <v/>
      </c>
      <c r="C623" s="55">
        <f>Orders!C623</f>
        <v/>
      </c>
      <c r="D623" s="55">
        <f>Orders!D623</f>
        <v/>
      </c>
      <c r="E623" s="55">
        <f>Orders!E623</f>
        <v/>
      </c>
      <c r="F623" s="55">
        <f>Orders!F623</f>
        <v/>
      </c>
      <c r="G623" s="55">
        <f>Orders!G623</f>
        <v/>
      </c>
      <c r="H623" s="55">
        <f>Orders!H623</f>
        <v/>
      </c>
      <c r="I623" s="55">
        <f>Orders!I623</f>
        <v/>
      </c>
      <c r="J623" s="55">
        <f>Orders!J623</f>
        <v/>
      </c>
      <c r="K623" s="55">
        <f>Orders!K623</f>
        <v/>
      </c>
      <c r="L623" s="55">
        <f>VLOOKUP(D623,Products!$A$2:$F$61,3,FALSE())</f>
        <v/>
      </c>
      <c r="M623" s="55">
        <f>VLOOKUP(C623,Customers!$A$2:$F$301,5,FALSE())</f>
        <v/>
      </c>
      <c r="N623" s="55">
        <f>VLOOKUP(E623,Sales_Reps!$A$2:$E$31,3,FALSE())</f>
        <v/>
      </c>
      <c r="O623" s="55">
        <f>VLOOKUP(D623,Products!$A$2:$F$61,4,FALSE())</f>
        <v/>
      </c>
      <c r="P623" s="55">
        <f>VLOOKUP(C623,Customers!$A$2:$F$301,3,FALSE())</f>
        <v/>
      </c>
      <c r="Q623" s="55">
        <f>UPPER(TRIM(K623))</f>
        <v/>
      </c>
      <c r="R623" s="55">
        <f>(G623-O623)/G623</f>
        <v/>
      </c>
      <c r="S623" s="55">
        <f>VLOOKUP(D623,Products!$A$2:$F$61,6,FALSE())</f>
        <v/>
      </c>
    </row>
    <row r="624" ht="15" customHeight="1" s="56">
      <c r="A624" s="55">
        <f>Orders!A624</f>
        <v/>
      </c>
      <c r="B624" s="103">
        <f>Orders!B624</f>
        <v/>
      </c>
      <c r="C624" s="55">
        <f>Orders!C624</f>
        <v/>
      </c>
      <c r="D624" s="55">
        <f>Orders!D624</f>
        <v/>
      </c>
      <c r="E624" s="55">
        <f>Orders!E624</f>
        <v/>
      </c>
      <c r="F624" s="55">
        <f>Orders!F624</f>
        <v/>
      </c>
      <c r="G624" s="55">
        <f>Orders!G624</f>
        <v/>
      </c>
      <c r="H624" s="55">
        <f>Orders!H624</f>
        <v/>
      </c>
      <c r="I624" s="55">
        <f>Orders!I624</f>
        <v/>
      </c>
      <c r="J624" s="55">
        <f>Orders!J624</f>
        <v/>
      </c>
      <c r="K624" s="55">
        <f>Orders!K624</f>
        <v/>
      </c>
      <c r="L624" s="55">
        <f>VLOOKUP(D624,Products!$A$2:$F$61,3,FALSE())</f>
        <v/>
      </c>
      <c r="M624" s="55">
        <f>VLOOKUP(C624,Customers!$A$2:$F$301,5,FALSE())</f>
        <v/>
      </c>
      <c r="N624" s="55">
        <f>VLOOKUP(E624,Sales_Reps!$A$2:$E$31,3,FALSE())</f>
        <v/>
      </c>
      <c r="O624" s="55">
        <f>VLOOKUP(D624,Products!$A$2:$F$61,4,FALSE())</f>
        <v/>
      </c>
      <c r="P624" s="55">
        <f>VLOOKUP(C624,Customers!$A$2:$F$301,3,FALSE())</f>
        <v/>
      </c>
      <c r="Q624" s="55">
        <f>UPPER(TRIM(K624))</f>
        <v/>
      </c>
      <c r="R624" s="55">
        <f>(G624-O624)/G624</f>
        <v/>
      </c>
      <c r="S624" s="55">
        <f>VLOOKUP(D624,Products!$A$2:$F$61,6,FALSE())</f>
        <v/>
      </c>
    </row>
    <row r="625" ht="15" customHeight="1" s="56">
      <c r="A625" s="55">
        <f>Orders!A625</f>
        <v/>
      </c>
      <c r="B625" s="103">
        <f>Orders!B625</f>
        <v/>
      </c>
      <c r="C625" s="55">
        <f>Orders!C625</f>
        <v/>
      </c>
      <c r="D625" s="55">
        <f>Orders!D625</f>
        <v/>
      </c>
      <c r="E625" s="55">
        <f>Orders!E625</f>
        <v/>
      </c>
      <c r="F625" s="55">
        <f>Orders!F625</f>
        <v/>
      </c>
      <c r="G625" s="55">
        <f>Orders!G625</f>
        <v/>
      </c>
      <c r="H625" s="55">
        <f>Orders!H625</f>
        <v/>
      </c>
      <c r="I625" s="55">
        <f>Orders!I625</f>
        <v/>
      </c>
      <c r="J625" s="55">
        <f>Orders!J625</f>
        <v/>
      </c>
      <c r="K625" s="55">
        <f>Orders!K625</f>
        <v/>
      </c>
      <c r="L625" s="55">
        <f>VLOOKUP(D625,Products!$A$2:$F$61,3,FALSE())</f>
        <v/>
      </c>
      <c r="M625" s="55">
        <f>VLOOKUP(C625,Customers!$A$2:$F$301,5,FALSE())</f>
        <v/>
      </c>
      <c r="N625" s="55">
        <f>VLOOKUP(E625,Sales_Reps!$A$2:$E$31,3,FALSE())</f>
        <v/>
      </c>
      <c r="O625" s="55">
        <f>VLOOKUP(D625,Products!$A$2:$F$61,4,FALSE())</f>
        <v/>
      </c>
      <c r="P625" s="55">
        <f>VLOOKUP(C625,Customers!$A$2:$F$301,3,FALSE())</f>
        <v/>
      </c>
      <c r="Q625" s="55">
        <f>UPPER(TRIM(K625))</f>
        <v/>
      </c>
      <c r="R625" s="55">
        <f>(G625-O625)/G625</f>
        <v/>
      </c>
      <c r="S625" s="55">
        <f>VLOOKUP(D625,Products!$A$2:$F$61,6,FALSE())</f>
        <v/>
      </c>
    </row>
    <row r="626" ht="15" customHeight="1" s="56">
      <c r="A626" s="55">
        <f>Orders!A626</f>
        <v/>
      </c>
      <c r="B626" s="103">
        <f>Orders!B626</f>
        <v/>
      </c>
      <c r="C626" s="55">
        <f>Orders!C626</f>
        <v/>
      </c>
      <c r="D626" s="55">
        <f>Orders!D626</f>
        <v/>
      </c>
      <c r="E626" s="55">
        <f>Orders!E626</f>
        <v/>
      </c>
      <c r="F626" s="55">
        <f>Orders!F626</f>
        <v/>
      </c>
      <c r="G626" s="55">
        <f>Orders!G626</f>
        <v/>
      </c>
      <c r="H626" s="55">
        <f>Orders!H626</f>
        <v/>
      </c>
      <c r="I626" s="55">
        <f>Orders!I626</f>
        <v/>
      </c>
      <c r="J626" s="55">
        <f>Orders!J626</f>
        <v/>
      </c>
      <c r="K626" s="55">
        <f>Orders!K626</f>
        <v/>
      </c>
      <c r="L626" s="55">
        <f>VLOOKUP(D626,Products!$A$2:$F$61,3,FALSE())</f>
        <v/>
      </c>
      <c r="M626" s="55">
        <f>VLOOKUP(C626,Customers!$A$2:$F$301,5,FALSE())</f>
        <v/>
      </c>
      <c r="N626" s="55">
        <f>VLOOKUP(E626,Sales_Reps!$A$2:$E$31,3,FALSE())</f>
        <v/>
      </c>
      <c r="O626" s="55">
        <f>VLOOKUP(D626,Products!$A$2:$F$61,4,FALSE())</f>
        <v/>
      </c>
      <c r="P626" s="55">
        <f>VLOOKUP(C626,Customers!$A$2:$F$301,3,FALSE())</f>
        <v/>
      </c>
      <c r="Q626" s="55">
        <f>UPPER(TRIM(K626))</f>
        <v/>
      </c>
      <c r="R626" s="55">
        <f>(G626-O626)/G626</f>
        <v/>
      </c>
      <c r="S626" s="55">
        <f>VLOOKUP(D626,Products!$A$2:$F$61,6,FALSE())</f>
        <v/>
      </c>
    </row>
    <row r="627" ht="15" customHeight="1" s="56">
      <c r="A627" s="55">
        <f>Orders!A627</f>
        <v/>
      </c>
      <c r="B627" s="103">
        <f>Orders!B627</f>
        <v/>
      </c>
      <c r="C627" s="55">
        <f>Orders!C627</f>
        <v/>
      </c>
      <c r="D627" s="55">
        <f>Orders!D627</f>
        <v/>
      </c>
      <c r="E627" s="55">
        <f>Orders!E627</f>
        <v/>
      </c>
      <c r="F627" s="55">
        <f>Orders!F627</f>
        <v/>
      </c>
      <c r="G627" s="55">
        <f>Orders!G627</f>
        <v/>
      </c>
      <c r="H627" s="55">
        <f>Orders!H627</f>
        <v/>
      </c>
      <c r="I627" s="55">
        <f>Orders!I627</f>
        <v/>
      </c>
      <c r="J627" s="55">
        <f>Orders!J627</f>
        <v/>
      </c>
      <c r="K627" s="55">
        <f>Orders!K627</f>
        <v/>
      </c>
      <c r="L627" s="55">
        <f>VLOOKUP(D627,Products!$A$2:$F$61,3,FALSE())</f>
        <v/>
      </c>
      <c r="M627" s="55">
        <f>VLOOKUP(C627,Customers!$A$2:$F$301,5,FALSE())</f>
        <v/>
      </c>
      <c r="N627" s="55">
        <f>VLOOKUP(E627,Sales_Reps!$A$2:$E$31,3,FALSE())</f>
        <v/>
      </c>
      <c r="O627" s="55">
        <f>VLOOKUP(D627,Products!$A$2:$F$61,4,FALSE())</f>
        <v/>
      </c>
      <c r="P627" s="55">
        <f>VLOOKUP(C627,Customers!$A$2:$F$301,3,FALSE())</f>
        <v/>
      </c>
      <c r="Q627" s="55">
        <f>UPPER(TRIM(K627))</f>
        <v/>
      </c>
      <c r="R627" s="55">
        <f>(G627-O627)/G627</f>
        <v/>
      </c>
      <c r="S627" s="55">
        <f>VLOOKUP(D627,Products!$A$2:$F$61,6,FALSE())</f>
        <v/>
      </c>
    </row>
    <row r="628" ht="15" customHeight="1" s="56">
      <c r="A628" s="55">
        <f>Orders!A628</f>
        <v/>
      </c>
      <c r="B628" s="103">
        <f>Orders!B628</f>
        <v/>
      </c>
      <c r="C628" s="55">
        <f>Orders!C628</f>
        <v/>
      </c>
      <c r="D628" s="55">
        <f>Orders!D628</f>
        <v/>
      </c>
      <c r="E628" s="55">
        <f>Orders!E628</f>
        <v/>
      </c>
      <c r="F628" s="55">
        <f>Orders!F628</f>
        <v/>
      </c>
      <c r="G628" s="55">
        <f>Orders!G628</f>
        <v/>
      </c>
      <c r="H628" s="55">
        <f>Orders!H628</f>
        <v/>
      </c>
      <c r="I628" s="55">
        <f>Orders!I628</f>
        <v/>
      </c>
      <c r="J628" s="55">
        <f>Orders!J628</f>
        <v/>
      </c>
      <c r="K628" s="55">
        <f>Orders!K628</f>
        <v/>
      </c>
      <c r="L628" s="55">
        <f>VLOOKUP(D628,Products!$A$2:$F$61,3,FALSE())</f>
        <v/>
      </c>
      <c r="M628" s="55">
        <f>VLOOKUP(C628,Customers!$A$2:$F$301,5,FALSE())</f>
        <v/>
      </c>
      <c r="N628" s="55">
        <f>VLOOKUP(E628,Sales_Reps!$A$2:$E$31,3,FALSE())</f>
        <v/>
      </c>
      <c r="O628" s="55">
        <f>VLOOKUP(D628,Products!$A$2:$F$61,4,FALSE())</f>
        <v/>
      </c>
      <c r="P628" s="55">
        <f>VLOOKUP(C628,Customers!$A$2:$F$301,3,FALSE())</f>
        <v/>
      </c>
      <c r="Q628" s="55">
        <f>UPPER(TRIM(K628))</f>
        <v/>
      </c>
      <c r="R628" s="55">
        <f>(G628-O628)/G628</f>
        <v/>
      </c>
      <c r="S628" s="55">
        <f>VLOOKUP(D628,Products!$A$2:$F$61,6,FALSE())</f>
        <v/>
      </c>
    </row>
    <row r="629" ht="15" customHeight="1" s="56">
      <c r="A629" s="55">
        <f>Orders!A629</f>
        <v/>
      </c>
      <c r="B629" s="103">
        <f>Orders!B629</f>
        <v/>
      </c>
      <c r="C629" s="55">
        <f>Orders!C629</f>
        <v/>
      </c>
      <c r="D629" s="55">
        <f>Orders!D629</f>
        <v/>
      </c>
      <c r="E629" s="55">
        <f>Orders!E629</f>
        <v/>
      </c>
      <c r="F629" s="55">
        <f>Orders!F629</f>
        <v/>
      </c>
      <c r="G629" s="55">
        <f>Orders!G629</f>
        <v/>
      </c>
      <c r="H629" s="55">
        <f>Orders!H629</f>
        <v/>
      </c>
      <c r="I629" s="55">
        <f>Orders!I629</f>
        <v/>
      </c>
      <c r="J629" s="55">
        <f>Orders!J629</f>
        <v/>
      </c>
      <c r="K629" s="55">
        <f>Orders!K629</f>
        <v/>
      </c>
      <c r="L629" s="55">
        <f>VLOOKUP(D629,Products!$A$2:$F$61,3,FALSE())</f>
        <v/>
      </c>
      <c r="M629" s="55">
        <f>VLOOKUP(C629,Customers!$A$2:$F$301,5,FALSE())</f>
        <v/>
      </c>
      <c r="N629" s="55">
        <f>VLOOKUP(E629,Sales_Reps!$A$2:$E$31,3,FALSE())</f>
        <v/>
      </c>
      <c r="O629" s="55">
        <f>VLOOKUP(D629,Products!$A$2:$F$61,4,FALSE())</f>
        <v/>
      </c>
      <c r="P629" s="55">
        <f>VLOOKUP(C629,Customers!$A$2:$F$301,3,FALSE())</f>
        <v/>
      </c>
      <c r="Q629" s="55">
        <f>UPPER(TRIM(K629))</f>
        <v/>
      </c>
      <c r="R629" s="55">
        <f>(G629-O629)/G629</f>
        <v/>
      </c>
      <c r="S629" s="55">
        <f>VLOOKUP(D629,Products!$A$2:$F$61,6,FALSE())</f>
        <v/>
      </c>
    </row>
    <row r="630" ht="15" customHeight="1" s="56">
      <c r="A630" s="55">
        <f>Orders!A630</f>
        <v/>
      </c>
      <c r="B630" s="103">
        <f>Orders!B630</f>
        <v/>
      </c>
      <c r="C630" s="55">
        <f>Orders!C630</f>
        <v/>
      </c>
      <c r="D630" s="55">
        <f>Orders!D630</f>
        <v/>
      </c>
      <c r="E630" s="55">
        <f>Orders!E630</f>
        <v/>
      </c>
      <c r="F630" s="55">
        <f>Orders!F630</f>
        <v/>
      </c>
      <c r="G630" s="55">
        <f>Orders!G630</f>
        <v/>
      </c>
      <c r="H630" s="55">
        <f>Orders!H630</f>
        <v/>
      </c>
      <c r="I630" s="55">
        <f>Orders!I630</f>
        <v/>
      </c>
      <c r="J630" s="55">
        <f>Orders!J630</f>
        <v/>
      </c>
      <c r="K630" s="55">
        <f>Orders!K630</f>
        <v/>
      </c>
      <c r="L630" s="55">
        <f>VLOOKUP(D630,Products!$A$2:$F$61,3,FALSE())</f>
        <v/>
      </c>
      <c r="M630" s="55">
        <f>VLOOKUP(C630,Customers!$A$2:$F$301,5,FALSE())</f>
        <v/>
      </c>
      <c r="N630" s="55">
        <f>VLOOKUP(E630,Sales_Reps!$A$2:$E$31,3,FALSE())</f>
        <v/>
      </c>
      <c r="O630" s="55">
        <f>VLOOKUP(D630,Products!$A$2:$F$61,4,FALSE())</f>
        <v/>
      </c>
      <c r="P630" s="55">
        <f>VLOOKUP(C630,Customers!$A$2:$F$301,3,FALSE())</f>
        <v/>
      </c>
      <c r="Q630" s="55">
        <f>UPPER(TRIM(K630))</f>
        <v/>
      </c>
      <c r="R630" s="55">
        <f>(G630-O630)/G630</f>
        <v/>
      </c>
      <c r="S630" s="55">
        <f>VLOOKUP(D630,Products!$A$2:$F$61,6,FALSE())</f>
        <v/>
      </c>
    </row>
    <row r="631" ht="15" customHeight="1" s="56">
      <c r="A631" s="55">
        <f>Orders!A631</f>
        <v/>
      </c>
      <c r="B631" s="103">
        <f>Orders!B631</f>
        <v/>
      </c>
      <c r="C631" s="55">
        <f>Orders!C631</f>
        <v/>
      </c>
      <c r="D631" s="55">
        <f>Orders!D631</f>
        <v/>
      </c>
      <c r="E631" s="55">
        <f>Orders!E631</f>
        <v/>
      </c>
      <c r="F631" s="55">
        <f>Orders!F631</f>
        <v/>
      </c>
      <c r="G631" s="55">
        <f>Orders!G631</f>
        <v/>
      </c>
      <c r="H631" s="55">
        <f>Orders!H631</f>
        <v/>
      </c>
      <c r="I631" s="55">
        <f>Orders!I631</f>
        <v/>
      </c>
      <c r="J631" s="55">
        <f>Orders!J631</f>
        <v/>
      </c>
      <c r="K631" s="55">
        <f>Orders!K631</f>
        <v/>
      </c>
      <c r="L631" s="55">
        <f>VLOOKUP(D631,Products!$A$2:$F$61,3,FALSE())</f>
        <v/>
      </c>
      <c r="M631" s="55">
        <f>VLOOKUP(C631,Customers!$A$2:$F$301,5,FALSE())</f>
        <v/>
      </c>
      <c r="N631" s="55">
        <f>VLOOKUP(E631,Sales_Reps!$A$2:$E$31,3,FALSE())</f>
        <v/>
      </c>
      <c r="O631" s="55">
        <f>VLOOKUP(D631,Products!$A$2:$F$61,4,FALSE())</f>
        <v/>
      </c>
      <c r="P631" s="55">
        <f>VLOOKUP(C631,Customers!$A$2:$F$301,3,FALSE())</f>
        <v/>
      </c>
      <c r="Q631" s="55">
        <f>UPPER(TRIM(K631))</f>
        <v/>
      </c>
      <c r="R631" s="55">
        <f>(G631-O631)/G631</f>
        <v/>
      </c>
      <c r="S631" s="55">
        <f>VLOOKUP(D631,Products!$A$2:$F$61,6,FALSE())</f>
        <v/>
      </c>
    </row>
    <row r="632" ht="15" customHeight="1" s="56">
      <c r="A632" s="55">
        <f>Orders!A632</f>
        <v/>
      </c>
      <c r="B632" s="103">
        <f>Orders!B632</f>
        <v/>
      </c>
      <c r="C632" s="55">
        <f>Orders!C632</f>
        <v/>
      </c>
      <c r="D632" s="55">
        <f>Orders!D632</f>
        <v/>
      </c>
      <c r="E632" s="55">
        <f>Orders!E632</f>
        <v/>
      </c>
      <c r="F632" s="55">
        <f>Orders!F632</f>
        <v/>
      </c>
      <c r="G632" s="55">
        <f>Orders!G632</f>
        <v/>
      </c>
      <c r="H632" s="55">
        <f>Orders!H632</f>
        <v/>
      </c>
      <c r="I632" s="55">
        <f>Orders!I632</f>
        <v/>
      </c>
      <c r="J632" s="55">
        <f>Orders!J632</f>
        <v/>
      </c>
      <c r="K632" s="55">
        <f>Orders!K632</f>
        <v/>
      </c>
      <c r="L632" s="55">
        <f>VLOOKUP(D632,Products!$A$2:$F$61,3,FALSE())</f>
        <v/>
      </c>
      <c r="M632" s="55">
        <f>VLOOKUP(C632,Customers!$A$2:$F$301,5,FALSE())</f>
        <v/>
      </c>
      <c r="N632" s="55">
        <f>VLOOKUP(E632,Sales_Reps!$A$2:$E$31,3,FALSE())</f>
        <v/>
      </c>
      <c r="O632" s="55">
        <f>VLOOKUP(D632,Products!$A$2:$F$61,4,FALSE())</f>
        <v/>
      </c>
      <c r="P632" s="55">
        <f>VLOOKUP(C632,Customers!$A$2:$F$301,3,FALSE())</f>
        <v/>
      </c>
      <c r="Q632" s="55">
        <f>UPPER(TRIM(K632))</f>
        <v/>
      </c>
      <c r="R632" s="55">
        <f>(G632-O632)/G632</f>
        <v/>
      </c>
      <c r="S632" s="55">
        <f>VLOOKUP(D632,Products!$A$2:$F$61,6,FALSE())</f>
        <v/>
      </c>
    </row>
    <row r="633" ht="15" customHeight="1" s="56">
      <c r="A633" s="55">
        <f>Orders!A633</f>
        <v/>
      </c>
      <c r="B633" s="103">
        <f>Orders!B633</f>
        <v/>
      </c>
      <c r="C633" s="55">
        <f>Orders!C633</f>
        <v/>
      </c>
      <c r="D633" s="55">
        <f>Orders!D633</f>
        <v/>
      </c>
      <c r="E633" s="55">
        <f>Orders!E633</f>
        <v/>
      </c>
      <c r="F633" s="55">
        <f>Orders!F633</f>
        <v/>
      </c>
      <c r="G633" s="55">
        <f>Orders!G633</f>
        <v/>
      </c>
      <c r="H633" s="55">
        <f>Orders!H633</f>
        <v/>
      </c>
      <c r="I633" s="55">
        <f>Orders!I633</f>
        <v/>
      </c>
      <c r="J633" s="55">
        <f>Orders!J633</f>
        <v/>
      </c>
      <c r="K633" s="55">
        <f>Orders!K633</f>
        <v/>
      </c>
      <c r="L633" s="55">
        <f>VLOOKUP(D633,Products!$A$2:$F$61,3,FALSE())</f>
        <v/>
      </c>
      <c r="M633" s="55">
        <f>VLOOKUP(C633,Customers!$A$2:$F$301,5,FALSE())</f>
        <v/>
      </c>
      <c r="N633" s="55">
        <f>VLOOKUP(E633,Sales_Reps!$A$2:$E$31,3,FALSE())</f>
        <v/>
      </c>
      <c r="O633" s="55">
        <f>VLOOKUP(D633,Products!$A$2:$F$61,4,FALSE())</f>
        <v/>
      </c>
      <c r="P633" s="55">
        <f>VLOOKUP(C633,Customers!$A$2:$F$301,3,FALSE())</f>
        <v/>
      </c>
      <c r="Q633" s="55">
        <f>UPPER(TRIM(K633))</f>
        <v/>
      </c>
      <c r="R633" s="55">
        <f>(G633-O633)/G633</f>
        <v/>
      </c>
      <c r="S633" s="55">
        <f>VLOOKUP(D633,Products!$A$2:$F$61,6,FALSE())</f>
        <v/>
      </c>
    </row>
    <row r="634" ht="15" customHeight="1" s="56">
      <c r="A634" s="55">
        <f>Orders!A634</f>
        <v/>
      </c>
      <c r="B634" s="103">
        <f>Orders!B634</f>
        <v/>
      </c>
      <c r="C634" s="55">
        <f>Orders!C634</f>
        <v/>
      </c>
      <c r="D634" s="55">
        <f>Orders!D634</f>
        <v/>
      </c>
      <c r="E634" s="55">
        <f>Orders!E634</f>
        <v/>
      </c>
      <c r="F634" s="55">
        <f>Orders!F634</f>
        <v/>
      </c>
      <c r="G634" s="55">
        <f>Orders!G634</f>
        <v/>
      </c>
      <c r="H634" s="55">
        <f>Orders!H634</f>
        <v/>
      </c>
      <c r="I634" s="55">
        <f>Orders!I634</f>
        <v/>
      </c>
      <c r="J634" s="55">
        <f>Orders!J634</f>
        <v/>
      </c>
      <c r="K634" s="55">
        <f>Orders!K634</f>
        <v/>
      </c>
      <c r="L634" s="55">
        <f>VLOOKUP(D634,Products!$A$2:$F$61,3,FALSE())</f>
        <v/>
      </c>
      <c r="M634" s="55">
        <f>VLOOKUP(C634,Customers!$A$2:$F$301,5,FALSE())</f>
        <v/>
      </c>
      <c r="N634" s="55">
        <f>VLOOKUP(E634,Sales_Reps!$A$2:$E$31,3,FALSE())</f>
        <v/>
      </c>
      <c r="O634" s="55">
        <f>VLOOKUP(D634,Products!$A$2:$F$61,4,FALSE())</f>
        <v/>
      </c>
      <c r="P634" s="55">
        <f>VLOOKUP(C634,Customers!$A$2:$F$301,3,FALSE())</f>
        <v/>
      </c>
      <c r="Q634" s="55">
        <f>UPPER(TRIM(K634))</f>
        <v/>
      </c>
      <c r="R634" s="55">
        <f>(G634-O634)/G634</f>
        <v/>
      </c>
      <c r="S634" s="55">
        <f>VLOOKUP(D634,Products!$A$2:$F$61,6,FALSE())</f>
        <v/>
      </c>
    </row>
    <row r="635" ht="15" customHeight="1" s="56">
      <c r="A635" s="55">
        <f>Orders!A635</f>
        <v/>
      </c>
      <c r="B635" s="103">
        <f>Orders!B635</f>
        <v/>
      </c>
      <c r="C635" s="55">
        <f>Orders!C635</f>
        <v/>
      </c>
      <c r="D635" s="55">
        <f>Orders!D635</f>
        <v/>
      </c>
      <c r="E635" s="55">
        <f>Orders!E635</f>
        <v/>
      </c>
      <c r="F635" s="55">
        <f>Orders!F635</f>
        <v/>
      </c>
      <c r="G635" s="55">
        <f>Orders!G635</f>
        <v/>
      </c>
      <c r="H635" s="55">
        <f>Orders!H635</f>
        <v/>
      </c>
      <c r="I635" s="55">
        <f>Orders!I635</f>
        <v/>
      </c>
      <c r="J635" s="55">
        <f>Orders!J635</f>
        <v/>
      </c>
      <c r="K635" s="55">
        <f>Orders!K635</f>
        <v/>
      </c>
      <c r="L635" s="55">
        <f>VLOOKUP(D635,Products!$A$2:$F$61,3,FALSE())</f>
        <v/>
      </c>
      <c r="M635" s="55">
        <f>VLOOKUP(C635,Customers!$A$2:$F$301,5,FALSE())</f>
        <v/>
      </c>
      <c r="N635" s="55">
        <f>VLOOKUP(E635,Sales_Reps!$A$2:$E$31,3,FALSE())</f>
        <v/>
      </c>
      <c r="O635" s="55">
        <f>VLOOKUP(D635,Products!$A$2:$F$61,4,FALSE())</f>
        <v/>
      </c>
      <c r="P635" s="55">
        <f>VLOOKUP(C635,Customers!$A$2:$F$301,3,FALSE())</f>
        <v/>
      </c>
      <c r="Q635" s="55">
        <f>UPPER(TRIM(K635))</f>
        <v/>
      </c>
      <c r="R635" s="55">
        <f>(G635-O635)/G635</f>
        <v/>
      </c>
      <c r="S635" s="55">
        <f>VLOOKUP(D635,Products!$A$2:$F$61,6,FALSE())</f>
        <v/>
      </c>
    </row>
    <row r="636" ht="15" customHeight="1" s="56">
      <c r="A636" s="55">
        <f>Orders!A636</f>
        <v/>
      </c>
      <c r="B636" s="103">
        <f>Orders!B636</f>
        <v/>
      </c>
      <c r="C636" s="55">
        <f>Orders!C636</f>
        <v/>
      </c>
      <c r="D636" s="55">
        <f>Orders!D636</f>
        <v/>
      </c>
      <c r="E636" s="55">
        <f>Orders!E636</f>
        <v/>
      </c>
      <c r="F636" s="55">
        <f>Orders!F636</f>
        <v/>
      </c>
      <c r="G636" s="55">
        <f>Orders!G636</f>
        <v/>
      </c>
      <c r="H636" s="55">
        <f>Orders!H636</f>
        <v/>
      </c>
      <c r="I636" s="55">
        <f>Orders!I636</f>
        <v/>
      </c>
      <c r="J636" s="55">
        <f>Orders!J636</f>
        <v/>
      </c>
      <c r="K636" s="55">
        <f>Orders!K636</f>
        <v/>
      </c>
      <c r="L636" s="55">
        <f>VLOOKUP(D636,Products!$A$2:$F$61,3,FALSE())</f>
        <v/>
      </c>
      <c r="M636" s="55">
        <f>VLOOKUP(C636,Customers!$A$2:$F$301,5,FALSE())</f>
        <v/>
      </c>
      <c r="N636" s="55">
        <f>VLOOKUP(E636,Sales_Reps!$A$2:$E$31,3,FALSE())</f>
        <v/>
      </c>
      <c r="O636" s="55">
        <f>VLOOKUP(D636,Products!$A$2:$F$61,4,FALSE())</f>
        <v/>
      </c>
      <c r="P636" s="55">
        <f>VLOOKUP(C636,Customers!$A$2:$F$301,3,FALSE())</f>
        <v/>
      </c>
      <c r="Q636" s="55">
        <f>UPPER(TRIM(K636))</f>
        <v/>
      </c>
      <c r="R636" s="55">
        <f>(G636-O636)/G636</f>
        <v/>
      </c>
      <c r="S636" s="55">
        <f>VLOOKUP(D636,Products!$A$2:$F$61,6,FALSE())</f>
        <v/>
      </c>
    </row>
    <row r="637" ht="15" customHeight="1" s="56">
      <c r="A637" s="55">
        <f>Orders!A637</f>
        <v/>
      </c>
      <c r="B637" s="103">
        <f>Orders!B637</f>
        <v/>
      </c>
      <c r="C637" s="55">
        <f>Orders!C637</f>
        <v/>
      </c>
      <c r="D637" s="55">
        <f>Orders!D637</f>
        <v/>
      </c>
      <c r="E637" s="55">
        <f>Orders!E637</f>
        <v/>
      </c>
      <c r="F637" s="55">
        <f>Orders!F637</f>
        <v/>
      </c>
      <c r="G637" s="55">
        <f>Orders!G637</f>
        <v/>
      </c>
      <c r="H637" s="55">
        <f>Orders!H637</f>
        <v/>
      </c>
      <c r="I637" s="55">
        <f>Orders!I637</f>
        <v/>
      </c>
      <c r="J637" s="55">
        <f>Orders!J637</f>
        <v/>
      </c>
      <c r="K637" s="55">
        <f>Orders!K637</f>
        <v/>
      </c>
      <c r="L637" s="55">
        <f>VLOOKUP(D637,Products!$A$2:$F$61,3,FALSE())</f>
        <v/>
      </c>
      <c r="M637" s="55">
        <f>VLOOKUP(C637,Customers!$A$2:$F$301,5,FALSE())</f>
        <v/>
      </c>
      <c r="N637" s="55">
        <f>VLOOKUP(E637,Sales_Reps!$A$2:$E$31,3,FALSE())</f>
        <v/>
      </c>
      <c r="O637" s="55">
        <f>VLOOKUP(D637,Products!$A$2:$F$61,4,FALSE())</f>
        <v/>
      </c>
      <c r="P637" s="55">
        <f>VLOOKUP(C637,Customers!$A$2:$F$301,3,FALSE())</f>
        <v/>
      </c>
      <c r="Q637" s="55">
        <f>UPPER(TRIM(K637))</f>
        <v/>
      </c>
      <c r="R637" s="55">
        <f>(G637-O637)/G637</f>
        <v/>
      </c>
      <c r="S637" s="55">
        <f>VLOOKUP(D637,Products!$A$2:$F$61,6,FALSE())</f>
        <v/>
      </c>
    </row>
    <row r="638" ht="15" customHeight="1" s="56">
      <c r="A638" s="55">
        <f>Orders!A638</f>
        <v/>
      </c>
      <c r="B638" s="103">
        <f>Orders!B638</f>
        <v/>
      </c>
      <c r="C638" s="55">
        <f>Orders!C638</f>
        <v/>
      </c>
      <c r="D638" s="55">
        <f>Orders!D638</f>
        <v/>
      </c>
      <c r="E638" s="55">
        <f>Orders!E638</f>
        <v/>
      </c>
      <c r="F638" s="55">
        <f>Orders!F638</f>
        <v/>
      </c>
      <c r="G638" s="55">
        <f>Orders!G638</f>
        <v/>
      </c>
      <c r="H638" s="55">
        <f>Orders!H638</f>
        <v/>
      </c>
      <c r="I638" s="55">
        <f>Orders!I638</f>
        <v/>
      </c>
      <c r="J638" s="55">
        <f>Orders!J638</f>
        <v/>
      </c>
      <c r="K638" s="55">
        <f>Orders!K638</f>
        <v/>
      </c>
      <c r="L638" s="55">
        <f>VLOOKUP(D638,Products!$A$2:$F$61,3,FALSE())</f>
        <v/>
      </c>
      <c r="M638" s="55">
        <f>VLOOKUP(C638,Customers!$A$2:$F$301,5,FALSE())</f>
        <v/>
      </c>
      <c r="N638" s="55">
        <f>VLOOKUP(E638,Sales_Reps!$A$2:$E$31,3,FALSE())</f>
        <v/>
      </c>
      <c r="O638" s="55">
        <f>VLOOKUP(D638,Products!$A$2:$F$61,4,FALSE())</f>
        <v/>
      </c>
      <c r="P638" s="55">
        <f>VLOOKUP(C638,Customers!$A$2:$F$301,3,FALSE())</f>
        <v/>
      </c>
      <c r="Q638" s="55">
        <f>UPPER(TRIM(K638))</f>
        <v/>
      </c>
      <c r="R638" s="55">
        <f>(G638-O638)/G638</f>
        <v/>
      </c>
      <c r="S638" s="55">
        <f>VLOOKUP(D638,Products!$A$2:$F$61,6,FALSE())</f>
        <v/>
      </c>
    </row>
    <row r="639" ht="15" customHeight="1" s="56">
      <c r="A639" s="55">
        <f>Orders!A639</f>
        <v/>
      </c>
      <c r="B639" s="103">
        <f>Orders!B639</f>
        <v/>
      </c>
      <c r="C639" s="55">
        <f>Orders!C639</f>
        <v/>
      </c>
      <c r="D639" s="55">
        <f>Orders!D639</f>
        <v/>
      </c>
      <c r="E639" s="55">
        <f>Orders!E639</f>
        <v/>
      </c>
      <c r="F639" s="55">
        <f>Orders!F639</f>
        <v/>
      </c>
      <c r="G639" s="55">
        <f>Orders!G639</f>
        <v/>
      </c>
      <c r="H639" s="55">
        <f>Orders!H639</f>
        <v/>
      </c>
      <c r="I639" s="55">
        <f>Orders!I639</f>
        <v/>
      </c>
      <c r="J639" s="55">
        <f>Orders!J639</f>
        <v/>
      </c>
      <c r="K639" s="55">
        <f>Orders!K639</f>
        <v/>
      </c>
      <c r="L639" s="55">
        <f>VLOOKUP(D639,Products!$A$2:$F$61,3,FALSE())</f>
        <v/>
      </c>
      <c r="M639" s="55">
        <f>VLOOKUP(C639,Customers!$A$2:$F$301,5,FALSE())</f>
        <v/>
      </c>
      <c r="N639" s="55">
        <f>VLOOKUP(E639,Sales_Reps!$A$2:$E$31,3,FALSE())</f>
        <v/>
      </c>
      <c r="O639" s="55">
        <f>VLOOKUP(D639,Products!$A$2:$F$61,4,FALSE())</f>
        <v/>
      </c>
      <c r="P639" s="55">
        <f>VLOOKUP(C639,Customers!$A$2:$F$301,3,FALSE())</f>
        <v/>
      </c>
      <c r="Q639" s="55">
        <f>UPPER(TRIM(K639))</f>
        <v/>
      </c>
      <c r="R639" s="55">
        <f>(G639-O639)/G639</f>
        <v/>
      </c>
      <c r="S639" s="55">
        <f>VLOOKUP(D639,Products!$A$2:$F$61,6,FALSE())</f>
        <v/>
      </c>
    </row>
    <row r="640" ht="15" customHeight="1" s="56">
      <c r="A640" s="55">
        <f>Orders!A640</f>
        <v/>
      </c>
      <c r="B640" s="103">
        <f>Orders!B640</f>
        <v/>
      </c>
      <c r="C640" s="55">
        <f>Orders!C640</f>
        <v/>
      </c>
      <c r="D640" s="55">
        <f>Orders!D640</f>
        <v/>
      </c>
      <c r="E640" s="55">
        <f>Orders!E640</f>
        <v/>
      </c>
      <c r="F640" s="55">
        <f>Orders!F640</f>
        <v/>
      </c>
      <c r="G640" s="55">
        <f>Orders!G640</f>
        <v/>
      </c>
      <c r="H640" s="55">
        <f>Orders!H640</f>
        <v/>
      </c>
      <c r="I640" s="55">
        <f>Orders!I640</f>
        <v/>
      </c>
      <c r="J640" s="55">
        <f>Orders!J640</f>
        <v/>
      </c>
      <c r="K640" s="55">
        <f>Orders!K640</f>
        <v/>
      </c>
      <c r="L640" s="55">
        <f>VLOOKUP(D640,Products!$A$2:$F$61,3,FALSE())</f>
        <v/>
      </c>
      <c r="M640" s="55">
        <f>VLOOKUP(C640,Customers!$A$2:$F$301,5,FALSE())</f>
        <v/>
      </c>
      <c r="N640" s="55">
        <f>VLOOKUP(E640,Sales_Reps!$A$2:$E$31,3,FALSE())</f>
        <v/>
      </c>
      <c r="O640" s="55">
        <f>VLOOKUP(D640,Products!$A$2:$F$61,4,FALSE())</f>
        <v/>
      </c>
      <c r="P640" s="55">
        <f>VLOOKUP(C640,Customers!$A$2:$F$301,3,FALSE())</f>
        <v/>
      </c>
      <c r="Q640" s="55">
        <f>UPPER(TRIM(K640))</f>
        <v/>
      </c>
      <c r="R640" s="55">
        <f>(G640-O640)/G640</f>
        <v/>
      </c>
      <c r="S640" s="55">
        <f>VLOOKUP(D640,Products!$A$2:$F$61,6,FALSE())</f>
        <v/>
      </c>
    </row>
    <row r="641" ht="15" customHeight="1" s="56">
      <c r="A641" s="55">
        <f>Orders!A641</f>
        <v/>
      </c>
      <c r="B641" s="103">
        <f>Orders!B641</f>
        <v/>
      </c>
      <c r="C641" s="55">
        <f>Orders!C641</f>
        <v/>
      </c>
      <c r="D641" s="55">
        <f>Orders!D641</f>
        <v/>
      </c>
      <c r="E641" s="55">
        <f>Orders!E641</f>
        <v/>
      </c>
      <c r="F641" s="55">
        <f>Orders!F641</f>
        <v/>
      </c>
      <c r="G641" s="55">
        <f>Orders!G641</f>
        <v/>
      </c>
      <c r="H641" s="55">
        <f>Orders!H641</f>
        <v/>
      </c>
      <c r="I641" s="55">
        <f>Orders!I641</f>
        <v/>
      </c>
      <c r="J641" s="55">
        <f>Orders!J641</f>
        <v/>
      </c>
      <c r="K641" s="55">
        <f>Orders!K641</f>
        <v/>
      </c>
      <c r="L641" s="55">
        <f>VLOOKUP(D641,Products!$A$2:$F$61,3,FALSE())</f>
        <v/>
      </c>
      <c r="M641" s="55">
        <f>VLOOKUP(C641,Customers!$A$2:$F$301,5,FALSE())</f>
        <v/>
      </c>
      <c r="N641" s="55">
        <f>VLOOKUP(E641,Sales_Reps!$A$2:$E$31,3,FALSE())</f>
        <v/>
      </c>
      <c r="O641" s="55">
        <f>VLOOKUP(D641,Products!$A$2:$F$61,4,FALSE())</f>
        <v/>
      </c>
      <c r="P641" s="55">
        <f>VLOOKUP(C641,Customers!$A$2:$F$301,3,FALSE())</f>
        <v/>
      </c>
      <c r="Q641" s="55">
        <f>UPPER(TRIM(K641))</f>
        <v/>
      </c>
      <c r="R641" s="55">
        <f>(G641-O641)/G641</f>
        <v/>
      </c>
      <c r="S641" s="55">
        <f>VLOOKUP(D641,Products!$A$2:$F$61,6,FALSE())</f>
        <v/>
      </c>
    </row>
    <row r="642" ht="15" customHeight="1" s="56">
      <c r="A642" s="55">
        <f>Orders!A642</f>
        <v/>
      </c>
      <c r="B642" s="103">
        <f>Orders!B642</f>
        <v/>
      </c>
      <c r="C642" s="55">
        <f>Orders!C642</f>
        <v/>
      </c>
      <c r="D642" s="55">
        <f>Orders!D642</f>
        <v/>
      </c>
      <c r="E642" s="55">
        <f>Orders!E642</f>
        <v/>
      </c>
      <c r="F642" s="55">
        <f>Orders!F642</f>
        <v/>
      </c>
      <c r="G642" s="55">
        <f>Orders!G642</f>
        <v/>
      </c>
      <c r="H642" s="55">
        <f>Orders!H642</f>
        <v/>
      </c>
      <c r="I642" s="55">
        <f>Orders!I642</f>
        <v/>
      </c>
      <c r="J642" s="55">
        <f>Orders!J642</f>
        <v/>
      </c>
      <c r="K642" s="55">
        <f>Orders!K642</f>
        <v/>
      </c>
      <c r="L642" s="55">
        <f>VLOOKUP(D642,Products!$A$2:$F$61,3,FALSE())</f>
        <v/>
      </c>
      <c r="M642" s="55">
        <f>VLOOKUP(C642,Customers!$A$2:$F$301,5,FALSE())</f>
        <v/>
      </c>
      <c r="N642" s="55">
        <f>VLOOKUP(E642,Sales_Reps!$A$2:$E$31,3,FALSE())</f>
        <v/>
      </c>
      <c r="O642" s="55">
        <f>VLOOKUP(D642,Products!$A$2:$F$61,4,FALSE())</f>
        <v/>
      </c>
      <c r="P642" s="55">
        <f>VLOOKUP(C642,Customers!$A$2:$F$301,3,FALSE())</f>
        <v/>
      </c>
      <c r="Q642" s="55">
        <f>UPPER(TRIM(K642))</f>
        <v/>
      </c>
      <c r="R642" s="55">
        <f>(G642-O642)/G642</f>
        <v/>
      </c>
      <c r="S642" s="55">
        <f>VLOOKUP(D642,Products!$A$2:$F$61,6,FALSE())</f>
        <v/>
      </c>
    </row>
    <row r="643" ht="15" customHeight="1" s="56">
      <c r="A643" s="55">
        <f>Orders!A643</f>
        <v/>
      </c>
      <c r="B643" s="103">
        <f>Orders!B643</f>
        <v/>
      </c>
      <c r="C643" s="55">
        <f>Orders!C643</f>
        <v/>
      </c>
      <c r="D643" s="55">
        <f>Orders!D643</f>
        <v/>
      </c>
      <c r="E643" s="55">
        <f>Orders!E643</f>
        <v/>
      </c>
      <c r="F643" s="55">
        <f>Orders!F643</f>
        <v/>
      </c>
      <c r="G643" s="55">
        <f>Orders!G643</f>
        <v/>
      </c>
      <c r="H643" s="55">
        <f>Orders!H643</f>
        <v/>
      </c>
      <c r="I643" s="55">
        <f>Orders!I643</f>
        <v/>
      </c>
      <c r="J643" s="55">
        <f>Orders!J643</f>
        <v/>
      </c>
      <c r="K643" s="55">
        <f>Orders!K643</f>
        <v/>
      </c>
      <c r="L643" s="55">
        <f>VLOOKUP(D643,Products!$A$2:$F$61,3,FALSE())</f>
        <v/>
      </c>
      <c r="M643" s="55">
        <f>VLOOKUP(C643,Customers!$A$2:$F$301,5,FALSE())</f>
        <v/>
      </c>
      <c r="N643" s="55">
        <f>VLOOKUP(E643,Sales_Reps!$A$2:$E$31,3,FALSE())</f>
        <v/>
      </c>
      <c r="O643" s="55">
        <f>VLOOKUP(D643,Products!$A$2:$F$61,4,FALSE())</f>
        <v/>
      </c>
      <c r="P643" s="55">
        <f>VLOOKUP(C643,Customers!$A$2:$F$301,3,FALSE())</f>
        <v/>
      </c>
      <c r="Q643" s="55">
        <f>UPPER(TRIM(K643))</f>
        <v/>
      </c>
      <c r="R643" s="55">
        <f>(G643-O643)/G643</f>
        <v/>
      </c>
      <c r="S643" s="55">
        <f>VLOOKUP(D643,Products!$A$2:$F$61,6,FALSE())</f>
        <v/>
      </c>
    </row>
    <row r="644" ht="15" customHeight="1" s="56">
      <c r="A644" s="55">
        <f>Orders!A644</f>
        <v/>
      </c>
      <c r="B644" s="103">
        <f>Orders!B644</f>
        <v/>
      </c>
      <c r="C644" s="55">
        <f>Orders!C644</f>
        <v/>
      </c>
      <c r="D644" s="55">
        <f>Orders!D644</f>
        <v/>
      </c>
      <c r="E644" s="55">
        <f>Orders!E644</f>
        <v/>
      </c>
      <c r="F644" s="55">
        <f>Orders!F644</f>
        <v/>
      </c>
      <c r="G644" s="55">
        <f>Orders!G644</f>
        <v/>
      </c>
      <c r="H644" s="55">
        <f>Orders!H644</f>
        <v/>
      </c>
      <c r="I644" s="55">
        <f>Orders!I644</f>
        <v/>
      </c>
      <c r="J644" s="55">
        <f>Orders!J644</f>
        <v/>
      </c>
      <c r="K644" s="55">
        <f>Orders!K644</f>
        <v/>
      </c>
      <c r="L644" s="55">
        <f>VLOOKUP(D644,Products!$A$2:$F$61,3,FALSE())</f>
        <v/>
      </c>
      <c r="M644" s="55">
        <f>VLOOKUP(C644,Customers!$A$2:$F$301,5,FALSE())</f>
        <v/>
      </c>
      <c r="N644" s="55">
        <f>VLOOKUP(E644,Sales_Reps!$A$2:$E$31,3,FALSE())</f>
        <v/>
      </c>
      <c r="O644" s="55">
        <f>VLOOKUP(D644,Products!$A$2:$F$61,4,FALSE())</f>
        <v/>
      </c>
      <c r="P644" s="55">
        <f>VLOOKUP(C644,Customers!$A$2:$F$301,3,FALSE())</f>
        <v/>
      </c>
      <c r="Q644" s="55">
        <f>UPPER(TRIM(K644))</f>
        <v/>
      </c>
      <c r="R644" s="55">
        <f>(G644-O644)/G644</f>
        <v/>
      </c>
      <c r="S644" s="55">
        <f>VLOOKUP(D644,Products!$A$2:$F$61,6,FALSE())</f>
        <v/>
      </c>
    </row>
    <row r="645" ht="15" customHeight="1" s="56">
      <c r="A645" s="55">
        <f>Orders!A645</f>
        <v/>
      </c>
      <c r="B645" s="103">
        <f>Orders!B645</f>
        <v/>
      </c>
      <c r="C645" s="55">
        <f>Orders!C645</f>
        <v/>
      </c>
      <c r="D645" s="55">
        <f>Orders!D645</f>
        <v/>
      </c>
      <c r="E645" s="55">
        <f>Orders!E645</f>
        <v/>
      </c>
      <c r="F645" s="55">
        <f>Orders!F645</f>
        <v/>
      </c>
      <c r="G645" s="55">
        <f>Orders!G645</f>
        <v/>
      </c>
      <c r="H645" s="55">
        <f>Orders!H645</f>
        <v/>
      </c>
      <c r="I645" s="55">
        <f>Orders!I645</f>
        <v/>
      </c>
      <c r="J645" s="55">
        <f>Orders!J645</f>
        <v/>
      </c>
      <c r="K645" s="55">
        <f>Orders!K645</f>
        <v/>
      </c>
      <c r="L645" s="55">
        <f>VLOOKUP(D645,Products!$A$2:$F$61,3,FALSE())</f>
        <v/>
      </c>
      <c r="M645" s="55">
        <f>VLOOKUP(C645,Customers!$A$2:$F$301,5,FALSE())</f>
        <v/>
      </c>
      <c r="N645" s="55">
        <f>VLOOKUP(E645,Sales_Reps!$A$2:$E$31,3,FALSE())</f>
        <v/>
      </c>
      <c r="O645" s="55">
        <f>VLOOKUP(D645,Products!$A$2:$F$61,4,FALSE())</f>
        <v/>
      </c>
      <c r="P645" s="55">
        <f>VLOOKUP(C645,Customers!$A$2:$F$301,3,FALSE())</f>
        <v/>
      </c>
      <c r="Q645" s="55">
        <f>UPPER(TRIM(K645))</f>
        <v/>
      </c>
      <c r="R645" s="55">
        <f>(G645-O645)/G645</f>
        <v/>
      </c>
      <c r="S645" s="55">
        <f>VLOOKUP(D645,Products!$A$2:$F$61,6,FALSE())</f>
        <v/>
      </c>
    </row>
    <row r="646" ht="15" customHeight="1" s="56">
      <c r="A646" s="55">
        <f>Orders!A646</f>
        <v/>
      </c>
      <c r="B646" s="103">
        <f>Orders!B646</f>
        <v/>
      </c>
      <c r="C646" s="55">
        <f>Orders!C646</f>
        <v/>
      </c>
      <c r="D646" s="55">
        <f>Orders!D646</f>
        <v/>
      </c>
      <c r="E646" s="55">
        <f>Orders!E646</f>
        <v/>
      </c>
      <c r="F646" s="55">
        <f>Orders!F646</f>
        <v/>
      </c>
      <c r="G646" s="55">
        <f>Orders!G646</f>
        <v/>
      </c>
      <c r="H646" s="55">
        <f>Orders!H646</f>
        <v/>
      </c>
      <c r="I646" s="55">
        <f>Orders!I646</f>
        <v/>
      </c>
      <c r="J646" s="55">
        <f>Orders!J646</f>
        <v/>
      </c>
      <c r="K646" s="55">
        <f>Orders!K646</f>
        <v/>
      </c>
      <c r="L646" s="55">
        <f>VLOOKUP(D646,Products!$A$2:$F$61,3,FALSE())</f>
        <v/>
      </c>
      <c r="M646" s="55">
        <f>VLOOKUP(C646,Customers!$A$2:$F$301,5,FALSE())</f>
        <v/>
      </c>
      <c r="N646" s="55">
        <f>VLOOKUP(E646,Sales_Reps!$A$2:$E$31,3,FALSE())</f>
        <v/>
      </c>
      <c r="O646" s="55">
        <f>VLOOKUP(D646,Products!$A$2:$F$61,4,FALSE())</f>
        <v/>
      </c>
      <c r="P646" s="55">
        <f>VLOOKUP(C646,Customers!$A$2:$F$301,3,FALSE())</f>
        <v/>
      </c>
      <c r="Q646" s="55">
        <f>UPPER(TRIM(K646))</f>
        <v/>
      </c>
      <c r="R646" s="55">
        <f>(G646-O646)/G646</f>
        <v/>
      </c>
      <c r="S646" s="55">
        <f>VLOOKUP(D646,Products!$A$2:$F$61,6,FALSE())</f>
        <v/>
      </c>
    </row>
    <row r="647" ht="15" customHeight="1" s="56">
      <c r="A647" s="55">
        <f>Orders!A647</f>
        <v/>
      </c>
      <c r="B647" s="103">
        <f>Orders!B647</f>
        <v/>
      </c>
      <c r="C647" s="55">
        <f>Orders!C647</f>
        <v/>
      </c>
      <c r="D647" s="55">
        <f>Orders!D647</f>
        <v/>
      </c>
      <c r="E647" s="55">
        <f>Orders!E647</f>
        <v/>
      </c>
      <c r="F647" s="55">
        <f>Orders!F647</f>
        <v/>
      </c>
      <c r="G647" s="55">
        <f>Orders!G647</f>
        <v/>
      </c>
      <c r="H647" s="55">
        <f>Orders!H647</f>
        <v/>
      </c>
      <c r="I647" s="55">
        <f>Orders!I647</f>
        <v/>
      </c>
      <c r="J647" s="55">
        <f>Orders!J647</f>
        <v/>
      </c>
      <c r="K647" s="55">
        <f>Orders!K647</f>
        <v/>
      </c>
      <c r="L647" s="55">
        <f>VLOOKUP(D647,Products!$A$2:$F$61,3,FALSE())</f>
        <v/>
      </c>
      <c r="M647" s="55">
        <f>VLOOKUP(C647,Customers!$A$2:$F$301,5,FALSE())</f>
        <v/>
      </c>
      <c r="N647" s="55">
        <f>VLOOKUP(E647,Sales_Reps!$A$2:$E$31,3,FALSE())</f>
        <v/>
      </c>
      <c r="O647" s="55">
        <f>VLOOKUP(D647,Products!$A$2:$F$61,4,FALSE())</f>
        <v/>
      </c>
      <c r="P647" s="55">
        <f>VLOOKUP(C647,Customers!$A$2:$F$301,3,FALSE())</f>
        <v/>
      </c>
      <c r="Q647" s="55">
        <f>UPPER(TRIM(K647))</f>
        <v/>
      </c>
      <c r="R647" s="55">
        <f>(G647-O647)/G647</f>
        <v/>
      </c>
      <c r="S647" s="55">
        <f>VLOOKUP(D647,Products!$A$2:$F$61,6,FALSE())</f>
        <v/>
      </c>
    </row>
    <row r="648" ht="15" customHeight="1" s="56">
      <c r="A648" s="55">
        <f>Orders!A648</f>
        <v/>
      </c>
      <c r="B648" s="103">
        <f>Orders!B648</f>
        <v/>
      </c>
      <c r="C648" s="55">
        <f>Orders!C648</f>
        <v/>
      </c>
      <c r="D648" s="55">
        <f>Orders!D648</f>
        <v/>
      </c>
      <c r="E648" s="55">
        <f>Orders!E648</f>
        <v/>
      </c>
      <c r="F648" s="55">
        <f>Orders!F648</f>
        <v/>
      </c>
      <c r="G648" s="55">
        <f>Orders!G648</f>
        <v/>
      </c>
      <c r="H648" s="55">
        <f>Orders!H648</f>
        <v/>
      </c>
      <c r="I648" s="55">
        <f>Orders!I648</f>
        <v/>
      </c>
      <c r="J648" s="55">
        <f>Orders!J648</f>
        <v/>
      </c>
      <c r="K648" s="55">
        <f>Orders!K648</f>
        <v/>
      </c>
      <c r="L648" s="55">
        <f>VLOOKUP(D648,Products!$A$2:$F$61,3,FALSE())</f>
        <v/>
      </c>
      <c r="M648" s="55">
        <f>VLOOKUP(C648,Customers!$A$2:$F$301,5,FALSE())</f>
        <v/>
      </c>
      <c r="N648" s="55">
        <f>VLOOKUP(E648,Sales_Reps!$A$2:$E$31,3,FALSE())</f>
        <v/>
      </c>
      <c r="O648" s="55">
        <f>VLOOKUP(D648,Products!$A$2:$F$61,4,FALSE())</f>
        <v/>
      </c>
      <c r="P648" s="55">
        <f>VLOOKUP(C648,Customers!$A$2:$F$301,3,FALSE())</f>
        <v/>
      </c>
      <c r="Q648" s="55">
        <f>UPPER(TRIM(K648))</f>
        <v/>
      </c>
      <c r="R648" s="55">
        <f>(G648-O648)/G648</f>
        <v/>
      </c>
      <c r="S648" s="55">
        <f>VLOOKUP(D648,Products!$A$2:$F$61,6,FALSE())</f>
        <v/>
      </c>
    </row>
    <row r="649" ht="15" customHeight="1" s="56">
      <c r="A649" s="55">
        <f>Orders!A649</f>
        <v/>
      </c>
      <c r="B649" s="103">
        <f>Orders!B649</f>
        <v/>
      </c>
      <c r="C649" s="55">
        <f>Orders!C649</f>
        <v/>
      </c>
      <c r="D649" s="55">
        <f>Orders!D649</f>
        <v/>
      </c>
      <c r="E649" s="55">
        <f>Orders!E649</f>
        <v/>
      </c>
      <c r="F649" s="55">
        <f>Orders!F649</f>
        <v/>
      </c>
      <c r="G649" s="55">
        <f>Orders!G649</f>
        <v/>
      </c>
      <c r="H649" s="55">
        <f>Orders!H649</f>
        <v/>
      </c>
      <c r="I649" s="55">
        <f>Orders!I649</f>
        <v/>
      </c>
      <c r="J649" s="55">
        <f>Orders!J649</f>
        <v/>
      </c>
      <c r="K649" s="55">
        <f>Orders!K649</f>
        <v/>
      </c>
      <c r="L649" s="55">
        <f>VLOOKUP(D649,Products!$A$2:$F$61,3,FALSE())</f>
        <v/>
      </c>
      <c r="M649" s="55">
        <f>VLOOKUP(C649,Customers!$A$2:$F$301,5,FALSE())</f>
        <v/>
      </c>
      <c r="N649" s="55">
        <f>VLOOKUP(E649,Sales_Reps!$A$2:$E$31,3,FALSE())</f>
        <v/>
      </c>
      <c r="O649" s="55">
        <f>VLOOKUP(D649,Products!$A$2:$F$61,4,FALSE())</f>
        <v/>
      </c>
      <c r="P649" s="55">
        <f>VLOOKUP(C649,Customers!$A$2:$F$301,3,FALSE())</f>
        <v/>
      </c>
      <c r="Q649" s="55">
        <f>UPPER(TRIM(K649))</f>
        <v/>
      </c>
      <c r="R649" s="55">
        <f>(G649-O649)/G649</f>
        <v/>
      </c>
      <c r="S649" s="55">
        <f>VLOOKUP(D649,Products!$A$2:$F$61,6,FALSE())</f>
        <v/>
      </c>
    </row>
    <row r="650" ht="15" customHeight="1" s="56">
      <c r="A650" s="55">
        <f>Orders!A650</f>
        <v/>
      </c>
      <c r="B650" s="103">
        <f>Orders!B650</f>
        <v/>
      </c>
      <c r="C650" s="55">
        <f>Orders!C650</f>
        <v/>
      </c>
      <c r="D650" s="55">
        <f>Orders!D650</f>
        <v/>
      </c>
      <c r="E650" s="55">
        <f>Orders!E650</f>
        <v/>
      </c>
      <c r="F650" s="55">
        <f>Orders!F650</f>
        <v/>
      </c>
      <c r="G650" s="55">
        <f>Orders!G650</f>
        <v/>
      </c>
      <c r="H650" s="55">
        <f>Orders!H650</f>
        <v/>
      </c>
      <c r="I650" s="55">
        <f>Orders!I650</f>
        <v/>
      </c>
      <c r="J650" s="55">
        <f>Orders!J650</f>
        <v/>
      </c>
      <c r="K650" s="55">
        <f>Orders!K650</f>
        <v/>
      </c>
      <c r="L650" s="55">
        <f>VLOOKUP(D650,Products!$A$2:$F$61,3,FALSE())</f>
        <v/>
      </c>
      <c r="M650" s="55">
        <f>VLOOKUP(C650,Customers!$A$2:$F$301,5,FALSE())</f>
        <v/>
      </c>
      <c r="N650" s="55">
        <f>VLOOKUP(E650,Sales_Reps!$A$2:$E$31,3,FALSE())</f>
        <v/>
      </c>
      <c r="O650" s="55">
        <f>VLOOKUP(D650,Products!$A$2:$F$61,4,FALSE())</f>
        <v/>
      </c>
      <c r="P650" s="55">
        <f>VLOOKUP(C650,Customers!$A$2:$F$301,3,FALSE())</f>
        <v/>
      </c>
      <c r="Q650" s="55">
        <f>UPPER(TRIM(K650))</f>
        <v/>
      </c>
      <c r="R650" s="55">
        <f>(G650-O650)/G650</f>
        <v/>
      </c>
      <c r="S650" s="55">
        <f>VLOOKUP(D650,Products!$A$2:$F$61,6,FALSE())</f>
        <v/>
      </c>
    </row>
    <row r="651" ht="15" customHeight="1" s="56">
      <c r="A651" s="55">
        <f>Orders!A651</f>
        <v/>
      </c>
      <c r="B651" s="103">
        <f>Orders!B651</f>
        <v/>
      </c>
      <c r="C651" s="55">
        <f>Orders!C651</f>
        <v/>
      </c>
      <c r="D651" s="55">
        <f>Orders!D651</f>
        <v/>
      </c>
      <c r="E651" s="55">
        <f>Orders!E651</f>
        <v/>
      </c>
      <c r="F651" s="55">
        <f>Orders!F651</f>
        <v/>
      </c>
      <c r="G651" s="55">
        <f>Orders!G651</f>
        <v/>
      </c>
      <c r="H651" s="55">
        <f>Orders!H651</f>
        <v/>
      </c>
      <c r="I651" s="55">
        <f>Orders!I651</f>
        <v/>
      </c>
      <c r="J651" s="55">
        <f>Orders!J651</f>
        <v/>
      </c>
      <c r="K651" s="55">
        <f>Orders!K651</f>
        <v/>
      </c>
      <c r="L651" s="55">
        <f>VLOOKUP(D651,Products!$A$2:$F$61,3,FALSE())</f>
        <v/>
      </c>
      <c r="M651" s="55">
        <f>VLOOKUP(C651,Customers!$A$2:$F$301,5,FALSE())</f>
        <v/>
      </c>
      <c r="N651" s="55">
        <f>VLOOKUP(E651,Sales_Reps!$A$2:$E$31,3,FALSE())</f>
        <v/>
      </c>
      <c r="O651" s="55">
        <f>VLOOKUP(D651,Products!$A$2:$F$61,4,FALSE())</f>
        <v/>
      </c>
      <c r="P651" s="55">
        <f>VLOOKUP(C651,Customers!$A$2:$F$301,3,FALSE())</f>
        <v/>
      </c>
      <c r="Q651" s="55">
        <f>UPPER(TRIM(K651))</f>
        <v/>
      </c>
      <c r="R651" s="55">
        <f>(G651-O651)/G651</f>
        <v/>
      </c>
      <c r="S651" s="55">
        <f>VLOOKUP(D651,Products!$A$2:$F$61,6,FALSE())</f>
        <v/>
      </c>
    </row>
    <row r="652" ht="15" customHeight="1" s="56">
      <c r="A652" s="55">
        <f>Orders!A652</f>
        <v/>
      </c>
      <c r="B652" s="103">
        <f>Orders!B652</f>
        <v/>
      </c>
      <c r="C652" s="55">
        <f>Orders!C652</f>
        <v/>
      </c>
      <c r="D652" s="55">
        <f>Orders!D652</f>
        <v/>
      </c>
      <c r="E652" s="55">
        <f>Orders!E652</f>
        <v/>
      </c>
      <c r="F652" s="55">
        <f>Orders!F652</f>
        <v/>
      </c>
      <c r="G652" s="55">
        <f>Orders!G652</f>
        <v/>
      </c>
      <c r="H652" s="55">
        <f>Orders!H652</f>
        <v/>
      </c>
      <c r="I652" s="55">
        <f>Orders!I652</f>
        <v/>
      </c>
      <c r="J652" s="55">
        <f>Orders!J652</f>
        <v/>
      </c>
      <c r="K652" s="55">
        <f>Orders!K652</f>
        <v/>
      </c>
      <c r="L652" s="55">
        <f>VLOOKUP(D652,Products!$A$2:$F$61,3,FALSE())</f>
        <v/>
      </c>
      <c r="M652" s="55">
        <f>VLOOKUP(C652,Customers!$A$2:$F$301,5,FALSE())</f>
        <v/>
      </c>
      <c r="N652" s="55">
        <f>VLOOKUP(E652,Sales_Reps!$A$2:$E$31,3,FALSE())</f>
        <v/>
      </c>
      <c r="O652" s="55">
        <f>VLOOKUP(D652,Products!$A$2:$F$61,4,FALSE())</f>
        <v/>
      </c>
      <c r="P652" s="55">
        <f>VLOOKUP(C652,Customers!$A$2:$F$301,3,FALSE())</f>
        <v/>
      </c>
      <c r="Q652" s="55">
        <f>UPPER(TRIM(K652))</f>
        <v/>
      </c>
      <c r="R652" s="55">
        <f>(G652-O652)/G652</f>
        <v/>
      </c>
      <c r="S652" s="55">
        <f>VLOOKUP(D652,Products!$A$2:$F$61,6,FALSE())</f>
        <v/>
      </c>
    </row>
    <row r="653" ht="15" customHeight="1" s="56">
      <c r="A653" s="55">
        <f>Orders!A653</f>
        <v/>
      </c>
      <c r="B653" s="103">
        <f>Orders!B653</f>
        <v/>
      </c>
      <c r="C653" s="55">
        <f>Orders!C653</f>
        <v/>
      </c>
      <c r="D653" s="55">
        <f>Orders!D653</f>
        <v/>
      </c>
      <c r="E653" s="55">
        <f>Orders!E653</f>
        <v/>
      </c>
      <c r="F653" s="55">
        <f>Orders!F653</f>
        <v/>
      </c>
      <c r="G653" s="55">
        <f>Orders!G653</f>
        <v/>
      </c>
      <c r="H653" s="55">
        <f>Orders!H653</f>
        <v/>
      </c>
      <c r="I653" s="55">
        <f>Orders!I653</f>
        <v/>
      </c>
      <c r="J653" s="55">
        <f>Orders!J653</f>
        <v/>
      </c>
      <c r="K653" s="55">
        <f>Orders!K653</f>
        <v/>
      </c>
      <c r="L653" s="55">
        <f>VLOOKUP(D653,Products!$A$2:$F$61,3,FALSE())</f>
        <v/>
      </c>
      <c r="M653" s="55">
        <f>VLOOKUP(C653,Customers!$A$2:$F$301,5,FALSE())</f>
        <v/>
      </c>
      <c r="N653" s="55">
        <f>VLOOKUP(E653,Sales_Reps!$A$2:$E$31,3,FALSE())</f>
        <v/>
      </c>
      <c r="O653" s="55">
        <f>VLOOKUP(D653,Products!$A$2:$F$61,4,FALSE())</f>
        <v/>
      </c>
      <c r="P653" s="55">
        <f>VLOOKUP(C653,Customers!$A$2:$F$301,3,FALSE())</f>
        <v/>
      </c>
      <c r="Q653" s="55">
        <f>UPPER(TRIM(K653))</f>
        <v/>
      </c>
      <c r="R653" s="55">
        <f>(G653-O653)/G653</f>
        <v/>
      </c>
      <c r="S653" s="55">
        <f>VLOOKUP(D653,Products!$A$2:$F$61,6,FALSE())</f>
        <v/>
      </c>
    </row>
    <row r="654" ht="15" customHeight="1" s="56">
      <c r="A654" s="55">
        <f>Orders!A654</f>
        <v/>
      </c>
      <c r="B654" s="103">
        <f>Orders!B654</f>
        <v/>
      </c>
      <c r="C654" s="55">
        <f>Orders!C654</f>
        <v/>
      </c>
      <c r="D654" s="55">
        <f>Orders!D654</f>
        <v/>
      </c>
      <c r="E654" s="55">
        <f>Orders!E654</f>
        <v/>
      </c>
      <c r="F654" s="55">
        <f>Orders!F654</f>
        <v/>
      </c>
      <c r="G654" s="55">
        <f>Orders!G654</f>
        <v/>
      </c>
      <c r="H654" s="55">
        <f>Orders!H654</f>
        <v/>
      </c>
      <c r="I654" s="55">
        <f>Orders!I654</f>
        <v/>
      </c>
      <c r="J654" s="55">
        <f>Orders!J654</f>
        <v/>
      </c>
      <c r="K654" s="55">
        <f>Orders!K654</f>
        <v/>
      </c>
      <c r="L654" s="55">
        <f>VLOOKUP(D654,Products!$A$2:$F$61,3,FALSE())</f>
        <v/>
      </c>
      <c r="M654" s="55">
        <f>VLOOKUP(C654,Customers!$A$2:$F$301,5,FALSE())</f>
        <v/>
      </c>
      <c r="N654" s="55">
        <f>VLOOKUP(E654,Sales_Reps!$A$2:$E$31,3,FALSE())</f>
        <v/>
      </c>
      <c r="O654" s="55">
        <f>VLOOKUP(D654,Products!$A$2:$F$61,4,FALSE())</f>
        <v/>
      </c>
      <c r="P654" s="55">
        <f>VLOOKUP(C654,Customers!$A$2:$F$301,3,FALSE())</f>
        <v/>
      </c>
      <c r="Q654" s="55">
        <f>UPPER(TRIM(K654))</f>
        <v/>
      </c>
      <c r="R654" s="55">
        <f>(G654-O654)/G654</f>
        <v/>
      </c>
      <c r="S654" s="55">
        <f>VLOOKUP(D654,Products!$A$2:$F$61,6,FALSE())</f>
        <v/>
      </c>
    </row>
    <row r="655" ht="15" customHeight="1" s="56">
      <c r="A655" s="55">
        <f>Orders!A655</f>
        <v/>
      </c>
      <c r="B655" s="103">
        <f>Orders!B655</f>
        <v/>
      </c>
      <c r="C655" s="55">
        <f>Orders!C655</f>
        <v/>
      </c>
      <c r="D655" s="55">
        <f>Orders!D655</f>
        <v/>
      </c>
      <c r="E655" s="55">
        <f>Orders!E655</f>
        <v/>
      </c>
      <c r="F655" s="55">
        <f>Orders!F655</f>
        <v/>
      </c>
      <c r="G655" s="55">
        <f>Orders!G655</f>
        <v/>
      </c>
      <c r="H655" s="55">
        <f>Orders!H655</f>
        <v/>
      </c>
      <c r="I655" s="55">
        <f>Orders!I655</f>
        <v/>
      </c>
      <c r="J655" s="55">
        <f>Orders!J655</f>
        <v/>
      </c>
      <c r="K655" s="55">
        <f>Orders!K655</f>
        <v/>
      </c>
      <c r="L655" s="55">
        <f>VLOOKUP(D655,Products!$A$2:$F$61,3,FALSE())</f>
        <v/>
      </c>
      <c r="M655" s="55">
        <f>VLOOKUP(C655,Customers!$A$2:$F$301,5,FALSE())</f>
        <v/>
      </c>
      <c r="N655" s="55">
        <f>VLOOKUP(E655,Sales_Reps!$A$2:$E$31,3,FALSE())</f>
        <v/>
      </c>
      <c r="O655" s="55">
        <f>VLOOKUP(D655,Products!$A$2:$F$61,4,FALSE())</f>
        <v/>
      </c>
      <c r="P655" s="55">
        <f>VLOOKUP(C655,Customers!$A$2:$F$301,3,FALSE())</f>
        <v/>
      </c>
      <c r="Q655" s="55">
        <f>UPPER(TRIM(K655))</f>
        <v/>
      </c>
      <c r="R655" s="55">
        <f>(G655-O655)/G655</f>
        <v/>
      </c>
      <c r="S655" s="55">
        <f>VLOOKUP(D655,Products!$A$2:$F$61,6,FALSE())</f>
        <v/>
      </c>
    </row>
    <row r="656" ht="15" customHeight="1" s="56">
      <c r="A656" s="55">
        <f>Orders!A656</f>
        <v/>
      </c>
      <c r="B656" s="103">
        <f>Orders!B656</f>
        <v/>
      </c>
      <c r="C656" s="55">
        <f>Orders!C656</f>
        <v/>
      </c>
      <c r="D656" s="55">
        <f>Orders!D656</f>
        <v/>
      </c>
      <c r="E656" s="55">
        <f>Orders!E656</f>
        <v/>
      </c>
      <c r="F656" s="55">
        <f>Orders!F656</f>
        <v/>
      </c>
      <c r="G656" s="55">
        <f>Orders!G656</f>
        <v/>
      </c>
      <c r="H656" s="55">
        <f>Orders!H656</f>
        <v/>
      </c>
      <c r="I656" s="55">
        <f>Orders!I656</f>
        <v/>
      </c>
      <c r="J656" s="55">
        <f>Orders!J656</f>
        <v/>
      </c>
      <c r="K656" s="55">
        <f>Orders!K656</f>
        <v/>
      </c>
      <c r="L656" s="55">
        <f>VLOOKUP(D656,Products!$A$2:$F$61,3,FALSE())</f>
        <v/>
      </c>
      <c r="M656" s="55">
        <f>VLOOKUP(C656,Customers!$A$2:$F$301,5,FALSE())</f>
        <v/>
      </c>
      <c r="N656" s="55">
        <f>VLOOKUP(E656,Sales_Reps!$A$2:$E$31,3,FALSE())</f>
        <v/>
      </c>
      <c r="O656" s="55">
        <f>VLOOKUP(D656,Products!$A$2:$F$61,4,FALSE())</f>
        <v/>
      </c>
      <c r="P656" s="55">
        <f>VLOOKUP(C656,Customers!$A$2:$F$301,3,FALSE())</f>
        <v/>
      </c>
      <c r="Q656" s="55">
        <f>UPPER(TRIM(K656))</f>
        <v/>
      </c>
      <c r="R656" s="55">
        <f>(G656-O656)/G656</f>
        <v/>
      </c>
      <c r="S656" s="55">
        <f>VLOOKUP(D656,Products!$A$2:$F$61,6,FALSE())</f>
        <v/>
      </c>
    </row>
    <row r="657" ht="15" customHeight="1" s="56">
      <c r="A657" s="55">
        <f>Orders!A657</f>
        <v/>
      </c>
      <c r="B657" s="103">
        <f>Orders!B657</f>
        <v/>
      </c>
      <c r="C657" s="55">
        <f>Orders!C657</f>
        <v/>
      </c>
      <c r="D657" s="55">
        <f>Orders!D657</f>
        <v/>
      </c>
      <c r="E657" s="55">
        <f>Orders!E657</f>
        <v/>
      </c>
      <c r="F657" s="55">
        <f>Orders!F657</f>
        <v/>
      </c>
      <c r="G657" s="55">
        <f>Orders!G657</f>
        <v/>
      </c>
      <c r="H657" s="55">
        <f>Orders!H657</f>
        <v/>
      </c>
      <c r="I657" s="55">
        <f>Orders!I657</f>
        <v/>
      </c>
      <c r="J657" s="55">
        <f>Orders!J657</f>
        <v/>
      </c>
      <c r="K657" s="55">
        <f>Orders!K657</f>
        <v/>
      </c>
      <c r="L657" s="55">
        <f>VLOOKUP(D657,Products!$A$2:$F$61,3,FALSE())</f>
        <v/>
      </c>
      <c r="M657" s="55">
        <f>VLOOKUP(C657,Customers!$A$2:$F$301,5,FALSE())</f>
        <v/>
      </c>
      <c r="N657" s="55">
        <f>VLOOKUP(E657,Sales_Reps!$A$2:$E$31,3,FALSE())</f>
        <v/>
      </c>
      <c r="O657" s="55">
        <f>VLOOKUP(D657,Products!$A$2:$F$61,4,FALSE())</f>
        <v/>
      </c>
      <c r="P657" s="55">
        <f>VLOOKUP(C657,Customers!$A$2:$F$301,3,FALSE())</f>
        <v/>
      </c>
      <c r="Q657" s="55">
        <f>UPPER(TRIM(K657))</f>
        <v/>
      </c>
      <c r="R657" s="55">
        <f>(G657-O657)/G657</f>
        <v/>
      </c>
      <c r="S657" s="55">
        <f>VLOOKUP(D657,Products!$A$2:$F$61,6,FALSE())</f>
        <v/>
      </c>
    </row>
    <row r="658" ht="15" customHeight="1" s="56">
      <c r="A658" s="55">
        <f>Orders!A658</f>
        <v/>
      </c>
      <c r="B658" s="103">
        <f>Orders!B658</f>
        <v/>
      </c>
      <c r="C658" s="55">
        <f>Orders!C658</f>
        <v/>
      </c>
      <c r="D658" s="55">
        <f>Orders!D658</f>
        <v/>
      </c>
      <c r="E658" s="55">
        <f>Orders!E658</f>
        <v/>
      </c>
      <c r="F658" s="55">
        <f>Orders!F658</f>
        <v/>
      </c>
      <c r="G658" s="55">
        <f>Orders!G658</f>
        <v/>
      </c>
      <c r="H658" s="55">
        <f>Orders!H658</f>
        <v/>
      </c>
      <c r="I658" s="55">
        <f>Orders!I658</f>
        <v/>
      </c>
      <c r="J658" s="55">
        <f>Orders!J658</f>
        <v/>
      </c>
      <c r="K658" s="55">
        <f>Orders!K658</f>
        <v/>
      </c>
      <c r="L658" s="55">
        <f>VLOOKUP(D658,Products!$A$2:$F$61,3,FALSE())</f>
        <v/>
      </c>
      <c r="M658" s="55">
        <f>VLOOKUP(C658,Customers!$A$2:$F$301,5,FALSE())</f>
        <v/>
      </c>
      <c r="N658" s="55">
        <f>VLOOKUP(E658,Sales_Reps!$A$2:$E$31,3,FALSE())</f>
        <v/>
      </c>
      <c r="O658" s="55">
        <f>VLOOKUP(D658,Products!$A$2:$F$61,4,FALSE())</f>
        <v/>
      </c>
      <c r="P658" s="55">
        <f>VLOOKUP(C658,Customers!$A$2:$F$301,3,FALSE())</f>
        <v/>
      </c>
      <c r="Q658" s="55">
        <f>UPPER(TRIM(K658))</f>
        <v/>
      </c>
      <c r="R658" s="55">
        <f>(G658-O658)/G658</f>
        <v/>
      </c>
      <c r="S658" s="55">
        <f>VLOOKUP(D658,Products!$A$2:$F$61,6,FALSE())</f>
        <v/>
      </c>
    </row>
    <row r="659" ht="15" customHeight="1" s="56">
      <c r="A659" s="55">
        <f>Orders!A659</f>
        <v/>
      </c>
      <c r="B659" s="103">
        <f>Orders!B659</f>
        <v/>
      </c>
      <c r="C659" s="55">
        <f>Orders!C659</f>
        <v/>
      </c>
      <c r="D659" s="55">
        <f>Orders!D659</f>
        <v/>
      </c>
      <c r="E659" s="55">
        <f>Orders!E659</f>
        <v/>
      </c>
      <c r="F659" s="55">
        <f>Orders!F659</f>
        <v/>
      </c>
      <c r="G659" s="55">
        <f>Orders!G659</f>
        <v/>
      </c>
      <c r="H659" s="55">
        <f>Orders!H659</f>
        <v/>
      </c>
      <c r="I659" s="55">
        <f>Orders!I659</f>
        <v/>
      </c>
      <c r="J659" s="55">
        <f>Orders!J659</f>
        <v/>
      </c>
      <c r="K659" s="55">
        <f>Orders!K659</f>
        <v/>
      </c>
      <c r="L659" s="55">
        <f>VLOOKUP(D659,Products!$A$2:$F$61,3,FALSE())</f>
        <v/>
      </c>
      <c r="M659" s="55">
        <f>VLOOKUP(C659,Customers!$A$2:$F$301,5,FALSE())</f>
        <v/>
      </c>
      <c r="N659" s="55">
        <f>VLOOKUP(E659,Sales_Reps!$A$2:$E$31,3,FALSE())</f>
        <v/>
      </c>
      <c r="O659" s="55">
        <f>VLOOKUP(D659,Products!$A$2:$F$61,4,FALSE())</f>
        <v/>
      </c>
      <c r="P659" s="55">
        <f>VLOOKUP(C659,Customers!$A$2:$F$301,3,FALSE())</f>
        <v/>
      </c>
      <c r="Q659" s="55">
        <f>UPPER(TRIM(K659))</f>
        <v/>
      </c>
      <c r="R659" s="55">
        <f>(G659-O659)/G659</f>
        <v/>
      </c>
      <c r="S659" s="55">
        <f>VLOOKUP(D659,Products!$A$2:$F$61,6,FALSE())</f>
        <v/>
      </c>
    </row>
    <row r="660" ht="15" customHeight="1" s="56">
      <c r="A660" s="55">
        <f>Orders!A660</f>
        <v/>
      </c>
      <c r="B660" s="103">
        <f>Orders!B660</f>
        <v/>
      </c>
      <c r="C660" s="55">
        <f>Orders!C660</f>
        <v/>
      </c>
      <c r="D660" s="55">
        <f>Orders!D660</f>
        <v/>
      </c>
      <c r="E660" s="55">
        <f>Orders!E660</f>
        <v/>
      </c>
      <c r="F660" s="55">
        <f>Orders!F660</f>
        <v/>
      </c>
      <c r="G660" s="55">
        <f>Orders!G660</f>
        <v/>
      </c>
      <c r="H660" s="55">
        <f>Orders!H660</f>
        <v/>
      </c>
      <c r="I660" s="55">
        <f>Orders!I660</f>
        <v/>
      </c>
      <c r="J660" s="55">
        <f>Orders!J660</f>
        <v/>
      </c>
      <c r="K660" s="55">
        <f>Orders!K660</f>
        <v/>
      </c>
      <c r="L660" s="55">
        <f>VLOOKUP(D660,Products!$A$2:$F$61,3,FALSE())</f>
        <v/>
      </c>
      <c r="M660" s="55">
        <f>VLOOKUP(C660,Customers!$A$2:$F$301,5,FALSE())</f>
        <v/>
      </c>
      <c r="N660" s="55">
        <f>VLOOKUP(E660,Sales_Reps!$A$2:$E$31,3,FALSE())</f>
        <v/>
      </c>
      <c r="O660" s="55">
        <f>VLOOKUP(D660,Products!$A$2:$F$61,4,FALSE())</f>
        <v/>
      </c>
      <c r="P660" s="55">
        <f>VLOOKUP(C660,Customers!$A$2:$F$301,3,FALSE())</f>
        <v/>
      </c>
      <c r="Q660" s="55">
        <f>UPPER(TRIM(K660))</f>
        <v/>
      </c>
      <c r="R660" s="55">
        <f>(G660-O660)/G660</f>
        <v/>
      </c>
      <c r="S660" s="55">
        <f>VLOOKUP(D660,Products!$A$2:$F$61,6,FALSE())</f>
        <v/>
      </c>
    </row>
    <row r="661" ht="15" customHeight="1" s="56">
      <c r="A661" s="55">
        <f>Orders!A661</f>
        <v/>
      </c>
      <c r="B661" s="103">
        <f>Orders!B661</f>
        <v/>
      </c>
      <c r="C661" s="55">
        <f>Orders!C661</f>
        <v/>
      </c>
      <c r="D661" s="55">
        <f>Orders!D661</f>
        <v/>
      </c>
      <c r="E661" s="55">
        <f>Orders!E661</f>
        <v/>
      </c>
      <c r="F661" s="55">
        <f>Orders!F661</f>
        <v/>
      </c>
      <c r="G661" s="55">
        <f>Orders!G661</f>
        <v/>
      </c>
      <c r="H661" s="55">
        <f>Orders!H661</f>
        <v/>
      </c>
      <c r="I661" s="55">
        <f>Orders!I661</f>
        <v/>
      </c>
      <c r="J661" s="55">
        <f>Orders!J661</f>
        <v/>
      </c>
      <c r="K661" s="55">
        <f>Orders!K661</f>
        <v/>
      </c>
      <c r="L661" s="55">
        <f>VLOOKUP(D661,Products!$A$2:$F$61,3,FALSE())</f>
        <v/>
      </c>
      <c r="M661" s="55">
        <f>VLOOKUP(C661,Customers!$A$2:$F$301,5,FALSE())</f>
        <v/>
      </c>
      <c r="N661" s="55">
        <f>VLOOKUP(E661,Sales_Reps!$A$2:$E$31,3,FALSE())</f>
        <v/>
      </c>
      <c r="O661" s="55">
        <f>VLOOKUP(D661,Products!$A$2:$F$61,4,FALSE())</f>
        <v/>
      </c>
      <c r="P661" s="55">
        <f>VLOOKUP(C661,Customers!$A$2:$F$301,3,FALSE())</f>
        <v/>
      </c>
      <c r="Q661" s="55">
        <f>UPPER(TRIM(K661))</f>
        <v/>
      </c>
      <c r="R661" s="55">
        <f>(G661-O661)/G661</f>
        <v/>
      </c>
      <c r="S661" s="55">
        <f>VLOOKUP(D661,Products!$A$2:$F$61,6,FALSE())</f>
        <v/>
      </c>
    </row>
    <row r="662" ht="15" customHeight="1" s="56">
      <c r="A662" s="55">
        <f>Orders!A662</f>
        <v/>
      </c>
      <c r="B662" s="103">
        <f>Orders!B662</f>
        <v/>
      </c>
      <c r="C662" s="55">
        <f>Orders!C662</f>
        <v/>
      </c>
      <c r="D662" s="55">
        <f>Orders!D662</f>
        <v/>
      </c>
      <c r="E662" s="55">
        <f>Orders!E662</f>
        <v/>
      </c>
      <c r="F662" s="55">
        <f>Orders!F662</f>
        <v/>
      </c>
      <c r="G662" s="55">
        <f>Orders!G662</f>
        <v/>
      </c>
      <c r="H662" s="55">
        <f>Orders!H662</f>
        <v/>
      </c>
      <c r="I662" s="55">
        <f>Orders!I662</f>
        <v/>
      </c>
      <c r="J662" s="55">
        <f>Orders!J662</f>
        <v/>
      </c>
      <c r="K662" s="55">
        <f>Orders!K662</f>
        <v/>
      </c>
      <c r="L662" s="55">
        <f>VLOOKUP(D662,Products!$A$2:$F$61,3,FALSE())</f>
        <v/>
      </c>
      <c r="M662" s="55">
        <f>VLOOKUP(C662,Customers!$A$2:$F$301,5,FALSE())</f>
        <v/>
      </c>
      <c r="N662" s="55">
        <f>VLOOKUP(E662,Sales_Reps!$A$2:$E$31,3,FALSE())</f>
        <v/>
      </c>
      <c r="O662" s="55">
        <f>VLOOKUP(D662,Products!$A$2:$F$61,4,FALSE())</f>
        <v/>
      </c>
      <c r="P662" s="55">
        <f>VLOOKUP(C662,Customers!$A$2:$F$301,3,FALSE())</f>
        <v/>
      </c>
      <c r="Q662" s="55">
        <f>UPPER(TRIM(K662))</f>
        <v/>
      </c>
      <c r="R662" s="55">
        <f>(G662-O662)/G662</f>
        <v/>
      </c>
      <c r="S662" s="55">
        <f>VLOOKUP(D662,Products!$A$2:$F$61,6,FALSE())</f>
        <v/>
      </c>
    </row>
    <row r="663" ht="15" customHeight="1" s="56">
      <c r="A663" s="55">
        <f>Orders!A663</f>
        <v/>
      </c>
      <c r="B663" s="103">
        <f>Orders!B663</f>
        <v/>
      </c>
      <c r="C663" s="55">
        <f>Orders!C663</f>
        <v/>
      </c>
      <c r="D663" s="55">
        <f>Orders!D663</f>
        <v/>
      </c>
      <c r="E663" s="55">
        <f>Orders!E663</f>
        <v/>
      </c>
      <c r="F663" s="55">
        <f>Orders!F663</f>
        <v/>
      </c>
      <c r="G663" s="55">
        <f>Orders!G663</f>
        <v/>
      </c>
      <c r="H663" s="55">
        <f>Orders!H663</f>
        <v/>
      </c>
      <c r="I663" s="55">
        <f>Orders!I663</f>
        <v/>
      </c>
      <c r="J663" s="55">
        <f>Orders!J663</f>
        <v/>
      </c>
      <c r="K663" s="55">
        <f>Orders!K663</f>
        <v/>
      </c>
      <c r="L663" s="55">
        <f>VLOOKUP(D663,Products!$A$2:$F$61,3,FALSE())</f>
        <v/>
      </c>
      <c r="M663" s="55">
        <f>VLOOKUP(C663,Customers!$A$2:$F$301,5,FALSE())</f>
        <v/>
      </c>
      <c r="N663" s="55">
        <f>VLOOKUP(E663,Sales_Reps!$A$2:$E$31,3,FALSE())</f>
        <v/>
      </c>
      <c r="O663" s="55">
        <f>VLOOKUP(D663,Products!$A$2:$F$61,4,FALSE())</f>
        <v/>
      </c>
      <c r="P663" s="55">
        <f>VLOOKUP(C663,Customers!$A$2:$F$301,3,FALSE())</f>
        <v/>
      </c>
      <c r="Q663" s="55">
        <f>UPPER(TRIM(K663))</f>
        <v/>
      </c>
      <c r="R663" s="55">
        <f>(G663-O663)/G663</f>
        <v/>
      </c>
      <c r="S663" s="55">
        <f>VLOOKUP(D663,Products!$A$2:$F$61,6,FALSE())</f>
        <v/>
      </c>
    </row>
    <row r="664" ht="15" customHeight="1" s="56">
      <c r="A664" s="55">
        <f>Orders!A664</f>
        <v/>
      </c>
      <c r="B664" s="103">
        <f>Orders!B664</f>
        <v/>
      </c>
      <c r="C664" s="55">
        <f>Orders!C664</f>
        <v/>
      </c>
      <c r="D664" s="55">
        <f>Orders!D664</f>
        <v/>
      </c>
      <c r="E664" s="55">
        <f>Orders!E664</f>
        <v/>
      </c>
      <c r="F664" s="55">
        <f>Orders!F664</f>
        <v/>
      </c>
      <c r="G664" s="55">
        <f>Orders!G664</f>
        <v/>
      </c>
      <c r="H664" s="55">
        <f>Orders!H664</f>
        <v/>
      </c>
      <c r="I664" s="55">
        <f>Orders!I664</f>
        <v/>
      </c>
      <c r="J664" s="55">
        <f>Orders!J664</f>
        <v/>
      </c>
      <c r="K664" s="55">
        <f>Orders!K664</f>
        <v/>
      </c>
      <c r="L664" s="55">
        <f>VLOOKUP(D664,Products!$A$2:$F$61,3,FALSE())</f>
        <v/>
      </c>
      <c r="M664" s="55">
        <f>VLOOKUP(C664,Customers!$A$2:$F$301,5,FALSE())</f>
        <v/>
      </c>
      <c r="N664" s="55">
        <f>VLOOKUP(E664,Sales_Reps!$A$2:$E$31,3,FALSE())</f>
        <v/>
      </c>
      <c r="O664" s="55">
        <f>VLOOKUP(D664,Products!$A$2:$F$61,4,FALSE())</f>
        <v/>
      </c>
      <c r="P664" s="55">
        <f>VLOOKUP(C664,Customers!$A$2:$F$301,3,FALSE())</f>
        <v/>
      </c>
      <c r="Q664" s="55">
        <f>UPPER(TRIM(K664))</f>
        <v/>
      </c>
      <c r="R664" s="55">
        <f>(G664-O664)/G664</f>
        <v/>
      </c>
      <c r="S664" s="55">
        <f>VLOOKUP(D664,Products!$A$2:$F$61,6,FALSE())</f>
        <v/>
      </c>
    </row>
    <row r="665" ht="15" customHeight="1" s="56">
      <c r="A665" s="55">
        <f>Orders!A665</f>
        <v/>
      </c>
      <c r="B665" s="103">
        <f>Orders!B665</f>
        <v/>
      </c>
      <c r="C665" s="55">
        <f>Orders!C665</f>
        <v/>
      </c>
      <c r="D665" s="55">
        <f>Orders!D665</f>
        <v/>
      </c>
      <c r="E665" s="55">
        <f>Orders!E665</f>
        <v/>
      </c>
      <c r="F665" s="55">
        <f>Orders!F665</f>
        <v/>
      </c>
      <c r="G665" s="55">
        <f>Orders!G665</f>
        <v/>
      </c>
      <c r="H665" s="55">
        <f>Orders!H665</f>
        <v/>
      </c>
      <c r="I665" s="55">
        <f>Orders!I665</f>
        <v/>
      </c>
      <c r="J665" s="55">
        <f>Orders!J665</f>
        <v/>
      </c>
      <c r="K665" s="55">
        <f>Orders!K665</f>
        <v/>
      </c>
      <c r="L665" s="55">
        <f>VLOOKUP(D665,Products!$A$2:$F$61,3,FALSE())</f>
        <v/>
      </c>
      <c r="M665" s="55">
        <f>VLOOKUP(C665,Customers!$A$2:$F$301,5,FALSE())</f>
        <v/>
      </c>
      <c r="N665" s="55">
        <f>VLOOKUP(E665,Sales_Reps!$A$2:$E$31,3,FALSE())</f>
        <v/>
      </c>
      <c r="O665" s="55">
        <f>VLOOKUP(D665,Products!$A$2:$F$61,4,FALSE())</f>
        <v/>
      </c>
      <c r="P665" s="55">
        <f>VLOOKUP(C665,Customers!$A$2:$F$301,3,FALSE())</f>
        <v/>
      </c>
      <c r="Q665" s="55">
        <f>UPPER(TRIM(K665))</f>
        <v/>
      </c>
      <c r="R665" s="55">
        <f>(G665-O665)/G665</f>
        <v/>
      </c>
      <c r="S665" s="55">
        <f>VLOOKUP(D665,Products!$A$2:$F$61,6,FALSE())</f>
        <v/>
      </c>
    </row>
    <row r="666" ht="15" customHeight="1" s="56">
      <c r="A666" s="55">
        <f>Orders!A666</f>
        <v/>
      </c>
      <c r="B666" s="103">
        <f>Orders!B666</f>
        <v/>
      </c>
      <c r="C666" s="55">
        <f>Orders!C666</f>
        <v/>
      </c>
      <c r="D666" s="55">
        <f>Orders!D666</f>
        <v/>
      </c>
      <c r="E666" s="55">
        <f>Orders!E666</f>
        <v/>
      </c>
      <c r="F666" s="55">
        <f>Orders!F666</f>
        <v/>
      </c>
      <c r="G666" s="55">
        <f>Orders!G666</f>
        <v/>
      </c>
      <c r="H666" s="55">
        <f>Orders!H666</f>
        <v/>
      </c>
      <c r="I666" s="55">
        <f>Orders!I666</f>
        <v/>
      </c>
      <c r="J666" s="55">
        <f>Orders!J666</f>
        <v/>
      </c>
      <c r="K666" s="55">
        <f>Orders!K666</f>
        <v/>
      </c>
      <c r="L666" s="55">
        <f>VLOOKUP(D666,Products!$A$2:$F$61,3,FALSE())</f>
        <v/>
      </c>
      <c r="M666" s="55">
        <f>VLOOKUP(C666,Customers!$A$2:$F$301,5,FALSE())</f>
        <v/>
      </c>
      <c r="N666" s="55">
        <f>VLOOKUP(E666,Sales_Reps!$A$2:$E$31,3,FALSE())</f>
        <v/>
      </c>
      <c r="O666" s="55">
        <f>VLOOKUP(D666,Products!$A$2:$F$61,4,FALSE())</f>
        <v/>
      </c>
      <c r="P666" s="55">
        <f>VLOOKUP(C666,Customers!$A$2:$F$301,3,FALSE())</f>
        <v/>
      </c>
      <c r="Q666" s="55">
        <f>UPPER(TRIM(K666))</f>
        <v/>
      </c>
      <c r="R666" s="55">
        <f>(G666-O666)/G666</f>
        <v/>
      </c>
      <c r="S666" s="55">
        <f>VLOOKUP(D666,Products!$A$2:$F$61,6,FALSE())</f>
        <v/>
      </c>
    </row>
    <row r="667" ht="15" customHeight="1" s="56">
      <c r="A667" s="55">
        <f>Orders!A667</f>
        <v/>
      </c>
      <c r="B667" s="103">
        <f>Orders!B667</f>
        <v/>
      </c>
      <c r="C667" s="55">
        <f>Orders!C667</f>
        <v/>
      </c>
      <c r="D667" s="55">
        <f>Orders!D667</f>
        <v/>
      </c>
      <c r="E667" s="55">
        <f>Orders!E667</f>
        <v/>
      </c>
      <c r="F667" s="55">
        <f>Orders!F667</f>
        <v/>
      </c>
      <c r="G667" s="55">
        <f>Orders!G667</f>
        <v/>
      </c>
      <c r="H667" s="55">
        <f>Orders!H667</f>
        <v/>
      </c>
      <c r="I667" s="55">
        <f>Orders!I667</f>
        <v/>
      </c>
      <c r="J667" s="55">
        <f>Orders!J667</f>
        <v/>
      </c>
      <c r="K667" s="55">
        <f>Orders!K667</f>
        <v/>
      </c>
      <c r="L667" s="55">
        <f>VLOOKUP(D667,Products!$A$2:$F$61,3,FALSE())</f>
        <v/>
      </c>
      <c r="M667" s="55">
        <f>VLOOKUP(C667,Customers!$A$2:$F$301,5,FALSE())</f>
        <v/>
      </c>
      <c r="N667" s="55">
        <f>VLOOKUP(E667,Sales_Reps!$A$2:$E$31,3,FALSE())</f>
        <v/>
      </c>
      <c r="O667" s="55">
        <f>VLOOKUP(D667,Products!$A$2:$F$61,4,FALSE())</f>
        <v/>
      </c>
      <c r="P667" s="55">
        <f>VLOOKUP(C667,Customers!$A$2:$F$301,3,FALSE())</f>
        <v/>
      </c>
      <c r="Q667" s="55">
        <f>UPPER(TRIM(K667))</f>
        <v/>
      </c>
      <c r="R667" s="55">
        <f>(G667-O667)/G667</f>
        <v/>
      </c>
      <c r="S667" s="55">
        <f>VLOOKUP(D667,Products!$A$2:$F$61,6,FALSE())</f>
        <v/>
      </c>
    </row>
    <row r="668" ht="15" customHeight="1" s="56">
      <c r="A668" s="55">
        <f>Orders!A668</f>
        <v/>
      </c>
      <c r="B668" s="103">
        <f>Orders!B668</f>
        <v/>
      </c>
      <c r="C668" s="55">
        <f>Orders!C668</f>
        <v/>
      </c>
      <c r="D668" s="55">
        <f>Orders!D668</f>
        <v/>
      </c>
      <c r="E668" s="55">
        <f>Orders!E668</f>
        <v/>
      </c>
      <c r="F668" s="55">
        <f>Orders!F668</f>
        <v/>
      </c>
      <c r="G668" s="55">
        <f>Orders!G668</f>
        <v/>
      </c>
      <c r="H668" s="55">
        <f>Orders!H668</f>
        <v/>
      </c>
      <c r="I668" s="55">
        <f>Orders!I668</f>
        <v/>
      </c>
      <c r="J668" s="55">
        <f>Orders!J668</f>
        <v/>
      </c>
      <c r="K668" s="55">
        <f>Orders!K668</f>
        <v/>
      </c>
      <c r="L668" s="55">
        <f>VLOOKUP(D668,Products!$A$2:$F$61,3,FALSE())</f>
        <v/>
      </c>
      <c r="M668" s="55">
        <f>VLOOKUP(C668,Customers!$A$2:$F$301,5,FALSE())</f>
        <v/>
      </c>
      <c r="N668" s="55">
        <f>VLOOKUP(E668,Sales_Reps!$A$2:$E$31,3,FALSE())</f>
        <v/>
      </c>
      <c r="O668" s="55">
        <f>VLOOKUP(D668,Products!$A$2:$F$61,4,FALSE())</f>
        <v/>
      </c>
      <c r="P668" s="55">
        <f>VLOOKUP(C668,Customers!$A$2:$F$301,3,FALSE())</f>
        <v/>
      </c>
      <c r="Q668" s="55">
        <f>UPPER(TRIM(K668))</f>
        <v/>
      </c>
      <c r="R668" s="55">
        <f>(G668-O668)/G668</f>
        <v/>
      </c>
      <c r="S668" s="55">
        <f>VLOOKUP(D668,Products!$A$2:$F$61,6,FALSE())</f>
        <v/>
      </c>
    </row>
    <row r="669" ht="15" customHeight="1" s="56">
      <c r="A669" s="55">
        <f>Orders!A669</f>
        <v/>
      </c>
      <c r="B669" s="103">
        <f>Orders!B669</f>
        <v/>
      </c>
      <c r="C669" s="55">
        <f>Orders!C669</f>
        <v/>
      </c>
      <c r="D669" s="55">
        <f>Orders!D669</f>
        <v/>
      </c>
      <c r="E669" s="55">
        <f>Orders!E669</f>
        <v/>
      </c>
      <c r="F669" s="55">
        <f>Orders!F669</f>
        <v/>
      </c>
      <c r="G669" s="55">
        <f>Orders!G669</f>
        <v/>
      </c>
      <c r="H669" s="55">
        <f>Orders!H669</f>
        <v/>
      </c>
      <c r="I669" s="55">
        <f>Orders!I669</f>
        <v/>
      </c>
      <c r="J669" s="55">
        <f>Orders!J669</f>
        <v/>
      </c>
      <c r="K669" s="55">
        <f>Orders!K669</f>
        <v/>
      </c>
      <c r="L669" s="55">
        <f>VLOOKUP(D669,Products!$A$2:$F$61,3,FALSE())</f>
        <v/>
      </c>
      <c r="M669" s="55">
        <f>VLOOKUP(C669,Customers!$A$2:$F$301,5,FALSE())</f>
        <v/>
      </c>
      <c r="N669" s="55">
        <f>VLOOKUP(E669,Sales_Reps!$A$2:$E$31,3,FALSE())</f>
        <v/>
      </c>
      <c r="O669" s="55">
        <f>VLOOKUP(D669,Products!$A$2:$F$61,4,FALSE())</f>
        <v/>
      </c>
      <c r="P669" s="55">
        <f>VLOOKUP(C669,Customers!$A$2:$F$301,3,FALSE())</f>
        <v/>
      </c>
      <c r="Q669" s="55">
        <f>UPPER(TRIM(K669))</f>
        <v/>
      </c>
      <c r="R669" s="55">
        <f>(G669-O669)/G669</f>
        <v/>
      </c>
      <c r="S669" s="55">
        <f>VLOOKUP(D669,Products!$A$2:$F$61,6,FALSE())</f>
        <v/>
      </c>
    </row>
    <row r="670" ht="15" customHeight="1" s="56">
      <c r="A670" s="55">
        <f>Orders!A670</f>
        <v/>
      </c>
      <c r="B670" s="103">
        <f>Orders!B670</f>
        <v/>
      </c>
      <c r="C670" s="55">
        <f>Orders!C670</f>
        <v/>
      </c>
      <c r="D670" s="55">
        <f>Orders!D670</f>
        <v/>
      </c>
      <c r="E670" s="55">
        <f>Orders!E670</f>
        <v/>
      </c>
      <c r="F670" s="55">
        <f>Orders!F670</f>
        <v/>
      </c>
      <c r="G670" s="55">
        <f>Orders!G670</f>
        <v/>
      </c>
      <c r="H670" s="55">
        <f>Orders!H670</f>
        <v/>
      </c>
      <c r="I670" s="55">
        <f>Orders!I670</f>
        <v/>
      </c>
      <c r="J670" s="55">
        <f>Orders!J670</f>
        <v/>
      </c>
      <c r="K670" s="55">
        <f>Orders!K670</f>
        <v/>
      </c>
      <c r="L670" s="55">
        <f>VLOOKUP(D670,Products!$A$2:$F$61,3,FALSE())</f>
        <v/>
      </c>
      <c r="M670" s="55">
        <f>VLOOKUP(C670,Customers!$A$2:$F$301,5,FALSE())</f>
        <v/>
      </c>
      <c r="N670" s="55">
        <f>VLOOKUP(E670,Sales_Reps!$A$2:$E$31,3,FALSE())</f>
        <v/>
      </c>
      <c r="O670" s="55">
        <f>VLOOKUP(D670,Products!$A$2:$F$61,4,FALSE())</f>
        <v/>
      </c>
      <c r="P670" s="55">
        <f>VLOOKUP(C670,Customers!$A$2:$F$301,3,FALSE())</f>
        <v/>
      </c>
      <c r="Q670" s="55">
        <f>UPPER(TRIM(K670))</f>
        <v/>
      </c>
      <c r="R670" s="55">
        <f>(G670-O670)/G670</f>
        <v/>
      </c>
      <c r="S670" s="55">
        <f>VLOOKUP(D670,Products!$A$2:$F$61,6,FALSE())</f>
        <v/>
      </c>
    </row>
    <row r="671" ht="15" customHeight="1" s="56">
      <c r="A671" s="55">
        <f>Orders!A671</f>
        <v/>
      </c>
      <c r="B671" s="103">
        <f>Orders!B671</f>
        <v/>
      </c>
      <c r="C671" s="55">
        <f>Orders!C671</f>
        <v/>
      </c>
      <c r="D671" s="55">
        <f>Orders!D671</f>
        <v/>
      </c>
      <c r="E671" s="55">
        <f>Orders!E671</f>
        <v/>
      </c>
      <c r="F671" s="55">
        <f>Orders!F671</f>
        <v/>
      </c>
      <c r="G671" s="55">
        <f>Orders!G671</f>
        <v/>
      </c>
      <c r="H671" s="55">
        <f>Orders!H671</f>
        <v/>
      </c>
      <c r="I671" s="55">
        <f>Orders!I671</f>
        <v/>
      </c>
      <c r="J671" s="55">
        <f>Orders!J671</f>
        <v/>
      </c>
      <c r="K671" s="55">
        <f>Orders!K671</f>
        <v/>
      </c>
      <c r="L671" s="55">
        <f>VLOOKUP(D671,Products!$A$2:$F$61,3,FALSE())</f>
        <v/>
      </c>
      <c r="M671" s="55">
        <f>VLOOKUP(C671,Customers!$A$2:$F$301,5,FALSE())</f>
        <v/>
      </c>
      <c r="N671" s="55">
        <f>VLOOKUP(E671,Sales_Reps!$A$2:$E$31,3,FALSE())</f>
        <v/>
      </c>
      <c r="O671" s="55">
        <f>VLOOKUP(D671,Products!$A$2:$F$61,4,FALSE())</f>
        <v/>
      </c>
      <c r="P671" s="55">
        <f>VLOOKUP(C671,Customers!$A$2:$F$301,3,FALSE())</f>
        <v/>
      </c>
      <c r="Q671" s="55">
        <f>UPPER(TRIM(K671))</f>
        <v/>
      </c>
      <c r="R671" s="55">
        <f>(G671-O671)/G671</f>
        <v/>
      </c>
      <c r="S671" s="55">
        <f>VLOOKUP(D671,Products!$A$2:$F$61,6,FALSE())</f>
        <v/>
      </c>
    </row>
    <row r="672" ht="15" customHeight="1" s="56">
      <c r="A672" s="55">
        <f>Orders!A672</f>
        <v/>
      </c>
      <c r="B672" s="103">
        <f>Orders!B672</f>
        <v/>
      </c>
      <c r="C672" s="55">
        <f>Orders!C672</f>
        <v/>
      </c>
      <c r="D672" s="55">
        <f>Orders!D672</f>
        <v/>
      </c>
      <c r="E672" s="55">
        <f>Orders!E672</f>
        <v/>
      </c>
      <c r="F672" s="55">
        <f>Orders!F672</f>
        <v/>
      </c>
      <c r="G672" s="55">
        <f>Orders!G672</f>
        <v/>
      </c>
      <c r="H672" s="55">
        <f>Orders!H672</f>
        <v/>
      </c>
      <c r="I672" s="55">
        <f>Orders!I672</f>
        <v/>
      </c>
      <c r="J672" s="55">
        <f>Orders!J672</f>
        <v/>
      </c>
      <c r="K672" s="55">
        <f>Orders!K672</f>
        <v/>
      </c>
      <c r="L672" s="55">
        <f>VLOOKUP(D672,Products!$A$2:$F$61,3,FALSE())</f>
        <v/>
      </c>
      <c r="M672" s="55">
        <f>VLOOKUP(C672,Customers!$A$2:$F$301,5,FALSE())</f>
        <v/>
      </c>
      <c r="N672" s="55">
        <f>VLOOKUP(E672,Sales_Reps!$A$2:$E$31,3,FALSE())</f>
        <v/>
      </c>
      <c r="O672" s="55">
        <f>VLOOKUP(D672,Products!$A$2:$F$61,4,FALSE())</f>
        <v/>
      </c>
      <c r="P672" s="55">
        <f>VLOOKUP(C672,Customers!$A$2:$F$301,3,FALSE())</f>
        <v/>
      </c>
      <c r="Q672" s="55">
        <f>UPPER(TRIM(K672))</f>
        <v/>
      </c>
      <c r="R672" s="55">
        <f>(G672-O672)/G672</f>
        <v/>
      </c>
      <c r="S672" s="55">
        <f>VLOOKUP(D672,Products!$A$2:$F$61,6,FALSE())</f>
        <v/>
      </c>
    </row>
    <row r="673" ht="15" customHeight="1" s="56">
      <c r="A673" s="55">
        <f>Orders!A673</f>
        <v/>
      </c>
      <c r="B673" s="103">
        <f>Orders!B673</f>
        <v/>
      </c>
      <c r="C673" s="55">
        <f>Orders!C673</f>
        <v/>
      </c>
      <c r="D673" s="55">
        <f>Orders!D673</f>
        <v/>
      </c>
      <c r="E673" s="55">
        <f>Orders!E673</f>
        <v/>
      </c>
      <c r="F673" s="55">
        <f>Orders!F673</f>
        <v/>
      </c>
      <c r="G673" s="55">
        <f>Orders!G673</f>
        <v/>
      </c>
      <c r="H673" s="55">
        <f>Orders!H673</f>
        <v/>
      </c>
      <c r="I673" s="55">
        <f>Orders!I673</f>
        <v/>
      </c>
      <c r="J673" s="55">
        <f>Orders!J673</f>
        <v/>
      </c>
      <c r="K673" s="55">
        <f>Orders!K673</f>
        <v/>
      </c>
      <c r="L673" s="55">
        <f>VLOOKUP(D673,Products!$A$2:$F$61,3,FALSE())</f>
        <v/>
      </c>
      <c r="M673" s="55">
        <f>VLOOKUP(C673,Customers!$A$2:$F$301,5,FALSE())</f>
        <v/>
      </c>
      <c r="N673" s="55">
        <f>VLOOKUP(E673,Sales_Reps!$A$2:$E$31,3,FALSE())</f>
        <v/>
      </c>
      <c r="O673" s="55">
        <f>VLOOKUP(D673,Products!$A$2:$F$61,4,FALSE())</f>
        <v/>
      </c>
      <c r="P673" s="55">
        <f>VLOOKUP(C673,Customers!$A$2:$F$301,3,FALSE())</f>
        <v/>
      </c>
      <c r="Q673" s="55">
        <f>UPPER(TRIM(K673))</f>
        <v/>
      </c>
      <c r="R673" s="55">
        <f>(G673-O673)/G673</f>
        <v/>
      </c>
      <c r="S673" s="55">
        <f>VLOOKUP(D673,Products!$A$2:$F$61,6,FALSE())</f>
        <v/>
      </c>
    </row>
    <row r="674" ht="15" customHeight="1" s="56">
      <c r="A674" s="55">
        <f>Orders!A674</f>
        <v/>
      </c>
      <c r="B674" s="103">
        <f>Orders!B674</f>
        <v/>
      </c>
      <c r="C674" s="55">
        <f>Orders!C674</f>
        <v/>
      </c>
      <c r="D674" s="55">
        <f>Orders!D674</f>
        <v/>
      </c>
      <c r="E674" s="55">
        <f>Orders!E674</f>
        <v/>
      </c>
      <c r="F674" s="55">
        <f>Orders!F674</f>
        <v/>
      </c>
      <c r="G674" s="55">
        <f>Orders!G674</f>
        <v/>
      </c>
      <c r="H674" s="55">
        <f>Orders!H674</f>
        <v/>
      </c>
      <c r="I674" s="55">
        <f>Orders!I674</f>
        <v/>
      </c>
      <c r="J674" s="55">
        <f>Orders!J674</f>
        <v/>
      </c>
      <c r="K674" s="55">
        <f>Orders!K674</f>
        <v/>
      </c>
      <c r="L674" s="55">
        <f>VLOOKUP(D674,Products!$A$2:$F$61,3,FALSE())</f>
        <v/>
      </c>
      <c r="M674" s="55">
        <f>VLOOKUP(C674,Customers!$A$2:$F$301,5,FALSE())</f>
        <v/>
      </c>
      <c r="N674" s="55">
        <f>VLOOKUP(E674,Sales_Reps!$A$2:$E$31,3,FALSE())</f>
        <v/>
      </c>
      <c r="O674" s="55">
        <f>VLOOKUP(D674,Products!$A$2:$F$61,4,FALSE())</f>
        <v/>
      </c>
      <c r="P674" s="55">
        <f>VLOOKUP(C674,Customers!$A$2:$F$301,3,FALSE())</f>
        <v/>
      </c>
      <c r="Q674" s="55">
        <f>UPPER(TRIM(K674))</f>
        <v/>
      </c>
      <c r="R674" s="55">
        <f>(G674-O674)/G674</f>
        <v/>
      </c>
      <c r="S674" s="55">
        <f>VLOOKUP(D674,Products!$A$2:$F$61,6,FALSE())</f>
        <v/>
      </c>
    </row>
    <row r="675" ht="15" customHeight="1" s="56">
      <c r="A675" s="55">
        <f>Orders!A675</f>
        <v/>
      </c>
      <c r="B675" s="103">
        <f>Orders!B675</f>
        <v/>
      </c>
      <c r="C675" s="55">
        <f>Orders!C675</f>
        <v/>
      </c>
      <c r="D675" s="55">
        <f>Orders!D675</f>
        <v/>
      </c>
      <c r="E675" s="55">
        <f>Orders!E675</f>
        <v/>
      </c>
      <c r="F675" s="55">
        <f>Orders!F675</f>
        <v/>
      </c>
      <c r="G675" s="55">
        <f>Orders!G675</f>
        <v/>
      </c>
      <c r="H675" s="55">
        <f>Orders!H675</f>
        <v/>
      </c>
      <c r="I675" s="55">
        <f>Orders!I675</f>
        <v/>
      </c>
      <c r="J675" s="55">
        <f>Orders!J675</f>
        <v/>
      </c>
      <c r="K675" s="55">
        <f>Orders!K675</f>
        <v/>
      </c>
      <c r="L675" s="55">
        <f>VLOOKUP(D675,Products!$A$2:$F$61,3,FALSE())</f>
        <v/>
      </c>
      <c r="M675" s="55">
        <f>VLOOKUP(C675,Customers!$A$2:$F$301,5,FALSE())</f>
        <v/>
      </c>
      <c r="N675" s="55">
        <f>VLOOKUP(E675,Sales_Reps!$A$2:$E$31,3,FALSE())</f>
        <v/>
      </c>
      <c r="O675" s="55">
        <f>VLOOKUP(D675,Products!$A$2:$F$61,4,FALSE())</f>
        <v/>
      </c>
      <c r="P675" s="55">
        <f>VLOOKUP(C675,Customers!$A$2:$F$301,3,FALSE())</f>
        <v/>
      </c>
      <c r="Q675" s="55">
        <f>UPPER(TRIM(K675))</f>
        <v/>
      </c>
      <c r="R675" s="55">
        <f>(G675-O675)/G675</f>
        <v/>
      </c>
      <c r="S675" s="55">
        <f>VLOOKUP(D675,Products!$A$2:$F$61,6,FALSE())</f>
        <v/>
      </c>
    </row>
    <row r="676" ht="15" customHeight="1" s="56">
      <c r="A676" s="55">
        <f>Orders!A676</f>
        <v/>
      </c>
      <c r="B676" s="103">
        <f>Orders!B676</f>
        <v/>
      </c>
      <c r="C676" s="55">
        <f>Orders!C676</f>
        <v/>
      </c>
      <c r="D676" s="55">
        <f>Orders!D676</f>
        <v/>
      </c>
      <c r="E676" s="55">
        <f>Orders!E676</f>
        <v/>
      </c>
      <c r="F676" s="55">
        <f>Orders!F676</f>
        <v/>
      </c>
      <c r="G676" s="55">
        <f>Orders!G676</f>
        <v/>
      </c>
      <c r="H676" s="55">
        <f>Orders!H676</f>
        <v/>
      </c>
      <c r="I676" s="55">
        <f>Orders!I676</f>
        <v/>
      </c>
      <c r="J676" s="55">
        <f>Orders!J676</f>
        <v/>
      </c>
      <c r="K676" s="55">
        <f>Orders!K676</f>
        <v/>
      </c>
      <c r="L676" s="55">
        <f>VLOOKUP(D676,Products!$A$2:$F$61,3,FALSE())</f>
        <v/>
      </c>
      <c r="M676" s="55">
        <f>VLOOKUP(C676,Customers!$A$2:$F$301,5,FALSE())</f>
        <v/>
      </c>
      <c r="N676" s="55">
        <f>VLOOKUP(E676,Sales_Reps!$A$2:$E$31,3,FALSE())</f>
        <v/>
      </c>
      <c r="O676" s="55">
        <f>VLOOKUP(D676,Products!$A$2:$F$61,4,FALSE())</f>
        <v/>
      </c>
      <c r="P676" s="55">
        <f>VLOOKUP(C676,Customers!$A$2:$F$301,3,FALSE())</f>
        <v/>
      </c>
      <c r="Q676" s="55">
        <f>UPPER(TRIM(K676))</f>
        <v/>
      </c>
      <c r="R676" s="55">
        <f>(G676-O676)/G676</f>
        <v/>
      </c>
      <c r="S676" s="55">
        <f>VLOOKUP(D676,Products!$A$2:$F$61,6,FALSE())</f>
        <v/>
      </c>
    </row>
    <row r="677" ht="15" customHeight="1" s="56">
      <c r="A677" s="55">
        <f>Orders!A677</f>
        <v/>
      </c>
      <c r="B677" s="103">
        <f>Orders!B677</f>
        <v/>
      </c>
      <c r="C677" s="55">
        <f>Orders!C677</f>
        <v/>
      </c>
      <c r="D677" s="55">
        <f>Orders!D677</f>
        <v/>
      </c>
      <c r="E677" s="55">
        <f>Orders!E677</f>
        <v/>
      </c>
      <c r="F677" s="55">
        <f>Orders!F677</f>
        <v/>
      </c>
      <c r="G677" s="55">
        <f>Orders!G677</f>
        <v/>
      </c>
      <c r="H677" s="55">
        <f>Orders!H677</f>
        <v/>
      </c>
      <c r="I677" s="55">
        <f>Orders!I677</f>
        <v/>
      </c>
      <c r="J677" s="55">
        <f>Orders!J677</f>
        <v/>
      </c>
      <c r="K677" s="55">
        <f>Orders!K677</f>
        <v/>
      </c>
      <c r="L677" s="55">
        <f>VLOOKUP(D677,Products!$A$2:$F$61,3,FALSE())</f>
        <v/>
      </c>
      <c r="M677" s="55">
        <f>VLOOKUP(C677,Customers!$A$2:$F$301,5,FALSE())</f>
        <v/>
      </c>
      <c r="N677" s="55">
        <f>VLOOKUP(E677,Sales_Reps!$A$2:$E$31,3,FALSE())</f>
        <v/>
      </c>
      <c r="O677" s="55">
        <f>VLOOKUP(D677,Products!$A$2:$F$61,4,FALSE())</f>
        <v/>
      </c>
      <c r="P677" s="55">
        <f>VLOOKUP(C677,Customers!$A$2:$F$301,3,FALSE())</f>
        <v/>
      </c>
      <c r="Q677" s="55">
        <f>UPPER(TRIM(K677))</f>
        <v/>
      </c>
      <c r="R677" s="55">
        <f>(G677-O677)/G677</f>
        <v/>
      </c>
      <c r="S677" s="55">
        <f>VLOOKUP(D677,Products!$A$2:$F$61,6,FALSE())</f>
        <v/>
      </c>
    </row>
    <row r="678" ht="15" customHeight="1" s="56">
      <c r="A678" s="55">
        <f>Orders!A678</f>
        <v/>
      </c>
      <c r="B678" s="103">
        <f>Orders!B678</f>
        <v/>
      </c>
      <c r="C678" s="55">
        <f>Orders!C678</f>
        <v/>
      </c>
      <c r="D678" s="55">
        <f>Orders!D678</f>
        <v/>
      </c>
      <c r="E678" s="55">
        <f>Orders!E678</f>
        <v/>
      </c>
      <c r="F678" s="55">
        <f>Orders!F678</f>
        <v/>
      </c>
      <c r="G678" s="55">
        <f>Orders!G678</f>
        <v/>
      </c>
      <c r="H678" s="55">
        <f>Orders!H678</f>
        <v/>
      </c>
      <c r="I678" s="55">
        <f>Orders!I678</f>
        <v/>
      </c>
      <c r="J678" s="55">
        <f>Orders!J678</f>
        <v/>
      </c>
      <c r="K678" s="55">
        <f>Orders!K678</f>
        <v/>
      </c>
      <c r="L678" s="55">
        <f>VLOOKUP(D678,Products!$A$2:$F$61,3,FALSE())</f>
        <v/>
      </c>
      <c r="M678" s="55">
        <f>VLOOKUP(C678,Customers!$A$2:$F$301,5,FALSE())</f>
        <v/>
      </c>
      <c r="N678" s="55">
        <f>VLOOKUP(E678,Sales_Reps!$A$2:$E$31,3,FALSE())</f>
        <v/>
      </c>
      <c r="O678" s="55">
        <f>VLOOKUP(D678,Products!$A$2:$F$61,4,FALSE())</f>
        <v/>
      </c>
      <c r="P678" s="55">
        <f>VLOOKUP(C678,Customers!$A$2:$F$301,3,FALSE())</f>
        <v/>
      </c>
      <c r="Q678" s="55">
        <f>UPPER(TRIM(K678))</f>
        <v/>
      </c>
      <c r="R678" s="55">
        <f>(G678-O678)/G678</f>
        <v/>
      </c>
      <c r="S678" s="55">
        <f>VLOOKUP(D678,Products!$A$2:$F$61,6,FALSE())</f>
        <v/>
      </c>
    </row>
    <row r="679" ht="15" customHeight="1" s="56">
      <c r="A679" s="55">
        <f>Orders!A679</f>
        <v/>
      </c>
      <c r="B679" s="103">
        <f>Orders!B679</f>
        <v/>
      </c>
      <c r="C679" s="55">
        <f>Orders!C679</f>
        <v/>
      </c>
      <c r="D679" s="55">
        <f>Orders!D679</f>
        <v/>
      </c>
      <c r="E679" s="55">
        <f>Orders!E679</f>
        <v/>
      </c>
      <c r="F679" s="55">
        <f>Orders!F679</f>
        <v/>
      </c>
      <c r="G679" s="55">
        <f>Orders!G679</f>
        <v/>
      </c>
      <c r="H679" s="55">
        <f>Orders!H679</f>
        <v/>
      </c>
      <c r="I679" s="55">
        <f>Orders!I679</f>
        <v/>
      </c>
      <c r="J679" s="55">
        <f>Orders!J679</f>
        <v/>
      </c>
      <c r="K679" s="55">
        <f>Orders!K679</f>
        <v/>
      </c>
      <c r="L679" s="55">
        <f>VLOOKUP(D679,Products!$A$2:$F$61,3,FALSE())</f>
        <v/>
      </c>
      <c r="M679" s="55">
        <f>VLOOKUP(C679,Customers!$A$2:$F$301,5,FALSE())</f>
        <v/>
      </c>
      <c r="N679" s="55">
        <f>VLOOKUP(E679,Sales_Reps!$A$2:$E$31,3,FALSE())</f>
        <v/>
      </c>
      <c r="O679" s="55">
        <f>VLOOKUP(D679,Products!$A$2:$F$61,4,FALSE())</f>
        <v/>
      </c>
      <c r="P679" s="55">
        <f>VLOOKUP(C679,Customers!$A$2:$F$301,3,FALSE())</f>
        <v/>
      </c>
      <c r="Q679" s="55">
        <f>UPPER(TRIM(K679))</f>
        <v/>
      </c>
      <c r="R679" s="55">
        <f>(G679-O679)/G679</f>
        <v/>
      </c>
      <c r="S679" s="55">
        <f>VLOOKUP(D679,Products!$A$2:$F$61,6,FALSE())</f>
        <v/>
      </c>
    </row>
    <row r="680" ht="15" customHeight="1" s="56">
      <c r="A680" s="55">
        <f>Orders!A680</f>
        <v/>
      </c>
      <c r="B680" s="103">
        <f>Orders!B680</f>
        <v/>
      </c>
      <c r="C680" s="55">
        <f>Orders!C680</f>
        <v/>
      </c>
      <c r="D680" s="55">
        <f>Orders!D680</f>
        <v/>
      </c>
      <c r="E680" s="55">
        <f>Orders!E680</f>
        <v/>
      </c>
      <c r="F680" s="55">
        <f>Orders!F680</f>
        <v/>
      </c>
      <c r="G680" s="55">
        <f>Orders!G680</f>
        <v/>
      </c>
      <c r="H680" s="55">
        <f>Orders!H680</f>
        <v/>
      </c>
      <c r="I680" s="55">
        <f>Orders!I680</f>
        <v/>
      </c>
      <c r="J680" s="55">
        <f>Orders!J680</f>
        <v/>
      </c>
      <c r="K680" s="55">
        <f>Orders!K680</f>
        <v/>
      </c>
      <c r="L680" s="55">
        <f>VLOOKUP(D680,Products!$A$2:$F$61,3,FALSE())</f>
        <v/>
      </c>
      <c r="M680" s="55">
        <f>VLOOKUP(C680,Customers!$A$2:$F$301,5,FALSE())</f>
        <v/>
      </c>
      <c r="N680" s="55">
        <f>VLOOKUP(E680,Sales_Reps!$A$2:$E$31,3,FALSE())</f>
        <v/>
      </c>
      <c r="O680" s="55">
        <f>VLOOKUP(D680,Products!$A$2:$F$61,4,FALSE())</f>
        <v/>
      </c>
      <c r="P680" s="55">
        <f>VLOOKUP(C680,Customers!$A$2:$F$301,3,FALSE())</f>
        <v/>
      </c>
      <c r="Q680" s="55">
        <f>UPPER(TRIM(K680))</f>
        <v/>
      </c>
      <c r="R680" s="55">
        <f>(G680-O680)/G680</f>
        <v/>
      </c>
      <c r="S680" s="55">
        <f>VLOOKUP(D680,Products!$A$2:$F$61,6,FALSE())</f>
        <v/>
      </c>
    </row>
    <row r="681" ht="15" customHeight="1" s="56">
      <c r="A681" s="55">
        <f>Orders!A681</f>
        <v/>
      </c>
      <c r="B681" s="103">
        <f>Orders!B681</f>
        <v/>
      </c>
      <c r="C681" s="55">
        <f>Orders!C681</f>
        <v/>
      </c>
      <c r="D681" s="55">
        <f>Orders!D681</f>
        <v/>
      </c>
      <c r="E681" s="55">
        <f>Orders!E681</f>
        <v/>
      </c>
      <c r="F681" s="55">
        <f>Orders!F681</f>
        <v/>
      </c>
      <c r="G681" s="55">
        <f>Orders!G681</f>
        <v/>
      </c>
      <c r="H681" s="55">
        <f>Orders!H681</f>
        <v/>
      </c>
      <c r="I681" s="55">
        <f>Orders!I681</f>
        <v/>
      </c>
      <c r="J681" s="55">
        <f>Orders!J681</f>
        <v/>
      </c>
      <c r="K681" s="55">
        <f>Orders!K681</f>
        <v/>
      </c>
      <c r="L681" s="55">
        <f>VLOOKUP(D681,Products!$A$2:$F$61,3,FALSE())</f>
        <v/>
      </c>
      <c r="M681" s="55">
        <f>VLOOKUP(C681,Customers!$A$2:$F$301,5,FALSE())</f>
        <v/>
      </c>
      <c r="N681" s="55">
        <f>VLOOKUP(E681,Sales_Reps!$A$2:$E$31,3,FALSE())</f>
        <v/>
      </c>
      <c r="O681" s="55">
        <f>VLOOKUP(D681,Products!$A$2:$F$61,4,FALSE())</f>
        <v/>
      </c>
      <c r="P681" s="55">
        <f>VLOOKUP(C681,Customers!$A$2:$F$301,3,FALSE())</f>
        <v/>
      </c>
      <c r="Q681" s="55">
        <f>UPPER(TRIM(K681))</f>
        <v/>
      </c>
      <c r="R681" s="55">
        <f>(G681-O681)/G681</f>
        <v/>
      </c>
      <c r="S681" s="55">
        <f>VLOOKUP(D681,Products!$A$2:$F$61,6,FALSE())</f>
        <v/>
      </c>
    </row>
    <row r="682" ht="15" customHeight="1" s="56">
      <c r="A682" s="55">
        <f>Orders!A682</f>
        <v/>
      </c>
      <c r="B682" s="103">
        <f>Orders!B682</f>
        <v/>
      </c>
      <c r="C682" s="55">
        <f>Orders!C682</f>
        <v/>
      </c>
      <c r="D682" s="55">
        <f>Orders!D682</f>
        <v/>
      </c>
      <c r="E682" s="55">
        <f>Orders!E682</f>
        <v/>
      </c>
      <c r="F682" s="55">
        <f>Orders!F682</f>
        <v/>
      </c>
      <c r="G682" s="55">
        <f>Orders!G682</f>
        <v/>
      </c>
      <c r="H682" s="55">
        <f>Orders!H682</f>
        <v/>
      </c>
      <c r="I682" s="55">
        <f>Orders!I682</f>
        <v/>
      </c>
      <c r="J682" s="55">
        <f>Orders!J682</f>
        <v/>
      </c>
      <c r="K682" s="55">
        <f>Orders!K682</f>
        <v/>
      </c>
      <c r="L682" s="55">
        <f>VLOOKUP(D682,Products!$A$2:$F$61,3,FALSE())</f>
        <v/>
      </c>
      <c r="M682" s="55">
        <f>VLOOKUP(C682,Customers!$A$2:$F$301,5,FALSE())</f>
        <v/>
      </c>
      <c r="N682" s="55">
        <f>VLOOKUP(E682,Sales_Reps!$A$2:$E$31,3,FALSE())</f>
        <v/>
      </c>
      <c r="O682" s="55">
        <f>VLOOKUP(D682,Products!$A$2:$F$61,4,FALSE())</f>
        <v/>
      </c>
      <c r="P682" s="55">
        <f>VLOOKUP(C682,Customers!$A$2:$F$301,3,FALSE())</f>
        <v/>
      </c>
      <c r="Q682" s="55">
        <f>UPPER(TRIM(K682))</f>
        <v/>
      </c>
      <c r="R682" s="55">
        <f>(G682-O682)/G682</f>
        <v/>
      </c>
      <c r="S682" s="55">
        <f>VLOOKUP(D682,Products!$A$2:$F$61,6,FALSE())</f>
        <v/>
      </c>
    </row>
    <row r="683" ht="15" customHeight="1" s="56">
      <c r="A683" s="55">
        <f>Orders!A683</f>
        <v/>
      </c>
      <c r="B683" s="103">
        <f>Orders!B683</f>
        <v/>
      </c>
      <c r="C683" s="55">
        <f>Orders!C683</f>
        <v/>
      </c>
      <c r="D683" s="55">
        <f>Orders!D683</f>
        <v/>
      </c>
      <c r="E683" s="55">
        <f>Orders!E683</f>
        <v/>
      </c>
      <c r="F683" s="55">
        <f>Orders!F683</f>
        <v/>
      </c>
      <c r="G683" s="55">
        <f>Orders!G683</f>
        <v/>
      </c>
      <c r="H683" s="55">
        <f>Orders!H683</f>
        <v/>
      </c>
      <c r="I683" s="55">
        <f>Orders!I683</f>
        <v/>
      </c>
      <c r="J683" s="55">
        <f>Orders!J683</f>
        <v/>
      </c>
      <c r="K683" s="55">
        <f>Orders!K683</f>
        <v/>
      </c>
      <c r="L683" s="55">
        <f>VLOOKUP(D683,Products!$A$2:$F$61,3,FALSE())</f>
        <v/>
      </c>
      <c r="M683" s="55">
        <f>VLOOKUP(C683,Customers!$A$2:$F$301,5,FALSE())</f>
        <v/>
      </c>
      <c r="N683" s="55">
        <f>VLOOKUP(E683,Sales_Reps!$A$2:$E$31,3,FALSE())</f>
        <v/>
      </c>
      <c r="O683" s="55">
        <f>VLOOKUP(D683,Products!$A$2:$F$61,4,FALSE())</f>
        <v/>
      </c>
      <c r="P683" s="55">
        <f>VLOOKUP(C683,Customers!$A$2:$F$301,3,FALSE())</f>
        <v/>
      </c>
      <c r="Q683" s="55">
        <f>UPPER(TRIM(K683))</f>
        <v/>
      </c>
      <c r="R683" s="55">
        <f>(G683-O683)/G683</f>
        <v/>
      </c>
      <c r="S683" s="55">
        <f>VLOOKUP(D683,Products!$A$2:$F$61,6,FALSE())</f>
        <v/>
      </c>
    </row>
    <row r="684" ht="15" customHeight="1" s="56">
      <c r="A684" s="55">
        <f>Orders!A684</f>
        <v/>
      </c>
      <c r="B684" s="103">
        <f>Orders!B684</f>
        <v/>
      </c>
      <c r="C684" s="55">
        <f>Orders!C684</f>
        <v/>
      </c>
      <c r="D684" s="55">
        <f>Orders!D684</f>
        <v/>
      </c>
      <c r="E684" s="55">
        <f>Orders!E684</f>
        <v/>
      </c>
      <c r="F684" s="55">
        <f>Orders!F684</f>
        <v/>
      </c>
      <c r="G684" s="55">
        <f>Orders!G684</f>
        <v/>
      </c>
      <c r="H684" s="55">
        <f>Orders!H684</f>
        <v/>
      </c>
      <c r="I684" s="55">
        <f>Orders!I684</f>
        <v/>
      </c>
      <c r="J684" s="55">
        <f>Orders!J684</f>
        <v/>
      </c>
      <c r="K684" s="55">
        <f>Orders!K684</f>
        <v/>
      </c>
      <c r="L684" s="55">
        <f>VLOOKUP(D684,Products!$A$2:$F$61,3,FALSE())</f>
        <v/>
      </c>
      <c r="M684" s="55">
        <f>VLOOKUP(C684,Customers!$A$2:$F$301,5,FALSE())</f>
        <v/>
      </c>
      <c r="N684" s="55">
        <f>VLOOKUP(E684,Sales_Reps!$A$2:$E$31,3,FALSE())</f>
        <v/>
      </c>
      <c r="O684" s="55">
        <f>VLOOKUP(D684,Products!$A$2:$F$61,4,FALSE())</f>
        <v/>
      </c>
      <c r="P684" s="55">
        <f>VLOOKUP(C684,Customers!$A$2:$F$301,3,FALSE())</f>
        <v/>
      </c>
      <c r="Q684" s="55">
        <f>UPPER(TRIM(K684))</f>
        <v/>
      </c>
      <c r="R684" s="55">
        <f>(G684-O684)/G684</f>
        <v/>
      </c>
      <c r="S684" s="55">
        <f>VLOOKUP(D684,Products!$A$2:$F$61,6,FALSE())</f>
        <v/>
      </c>
    </row>
    <row r="685" ht="15" customHeight="1" s="56">
      <c r="A685" s="55">
        <f>Orders!A685</f>
        <v/>
      </c>
      <c r="B685" s="103">
        <f>Orders!B685</f>
        <v/>
      </c>
      <c r="C685" s="55">
        <f>Orders!C685</f>
        <v/>
      </c>
      <c r="D685" s="55">
        <f>Orders!D685</f>
        <v/>
      </c>
      <c r="E685" s="55">
        <f>Orders!E685</f>
        <v/>
      </c>
      <c r="F685" s="55">
        <f>Orders!F685</f>
        <v/>
      </c>
      <c r="G685" s="55">
        <f>Orders!G685</f>
        <v/>
      </c>
      <c r="H685" s="55">
        <f>Orders!H685</f>
        <v/>
      </c>
      <c r="I685" s="55">
        <f>Orders!I685</f>
        <v/>
      </c>
      <c r="J685" s="55">
        <f>Orders!J685</f>
        <v/>
      </c>
      <c r="K685" s="55">
        <f>Orders!K685</f>
        <v/>
      </c>
      <c r="L685" s="55">
        <f>VLOOKUP(D685,Products!$A$2:$F$61,3,FALSE())</f>
        <v/>
      </c>
      <c r="M685" s="55">
        <f>VLOOKUP(C685,Customers!$A$2:$F$301,5,FALSE())</f>
        <v/>
      </c>
      <c r="N685" s="55">
        <f>VLOOKUP(E685,Sales_Reps!$A$2:$E$31,3,FALSE())</f>
        <v/>
      </c>
      <c r="O685" s="55">
        <f>VLOOKUP(D685,Products!$A$2:$F$61,4,FALSE())</f>
        <v/>
      </c>
      <c r="P685" s="55">
        <f>VLOOKUP(C685,Customers!$A$2:$F$301,3,FALSE())</f>
        <v/>
      </c>
      <c r="Q685" s="55">
        <f>UPPER(TRIM(K685))</f>
        <v/>
      </c>
      <c r="R685" s="55">
        <f>(G685-O685)/G685</f>
        <v/>
      </c>
      <c r="S685" s="55">
        <f>VLOOKUP(D685,Products!$A$2:$F$61,6,FALSE())</f>
        <v/>
      </c>
    </row>
    <row r="686" ht="15" customHeight="1" s="56">
      <c r="A686" s="55">
        <f>Orders!A686</f>
        <v/>
      </c>
      <c r="B686" s="103">
        <f>Orders!B686</f>
        <v/>
      </c>
      <c r="C686" s="55">
        <f>Orders!C686</f>
        <v/>
      </c>
      <c r="D686" s="55">
        <f>Orders!D686</f>
        <v/>
      </c>
      <c r="E686" s="55">
        <f>Orders!E686</f>
        <v/>
      </c>
      <c r="F686" s="55">
        <f>Orders!F686</f>
        <v/>
      </c>
      <c r="G686" s="55">
        <f>Orders!G686</f>
        <v/>
      </c>
      <c r="H686" s="55">
        <f>Orders!H686</f>
        <v/>
      </c>
      <c r="I686" s="55">
        <f>Orders!I686</f>
        <v/>
      </c>
      <c r="J686" s="55">
        <f>Orders!J686</f>
        <v/>
      </c>
      <c r="K686" s="55">
        <f>Orders!K686</f>
        <v/>
      </c>
      <c r="L686" s="55">
        <f>VLOOKUP(D686,Products!$A$2:$F$61,3,FALSE())</f>
        <v/>
      </c>
      <c r="M686" s="55">
        <f>VLOOKUP(C686,Customers!$A$2:$F$301,5,FALSE())</f>
        <v/>
      </c>
      <c r="N686" s="55">
        <f>VLOOKUP(E686,Sales_Reps!$A$2:$E$31,3,FALSE())</f>
        <v/>
      </c>
      <c r="O686" s="55">
        <f>VLOOKUP(D686,Products!$A$2:$F$61,4,FALSE())</f>
        <v/>
      </c>
      <c r="P686" s="55">
        <f>VLOOKUP(C686,Customers!$A$2:$F$301,3,FALSE())</f>
        <v/>
      </c>
      <c r="Q686" s="55">
        <f>UPPER(TRIM(K686))</f>
        <v/>
      </c>
      <c r="R686" s="55">
        <f>(G686-O686)/G686</f>
        <v/>
      </c>
      <c r="S686" s="55">
        <f>VLOOKUP(D686,Products!$A$2:$F$61,6,FALSE())</f>
        <v/>
      </c>
    </row>
    <row r="687" ht="15" customHeight="1" s="56">
      <c r="A687" s="55">
        <f>Orders!A687</f>
        <v/>
      </c>
      <c r="B687" s="103">
        <f>Orders!B687</f>
        <v/>
      </c>
      <c r="C687" s="55">
        <f>Orders!C687</f>
        <v/>
      </c>
      <c r="D687" s="55">
        <f>Orders!D687</f>
        <v/>
      </c>
      <c r="E687" s="55">
        <f>Orders!E687</f>
        <v/>
      </c>
      <c r="F687" s="55">
        <f>Orders!F687</f>
        <v/>
      </c>
      <c r="G687" s="55">
        <f>Orders!G687</f>
        <v/>
      </c>
      <c r="H687" s="55">
        <f>Orders!H687</f>
        <v/>
      </c>
      <c r="I687" s="55">
        <f>Orders!I687</f>
        <v/>
      </c>
      <c r="J687" s="55">
        <f>Orders!J687</f>
        <v/>
      </c>
      <c r="K687" s="55">
        <f>Orders!K687</f>
        <v/>
      </c>
      <c r="L687" s="55">
        <f>VLOOKUP(D687,Products!$A$2:$F$61,3,FALSE())</f>
        <v/>
      </c>
      <c r="M687" s="55">
        <f>VLOOKUP(C687,Customers!$A$2:$F$301,5,FALSE())</f>
        <v/>
      </c>
      <c r="N687" s="55">
        <f>VLOOKUP(E687,Sales_Reps!$A$2:$E$31,3,FALSE())</f>
        <v/>
      </c>
      <c r="O687" s="55">
        <f>VLOOKUP(D687,Products!$A$2:$F$61,4,FALSE())</f>
        <v/>
      </c>
      <c r="P687" s="55">
        <f>VLOOKUP(C687,Customers!$A$2:$F$301,3,FALSE())</f>
        <v/>
      </c>
      <c r="Q687" s="55">
        <f>UPPER(TRIM(K687))</f>
        <v/>
      </c>
      <c r="R687" s="55">
        <f>(G687-O687)/G687</f>
        <v/>
      </c>
      <c r="S687" s="55">
        <f>VLOOKUP(D687,Products!$A$2:$F$61,6,FALSE())</f>
        <v/>
      </c>
    </row>
    <row r="688" ht="15" customHeight="1" s="56">
      <c r="A688" s="55">
        <f>Orders!A688</f>
        <v/>
      </c>
      <c r="B688" s="103">
        <f>Orders!B688</f>
        <v/>
      </c>
      <c r="C688" s="55">
        <f>Orders!C688</f>
        <v/>
      </c>
      <c r="D688" s="55">
        <f>Orders!D688</f>
        <v/>
      </c>
      <c r="E688" s="55">
        <f>Orders!E688</f>
        <v/>
      </c>
      <c r="F688" s="55">
        <f>Orders!F688</f>
        <v/>
      </c>
      <c r="G688" s="55">
        <f>Orders!G688</f>
        <v/>
      </c>
      <c r="H688" s="55">
        <f>Orders!H688</f>
        <v/>
      </c>
      <c r="I688" s="55">
        <f>Orders!I688</f>
        <v/>
      </c>
      <c r="J688" s="55">
        <f>Orders!J688</f>
        <v/>
      </c>
      <c r="K688" s="55">
        <f>Orders!K688</f>
        <v/>
      </c>
      <c r="L688" s="55">
        <f>VLOOKUP(D688,Products!$A$2:$F$61,3,FALSE())</f>
        <v/>
      </c>
      <c r="M688" s="55">
        <f>VLOOKUP(C688,Customers!$A$2:$F$301,5,FALSE())</f>
        <v/>
      </c>
      <c r="N688" s="55">
        <f>VLOOKUP(E688,Sales_Reps!$A$2:$E$31,3,FALSE())</f>
        <v/>
      </c>
      <c r="O688" s="55">
        <f>VLOOKUP(D688,Products!$A$2:$F$61,4,FALSE())</f>
        <v/>
      </c>
      <c r="P688" s="55">
        <f>VLOOKUP(C688,Customers!$A$2:$F$301,3,FALSE())</f>
        <v/>
      </c>
      <c r="Q688" s="55">
        <f>UPPER(TRIM(K688))</f>
        <v/>
      </c>
      <c r="R688" s="55">
        <f>(G688-O688)/G688</f>
        <v/>
      </c>
      <c r="S688" s="55">
        <f>VLOOKUP(D688,Products!$A$2:$F$61,6,FALSE())</f>
        <v/>
      </c>
    </row>
    <row r="689" ht="15" customHeight="1" s="56">
      <c r="A689" s="55">
        <f>Orders!A689</f>
        <v/>
      </c>
      <c r="B689" s="103">
        <f>Orders!B689</f>
        <v/>
      </c>
      <c r="C689" s="55">
        <f>Orders!C689</f>
        <v/>
      </c>
      <c r="D689" s="55">
        <f>Orders!D689</f>
        <v/>
      </c>
      <c r="E689" s="55">
        <f>Orders!E689</f>
        <v/>
      </c>
      <c r="F689" s="55">
        <f>Orders!F689</f>
        <v/>
      </c>
      <c r="G689" s="55">
        <f>Orders!G689</f>
        <v/>
      </c>
      <c r="H689" s="55">
        <f>Orders!H689</f>
        <v/>
      </c>
      <c r="I689" s="55">
        <f>Orders!I689</f>
        <v/>
      </c>
      <c r="J689" s="55">
        <f>Orders!J689</f>
        <v/>
      </c>
      <c r="K689" s="55">
        <f>Orders!K689</f>
        <v/>
      </c>
      <c r="L689" s="55">
        <f>VLOOKUP(D689,Products!$A$2:$F$61,3,FALSE())</f>
        <v/>
      </c>
      <c r="M689" s="55">
        <f>VLOOKUP(C689,Customers!$A$2:$F$301,5,FALSE())</f>
        <v/>
      </c>
      <c r="N689" s="55">
        <f>VLOOKUP(E689,Sales_Reps!$A$2:$E$31,3,FALSE())</f>
        <v/>
      </c>
      <c r="O689" s="55">
        <f>VLOOKUP(D689,Products!$A$2:$F$61,4,FALSE())</f>
        <v/>
      </c>
      <c r="P689" s="55">
        <f>VLOOKUP(C689,Customers!$A$2:$F$301,3,FALSE())</f>
        <v/>
      </c>
      <c r="Q689" s="55">
        <f>UPPER(TRIM(K689))</f>
        <v/>
      </c>
      <c r="R689" s="55">
        <f>(G689-O689)/G689</f>
        <v/>
      </c>
      <c r="S689" s="55">
        <f>VLOOKUP(D689,Products!$A$2:$F$61,6,FALSE())</f>
        <v/>
      </c>
    </row>
    <row r="690" ht="15" customHeight="1" s="56">
      <c r="A690" s="55">
        <f>Orders!A690</f>
        <v/>
      </c>
      <c r="B690" s="103">
        <f>Orders!B690</f>
        <v/>
      </c>
      <c r="C690" s="55">
        <f>Orders!C690</f>
        <v/>
      </c>
      <c r="D690" s="55">
        <f>Orders!D690</f>
        <v/>
      </c>
      <c r="E690" s="55">
        <f>Orders!E690</f>
        <v/>
      </c>
      <c r="F690" s="55">
        <f>Orders!F690</f>
        <v/>
      </c>
      <c r="G690" s="55">
        <f>Orders!G690</f>
        <v/>
      </c>
      <c r="H690" s="55">
        <f>Orders!H690</f>
        <v/>
      </c>
      <c r="I690" s="55">
        <f>Orders!I690</f>
        <v/>
      </c>
      <c r="J690" s="55">
        <f>Orders!J690</f>
        <v/>
      </c>
      <c r="K690" s="55">
        <f>Orders!K690</f>
        <v/>
      </c>
      <c r="L690" s="55">
        <f>VLOOKUP(D690,Products!$A$2:$F$61,3,FALSE())</f>
        <v/>
      </c>
      <c r="M690" s="55">
        <f>VLOOKUP(C690,Customers!$A$2:$F$301,5,FALSE())</f>
        <v/>
      </c>
      <c r="N690" s="55">
        <f>VLOOKUP(E690,Sales_Reps!$A$2:$E$31,3,FALSE())</f>
        <v/>
      </c>
      <c r="O690" s="55">
        <f>VLOOKUP(D690,Products!$A$2:$F$61,4,FALSE())</f>
        <v/>
      </c>
      <c r="P690" s="55">
        <f>VLOOKUP(C690,Customers!$A$2:$F$301,3,FALSE())</f>
        <v/>
      </c>
      <c r="Q690" s="55">
        <f>UPPER(TRIM(K690))</f>
        <v/>
      </c>
      <c r="R690" s="55">
        <f>(G690-O690)/G690</f>
        <v/>
      </c>
      <c r="S690" s="55">
        <f>VLOOKUP(D690,Products!$A$2:$F$61,6,FALSE())</f>
        <v/>
      </c>
    </row>
    <row r="691" ht="15" customHeight="1" s="56">
      <c r="A691" s="55">
        <f>Orders!A691</f>
        <v/>
      </c>
      <c r="B691" s="103">
        <f>Orders!B691</f>
        <v/>
      </c>
      <c r="C691" s="55">
        <f>Orders!C691</f>
        <v/>
      </c>
      <c r="D691" s="55">
        <f>Orders!D691</f>
        <v/>
      </c>
      <c r="E691" s="55">
        <f>Orders!E691</f>
        <v/>
      </c>
      <c r="F691" s="55">
        <f>Orders!F691</f>
        <v/>
      </c>
      <c r="G691" s="55">
        <f>Orders!G691</f>
        <v/>
      </c>
      <c r="H691" s="55">
        <f>Orders!H691</f>
        <v/>
      </c>
      <c r="I691" s="55">
        <f>Orders!I691</f>
        <v/>
      </c>
      <c r="J691" s="55">
        <f>Orders!J691</f>
        <v/>
      </c>
      <c r="K691" s="55">
        <f>Orders!K691</f>
        <v/>
      </c>
      <c r="L691" s="55">
        <f>VLOOKUP(D691,Products!$A$2:$F$61,3,FALSE())</f>
        <v/>
      </c>
      <c r="M691" s="55">
        <f>VLOOKUP(C691,Customers!$A$2:$F$301,5,FALSE())</f>
        <v/>
      </c>
      <c r="N691" s="55">
        <f>VLOOKUP(E691,Sales_Reps!$A$2:$E$31,3,FALSE())</f>
        <v/>
      </c>
      <c r="O691" s="55">
        <f>VLOOKUP(D691,Products!$A$2:$F$61,4,FALSE())</f>
        <v/>
      </c>
      <c r="P691" s="55">
        <f>VLOOKUP(C691,Customers!$A$2:$F$301,3,FALSE())</f>
        <v/>
      </c>
      <c r="Q691" s="55">
        <f>UPPER(TRIM(K691))</f>
        <v/>
      </c>
      <c r="R691" s="55">
        <f>(G691-O691)/G691</f>
        <v/>
      </c>
      <c r="S691" s="55">
        <f>VLOOKUP(D691,Products!$A$2:$F$61,6,FALSE())</f>
        <v/>
      </c>
    </row>
    <row r="692" ht="15" customHeight="1" s="56">
      <c r="A692" s="55">
        <f>Orders!A692</f>
        <v/>
      </c>
      <c r="B692" s="103">
        <f>Orders!B692</f>
        <v/>
      </c>
      <c r="C692" s="55">
        <f>Orders!C692</f>
        <v/>
      </c>
      <c r="D692" s="55">
        <f>Orders!D692</f>
        <v/>
      </c>
      <c r="E692" s="55">
        <f>Orders!E692</f>
        <v/>
      </c>
      <c r="F692" s="55">
        <f>Orders!F692</f>
        <v/>
      </c>
      <c r="G692" s="55">
        <f>Orders!G692</f>
        <v/>
      </c>
      <c r="H692" s="55">
        <f>Orders!H692</f>
        <v/>
      </c>
      <c r="I692" s="55">
        <f>Orders!I692</f>
        <v/>
      </c>
      <c r="J692" s="55">
        <f>Orders!J692</f>
        <v/>
      </c>
      <c r="K692" s="55">
        <f>Orders!K692</f>
        <v/>
      </c>
      <c r="L692" s="55">
        <f>VLOOKUP(D692,Products!$A$2:$F$61,3,FALSE())</f>
        <v/>
      </c>
      <c r="M692" s="55">
        <f>VLOOKUP(C692,Customers!$A$2:$F$301,5,FALSE())</f>
        <v/>
      </c>
      <c r="N692" s="55">
        <f>VLOOKUP(E692,Sales_Reps!$A$2:$E$31,3,FALSE())</f>
        <v/>
      </c>
      <c r="O692" s="55">
        <f>VLOOKUP(D692,Products!$A$2:$F$61,4,FALSE())</f>
        <v/>
      </c>
      <c r="P692" s="55">
        <f>VLOOKUP(C692,Customers!$A$2:$F$301,3,FALSE())</f>
        <v/>
      </c>
      <c r="Q692" s="55">
        <f>UPPER(TRIM(K692))</f>
        <v/>
      </c>
      <c r="R692" s="55">
        <f>(G692-O692)/G692</f>
        <v/>
      </c>
      <c r="S692" s="55">
        <f>VLOOKUP(D692,Products!$A$2:$F$61,6,FALSE())</f>
        <v/>
      </c>
    </row>
    <row r="693" ht="15" customHeight="1" s="56">
      <c r="A693" s="55">
        <f>Orders!A693</f>
        <v/>
      </c>
      <c r="B693" s="103">
        <f>Orders!B693</f>
        <v/>
      </c>
      <c r="C693" s="55">
        <f>Orders!C693</f>
        <v/>
      </c>
      <c r="D693" s="55">
        <f>Orders!D693</f>
        <v/>
      </c>
      <c r="E693" s="55">
        <f>Orders!E693</f>
        <v/>
      </c>
      <c r="F693" s="55">
        <f>Orders!F693</f>
        <v/>
      </c>
      <c r="G693" s="55">
        <f>Orders!G693</f>
        <v/>
      </c>
      <c r="H693" s="55">
        <f>Orders!H693</f>
        <v/>
      </c>
      <c r="I693" s="55">
        <f>Orders!I693</f>
        <v/>
      </c>
      <c r="J693" s="55">
        <f>Orders!J693</f>
        <v/>
      </c>
      <c r="K693" s="55">
        <f>Orders!K693</f>
        <v/>
      </c>
      <c r="L693" s="55">
        <f>VLOOKUP(D693,Products!$A$2:$F$61,3,FALSE())</f>
        <v/>
      </c>
      <c r="M693" s="55">
        <f>VLOOKUP(C693,Customers!$A$2:$F$301,5,FALSE())</f>
        <v/>
      </c>
      <c r="N693" s="55">
        <f>VLOOKUP(E693,Sales_Reps!$A$2:$E$31,3,FALSE())</f>
        <v/>
      </c>
      <c r="O693" s="55">
        <f>VLOOKUP(D693,Products!$A$2:$F$61,4,FALSE())</f>
        <v/>
      </c>
      <c r="P693" s="55">
        <f>VLOOKUP(C693,Customers!$A$2:$F$301,3,FALSE())</f>
        <v/>
      </c>
      <c r="Q693" s="55">
        <f>UPPER(TRIM(K693))</f>
        <v/>
      </c>
      <c r="R693" s="55">
        <f>(G693-O693)/G693</f>
        <v/>
      </c>
      <c r="S693" s="55">
        <f>VLOOKUP(D693,Products!$A$2:$F$61,6,FALSE())</f>
        <v/>
      </c>
    </row>
    <row r="694" ht="15" customHeight="1" s="56">
      <c r="A694" s="55">
        <f>Orders!A694</f>
        <v/>
      </c>
      <c r="B694" s="103">
        <f>Orders!B694</f>
        <v/>
      </c>
      <c r="C694" s="55">
        <f>Orders!C694</f>
        <v/>
      </c>
      <c r="D694" s="55">
        <f>Orders!D694</f>
        <v/>
      </c>
      <c r="E694" s="55">
        <f>Orders!E694</f>
        <v/>
      </c>
      <c r="F694" s="55">
        <f>Orders!F694</f>
        <v/>
      </c>
      <c r="G694" s="55">
        <f>Orders!G694</f>
        <v/>
      </c>
      <c r="H694" s="55">
        <f>Orders!H694</f>
        <v/>
      </c>
      <c r="I694" s="55">
        <f>Orders!I694</f>
        <v/>
      </c>
      <c r="J694" s="55">
        <f>Orders!J694</f>
        <v/>
      </c>
      <c r="K694" s="55">
        <f>Orders!K694</f>
        <v/>
      </c>
      <c r="L694" s="55">
        <f>VLOOKUP(D694,Products!$A$2:$F$61,3,FALSE())</f>
        <v/>
      </c>
      <c r="M694" s="55">
        <f>VLOOKUP(C694,Customers!$A$2:$F$301,5,FALSE())</f>
        <v/>
      </c>
      <c r="N694" s="55">
        <f>VLOOKUP(E694,Sales_Reps!$A$2:$E$31,3,FALSE())</f>
        <v/>
      </c>
      <c r="O694" s="55">
        <f>VLOOKUP(D694,Products!$A$2:$F$61,4,FALSE())</f>
        <v/>
      </c>
      <c r="P694" s="55">
        <f>VLOOKUP(C694,Customers!$A$2:$F$301,3,FALSE())</f>
        <v/>
      </c>
      <c r="Q694" s="55">
        <f>UPPER(TRIM(K694))</f>
        <v/>
      </c>
      <c r="R694" s="55">
        <f>(G694-O694)/G694</f>
        <v/>
      </c>
      <c r="S694" s="55">
        <f>VLOOKUP(D694,Products!$A$2:$F$61,6,FALSE())</f>
        <v/>
      </c>
    </row>
    <row r="695" ht="15" customHeight="1" s="56">
      <c r="A695" s="55">
        <f>Orders!A695</f>
        <v/>
      </c>
      <c r="B695" s="103">
        <f>Orders!B695</f>
        <v/>
      </c>
      <c r="C695" s="55">
        <f>Orders!C695</f>
        <v/>
      </c>
      <c r="D695" s="55">
        <f>Orders!D695</f>
        <v/>
      </c>
      <c r="E695" s="55">
        <f>Orders!E695</f>
        <v/>
      </c>
      <c r="F695" s="55">
        <f>Orders!F695</f>
        <v/>
      </c>
      <c r="G695" s="55">
        <f>Orders!G695</f>
        <v/>
      </c>
      <c r="H695" s="55">
        <f>Orders!H695</f>
        <v/>
      </c>
      <c r="I695" s="55">
        <f>Orders!I695</f>
        <v/>
      </c>
      <c r="J695" s="55">
        <f>Orders!J695</f>
        <v/>
      </c>
      <c r="K695" s="55">
        <f>Orders!K695</f>
        <v/>
      </c>
      <c r="L695" s="55">
        <f>VLOOKUP(D695,Products!$A$2:$F$61,3,FALSE())</f>
        <v/>
      </c>
      <c r="M695" s="55">
        <f>VLOOKUP(C695,Customers!$A$2:$F$301,5,FALSE())</f>
        <v/>
      </c>
      <c r="N695" s="55">
        <f>VLOOKUP(E695,Sales_Reps!$A$2:$E$31,3,FALSE())</f>
        <v/>
      </c>
      <c r="O695" s="55">
        <f>VLOOKUP(D695,Products!$A$2:$F$61,4,FALSE())</f>
        <v/>
      </c>
      <c r="P695" s="55">
        <f>VLOOKUP(C695,Customers!$A$2:$F$301,3,FALSE())</f>
        <v/>
      </c>
      <c r="Q695" s="55">
        <f>UPPER(TRIM(K695))</f>
        <v/>
      </c>
      <c r="R695" s="55">
        <f>(G695-O695)/G695</f>
        <v/>
      </c>
      <c r="S695" s="55">
        <f>VLOOKUP(D695,Products!$A$2:$F$61,6,FALSE())</f>
        <v/>
      </c>
    </row>
    <row r="696" ht="15" customHeight="1" s="56">
      <c r="A696" s="55">
        <f>Orders!A696</f>
        <v/>
      </c>
      <c r="B696" s="103">
        <f>Orders!B696</f>
        <v/>
      </c>
      <c r="C696" s="55">
        <f>Orders!C696</f>
        <v/>
      </c>
      <c r="D696" s="55">
        <f>Orders!D696</f>
        <v/>
      </c>
      <c r="E696" s="55">
        <f>Orders!E696</f>
        <v/>
      </c>
      <c r="F696" s="55">
        <f>Orders!F696</f>
        <v/>
      </c>
      <c r="G696" s="55">
        <f>Orders!G696</f>
        <v/>
      </c>
      <c r="H696" s="55">
        <f>Orders!H696</f>
        <v/>
      </c>
      <c r="I696" s="55">
        <f>Orders!I696</f>
        <v/>
      </c>
      <c r="J696" s="55">
        <f>Orders!J696</f>
        <v/>
      </c>
      <c r="K696" s="55">
        <f>Orders!K696</f>
        <v/>
      </c>
      <c r="L696" s="55">
        <f>VLOOKUP(D696,Products!$A$2:$F$61,3,FALSE())</f>
        <v/>
      </c>
      <c r="M696" s="55">
        <f>VLOOKUP(C696,Customers!$A$2:$F$301,5,FALSE())</f>
        <v/>
      </c>
      <c r="N696" s="55">
        <f>VLOOKUP(E696,Sales_Reps!$A$2:$E$31,3,FALSE())</f>
        <v/>
      </c>
      <c r="O696" s="55">
        <f>VLOOKUP(D696,Products!$A$2:$F$61,4,FALSE())</f>
        <v/>
      </c>
      <c r="P696" s="55">
        <f>VLOOKUP(C696,Customers!$A$2:$F$301,3,FALSE())</f>
        <v/>
      </c>
      <c r="Q696" s="55">
        <f>UPPER(TRIM(K696))</f>
        <v/>
      </c>
      <c r="R696" s="55">
        <f>(G696-O696)/G696</f>
        <v/>
      </c>
      <c r="S696" s="55">
        <f>VLOOKUP(D696,Products!$A$2:$F$61,6,FALSE())</f>
        <v/>
      </c>
    </row>
    <row r="697" ht="15" customHeight="1" s="56">
      <c r="A697" s="55">
        <f>Orders!A697</f>
        <v/>
      </c>
      <c r="B697" s="103">
        <f>Orders!B697</f>
        <v/>
      </c>
      <c r="C697" s="55">
        <f>Orders!C697</f>
        <v/>
      </c>
      <c r="D697" s="55">
        <f>Orders!D697</f>
        <v/>
      </c>
      <c r="E697" s="55">
        <f>Orders!E697</f>
        <v/>
      </c>
      <c r="F697" s="55">
        <f>Orders!F697</f>
        <v/>
      </c>
      <c r="G697" s="55">
        <f>Orders!G697</f>
        <v/>
      </c>
      <c r="H697" s="55">
        <f>Orders!H697</f>
        <v/>
      </c>
      <c r="I697" s="55">
        <f>Orders!I697</f>
        <v/>
      </c>
      <c r="J697" s="55">
        <f>Orders!J697</f>
        <v/>
      </c>
      <c r="K697" s="55">
        <f>Orders!K697</f>
        <v/>
      </c>
      <c r="L697" s="55">
        <f>VLOOKUP(D697,Products!$A$2:$F$61,3,FALSE())</f>
        <v/>
      </c>
      <c r="M697" s="55">
        <f>VLOOKUP(C697,Customers!$A$2:$F$301,5,FALSE())</f>
        <v/>
      </c>
      <c r="N697" s="55">
        <f>VLOOKUP(E697,Sales_Reps!$A$2:$E$31,3,FALSE())</f>
        <v/>
      </c>
      <c r="O697" s="55">
        <f>VLOOKUP(D697,Products!$A$2:$F$61,4,FALSE())</f>
        <v/>
      </c>
      <c r="P697" s="55">
        <f>VLOOKUP(C697,Customers!$A$2:$F$301,3,FALSE())</f>
        <v/>
      </c>
      <c r="Q697" s="55">
        <f>UPPER(TRIM(K697))</f>
        <v/>
      </c>
      <c r="R697" s="55">
        <f>(G697-O697)/G697</f>
        <v/>
      </c>
      <c r="S697" s="55">
        <f>VLOOKUP(D697,Products!$A$2:$F$61,6,FALSE())</f>
        <v/>
      </c>
    </row>
    <row r="698" ht="15" customHeight="1" s="56">
      <c r="A698" s="55">
        <f>Orders!A698</f>
        <v/>
      </c>
      <c r="B698" s="103">
        <f>Orders!B698</f>
        <v/>
      </c>
      <c r="C698" s="55">
        <f>Orders!C698</f>
        <v/>
      </c>
      <c r="D698" s="55">
        <f>Orders!D698</f>
        <v/>
      </c>
      <c r="E698" s="55">
        <f>Orders!E698</f>
        <v/>
      </c>
      <c r="F698" s="55">
        <f>Orders!F698</f>
        <v/>
      </c>
      <c r="G698" s="55">
        <f>Orders!G698</f>
        <v/>
      </c>
      <c r="H698" s="55">
        <f>Orders!H698</f>
        <v/>
      </c>
      <c r="I698" s="55">
        <f>Orders!I698</f>
        <v/>
      </c>
      <c r="J698" s="55">
        <f>Orders!J698</f>
        <v/>
      </c>
      <c r="K698" s="55">
        <f>Orders!K698</f>
        <v/>
      </c>
      <c r="L698" s="55">
        <f>VLOOKUP(D698,Products!$A$2:$F$61,3,FALSE())</f>
        <v/>
      </c>
      <c r="M698" s="55">
        <f>VLOOKUP(C698,Customers!$A$2:$F$301,5,FALSE())</f>
        <v/>
      </c>
      <c r="N698" s="55">
        <f>VLOOKUP(E698,Sales_Reps!$A$2:$E$31,3,FALSE())</f>
        <v/>
      </c>
      <c r="O698" s="55">
        <f>VLOOKUP(D698,Products!$A$2:$F$61,4,FALSE())</f>
        <v/>
      </c>
      <c r="P698" s="55">
        <f>VLOOKUP(C698,Customers!$A$2:$F$301,3,FALSE())</f>
        <v/>
      </c>
      <c r="Q698" s="55">
        <f>UPPER(TRIM(K698))</f>
        <v/>
      </c>
      <c r="R698" s="55">
        <f>(G698-O698)/G698</f>
        <v/>
      </c>
      <c r="S698" s="55">
        <f>VLOOKUP(D698,Products!$A$2:$F$61,6,FALSE())</f>
        <v/>
      </c>
    </row>
    <row r="699" ht="15" customHeight="1" s="56">
      <c r="A699" s="55">
        <f>Orders!A699</f>
        <v/>
      </c>
      <c r="B699" s="103">
        <f>Orders!B699</f>
        <v/>
      </c>
      <c r="C699" s="55">
        <f>Orders!C699</f>
        <v/>
      </c>
      <c r="D699" s="55">
        <f>Orders!D699</f>
        <v/>
      </c>
      <c r="E699" s="55">
        <f>Orders!E699</f>
        <v/>
      </c>
      <c r="F699" s="55">
        <f>Orders!F699</f>
        <v/>
      </c>
      <c r="G699" s="55">
        <f>Orders!G699</f>
        <v/>
      </c>
      <c r="H699" s="55">
        <f>Orders!H699</f>
        <v/>
      </c>
      <c r="I699" s="55">
        <f>Orders!I699</f>
        <v/>
      </c>
      <c r="J699" s="55">
        <f>Orders!J699</f>
        <v/>
      </c>
      <c r="K699" s="55">
        <f>Orders!K699</f>
        <v/>
      </c>
      <c r="L699" s="55">
        <f>VLOOKUP(D699,Products!$A$2:$F$61,3,FALSE())</f>
        <v/>
      </c>
      <c r="M699" s="55">
        <f>VLOOKUP(C699,Customers!$A$2:$F$301,5,FALSE())</f>
        <v/>
      </c>
      <c r="N699" s="55">
        <f>VLOOKUP(E699,Sales_Reps!$A$2:$E$31,3,FALSE())</f>
        <v/>
      </c>
      <c r="O699" s="55">
        <f>VLOOKUP(D699,Products!$A$2:$F$61,4,FALSE())</f>
        <v/>
      </c>
      <c r="P699" s="55">
        <f>VLOOKUP(C699,Customers!$A$2:$F$301,3,FALSE())</f>
        <v/>
      </c>
      <c r="Q699" s="55">
        <f>UPPER(TRIM(K699))</f>
        <v/>
      </c>
      <c r="R699" s="55">
        <f>(G699-O699)/G699</f>
        <v/>
      </c>
      <c r="S699" s="55">
        <f>VLOOKUP(D699,Products!$A$2:$F$61,6,FALSE())</f>
        <v/>
      </c>
    </row>
    <row r="700" ht="15" customHeight="1" s="56">
      <c r="A700" s="55">
        <f>Orders!A700</f>
        <v/>
      </c>
      <c r="B700" s="103">
        <f>Orders!B700</f>
        <v/>
      </c>
      <c r="C700" s="55">
        <f>Orders!C700</f>
        <v/>
      </c>
      <c r="D700" s="55">
        <f>Orders!D700</f>
        <v/>
      </c>
      <c r="E700" s="55">
        <f>Orders!E700</f>
        <v/>
      </c>
      <c r="F700" s="55">
        <f>Orders!F700</f>
        <v/>
      </c>
      <c r="G700" s="55">
        <f>Orders!G700</f>
        <v/>
      </c>
      <c r="H700" s="55">
        <f>Orders!H700</f>
        <v/>
      </c>
      <c r="I700" s="55">
        <f>Orders!I700</f>
        <v/>
      </c>
      <c r="J700" s="55">
        <f>Orders!J700</f>
        <v/>
      </c>
      <c r="K700" s="55">
        <f>Orders!K700</f>
        <v/>
      </c>
      <c r="L700" s="55">
        <f>VLOOKUP(D700,Products!$A$2:$F$61,3,FALSE())</f>
        <v/>
      </c>
      <c r="M700" s="55">
        <f>VLOOKUP(C700,Customers!$A$2:$F$301,5,FALSE())</f>
        <v/>
      </c>
      <c r="N700" s="55">
        <f>VLOOKUP(E700,Sales_Reps!$A$2:$E$31,3,FALSE())</f>
        <v/>
      </c>
      <c r="O700" s="55">
        <f>VLOOKUP(D700,Products!$A$2:$F$61,4,FALSE())</f>
        <v/>
      </c>
      <c r="P700" s="55">
        <f>VLOOKUP(C700,Customers!$A$2:$F$301,3,FALSE())</f>
        <v/>
      </c>
      <c r="Q700" s="55">
        <f>UPPER(TRIM(K700))</f>
        <v/>
      </c>
      <c r="R700" s="55">
        <f>(G700-O700)/G700</f>
        <v/>
      </c>
      <c r="S700" s="55">
        <f>VLOOKUP(D700,Products!$A$2:$F$61,6,FALSE())</f>
        <v/>
      </c>
    </row>
    <row r="701" ht="15" customHeight="1" s="56">
      <c r="A701" s="55">
        <f>Orders!A701</f>
        <v/>
      </c>
      <c r="B701" s="103">
        <f>Orders!B701</f>
        <v/>
      </c>
      <c r="C701" s="55">
        <f>Orders!C701</f>
        <v/>
      </c>
      <c r="D701" s="55">
        <f>Orders!D701</f>
        <v/>
      </c>
      <c r="E701" s="55">
        <f>Orders!E701</f>
        <v/>
      </c>
      <c r="F701" s="55">
        <f>Orders!F701</f>
        <v/>
      </c>
      <c r="G701" s="55">
        <f>Orders!G701</f>
        <v/>
      </c>
      <c r="H701" s="55">
        <f>Orders!H701</f>
        <v/>
      </c>
      <c r="I701" s="55">
        <f>Orders!I701</f>
        <v/>
      </c>
      <c r="J701" s="55">
        <f>Orders!J701</f>
        <v/>
      </c>
      <c r="K701" s="55">
        <f>Orders!K701</f>
        <v/>
      </c>
      <c r="L701" s="55">
        <f>VLOOKUP(D701,Products!$A$2:$F$61,3,FALSE())</f>
        <v/>
      </c>
      <c r="M701" s="55">
        <f>VLOOKUP(C701,Customers!$A$2:$F$301,5,FALSE())</f>
        <v/>
      </c>
      <c r="N701" s="55">
        <f>VLOOKUP(E701,Sales_Reps!$A$2:$E$31,3,FALSE())</f>
        <v/>
      </c>
      <c r="O701" s="55">
        <f>VLOOKUP(D701,Products!$A$2:$F$61,4,FALSE())</f>
        <v/>
      </c>
      <c r="P701" s="55">
        <f>VLOOKUP(C701,Customers!$A$2:$F$301,3,FALSE())</f>
        <v/>
      </c>
      <c r="Q701" s="55">
        <f>UPPER(TRIM(K701))</f>
        <v/>
      </c>
      <c r="R701" s="55">
        <f>(G701-O701)/G701</f>
        <v/>
      </c>
      <c r="S701" s="55">
        <f>VLOOKUP(D701,Products!$A$2:$F$61,6,FALSE())</f>
        <v/>
      </c>
    </row>
    <row r="702" ht="15" customHeight="1" s="56">
      <c r="A702" s="55">
        <f>Orders!A702</f>
        <v/>
      </c>
      <c r="B702" s="103">
        <f>Orders!B702</f>
        <v/>
      </c>
      <c r="C702" s="55">
        <f>Orders!C702</f>
        <v/>
      </c>
      <c r="D702" s="55">
        <f>Orders!D702</f>
        <v/>
      </c>
      <c r="E702" s="55">
        <f>Orders!E702</f>
        <v/>
      </c>
      <c r="F702" s="55">
        <f>Orders!F702</f>
        <v/>
      </c>
      <c r="G702" s="55">
        <f>Orders!G702</f>
        <v/>
      </c>
      <c r="H702" s="55">
        <f>Orders!H702</f>
        <v/>
      </c>
      <c r="I702" s="55">
        <f>Orders!I702</f>
        <v/>
      </c>
      <c r="J702" s="55">
        <f>Orders!J702</f>
        <v/>
      </c>
      <c r="K702" s="55">
        <f>Orders!K702</f>
        <v/>
      </c>
      <c r="L702" s="55">
        <f>VLOOKUP(D702,Products!$A$2:$F$61,3,FALSE())</f>
        <v/>
      </c>
      <c r="M702" s="55">
        <f>VLOOKUP(C702,Customers!$A$2:$F$301,5,FALSE())</f>
        <v/>
      </c>
      <c r="N702" s="55">
        <f>VLOOKUP(E702,Sales_Reps!$A$2:$E$31,3,FALSE())</f>
        <v/>
      </c>
      <c r="O702" s="55">
        <f>VLOOKUP(D702,Products!$A$2:$F$61,4,FALSE())</f>
        <v/>
      </c>
      <c r="P702" s="55">
        <f>VLOOKUP(C702,Customers!$A$2:$F$301,3,FALSE())</f>
        <v/>
      </c>
      <c r="Q702" s="55">
        <f>UPPER(TRIM(K702))</f>
        <v/>
      </c>
      <c r="R702" s="55">
        <f>(G702-O702)/G702</f>
        <v/>
      </c>
      <c r="S702" s="55">
        <f>VLOOKUP(D702,Products!$A$2:$F$61,6,FALSE())</f>
        <v/>
      </c>
    </row>
    <row r="703" ht="15" customHeight="1" s="56">
      <c r="A703" s="55">
        <f>Orders!A703</f>
        <v/>
      </c>
      <c r="B703" s="103">
        <f>Orders!B703</f>
        <v/>
      </c>
      <c r="C703" s="55">
        <f>Orders!C703</f>
        <v/>
      </c>
      <c r="D703" s="55">
        <f>Orders!D703</f>
        <v/>
      </c>
      <c r="E703" s="55">
        <f>Orders!E703</f>
        <v/>
      </c>
      <c r="F703" s="55">
        <f>Orders!F703</f>
        <v/>
      </c>
      <c r="G703" s="55">
        <f>Orders!G703</f>
        <v/>
      </c>
      <c r="H703" s="55">
        <f>Orders!H703</f>
        <v/>
      </c>
      <c r="I703" s="55">
        <f>Orders!I703</f>
        <v/>
      </c>
      <c r="J703" s="55">
        <f>Orders!J703</f>
        <v/>
      </c>
      <c r="K703" s="55">
        <f>Orders!K703</f>
        <v/>
      </c>
      <c r="L703" s="55">
        <f>VLOOKUP(D703,Products!$A$2:$F$61,3,FALSE())</f>
        <v/>
      </c>
      <c r="M703" s="55">
        <f>VLOOKUP(C703,Customers!$A$2:$F$301,5,FALSE())</f>
        <v/>
      </c>
      <c r="N703" s="55">
        <f>VLOOKUP(E703,Sales_Reps!$A$2:$E$31,3,FALSE())</f>
        <v/>
      </c>
      <c r="O703" s="55">
        <f>VLOOKUP(D703,Products!$A$2:$F$61,4,FALSE())</f>
        <v/>
      </c>
      <c r="P703" s="55">
        <f>VLOOKUP(C703,Customers!$A$2:$F$301,3,FALSE())</f>
        <v/>
      </c>
      <c r="Q703" s="55">
        <f>UPPER(TRIM(K703))</f>
        <v/>
      </c>
      <c r="R703" s="55">
        <f>(G703-O703)/G703</f>
        <v/>
      </c>
      <c r="S703" s="55">
        <f>VLOOKUP(D703,Products!$A$2:$F$61,6,FALSE())</f>
        <v/>
      </c>
    </row>
    <row r="704" ht="15" customHeight="1" s="56">
      <c r="A704" s="55">
        <f>Orders!A704</f>
        <v/>
      </c>
      <c r="B704" s="103">
        <f>Orders!B704</f>
        <v/>
      </c>
      <c r="C704" s="55">
        <f>Orders!C704</f>
        <v/>
      </c>
      <c r="D704" s="55">
        <f>Orders!D704</f>
        <v/>
      </c>
      <c r="E704" s="55">
        <f>Orders!E704</f>
        <v/>
      </c>
      <c r="F704" s="55">
        <f>Orders!F704</f>
        <v/>
      </c>
      <c r="G704" s="55">
        <f>Orders!G704</f>
        <v/>
      </c>
      <c r="H704" s="55">
        <f>Orders!H704</f>
        <v/>
      </c>
      <c r="I704" s="55">
        <f>Orders!I704</f>
        <v/>
      </c>
      <c r="J704" s="55">
        <f>Orders!J704</f>
        <v/>
      </c>
      <c r="K704" s="55">
        <f>Orders!K704</f>
        <v/>
      </c>
      <c r="L704" s="55">
        <f>VLOOKUP(D704,Products!$A$2:$F$61,3,FALSE())</f>
        <v/>
      </c>
      <c r="M704" s="55">
        <f>VLOOKUP(C704,Customers!$A$2:$F$301,5,FALSE())</f>
        <v/>
      </c>
      <c r="N704" s="55">
        <f>VLOOKUP(E704,Sales_Reps!$A$2:$E$31,3,FALSE())</f>
        <v/>
      </c>
      <c r="O704" s="55">
        <f>VLOOKUP(D704,Products!$A$2:$F$61,4,FALSE())</f>
        <v/>
      </c>
      <c r="P704" s="55">
        <f>VLOOKUP(C704,Customers!$A$2:$F$301,3,FALSE())</f>
        <v/>
      </c>
      <c r="Q704" s="55">
        <f>UPPER(TRIM(K704))</f>
        <v/>
      </c>
      <c r="R704" s="55">
        <f>(G704-O704)/G704</f>
        <v/>
      </c>
      <c r="S704" s="55">
        <f>VLOOKUP(D704,Products!$A$2:$F$61,6,FALSE())</f>
        <v/>
      </c>
    </row>
    <row r="705" ht="15" customHeight="1" s="56">
      <c r="A705" s="55">
        <f>Orders!A705</f>
        <v/>
      </c>
      <c r="B705" s="103">
        <f>Orders!B705</f>
        <v/>
      </c>
      <c r="C705" s="55">
        <f>Orders!C705</f>
        <v/>
      </c>
      <c r="D705" s="55">
        <f>Orders!D705</f>
        <v/>
      </c>
      <c r="E705" s="55">
        <f>Orders!E705</f>
        <v/>
      </c>
      <c r="F705" s="55">
        <f>Orders!F705</f>
        <v/>
      </c>
      <c r="G705" s="55">
        <f>Orders!G705</f>
        <v/>
      </c>
      <c r="H705" s="55">
        <f>Orders!H705</f>
        <v/>
      </c>
      <c r="I705" s="55">
        <f>Orders!I705</f>
        <v/>
      </c>
      <c r="J705" s="55">
        <f>Orders!J705</f>
        <v/>
      </c>
      <c r="K705" s="55">
        <f>Orders!K705</f>
        <v/>
      </c>
      <c r="L705" s="55">
        <f>VLOOKUP(D705,Products!$A$2:$F$61,3,FALSE())</f>
        <v/>
      </c>
      <c r="M705" s="55">
        <f>VLOOKUP(C705,Customers!$A$2:$F$301,5,FALSE())</f>
        <v/>
      </c>
      <c r="N705" s="55">
        <f>VLOOKUP(E705,Sales_Reps!$A$2:$E$31,3,FALSE())</f>
        <v/>
      </c>
      <c r="O705" s="55">
        <f>VLOOKUP(D705,Products!$A$2:$F$61,4,FALSE())</f>
        <v/>
      </c>
      <c r="P705" s="55">
        <f>VLOOKUP(C705,Customers!$A$2:$F$301,3,FALSE())</f>
        <v/>
      </c>
      <c r="Q705" s="55">
        <f>UPPER(TRIM(K705))</f>
        <v/>
      </c>
      <c r="R705" s="55">
        <f>(G705-O705)/G705</f>
        <v/>
      </c>
      <c r="S705" s="55">
        <f>VLOOKUP(D705,Products!$A$2:$F$61,6,FALSE())</f>
        <v/>
      </c>
    </row>
    <row r="706" ht="15" customHeight="1" s="56">
      <c r="A706" s="55">
        <f>Orders!A706</f>
        <v/>
      </c>
      <c r="B706" s="103">
        <f>Orders!B706</f>
        <v/>
      </c>
      <c r="C706" s="55">
        <f>Orders!C706</f>
        <v/>
      </c>
      <c r="D706" s="55">
        <f>Orders!D706</f>
        <v/>
      </c>
      <c r="E706" s="55">
        <f>Orders!E706</f>
        <v/>
      </c>
      <c r="F706" s="55">
        <f>Orders!F706</f>
        <v/>
      </c>
      <c r="G706" s="55">
        <f>Orders!G706</f>
        <v/>
      </c>
      <c r="H706" s="55">
        <f>Orders!H706</f>
        <v/>
      </c>
      <c r="I706" s="55">
        <f>Orders!I706</f>
        <v/>
      </c>
      <c r="J706" s="55">
        <f>Orders!J706</f>
        <v/>
      </c>
      <c r="K706" s="55">
        <f>Orders!K706</f>
        <v/>
      </c>
      <c r="L706" s="55">
        <f>VLOOKUP(D706,Products!$A$2:$F$61,3,FALSE())</f>
        <v/>
      </c>
      <c r="M706" s="55">
        <f>VLOOKUP(C706,Customers!$A$2:$F$301,5,FALSE())</f>
        <v/>
      </c>
      <c r="N706" s="55">
        <f>VLOOKUP(E706,Sales_Reps!$A$2:$E$31,3,FALSE())</f>
        <v/>
      </c>
      <c r="O706" s="55">
        <f>VLOOKUP(D706,Products!$A$2:$F$61,4,FALSE())</f>
        <v/>
      </c>
      <c r="P706" s="55">
        <f>VLOOKUP(C706,Customers!$A$2:$F$301,3,FALSE())</f>
        <v/>
      </c>
      <c r="Q706" s="55">
        <f>UPPER(TRIM(K706))</f>
        <v/>
      </c>
      <c r="R706" s="55">
        <f>(G706-O706)/G706</f>
        <v/>
      </c>
      <c r="S706" s="55">
        <f>VLOOKUP(D706,Products!$A$2:$F$61,6,FALSE())</f>
        <v/>
      </c>
    </row>
    <row r="707" ht="15" customHeight="1" s="56">
      <c r="A707" s="55">
        <f>Orders!A707</f>
        <v/>
      </c>
      <c r="B707" s="103">
        <f>Orders!B707</f>
        <v/>
      </c>
      <c r="C707" s="55">
        <f>Orders!C707</f>
        <v/>
      </c>
      <c r="D707" s="55">
        <f>Orders!D707</f>
        <v/>
      </c>
      <c r="E707" s="55">
        <f>Orders!E707</f>
        <v/>
      </c>
      <c r="F707" s="55">
        <f>Orders!F707</f>
        <v/>
      </c>
      <c r="G707" s="55">
        <f>Orders!G707</f>
        <v/>
      </c>
      <c r="H707" s="55">
        <f>Orders!H707</f>
        <v/>
      </c>
      <c r="I707" s="55">
        <f>Orders!I707</f>
        <v/>
      </c>
      <c r="J707" s="55">
        <f>Orders!J707</f>
        <v/>
      </c>
      <c r="K707" s="55">
        <f>Orders!K707</f>
        <v/>
      </c>
      <c r="L707" s="55">
        <f>VLOOKUP(D707,Products!$A$2:$F$61,3,FALSE())</f>
        <v/>
      </c>
      <c r="M707" s="55">
        <f>VLOOKUP(C707,Customers!$A$2:$F$301,5,FALSE())</f>
        <v/>
      </c>
      <c r="N707" s="55">
        <f>VLOOKUP(E707,Sales_Reps!$A$2:$E$31,3,FALSE())</f>
        <v/>
      </c>
      <c r="O707" s="55">
        <f>VLOOKUP(D707,Products!$A$2:$F$61,4,FALSE())</f>
        <v/>
      </c>
      <c r="P707" s="55">
        <f>VLOOKUP(C707,Customers!$A$2:$F$301,3,FALSE())</f>
        <v/>
      </c>
      <c r="Q707" s="55">
        <f>UPPER(TRIM(K707))</f>
        <v/>
      </c>
      <c r="R707" s="55">
        <f>(G707-O707)/G707</f>
        <v/>
      </c>
      <c r="S707" s="55">
        <f>VLOOKUP(D707,Products!$A$2:$F$61,6,FALSE())</f>
        <v/>
      </c>
    </row>
    <row r="708" ht="15" customHeight="1" s="56">
      <c r="A708" s="55">
        <f>Orders!A708</f>
        <v/>
      </c>
      <c r="B708" s="103">
        <f>Orders!B708</f>
        <v/>
      </c>
      <c r="C708" s="55">
        <f>Orders!C708</f>
        <v/>
      </c>
      <c r="D708" s="55">
        <f>Orders!D708</f>
        <v/>
      </c>
      <c r="E708" s="55">
        <f>Orders!E708</f>
        <v/>
      </c>
      <c r="F708" s="55">
        <f>Orders!F708</f>
        <v/>
      </c>
      <c r="G708" s="55">
        <f>Orders!G708</f>
        <v/>
      </c>
      <c r="H708" s="55">
        <f>Orders!H708</f>
        <v/>
      </c>
      <c r="I708" s="55">
        <f>Orders!I708</f>
        <v/>
      </c>
      <c r="J708" s="55">
        <f>Orders!J708</f>
        <v/>
      </c>
      <c r="K708" s="55">
        <f>Orders!K708</f>
        <v/>
      </c>
      <c r="L708" s="55">
        <f>VLOOKUP(D708,Products!$A$2:$F$61,3,FALSE())</f>
        <v/>
      </c>
      <c r="M708" s="55">
        <f>VLOOKUP(C708,Customers!$A$2:$F$301,5,FALSE())</f>
        <v/>
      </c>
      <c r="N708" s="55">
        <f>VLOOKUP(E708,Sales_Reps!$A$2:$E$31,3,FALSE())</f>
        <v/>
      </c>
      <c r="O708" s="55">
        <f>VLOOKUP(D708,Products!$A$2:$F$61,4,FALSE())</f>
        <v/>
      </c>
      <c r="P708" s="55">
        <f>VLOOKUP(C708,Customers!$A$2:$F$301,3,FALSE())</f>
        <v/>
      </c>
      <c r="Q708" s="55">
        <f>UPPER(TRIM(K708))</f>
        <v/>
      </c>
      <c r="R708" s="55">
        <f>(G708-O708)/G708</f>
        <v/>
      </c>
      <c r="S708" s="55">
        <f>VLOOKUP(D708,Products!$A$2:$F$61,6,FALSE())</f>
        <v/>
      </c>
    </row>
    <row r="709" ht="15" customHeight="1" s="56">
      <c r="A709" s="55">
        <f>Orders!A709</f>
        <v/>
      </c>
      <c r="B709" s="103">
        <f>Orders!B709</f>
        <v/>
      </c>
      <c r="C709" s="55">
        <f>Orders!C709</f>
        <v/>
      </c>
      <c r="D709" s="55">
        <f>Orders!D709</f>
        <v/>
      </c>
      <c r="E709" s="55">
        <f>Orders!E709</f>
        <v/>
      </c>
      <c r="F709" s="55">
        <f>Orders!F709</f>
        <v/>
      </c>
      <c r="G709" s="55">
        <f>Orders!G709</f>
        <v/>
      </c>
      <c r="H709" s="55">
        <f>Orders!H709</f>
        <v/>
      </c>
      <c r="I709" s="55">
        <f>Orders!I709</f>
        <v/>
      </c>
      <c r="J709" s="55">
        <f>Orders!J709</f>
        <v/>
      </c>
      <c r="K709" s="55">
        <f>Orders!K709</f>
        <v/>
      </c>
      <c r="L709" s="55">
        <f>VLOOKUP(D709,Products!$A$2:$F$61,3,FALSE())</f>
        <v/>
      </c>
      <c r="M709" s="55">
        <f>VLOOKUP(C709,Customers!$A$2:$F$301,5,FALSE())</f>
        <v/>
      </c>
      <c r="N709" s="55">
        <f>VLOOKUP(E709,Sales_Reps!$A$2:$E$31,3,FALSE())</f>
        <v/>
      </c>
      <c r="O709" s="55">
        <f>VLOOKUP(D709,Products!$A$2:$F$61,4,FALSE())</f>
        <v/>
      </c>
      <c r="P709" s="55">
        <f>VLOOKUP(C709,Customers!$A$2:$F$301,3,FALSE())</f>
        <v/>
      </c>
      <c r="Q709" s="55">
        <f>UPPER(TRIM(K709))</f>
        <v/>
      </c>
      <c r="R709" s="55">
        <f>(G709-O709)/G709</f>
        <v/>
      </c>
      <c r="S709" s="55">
        <f>VLOOKUP(D709,Products!$A$2:$F$61,6,FALSE())</f>
        <v/>
      </c>
    </row>
    <row r="710" ht="15" customHeight="1" s="56">
      <c r="A710" s="55">
        <f>Orders!A710</f>
        <v/>
      </c>
      <c r="B710" s="103">
        <f>Orders!B710</f>
        <v/>
      </c>
      <c r="C710" s="55">
        <f>Orders!C710</f>
        <v/>
      </c>
      <c r="D710" s="55">
        <f>Orders!D710</f>
        <v/>
      </c>
      <c r="E710" s="55">
        <f>Orders!E710</f>
        <v/>
      </c>
      <c r="F710" s="55">
        <f>Orders!F710</f>
        <v/>
      </c>
      <c r="G710" s="55">
        <f>Orders!G710</f>
        <v/>
      </c>
      <c r="H710" s="55">
        <f>Orders!H710</f>
        <v/>
      </c>
      <c r="I710" s="55">
        <f>Orders!I710</f>
        <v/>
      </c>
      <c r="J710" s="55">
        <f>Orders!J710</f>
        <v/>
      </c>
      <c r="K710" s="55">
        <f>Orders!K710</f>
        <v/>
      </c>
      <c r="L710" s="55">
        <f>VLOOKUP(D710,Products!$A$2:$F$61,3,FALSE())</f>
        <v/>
      </c>
      <c r="M710" s="55">
        <f>VLOOKUP(C710,Customers!$A$2:$F$301,5,FALSE())</f>
        <v/>
      </c>
      <c r="N710" s="55">
        <f>VLOOKUP(E710,Sales_Reps!$A$2:$E$31,3,FALSE())</f>
        <v/>
      </c>
      <c r="O710" s="55">
        <f>VLOOKUP(D710,Products!$A$2:$F$61,4,FALSE())</f>
        <v/>
      </c>
      <c r="P710" s="55">
        <f>VLOOKUP(C710,Customers!$A$2:$F$301,3,FALSE())</f>
        <v/>
      </c>
      <c r="Q710" s="55">
        <f>UPPER(TRIM(K710))</f>
        <v/>
      </c>
      <c r="R710" s="55">
        <f>(G710-O710)/G710</f>
        <v/>
      </c>
      <c r="S710" s="55">
        <f>VLOOKUP(D710,Products!$A$2:$F$61,6,FALSE())</f>
        <v/>
      </c>
    </row>
    <row r="711" ht="15" customHeight="1" s="56">
      <c r="A711" s="55">
        <f>Orders!A711</f>
        <v/>
      </c>
      <c r="B711" s="103">
        <f>Orders!B711</f>
        <v/>
      </c>
      <c r="C711" s="55">
        <f>Orders!C711</f>
        <v/>
      </c>
      <c r="D711" s="55">
        <f>Orders!D711</f>
        <v/>
      </c>
      <c r="E711" s="55">
        <f>Orders!E711</f>
        <v/>
      </c>
      <c r="F711" s="55">
        <f>Orders!F711</f>
        <v/>
      </c>
      <c r="G711" s="55">
        <f>Orders!G711</f>
        <v/>
      </c>
      <c r="H711" s="55">
        <f>Orders!H711</f>
        <v/>
      </c>
      <c r="I711" s="55">
        <f>Orders!I711</f>
        <v/>
      </c>
      <c r="J711" s="55">
        <f>Orders!J711</f>
        <v/>
      </c>
      <c r="K711" s="55">
        <f>Orders!K711</f>
        <v/>
      </c>
      <c r="L711" s="55">
        <f>VLOOKUP(D711,Products!$A$2:$F$61,3,FALSE())</f>
        <v/>
      </c>
      <c r="M711" s="55">
        <f>VLOOKUP(C711,Customers!$A$2:$F$301,5,FALSE())</f>
        <v/>
      </c>
      <c r="N711" s="55">
        <f>VLOOKUP(E711,Sales_Reps!$A$2:$E$31,3,FALSE())</f>
        <v/>
      </c>
      <c r="O711" s="55">
        <f>VLOOKUP(D711,Products!$A$2:$F$61,4,FALSE())</f>
        <v/>
      </c>
      <c r="P711" s="55">
        <f>VLOOKUP(C711,Customers!$A$2:$F$301,3,FALSE())</f>
        <v/>
      </c>
      <c r="Q711" s="55">
        <f>UPPER(TRIM(K711))</f>
        <v/>
      </c>
      <c r="R711" s="55">
        <f>(G711-O711)/G711</f>
        <v/>
      </c>
      <c r="S711" s="55">
        <f>VLOOKUP(D711,Products!$A$2:$F$61,6,FALSE())</f>
        <v/>
      </c>
    </row>
    <row r="712" ht="15" customHeight="1" s="56">
      <c r="A712" s="55">
        <f>Orders!A712</f>
        <v/>
      </c>
      <c r="B712" s="103">
        <f>Orders!B712</f>
        <v/>
      </c>
      <c r="C712" s="55">
        <f>Orders!C712</f>
        <v/>
      </c>
      <c r="D712" s="55">
        <f>Orders!D712</f>
        <v/>
      </c>
      <c r="E712" s="55">
        <f>Orders!E712</f>
        <v/>
      </c>
      <c r="F712" s="55">
        <f>Orders!F712</f>
        <v/>
      </c>
      <c r="G712" s="55">
        <f>Orders!G712</f>
        <v/>
      </c>
      <c r="H712" s="55">
        <f>Orders!H712</f>
        <v/>
      </c>
      <c r="I712" s="55">
        <f>Orders!I712</f>
        <v/>
      </c>
      <c r="J712" s="55">
        <f>Orders!J712</f>
        <v/>
      </c>
      <c r="K712" s="55">
        <f>Orders!K712</f>
        <v/>
      </c>
      <c r="L712" s="55">
        <f>VLOOKUP(D712,Products!$A$2:$F$61,3,FALSE())</f>
        <v/>
      </c>
      <c r="M712" s="55">
        <f>VLOOKUP(C712,Customers!$A$2:$F$301,5,FALSE())</f>
        <v/>
      </c>
      <c r="N712" s="55">
        <f>VLOOKUP(E712,Sales_Reps!$A$2:$E$31,3,FALSE())</f>
        <v/>
      </c>
      <c r="O712" s="55">
        <f>VLOOKUP(D712,Products!$A$2:$F$61,4,FALSE())</f>
        <v/>
      </c>
      <c r="P712" s="55">
        <f>VLOOKUP(C712,Customers!$A$2:$F$301,3,FALSE())</f>
        <v/>
      </c>
      <c r="Q712" s="55">
        <f>UPPER(TRIM(K712))</f>
        <v/>
      </c>
      <c r="R712" s="55">
        <f>(G712-O712)/G712</f>
        <v/>
      </c>
      <c r="S712" s="55">
        <f>VLOOKUP(D712,Products!$A$2:$F$61,6,FALSE())</f>
        <v/>
      </c>
    </row>
    <row r="713" ht="15" customHeight="1" s="56">
      <c r="A713" s="55">
        <f>Orders!A713</f>
        <v/>
      </c>
      <c r="B713" s="103">
        <f>Orders!B713</f>
        <v/>
      </c>
      <c r="C713" s="55">
        <f>Orders!C713</f>
        <v/>
      </c>
      <c r="D713" s="55">
        <f>Orders!D713</f>
        <v/>
      </c>
      <c r="E713" s="55">
        <f>Orders!E713</f>
        <v/>
      </c>
      <c r="F713" s="55">
        <f>Orders!F713</f>
        <v/>
      </c>
      <c r="G713" s="55">
        <f>Orders!G713</f>
        <v/>
      </c>
      <c r="H713" s="55">
        <f>Orders!H713</f>
        <v/>
      </c>
      <c r="I713" s="55">
        <f>Orders!I713</f>
        <v/>
      </c>
      <c r="J713" s="55">
        <f>Orders!J713</f>
        <v/>
      </c>
      <c r="K713" s="55">
        <f>Orders!K713</f>
        <v/>
      </c>
      <c r="L713" s="55">
        <f>VLOOKUP(D713,Products!$A$2:$F$61,3,FALSE())</f>
        <v/>
      </c>
      <c r="M713" s="55">
        <f>VLOOKUP(C713,Customers!$A$2:$F$301,5,FALSE())</f>
        <v/>
      </c>
      <c r="N713" s="55">
        <f>VLOOKUP(E713,Sales_Reps!$A$2:$E$31,3,FALSE())</f>
        <v/>
      </c>
      <c r="O713" s="55">
        <f>VLOOKUP(D713,Products!$A$2:$F$61,4,FALSE())</f>
        <v/>
      </c>
      <c r="P713" s="55">
        <f>VLOOKUP(C713,Customers!$A$2:$F$301,3,FALSE())</f>
        <v/>
      </c>
      <c r="Q713" s="55">
        <f>UPPER(TRIM(K713))</f>
        <v/>
      </c>
      <c r="R713" s="55">
        <f>(G713-O713)/G713</f>
        <v/>
      </c>
      <c r="S713" s="55">
        <f>VLOOKUP(D713,Products!$A$2:$F$61,6,FALSE())</f>
        <v/>
      </c>
    </row>
    <row r="714" ht="15" customHeight="1" s="56">
      <c r="A714" s="55">
        <f>Orders!A714</f>
        <v/>
      </c>
      <c r="B714" s="103">
        <f>Orders!B714</f>
        <v/>
      </c>
      <c r="C714" s="55">
        <f>Orders!C714</f>
        <v/>
      </c>
      <c r="D714" s="55">
        <f>Orders!D714</f>
        <v/>
      </c>
      <c r="E714" s="55">
        <f>Orders!E714</f>
        <v/>
      </c>
      <c r="F714" s="55">
        <f>Orders!F714</f>
        <v/>
      </c>
      <c r="G714" s="55">
        <f>Orders!G714</f>
        <v/>
      </c>
      <c r="H714" s="55">
        <f>Orders!H714</f>
        <v/>
      </c>
      <c r="I714" s="55">
        <f>Orders!I714</f>
        <v/>
      </c>
      <c r="J714" s="55">
        <f>Orders!J714</f>
        <v/>
      </c>
      <c r="K714" s="55">
        <f>Orders!K714</f>
        <v/>
      </c>
      <c r="L714" s="55">
        <f>VLOOKUP(D714,Products!$A$2:$F$61,3,FALSE())</f>
        <v/>
      </c>
      <c r="M714" s="55">
        <f>VLOOKUP(C714,Customers!$A$2:$F$301,5,FALSE())</f>
        <v/>
      </c>
      <c r="N714" s="55">
        <f>VLOOKUP(E714,Sales_Reps!$A$2:$E$31,3,FALSE())</f>
        <v/>
      </c>
      <c r="O714" s="55">
        <f>VLOOKUP(D714,Products!$A$2:$F$61,4,FALSE())</f>
        <v/>
      </c>
      <c r="P714" s="55">
        <f>VLOOKUP(C714,Customers!$A$2:$F$301,3,FALSE())</f>
        <v/>
      </c>
      <c r="Q714" s="55">
        <f>UPPER(TRIM(K714))</f>
        <v/>
      </c>
      <c r="R714" s="55">
        <f>(G714-O714)/G714</f>
        <v/>
      </c>
      <c r="S714" s="55">
        <f>VLOOKUP(D714,Products!$A$2:$F$61,6,FALSE())</f>
        <v/>
      </c>
    </row>
    <row r="715" ht="15" customHeight="1" s="56">
      <c r="A715" s="55">
        <f>Orders!A715</f>
        <v/>
      </c>
      <c r="B715" s="103">
        <f>Orders!B715</f>
        <v/>
      </c>
      <c r="C715" s="55">
        <f>Orders!C715</f>
        <v/>
      </c>
      <c r="D715" s="55">
        <f>Orders!D715</f>
        <v/>
      </c>
      <c r="E715" s="55">
        <f>Orders!E715</f>
        <v/>
      </c>
      <c r="F715" s="55">
        <f>Orders!F715</f>
        <v/>
      </c>
      <c r="G715" s="55">
        <f>Orders!G715</f>
        <v/>
      </c>
      <c r="H715" s="55">
        <f>Orders!H715</f>
        <v/>
      </c>
      <c r="I715" s="55">
        <f>Orders!I715</f>
        <v/>
      </c>
      <c r="J715" s="55">
        <f>Orders!J715</f>
        <v/>
      </c>
      <c r="K715" s="55">
        <f>Orders!K715</f>
        <v/>
      </c>
      <c r="L715" s="55">
        <f>VLOOKUP(D715,Products!$A$2:$F$61,3,FALSE())</f>
        <v/>
      </c>
      <c r="M715" s="55">
        <f>VLOOKUP(C715,Customers!$A$2:$F$301,5,FALSE())</f>
        <v/>
      </c>
      <c r="N715" s="55">
        <f>VLOOKUP(E715,Sales_Reps!$A$2:$E$31,3,FALSE())</f>
        <v/>
      </c>
      <c r="O715" s="55">
        <f>VLOOKUP(D715,Products!$A$2:$F$61,4,FALSE())</f>
        <v/>
      </c>
      <c r="P715" s="55">
        <f>VLOOKUP(C715,Customers!$A$2:$F$301,3,FALSE())</f>
        <v/>
      </c>
      <c r="Q715" s="55">
        <f>UPPER(TRIM(K715))</f>
        <v/>
      </c>
      <c r="R715" s="55">
        <f>(G715-O715)/G715</f>
        <v/>
      </c>
      <c r="S715" s="55">
        <f>VLOOKUP(D715,Products!$A$2:$F$61,6,FALSE())</f>
        <v/>
      </c>
    </row>
    <row r="716" ht="15" customHeight="1" s="56">
      <c r="A716" s="55">
        <f>Orders!A716</f>
        <v/>
      </c>
      <c r="B716" s="103">
        <f>Orders!B716</f>
        <v/>
      </c>
      <c r="C716" s="55">
        <f>Orders!C716</f>
        <v/>
      </c>
      <c r="D716" s="55">
        <f>Orders!D716</f>
        <v/>
      </c>
      <c r="E716" s="55">
        <f>Orders!E716</f>
        <v/>
      </c>
      <c r="F716" s="55">
        <f>Orders!F716</f>
        <v/>
      </c>
      <c r="G716" s="55">
        <f>Orders!G716</f>
        <v/>
      </c>
      <c r="H716" s="55">
        <f>Orders!H716</f>
        <v/>
      </c>
      <c r="I716" s="55">
        <f>Orders!I716</f>
        <v/>
      </c>
      <c r="J716" s="55">
        <f>Orders!J716</f>
        <v/>
      </c>
      <c r="K716" s="55">
        <f>Orders!K716</f>
        <v/>
      </c>
      <c r="L716" s="55">
        <f>VLOOKUP(D716,Products!$A$2:$F$61,3,FALSE())</f>
        <v/>
      </c>
      <c r="M716" s="55">
        <f>VLOOKUP(C716,Customers!$A$2:$F$301,5,FALSE())</f>
        <v/>
      </c>
      <c r="N716" s="55">
        <f>VLOOKUP(E716,Sales_Reps!$A$2:$E$31,3,FALSE())</f>
        <v/>
      </c>
      <c r="O716" s="55">
        <f>VLOOKUP(D716,Products!$A$2:$F$61,4,FALSE())</f>
        <v/>
      </c>
      <c r="P716" s="55">
        <f>VLOOKUP(C716,Customers!$A$2:$F$301,3,FALSE())</f>
        <v/>
      </c>
      <c r="Q716" s="55">
        <f>UPPER(TRIM(K716))</f>
        <v/>
      </c>
      <c r="R716" s="55">
        <f>(G716-O716)/G716</f>
        <v/>
      </c>
      <c r="S716" s="55">
        <f>VLOOKUP(D716,Products!$A$2:$F$61,6,FALSE())</f>
        <v/>
      </c>
    </row>
    <row r="717" ht="15" customHeight="1" s="56">
      <c r="A717" s="55">
        <f>Orders!A717</f>
        <v/>
      </c>
      <c r="B717" s="103">
        <f>Orders!B717</f>
        <v/>
      </c>
      <c r="C717" s="55">
        <f>Orders!C717</f>
        <v/>
      </c>
      <c r="D717" s="55">
        <f>Orders!D717</f>
        <v/>
      </c>
      <c r="E717" s="55">
        <f>Orders!E717</f>
        <v/>
      </c>
      <c r="F717" s="55">
        <f>Orders!F717</f>
        <v/>
      </c>
      <c r="G717" s="55">
        <f>Orders!G717</f>
        <v/>
      </c>
      <c r="H717" s="55">
        <f>Orders!H717</f>
        <v/>
      </c>
      <c r="I717" s="55">
        <f>Orders!I717</f>
        <v/>
      </c>
      <c r="J717" s="55">
        <f>Orders!J717</f>
        <v/>
      </c>
      <c r="K717" s="55">
        <f>Orders!K717</f>
        <v/>
      </c>
      <c r="L717" s="55">
        <f>VLOOKUP(D717,Products!$A$2:$F$61,3,FALSE())</f>
        <v/>
      </c>
      <c r="M717" s="55">
        <f>VLOOKUP(C717,Customers!$A$2:$F$301,5,FALSE())</f>
        <v/>
      </c>
      <c r="N717" s="55">
        <f>VLOOKUP(E717,Sales_Reps!$A$2:$E$31,3,FALSE())</f>
        <v/>
      </c>
      <c r="O717" s="55">
        <f>VLOOKUP(D717,Products!$A$2:$F$61,4,FALSE())</f>
        <v/>
      </c>
      <c r="P717" s="55">
        <f>VLOOKUP(C717,Customers!$A$2:$F$301,3,FALSE())</f>
        <v/>
      </c>
      <c r="Q717" s="55">
        <f>UPPER(TRIM(K717))</f>
        <v/>
      </c>
      <c r="R717" s="55">
        <f>(G717-O717)/G717</f>
        <v/>
      </c>
      <c r="S717" s="55">
        <f>VLOOKUP(D717,Products!$A$2:$F$61,6,FALSE())</f>
        <v/>
      </c>
    </row>
    <row r="718" ht="15" customHeight="1" s="56">
      <c r="A718" s="55">
        <f>Orders!A718</f>
        <v/>
      </c>
      <c r="B718" s="103">
        <f>Orders!B718</f>
        <v/>
      </c>
      <c r="C718" s="55">
        <f>Orders!C718</f>
        <v/>
      </c>
      <c r="D718" s="55">
        <f>Orders!D718</f>
        <v/>
      </c>
      <c r="E718" s="55">
        <f>Orders!E718</f>
        <v/>
      </c>
      <c r="F718" s="55">
        <f>Orders!F718</f>
        <v/>
      </c>
      <c r="G718" s="55">
        <f>Orders!G718</f>
        <v/>
      </c>
      <c r="H718" s="55">
        <f>Orders!H718</f>
        <v/>
      </c>
      <c r="I718" s="55">
        <f>Orders!I718</f>
        <v/>
      </c>
      <c r="J718" s="55">
        <f>Orders!J718</f>
        <v/>
      </c>
      <c r="K718" s="55">
        <f>Orders!K718</f>
        <v/>
      </c>
      <c r="L718" s="55">
        <f>VLOOKUP(D718,Products!$A$2:$F$61,3,FALSE())</f>
        <v/>
      </c>
      <c r="M718" s="55">
        <f>VLOOKUP(C718,Customers!$A$2:$F$301,5,FALSE())</f>
        <v/>
      </c>
      <c r="N718" s="55">
        <f>VLOOKUP(E718,Sales_Reps!$A$2:$E$31,3,FALSE())</f>
        <v/>
      </c>
      <c r="O718" s="55">
        <f>VLOOKUP(D718,Products!$A$2:$F$61,4,FALSE())</f>
        <v/>
      </c>
      <c r="P718" s="55">
        <f>VLOOKUP(C718,Customers!$A$2:$F$301,3,FALSE())</f>
        <v/>
      </c>
      <c r="Q718" s="55">
        <f>UPPER(TRIM(K718))</f>
        <v/>
      </c>
      <c r="R718" s="55">
        <f>(G718-O718)/G718</f>
        <v/>
      </c>
      <c r="S718" s="55">
        <f>VLOOKUP(D718,Products!$A$2:$F$61,6,FALSE())</f>
        <v/>
      </c>
    </row>
    <row r="719" ht="15" customHeight="1" s="56">
      <c r="A719" s="55">
        <f>Orders!A719</f>
        <v/>
      </c>
      <c r="B719" s="103">
        <f>Orders!B719</f>
        <v/>
      </c>
      <c r="C719" s="55">
        <f>Orders!C719</f>
        <v/>
      </c>
      <c r="D719" s="55">
        <f>Orders!D719</f>
        <v/>
      </c>
      <c r="E719" s="55">
        <f>Orders!E719</f>
        <v/>
      </c>
      <c r="F719" s="55">
        <f>Orders!F719</f>
        <v/>
      </c>
      <c r="G719" s="55">
        <f>Orders!G719</f>
        <v/>
      </c>
      <c r="H719" s="55">
        <f>Orders!H719</f>
        <v/>
      </c>
      <c r="I719" s="55">
        <f>Orders!I719</f>
        <v/>
      </c>
      <c r="J719" s="55">
        <f>Orders!J719</f>
        <v/>
      </c>
      <c r="K719" s="55">
        <f>Orders!K719</f>
        <v/>
      </c>
      <c r="L719" s="55">
        <f>VLOOKUP(D719,Products!$A$2:$F$61,3,FALSE())</f>
        <v/>
      </c>
      <c r="M719" s="55">
        <f>VLOOKUP(C719,Customers!$A$2:$F$301,5,FALSE())</f>
        <v/>
      </c>
      <c r="N719" s="55">
        <f>VLOOKUP(E719,Sales_Reps!$A$2:$E$31,3,FALSE())</f>
        <v/>
      </c>
      <c r="O719" s="55">
        <f>VLOOKUP(D719,Products!$A$2:$F$61,4,FALSE())</f>
        <v/>
      </c>
      <c r="P719" s="55">
        <f>VLOOKUP(C719,Customers!$A$2:$F$301,3,FALSE())</f>
        <v/>
      </c>
      <c r="Q719" s="55">
        <f>UPPER(TRIM(K719))</f>
        <v/>
      </c>
      <c r="R719" s="55">
        <f>(G719-O719)/G719</f>
        <v/>
      </c>
      <c r="S719" s="55">
        <f>VLOOKUP(D719,Products!$A$2:$F$61,6,FALSE())</f>
        <v/>
      </c>
    </row>
    <row r="720" ht="15" customHeight="1" s="56">
      <c r="A720" s="55">
        <f>Orders!A720</f>
        <v/>
      </c>
      <c r="B720" s="103">
        <f>Orders!B720</f>
        <v/>
      </c>
      <c r="C720" s="55">
        <f>Orders!C720</f>
        <v/>
      </c>
      <c r="D720" s="55">
        <f>Orders!D720</f>
        <v/>
      </c>
      <c r="E720" s="55">
        <f>Orders!E720</f>
        <v/>
      </c>
      <c r="F720" s="55">
        <f>Orders!F720</f>
        <v/>
      </c>
      <c r="G720" s="55">
        <f>Orders!G720</f>
        <v/>
      </c>
      <c r="H720" s="55">
        <f>Orders!H720</f>
        <v/>
      </c>
      <c r="I720" s="55">
        <f>Orders!I720</f>
        <v/>
      </c>
      <c r="J720" s="55">
        <f>Orders!J720</f>
        <v/>
      </c>
      <c r="K720" s="55">
        <f>Orders!K720</f>
        <v/>
      </c>
      <c r="L720" s="55">
        <f>VLOOKUP(D720,Products!$A$2:$F$61,3,FALSE())</f>
        <v/>
      </c>
      <c r="M720" s="55">
        <f>VLOOKUP(C720,Customers!$A$2:$F$301,5,FALSE())</f>
        <v/>
      </c>
      <c r="N720" s="55">
        <f>VLOOKUP(E720,Sales_Reps!$A$2:$E$31,3,FALSE())</f>
        <v/>
      </c>
      <c r="O720" s="55">
        <f>VLOOKUP(D720,Products!$A$2:$F$61,4,FALSE())</f>
        <v/>
      </c>
      <c r="P720" s="55">
        <f>VLOOKUP(C720,Customers!$A$2:$F$301,3,FALSE())</f>
        <v/>
      </c>
      <c r="Q720" s="55">
        <f>UPPER(TRIM(K720))</f>
        <v/>
      </c>
      <c r="R720" s="55">
        <f>(G720-O720)/G720</f>
        <v/>
      </c>
      <c r="S720" s="55">
        <f>VLOOKUP(D720,Products!$A$2:$F$61,6,FALSE())</f>
        <v/>
      </c>
    </row>
    <row r="721" ht="15" customHeight="1" s="56">
      <c r="A721" s="55">
        <f>Orders!A721</f>
        <v/>
      </c>
      <c r="B721" s="103">
        <f>Orders!B721</f>
        <v/>
      </c>
      <c r="C721" s="55">
        <f>Orders!C721</f>
        <v/>
      </c>
      <c r="D721" s="55">
        <f>Orders!D721</f>
        <v/>
      </c>
      <c r="E721" s="55">
        <f>Orders!E721</f>
        <v/>
      </c>
      <c r="F721" s="55">
        <f>Orders!F721</f>
        <v/>
      </c>
      <c r="G721" s="55">
        <f>Orders!G721</f>
        <v/>
      </c>
      <c r="H721" s="55">
        <f>Orders!H721</f>
        <v/>
      </c>
      <c r="I721" s="55">
        <f>Orders!I721</f>
        <v/>
      </c>
      <c r="J721" s="55">
        <f>Orders!J721</f>
        <v/>
      </c>
      <c r="K721" s="55">
        <f>Orders!K721</f>
        <v/>
      </c>
      <c r="L721" s="55">
        <f>VLOOKUP(D721,Products!$A$2:$F$61,3,FALSE())</f>
        <v/>
      </c>
      <c r="M721" s="55">
        <f>VLOOKUP(C721,Customers!$A$2:$F$301,5,FALSE())</f>
        <v/>
      </c>
      <c r="N721" s="55">
        <f>VLOOKUP(E721,Sales_Reps!$A$2:$E$31,3,FALSE())</f>
        <v/>
      </c>
      <c r="O721" s="55">
        <f>VLOOKUP(D721,Products!$A$2:$F$61,4,FALSE())</f>
        <v/>
      </c>
      <c r="P721" s="55">
        <f>VLOOKUP(C721,Customers!$A$2:$F$301,3,FALSE())</f>
        <v/>
      </c>
      <c r="Q721" s="55">
        <f>UPPER(TRIM(K721))</f>
        <v/>
      </c>
      <c r="R721" s="55">
        <f>(G721-O721)/G721</f>
        <v/>
      </c>
      <c r="S721" s="55">
        <f>VLOOKUP(D721,Products!$A$2:$F$61,6,FALSE())</f>
        <v/>
      </c>
    </row>
    <row r="722" ht="15" customHeight="1" s="56">
      <c r="A722" s="55">
        <f>Orders!A722</f>
        <v/>
      </c>
      <c r="B722" s="103">
        <f>Orders!B722</f>
        <v/>
      </c>
      <c r="C722" s="55">
        <f>Orders!C722</f>
        <v/>
      </c>
      <c r="D722" s="55">
        <f>Orders!D722</f>
        <v/>
      </c>
      <c r="E722" s="55">
        <f>Orders!E722</f>
        <v/>
      </c>
      <c r="F722" s="55">
        <f>Orders!F722</f>
        <v/>
      </c>
      <c r="G722" s="55">
        <f>Orders!G722</f>
        <v/>
      </c>
      <c r="H722" s="55">
        <f>Orders!H722</f>
        <v/>
      </c>
      <c r="I722" s="55">
        <f>Orders!I722</f>
        <v/>
      </c>
      <c r="J722" s="55">
        <f>Orders!J722</f>
        <v/>
      </c>
      <c r="K722" s="55">
        <f>Orders!K722</f>
        <v/>
      </c>
      <c r="L722" s="55">
        <f>VLOOKUP(D722,Products!$A$2:$F$61,3,FALSE())</f>
        <v/>
      </c>
      <c r="M722" s="55">
        <f>VLOOKUP(C722,Customers!$A$2:$F$301,5,FALSE())</f>
        <v/>
      </c>
      <c r="N722" s="55">
        <f>VLOOKUP(E722,Sales_Reps!$A$2:$E$31,3,FALSE())</f>
        <v/>
      </c>
      <c r="O722" s="55">
        <f>VLOOKUP(D722,Products!$A$2:$F$61,4,FALSE())</f>
        <v/>
      </c>
      <c r="P722" s="55">
        <f>VLOOKUP(C722,Customers!$A$2:$F$301,3,FALSE())</f>
        <v/>
      </c>
      <c r="Q722" s="55">
        <f>UPPER(TRIM(K722))</f>
        <v/>
      </c>
      <c r="R722" s="55">
        <f>(G722-O722)/G722</f>
        <v/>
      </c>
      <c r="S722" s="55">
        <f>VLOOKUP(D722,Products!$A$2:$F$61,6,FALSE())</f>
        <v/>
      </c>
    </row>
    <row r="723" ht="15" customHeight="1" s="56">
      <c r="A723" s="55">
        <f>Orders!A723</f>
        <v/>
      </c>
      <c r="B723" s="103">
        <f>Orders!B723</f>
        <v/>
      </c>
      <c r="C723" s="55">
        <f>Orders!C723</f>
        <v/>
      </c>
      <c r="D723" s="55">
        <f>Orders!D723</f>
        <v/>
      </c>
      <c r="E723" s="55">
        <f>Orders!E723</f>
        <v/>
      </c>
      <c r="F723" s="55">
        <f>Orders!F723</f>
        <v/>
      </c>
      <c r="G723" s="55">
        <f>Orders!G723</f>
        <v/>
      </c>
      <c r="H723" s="55">
        <f>Orders!H723</f>
        <v/>
      </c>
      <c r="I723" s="55">
        <f>Orders!I723</f>
        <v/>
      </c>
      <c r="J723" s="55">
        <f>Orders!J723</f>
        <v/>
      </c>
      <c r="K723" s="55">
        <f>Orders!K723</f>
        <v/>
      </c>
      <c r="L723" s="55">
        <f>VLOOKUP(D723,Products!$A$2:$F$61,3,FALSE())</f>
        <v/>
      </c>
      <c r="M723" s="55">
        <f>VLOOKUP(C723,Customers!$A$2:$F$301,5,FALSE())</f>
        <v/>
      </c>
      <c r="N723" s="55">
        <f>VLOOKUP(E723,Sales_Reps!$A$2:$E$31,3,FALSE())</f>
        <v/>
      </c>
      <c r="O723" s="55">
        <f>VLOOKUP(D723,Products!$A$2:$F$61,4,FALSE())</f>
        <v/>
      </c>
      <c r="P723" s="55">
        <f>VLOOKUP(C723,Customers!$A$2:$F$301,3,FALSE())</f>
        <v/>
      </c>
      <c r="Q723" s="55">
        <f>UPPER(TRIM(K723))</f>
        <v/>
      </c>
      <c r="R723" s="55">
        <f>(G723-O723)/G723</f>
        <v/>
      </c>
      <c r="S723" s="55">
        <f>VLOOKUP(D723,Products!$A$2:$F$61,6,FALSE())</f>
        <v/>
      </c>
    </row>
    <row r="724" ht="15" customHeight="1" s="56">
      <c r="A724" s="55">
        <f>Orders!A724</f>
        <v/>
      </c>
      <c r="B724" s="103">
        <f>Orders!B724</f>
        <v/>
      </c>
      <c r="C724" s="55">
        <f>Orders!C724</f>
        <v/>
      </c>
      <c r="D724" s="55">
        <f>Orders!D724</f>
        <v/>
      </c>
      <c r="E724" s="55">
        <f>Orders!E724</f>
        <v/>
      </c>
      <c r="F724" s="55">
        <f>Orders!F724</f>
        <v/>
      </c>
      <c r="G724" s="55">
        <f>Orders!G724</f>
        <v/>
      </c>
      <c r="H724" s="55">
        <f>Orders!H724</f>
        <v/>
      </c>
      <c r="I724" s="55">
        <f>Orders!I724</f>
        <v/>
      </c>
      <c r="J724" s="55">
        <f>Orders!J724</f>
        <v/>
      </c>
      <c r="K724" s="55">
        <f>Orders!K724</f>
        <v/>
      </c>
      <c r="L724" s="55">
        <f>VLOOKUP(D724,Products!$A$2:$F$61,3,FALSE())</f>
        <v/>
      </c>
      <c r="M724" s="55">
        <f>VLOOKUP(C724,Customers!$A$2:$F$301,5,FALSE())</f>
        <v/>
      </c>
      <c r="N724" s="55">
        <f>VLOOKUP(E724,Sales_Reps!$A$2:$E$31,3,FALSE())</f>
        <v/>
      </c>
      <c r="O724" s="55">
        <f>VLOOKUP(D724,Products!$A$2:$F$61,4,FALSE())</f>
        <v/>
      </c>
      <c r="P724" s="55">
        <f>VLOOKUP(C724,Customers!$A$2:$F$301,3,FALSE())</f>
        <v/>
      </c>
      <c r="Q724" s="55">
        <f>UPPER(TRIM(K724))</f>
        <v/>
      </c>
      <c r="R724" s="55">
        <f>(G724-O724)/G724</f>
        <v/>
      </c>
      <c r="S724" s="55">
        <f>VLOOKUP(D724,Products!$A$2:$F$61,6,FALSE())</f>
        <v/>
      </c>
    </row>
    <row r="725" ht="15" customHeight="1" s="56">
      <c r="A725" s="55">
        <f>Orders!A725</f>
        <v/>
      </c>
      <c r="B725" s="103">
        <f>Orders!B725</f>
        <v/>
      </c>
      <c r="C725" s="55">
        <f>Orders!C725</f>
        <v/>
      </c>
      <c r="D725" s="55">
        <f>Orders!D725</f>
        <v/>
      </c>
      <c r="E725" s="55">
        <f>Orders!E725</f>
        <v/>
      </c>
      <c r="F725" s="55">
        <f>Orders!F725</f>
        <v/>
      </c>
      <c r="G725" s="55">
        <f>Orders!G725</f>
        <v/>
      </c>
      <c r="H725" s="55">
        <f>Orders!H725</f>
        <v/>
      </c>
      <c r="I725" s="55">
        <f>Orders!I725</f>
        <v/>
      </c>
      <c r="J725" s="55">
        <f>Orders!J725</f>
        <v/>
      </c>
      <c r="K725" s="55">
        <f>Orders!K725</f>
        <v/>
      </c>
      <c r="L725" s="55">
        <f>VLOOKUP(D725,Products!$A$2:$F$61,3,FALSE())</f>
        <v/>
      </c>
      <c r="M725" s="55">
        <f>VLOOKUP(C725,Customers!$A$2:$F$301,5,FALSE())</f>
        <v/>
      </c>
      <c r="N725" s="55">
        <f>VLOOKUP(E725,Sales_Reps!$A$2:$E$31,3,FALSE())</f>
        <v/>
      </c>
      <c r="O725" s="55">
        <f>VLOOKUP(D725,Products!$A$2:$F$61,4,FALSE())</f>
        <v/>
      </c>
      <c r="P725" s="55">
        <f>VLOOKUP(C725,Customers!$A$2:$F$301,3,FALSE())</f>
        <v/>
      </c>
      <c r="Q725" s="55">
        <f>UPPER(TRIM(K725))</f>
        <v/>
      </c>
      <c r="R725" s="55">
        <f>(G725-O725)/G725</f>
        <v/>
      </c>
      <c r="S725" s="55">
        <f>VLOOKUP(D725,Products!$A$2:$F$61,6,FALSE())</f>
        <v/>
      </c>
    </row>
    <row r="726" ht="15" customHeight="1" s="56">
      <c r="A726" s="55">
        <f>Orders!A726</f>
        <v/>
      </c>
      <c r="B726" s="103">
        <f>Orders!B726</f>
        <v/>
      </c>
      <c r="C726" s="55">
        <f>Orders!C726</f>
        <v/>
      </c>
      <c r="D726" s="55">
        <f>Orders!D726</f>
        <v/>
      </c>
      <c r="E726" s="55">
        <f>Orders!E726</f>
        <v/>
      </c>
      <c r="F726" s="55">
        <f>Orders!F726</f>
        <v/>
      </c>
      <c r="G726" s="55">
        <f>Orders!G726</f>
        <v/>
      </c>
      <c r="H726" s="55">
        <f>Orders!H726</f>
        <v/>
      </c>
      <c r="I726" s="55">
        <f>Orders!I726</f>
        <v/>
      </c>
      <c r="J726" s="55">
        <f>Orders!J726</f>
        <v/>
      </c>
      <c r="K726" s="55">
        <f>Orders!K726</f>
        <v/>
      </c>
      <c r="L726" s="55">
        <f>VLOOKUP(D726,Products!$A$2:$F$61,3,FALSE())</f>
        <v/>
      </c>
      <c r="M726" s="55">
        <f>VLOOKUP(C726,Customers!$A$2:$F$301,5,FALSE())</f>
        <v/>
      </c>
      <c r="N726" s="55">
        <f>VLOOKUP(E726,Sales_Reps!$A$2:$E$31,3,FALSE())</f>
        <v/>
      </c>
      <c r="O726" s="55">
        <f>VLOOKUP(D726,Products!$A$2:$F$61,4,FALSE())</f>
        <v/>
      </c>
      <c r="P726" s="55">
        <f>VLOOKUP(C726,Customers!$A$2:$F$301,3,FALSE())</f>
        <v/>
      </c>
      <c r="Q726" s="55">
        <f>UPPER(TRIM(K726))</f>
        <v/>
      </c>
      <c r="R726" s="55">
        <f>(G726-O726)/G726</f>
        <v/>
      </c>
      <c r="S726" s="55">
        <f>VLOOKUP(D726,Products!$A$2:$F$61,6,FALSE())</f>
        <v/>
      </c>
    </row>
    <row r="727" ht="15" customHeight="1" s="56">
      <c r="A727" s="55">
        <f>Orders!A727</f>
        <v/>
      </c>
      <c r="B727" s="103">
        <f>Orders!B727</f>
        <v/>
      </c>
      <c r="C727" s="55">
        <f>Orders!C727</f>
        <v/>
      </c>
      <c r="D727" s="55">
        <f>Orders!D727</f>
        <v/>
      </c>
      <c r="E727" s="55">
        <f>Orders!E727</f>
        <v/>
      </c>
      <c r="F727" s="55">
        <f>Orders!F727</f>
        <v/>
      </c>
      <c r="G727" s="55">
        <f>Orders!G727</f>
        <v/>
      </c>
      <c r="H727" s="55">
        <f>Orders!H727</f>
        <v/>
      </c>
      <c r="I727" s="55">
        <f>Orders!I727</f>
        <v/>
      </c>
      <c r="J727" s="55">
        <f>Orders!J727</f>
        <v/>
      </c>
      <c r="K727" s="55">
        <f>Orders!K727</f>
        <v/>
      </c>
      <c r="L727" s="55">
        <f>VLOOKUP(D727,Products!$A$2:$F$61,3,FALSE())</f>
        <v/>
      </c>
      <c r="M727" s="55">
        <f>VLOOKUP(C727,Customers!$A$2:$F$301,5,FALSE())</f>
        <v/>
      </c>
      <c r="N727" s="55">
        <f>VLOOKUP(E727,Sales_Reps!$A$2:$E$31,3,FALSE())</f>
        <v/>
      </c>
      <c r="O727" s="55">
        <f>VLOOKUP(D727,Products!$A$2:$F$61,4,FALSE())</f>
        <v/>
      </c>
      <c r="P727" s="55">
        <f>VLOOKUP(C727,Customers!$A$2:$F$301,3,FALSE())</f>
        <v/>
      </c>
      <c r="Q727" s="55">
        <f>UPPER(TRIM(K727))</f>
        <v/>
      </c>
      <c r="R727" s="55">
        <f>(G727-O727)/G727</f>
        <v/>
      </c>
      <c r="S727" s="55">
        <f>VLOOKUP(D727,Products!$A$2:$F$61,6,FALSE())</f>
        <v/>
      </c>
    </row>
    <row r="728" ht="15" customHeight="1" s="56">
      <c r="A728" s="55">
        <f>Orders!A728</f>
        <v/>
      </c>
      <c r="B728" s="103">
        <f>Orders!B728</f>
        <v/>
      </c>
      <c r="C728" s="55">
        <f>Orders!C728</f>
        <v/>
      </c>
      <c r="D728" s="55">
        <f>Orders!D728</f>
        <v/>
      </c>
      <c r="E728" s="55">
        <f>Orders!E728</f>
        <v/>
      </c>
      <c r="F728" s="55">
        <f>Orders!F728</f>
        <v/>
      </c>
      <c r="G728" s="55">
        <f>Orders!G728</f>
        <v/>
      </c>
      <c r="H728" s="55">
        <f>Orders!H728</f>
        <v/>
      </c>
      <c r="I728" s="55">
        <f>Orders!I728</f>
        <v/>
      </c>
      <c r="J728" s="55">
        <f>Orders!J728</f>
        <v/>
      </c>
      <c r="K728" s="55">
        <f>Orders!K728</f>
        <v/>
      </c>
      <c r="L728" s="55">
        <f>VLOOKUP(D728,Products!$A$2:$F$61,3,FALSE())</f>
        <v/>
      </c>
      <c r="M728" s="55">
        <f>VLOOKUP(C728,Customers!$A$2:$F$301,5,FALSE())</f>
        <v/>
      </c>
      <c r="N728" s="55">
        <f>VLOOKUP(E728,Sales_Reps!$A$2:$E$31,3,FALSE())</f>
        <v/>
      </c>
      <c r="O728" s="55">
        <f>VLOOKUP(D728,Products!$A$2:$F$61,4,FALSE())</f>
        <v/>
      </c>
      <c r="P728" s="55">
        <f>VLOOKUP(C728,Customers!$A$2:$F$301,3,FALSE())</f>
        <v/>
      </c>
      <c r="Q728" s="55">
        <f>UPPER(TRIM(K728))</f>
        <v/>
      </c>
      <c r="R728" s="55">
        <f>(G728-O728)/G728</f>
        <v/>
      </c>
      <c r="S728" s="55">
        <f>VLOOKUP(D728,Products!$A$2:$F$61,6,FALSE())</f>
        <v/>
      </c>
    </row>
    <row r="729" ht="15" customHeight="1" s="56">
      <c r="A729" s="55">
        <f>Orders!A729</f>
        <v/>
      </c>
      <c r="B729" s="103">
        <f>Orders!B729</f>
        <v/>
      </c>
      <c r="C729" s="55">
        <f>Orders!C729</f>
        <v/>
      </c>
      <c r="D729" s="55">
        <f>Orders!D729</f>
        <v/>
      </c>
      <c r="E729" s="55">
        <f>Orders!E729</f>
        <v/>
      </c>
      <c r="F729" s="55">
        <f>Orders!F729</f>
        <v/>
      </c>
      <c r="G729" s="55">
        <f>Orders!G729</f>
        <v/>
      </c>
      <c r="H729" s="55">
        <f>Orders!H729</f>
        <v/>
      </c>
      <c r="I729" s="55">
        <f>Orders!I729</f>
        <v/>
      </c>
      <c r="J729" s="55">
        <f>Orders!J729</f>
        <v/>
      </c>
      <c r="K729" s="55">
        <f>Orders!K729</f>
        <v/>
      </c>
      <c r="L729" s="55">
        <f>VLOOKUP(D729,Products!$A$2:$F$61,3,FALSE())</f>
        <v/>
      </c>
      <c r="M729" s="55">
        <f>VLOOKUP(C729,Customers!$A$2:$F$301,5,FALSE())</f>
        <v/>
      </c>
      <c r="N729" s="55">
        <f>VLOOKUP(E729,Sales_Reps!$A$2:$E$31,3,FALSE())</f>
        <v/>
      </c>
      <c r="O729" s="55">
        <f>VLOOKUP(D729,Products!$A$2:$F$61,4,FALSE())</f>
        <v/>
      </c>
      <c r="P729" s="55">
        <f>VLOOKUP(C729,Customers!$A$2:$F$301,3,FALSE())</f>
        <v/>
      </c>
      <c r="Q729" s="55">
        <f>UPPER(TRIM(K729))</f>
        <v/>
      </c>
      <c r="R729" s="55">
        <f>(G729-O729)/G729</f>
        <v/>
      </c>
      <c r="S729" s="55">
        <f>VLOOKUP(D729,Products!$A$2:$F$61,6,FALSE())</f>
        <v/>
      </c>
    </row>
    <row r="730" ht="15" customHeight="1" s="56">
      <c r="A730" s="55">
        <f>Orders!A730</f>
        <v/>
      </c>
      <c r="B730" s="103">
        <f>Orders!B730</f>
        <v/>
      </c>
      <c r="C730" s="55">
        <f>Orders!C730</f>
        <v/>
      </c>
      <c r="D730" s="55">
        <f>Orders!D730</f>
        <v/>
      </c>
      <c r="E730" s="55">
        <f>Orders!E730</f>
        <v/>
      </c>
      <c r="F730" s="55">
        <f>Orders!F730</f>
        <v/>
      </c>
      <c r="G730" s="55">
        <f>Orders!G730</f>
        <v/>
      </c>
      <c r="H730" s="55">
        <f>Orders!H730</f>
        <v/>
      </c>
      <c r="I730" s="55">
        <f>Orders!I730</f>
        <v/>
      </c>
      <c r="J730" s="55">
        <f>Orders!J730</f>
        <v/>
      </c>
      <c r="K730" s="55">
        <f>Orders!K730</f>
        <v/>
      </c>
      <c r="L730" s="55">
        <f>VLOOKUP(D730,Products!$A$2:$F$61,3,FALSE())</f>
        <v/>
      </c>
      <c r="M730" s="55">
        <f>VLOOKUP(C730,Customers!$A$2:$F$301,5,FALSE())</f>
        <v/>
      </c>
      <c r="N730" s="55">
        <f>VLOOKUP(E730,Sales_Reps!$A$2:$E$31,3,FALSE())</f>
        <v/>
      </c>
      <c r="O730" s="55">
        <f>VLOOKUP(D730,Products!$A$2:$F$61,4,FALSE())</f>
        <v/>
      </c>
      <c r="P730" s="55">
        <f>VLOOKUP(C730,Customers!$A$2:$F$301,3,FALSE())</f>
        <v/>
      </c>
      <c r="Q730" s="55">
        <f>UPPER(TRIM(K730))</f>
        <v/>
      </c>
      <c r="R730" s="55">
        <f>(G730-O730)/G730</f>
        <v/>
      </c>
      <c r="S730" s="55">
        <f>VLOOKUP(D730,Products!$A$2:$F$61,6,FALSE())</f>
        <v/>
      </c>
    </row>
    <row r="731" ht="15" customHeight="1" s="56">
      <c r="A731" s="55">
        <f>Orders!A731</f>
        <v/>
      </c>
      <c r="B731" s="103">
        <f>Orders!B731</f>
        <v/>
      </c>
      <c r="C731" s="55">
        <f>Orders!C731</f>
        <v/>
      </c>
      <c r="D731" s="55">
        <f>Orders!D731</f>
        <v/>
      </c>
      <c r="E731" s="55">
        <f>Orders!E731</f>
        <v/>
      </c>
      <c r="F731" s="55">
        <f>Orders!F731</f>
        <v/>
      </c>
      <c r="G731" s="55">
        <f>Orders!G731</f>
        <v/>
      </c>
      <c r="H731" s="55">
        <f>Orders!H731</f>
        <v/>
      </c>
      <c r="I731" s="55">
        <f>Orders!I731</f>
        <v/>
      </c>
      <c r="J731" s="55">
        <f>Orders!J731</f>
        <v/>
      </c>
      <c r="K731" s="55">
        <f>Orders!K731</f>
        <v/>
      </c>
      <c r="L731" s="55">
        <f>VLOOKUP(D731,Products!$A$2:$F$61,3,FALSE())</f>
        <v/>
      </c>
      <c r="M731" s="55">
        <f>VLOOKUP(C731,Customers!$A$2:$F$301,5,FALSE())</f>
        <v/>
      </c>
      <c r="N731" s="55">
        <f>VLOOKUP(E731,Sales_Reps!$A$2:$E$31,3,FALSE())</f>
        <v/>
      </c>
      <c r="O731" s="55">
        <f>VLOOKUP(D731,Products!$A$2:$F$61,4,FALSE())</f>
        <v/>
      </c>
      <c r="P731" s="55">
        <f>VLOOKUP(C731,Customers!$A$2:$F$301,3,FALSE())</f>
        <v/>
      </c>
      <c r="Q731" s="55">
        <f>UPPER(TRIM(K731))</f>
        <v/>
      </c>
      <c r="R731" s="55">
        <f>(G731-O731)/G731</f>
        <v/>
      </c>
      <c r="S731" s="55">
        <f>VLOOKUP(D731,Products!$A$2:$F$61,6,FALSE())</f>
        <v/>
      </c>
    </row>
    <row r="732" ht="15" customHeight="1" s="56">
      <c r="A732" s="55">
        <f>Orders!A732</f>
        <v/>
      </c>
      <c r="B732" s="103">
        <f>Orders!B732</f>
        <v/>
      </c>
      <c r="C732" s="55">
        <f>Orders!C732</f>
        <v/>
      </c>
      <c r="D732" s="55">
        <f>Orders!D732</f>
        <v/>
      </c>
      <c r="E732" s="55">
        <f>Orders!E732</f>
        <v/>
      </c>
      <c r="F732" s="55">
        <f>Orders!F732</f>
        <v/>
      </c>
      <c r="G732" s="55">
        <f>Orders!G732</f>
        <v/>
      </c>
      <c r="H732" s="55">
        <f>Orders!H732</f>
        <v/>
      </c>
      <c r="I732" s="55">
        <f>Orders!I732</f>
        <v/>
      </c>
      <c r="J732" s="55">
        <f>Orders!J732</f>
        <v/>
      </c>
      <c r="K732" s="55">
        <f>Orders!K732</f>
        <v/>
      </c>
      <c r="L732" s="55">
        <f>VLOOKUP(D732,Products!$A$2:$F$61,3,FALSE())</f>
        <v/>
      </c>
      <c r="M732" s="55">
        <f>VLOOKUP(C732,Customers!$A$2:$F$301,5,FALSE())</f>
        <v/>
      </c>
      <c r="N732" s="55">
        <f>VLOOKUP(E732,Sales_Reps!$A$2:$E$31,3,FALSE())</f>
        <v/>
      </c>
      <c r="O732" s="55">
        <f>VLOOKUP(D732,Products!$A$2:$F$61,4,FALSE())</f>
        <v/>
      </c>
      <c r="P732" s="55">
        <f>VLOOKUP(C732,Customers!$A$2:$F$301,3,FALSE())</f>
        <v/>
      </c>
      <c r="Q732" s="55">
        <f>UPPER(TRIM(K732))</f>
        <v/>
      </c>
      <c r="R732" s="55">
        <f>(G732-O732)/G732</f>
        <v/>
      </c>
      <c r="S732" s="55">
        <f>VLOOKUP(D732,Products!$A$2:$F$61,6,FALSE())</f>
        <v/>
      </c>
    </row>
    <row r="733" ht="15" customHeight="1" s="56">
      <c r="A733" s="55">
        <f>Orders!A733</f>
        <v/>
      </c>
      <c r="B733" s="103">
        <f>Orders!B733</f>
        <v/>
      </c>
      <c r="C733" s="55">
        <f>Orders!C733</f>
        <v/>
      </c>
      <c r="D733" s="55">
        <f>Orders!D733</f>
        <v/>
      </c>
      <c r="E733" s="55">
        <f>Orders!E733</f>
        <v/>
      </c>
      <c r="F733" s="55">
        <f>Orders!F733</f>
        <v/>
      </c>
      <c r="G733" s="55">
        <f>Orders!G733</f>
        <v/>
      </c>
      <c r="H733" s="55">
        <f>Orders!H733</f>
        <v/>
      </c>
      <c r="I733" s="55">
        <f>Orders!I733</f>
        <v/>
      </c>
      <c r="J733" s="55">
        <f>Orders!J733</f>
        <v/>
      </c>
      <c r="K733" s="55">
        <f>Orders!K733</f>
        <v/>
      </c>
      <c r="L733" s="55">
        <f>VLOOKUP(D733,Products!$A$2:$F$61,3,FALSE())</f>
        <v/>
      </c>
      <c r="M733" s="55">
        <f>VLOOKUP(C733,Customers!$A$2:$F$301,5,FALSE())</f>
        <v/>
      </c>
      <c r="N733" s="55">
        <f>VLOOKUP(E733,Sales_Reps!$A$2:$E$31,3,FALSE())</f>
        <v/>
      </c>
      <c r="O733" s="55">
        <f>VLOOKUP(D733,Products!$A$2:$F$61,4,FALSE())</f>
        <v/>
      </c>
      <c r="P733" s="55">
        <f>VLOOKUP(C733,Customers!$A$2:$F$301,3,FALSE())</f>
        <v/>
      </c>
      <c r="Q733" s="55">
        <f>UPPER(TRIM(K733))</f>
        <v/>
      </c>
      <c r="R733" s="55">
        <f>(G733-O733)/G733</f>
        <v/>
      </c>
      <c r="S733" s="55">
        <f>VLOOKUP(D733,Products!$A$2:$F$61,6,FALSE())</f>
        <v/>
      </c>
    </row>
    <row r="734" ht="15" customHeight="1" s="56">
      <c r="A734" s="55">
        <f>Orders!A734</f>
        <v/>
      </c>
      <c r="B734" s="103">
        <f>Orders!B734</f>
        <v/>
      </c>
      <c r="C734" s="55">
        <f>Orders!C734</f>
        <v/>
      </c>
      <c r="D734" s="55">
        <f>Orders!D734</f>
        <v/>
      </c>
      <c r="E734" s="55">
        <f>Orders!E734</f>
        <v/>
      </c>
      <c r="F734" s="55">
        <f>Orders!F734</f>
        <v/>
      </c>
      <c r="G734" s="55">
        <f>Orders!G734</f>
        <v/>
      </c>
      <c r="H734" s="55">
        <f>Orders!H734</f>
        <v/>
      </c>
      <c r="I734" s="55">
        <f>Orders!I734</f>
        <v/>
      </c>
      <c r="J734" s="55">
        <f>Orders!J734</f>
        <v/>
      </c>
      <c r="K734" s="55">
        <f>Orders!K734</f>
        <v/>
      </c>
      <c r="L734" s="55">
        <f>VLOOKUP(D734,Products!$A$2:$F$61,3,FALSE())</f>
        <v/>
      </c>
      <c r="M734" s="55">
        <f>VLOOKUP(C734,Customers!$A$2:$F$301,5,FALSE())</f>
        <v/>
      </c>
      <c r="N734" s="55">
        <f>VLOOKUP(E734,Sales_Reps!$A$2:$E$31,3,FALSE())</f>
        <v/>
      </c>
      <c r="O734" s="55">
        <f>VLOOKUP(D734,Products!$A$2:$F$61,4,FALSE())</f>
        <v/>
      </c>
      <c r="P734" s="55">
        <f>VLOOKUP(C734,Customers!$A$2:$F$301,3,FALSE())</f>
        <v/>
      </c>
      <c r="Q734" s="55">
        <f>UPPER(TRIM(K734))</f>
        <v/>
      </c>
      <c r="R734" s="55">
        <f>(G734-O734)/G734</f>
        <v/>
      </c>
      <c r="S734" s="55">
        <f>VLOOKUP(D734,Products!$A$2:$F$61,6,FALSE())</f>
        <v/>
      </c>
    </row>
    <row r="735" ht="15" customHeight="1" s="56">
      <c r="A735" s="55">
        <f>Orders!A735</f>
        <v/>
      </c>
      <c r="B735" s="103">
        <f>Orders!B735</f>
        <v/>
      </c>
      <c r="C735" s="55">
        <f>Orders!C735</f>
        <v/>
      </c>
      <c r="D735" s="55">
        <f>Orders!D735</f>
        <v/>
      </c>
      <c r="E735" s="55">
        <f>Orders!E735</f>
        <v/>
      </c>
      <c r="F735" s="55">
        <f>Orders!F735</f>
        <v/>
      </c>
      <c r="G735" s="55">
        <f>Orders!G735</f>
        <v/>
      </c>
      <c r="H735" s="55">
        <f>Orders!H735</f>
        <v/>
      </c>
      <c r="I735" s="55">
        <f>Orders!I735</f>
        <v/>
      </c>
      <c r="J735" s="55">
        <f>Orders!J735</f>
        <v/>
      </c>
      <c r="K735" s="55">
        <f>Orders!K735</f>
        <v/>
      </c>
      <c r="L735" s="55">
        <f>VLOOKUP(D735,Products!$A$2:$F$61,3,FALSE())</f>
        <v/>
      </c>
      <c r="M735" s="55">
        <f>VLOOKUP(C735,Customers!$A$2:$F$301,5,FALSE())</f>
        <v/>
      </c>
      <c r="N735" s="55">
        <f>VLOOKUP(E735,Sales_Reps!$A$2:$E$31,3,FALSE())</f>
        <v/>
      </c>
      <c r="O735" s="55">
        <f>VLOOKUP(D735,Products!$A$2:$F$61,4,FALSE())</f>
        <v/>
      </c>
      <c r="P735" s="55">
        <f>VLOOKUP(C735,Customers!$A$2:$F$301,3,FALSE())</f>
        <v/>
      </c>
      <c r="Q735" s="55">
        <f>UPPER(TRIM(K735))</f>
        <v/>
      </c>
      <c r="R735" s="55">
        <f>(G735-O735)/G735</f>
        <v/>
      </c>
      <c r="S735" s="55">
        <f>VLOOKUP(D735,Products!$A$2:$F$61,6,FALSE())</f>
        <v/>
      </c>
    </row>
    <row r="736" ht="15" customHeight="1" s="56">
      <c r="A736" s="55">
        <f>Orders!A736</f>
        <v/>
      </c>
      <c r="B736" s="103">
        <f>Orders!B736</f>
        <v/>
      </c>
      <c r="C736" s="55">
        <f>Orders!C736</f>
        <v/>
      </c>
      <c r="D736" s="55">
        <f>Orders!D736</f>
        <v/>
      </c>
      <c r="E736" s="55">
        <f>Orders!E736</f>
        <v/>
      </c>
      <c r="F736" s="55">
        <f>Orders!F736</f>
        <v/>
      </c>
      <c r="G736" s="55">
        <f>Orders!G736</f>
        <v/>
      </c>
      <c r="H736" s="55">
        <f>Orders!H736</f>
        <v/>
      </c>
      <c r="I736" s="55">
        <f>Orders!I736</f>
        <v/>
      </c>
      <c r="J736" s="55">
        <f>Orders!J736</f>
        <v/>
      </c>
      <c r="K736" s="55">
        <f>Orders!K736</f>
        <v/>
      </c>
      <c r="L736" s="55">
        <f>VLOOKUP(D736,Products!$A$2:$F$61,3,FALSE())</f>
        <v/>
      </c>
      <c r="M736" s="55">
        <f>VLOOKUP(C736,Customers!$A$2:$F$301,5,FALSE())</f>
        <v/>
      </c>
      <c r="N736" s="55">
        <f>VLOOKUP(E736,Sales_Reps!$A$2:$E$31,3,FALSE())</f>
        <v/>
      </c>
      <c r="O736" s="55">
        <f>VLOOKUP(D736,Products!$A$2:$F$61,4,FALSE())</f>
        <v/>
      </c>
      <c r="P736" s="55">
        <f>VLOOKUP(C736,Customers!$A$2:$F$301,3,FALSE())</f>
        <v/>
      </c>
      <c r="Q736" s="55">
        <f>UPPER(TRIM(K736))</f>
        <v/>
      </c>
      <c r="R736" s="55">
        <f>(G736-O736)/G736</f>
        <v/>
      </c>
      <c r="S736" s="55">
        <f>VLOOKUP(D736,Products!$A$2:$F$61,6,FALSE())</f>
        <v/>
      </c>
    </row>
    <row r="737" ht="15" customHeight="1" s="56">
      <c r="A737" s="55">
        <f>Orders!A737</f>
        <v/>
      </c>
      <c r="B737" s="103">
        <f>Orders!B737</f>
        <v/>
      </c>
      <c r="C737" s="55">
        <f>Orders!C737</f>
        <v/>
      </c>
      <c r="D737" s="55">
        <f>Orders!D737</f>
        <v/>
      </c>
      <c r="E737" s="55">
        <f>Orders!E737</f>
        <v/>
      </c>
      <c r="F737" s="55">
        <f>Orders!F737</f>
        <v/>
      </c>
      <c r="G737" s="55">
        <f>Orders!G737</f>
        <v/>
      </c>
      <c r="H737" s="55">
        <f>Orders!H737</f>
        <v/>
      </c>
      <c r="I737" s="55">
        <f>Orders!I737</f>
        <v/>
      </c>
      <c r="J737" s="55">
        <f>Orders!J737</f>
        <v/>
      </c>
      <c r="K737" s="55">
        <f>Orders!K737</f>
        <v/>
      </c>
      <c r="L737" s="55">
        <f>VLOOKUP(D737,Products!$A$2:$F$61,3,FALSE())</f>
        <v/>
      </c>
      <c r="M737" s="55">
        <f>VLOOKUP(C737,Customers!$A$2:$F$301,5,FALSE())</f>
        <v/>
      </c>
      <c r="N737" s="55">
        <f>VLOOKUP(E737,Sales_Reps!$A$2:$E$31,3,FALSE())</f>
        <v/>
      </c>
      <c r="O737" s="55">
        <f>VLOOKUP(D737,Products!$A$2:$F$61,4,FALSE())</f>
        <v/>
      </c>
      <c r="P737" s="55">
        <f>VLOOKUP(C737,Customers!$A$2:$F$301,3,FALSE())</f>
        <v/>
      </c>
      <c r="Q737" s="55">
        <f>UPPER(TRIM(K737))</f>
        <v/>
      </c>
      <c r="R737" s="55">
        <f>(G737-O737)/G737</f>
        <v/>
      </c>
      <c r="S737" s="55">
        <f>VLOOKUP(D737,Products!$A$2:$F$61,6,FALSE())</f>
        <v/>
      </c>
    </row>
    <row r="738" ht="15" customHeight="1" s="56">
      <c r="A738" s="55">
        <f>Orders!A738</f>
        <v/>
      </c>
      <c r="B738" s="103">
        <f>Orders!B738</f>
        <v/>
      </c>
      <c r="C738" s="55">
        <f>Orders!C738</f>
        <v/>
      </c>
      <c r="D738" s="55">
        <f>Orders!D738</f>
        <v/>
      </c>
      <c r="E738" s="55">
        <f>Orders!E738</f>
        <v/>
      </c>
      <c r="F738" s="55">
        <f>Orders!F738</f>
        <v/>
      </c>
      <c r="G738" s="55">
        <f>Orders!G738</f>
        <v/>
      </c>
      <c r="H738" s="55">
        <f>Orders!H738</f>
        <v/>
      </c>
      <c r="I738" s="55">
        <f>Orders!I738</f>
        <v/>
      </c>
      <c r="J738" s="55">
        <f>Orders!J738</f>
        <v/>
      </c>
      <c r="K738" s="55">
        <f>Orders!K738</f>
        <v/>
      </c>
      <c r="L738" s="55">
        <f>VLOOKUP(D738,Products!$A$2:$F$61,3,FALSE())</f>
        <v/>
      </c>
      <c r="M738" s="55">
        <f>VLOOKUP(C738,Customers!$A$2:$F$301,5,FALSE())</f>
        <v/>
      </c>
      <c r="N738" s="55">
        <f>VLOOKUP(E738,Sales_Reps!$A$2:$E$31,3,FALSE())</f>
        <v/>
      </c>
      <c r="O738" s="55">
        <f>VLOOKUP(D738,Products!$A$2:$F$61,4,FALSE())</f>
        <v/>
      </c>
      <c r="P738" s="55">
        <f>VLOOKUP(C738,Customers!$A$2:$F$301,3,FALSE())</f>
        <v/>
      </c>
      <c r="Q738" s="55">
        <f>UPPER(TRIM(K738))</f>
        <v/>
      </c>
      <c r="R738" s="55">
        <f>(G738-O738)/G738</f>
        <v/>
      </c>
      <c r="S738" s="55">
        <f>VLOOKUP(D738,Products!$A$2:$F$61,6,FALSE())</f>
        <v/>
      </c>
    </row>
    <row r="739" ht="15" customHeight="1" s="56">
      <c r="A739" s="55">
        <f>Orders!A739</f>
        <v/>
      </c>
      <c r="B739" s="103">
        <f>Orders!B739</f>
        <v/>
      </c>
      <c r="C739" s="55">
        <f>Orders!C739</f>
        <v/>
      </c>
      <c r="D739" s="55">
        <f>Orders!D739</f>
        <v/>
      </c>
      <c r="E739" s="55">
        <f>Orders!E739</f>
        <v/>
      </c>
      <c r="F739" s="55">
        <f>Orders!F739</f>
        <v/>
      </c>
      <c r="G739" s="55">
        <f>Orders!G739</f>
        <v/>
      </c>
      <c r="H739" s="55">
        <f>Orders!H739</f>
        <v/>
      </c>
      <c r="I739" s="55">
        <f>Orders!I739</f>
        <v/>
      </c>
      <c r="J739" s="55">
        <f>Orders!J739</f>
        <v/>
      </c>
      <c r="K739" s="55">
        <f>Orders!K739</f>
        <v/>
      </c>
      <c r="L739" s="55">
        <f>VLOOKUP(D739,Products!$A$2:$F$61,3,FALSE())</f>
        <v/>
      </c>
      <c r="M739" s="55">
        <f>VLOOKUP(C739,Customers!$A$2:$F$301,5,FALSE())</f>
        <v/>
      </c>
      <c r="N739" s="55">
        <f>VLOOKUP(E739,Sales_Reps!$A$2:$E$31,3,FALSE())</f>
        <v/>
      </c>
      <c r="O739" s="55">
        <f>VLOOKUP(D739,Products!$A$2:$F$61,4,FALSE())</f>
        <v/>
      </c>
      <c r="P739" s="55">
        <f>VLOOKUP(C739,Customers!$A$2:$F$301,3,FALSE())</f>
        <v/>
      </c>
      <c r="Q739" s="55">
        <f>UPPER(TRIM(K739))</f>
        <v/>
      </c>
      <c r="R739" s="55">
        <f>(G739-O739)/G739</f>
        <v/>
      </c>
      <c r="S739" s="55">
        <f>VLOOKUP(D739,Products!$A$2:$F$61,6,FALSE())</f>
        <v/>
      </c>
    </row>
    <row r="740" ht="15" customHeight="1" s="56">
      <c r="A740" s="55">
        <f>Orders!A740</f>
        <v/>
      </c>
      <c r="B740" s="103">
        <f>Orders!B740</f>
        <v/>
      </c>
      <c r="C740" s="55">
        <f>Orders!C740</f>
        <v/>
      </c>
      <c r="D740" s="55">
        <f>Orders!D740</f>
        <v/>
      </c>
      <c r="E740" s="55">
        <f>Orders!E740</f>
        <v/>
      </c>
      <c r="F740" s="55">
        <f>Orders!F740</f>
        <v/>
      </c>
      <c r="G740" s="55">
        <f>Orders!G740</f>
        <v/>
      </c>
      <c r="H740" s="55">
        <f>Orders!H740</f>
        <v/>
      </c>
      <c r="I740" s="55">
        <f>Orders!I740</f>
        <v/>
      </c>
      <c r="J740" s="55">
        <f>Orders!J740</f>
        <v/>
      </c>
      <c r="K740" s="55">
        <f>Orders!K740</f>
        <v/>
      </c>
      <c r="L740" s="55">
        <f>VLOOKUP(D740,Products!$A$2:$F$61,3,FALSE())</f>
        <v/>
      </c>
      <c r="M740" s="55">
        <f>VLOOKUP(C740,Customers!$A$2:$F$301,5,FALSE())</f>
        <v/>
      </c>
      <c r="N740" s="55">
        <f>VLOOKUP(E740,Sales_Reps!$A$2:$E$31,3,FALSE())</f>
        <v/>
      </c>
      <c r="O740" s="55">
        <f>VLOOKUP(D740,Products!$A$2:$F$61,4,FALSE())</f>
        <v/>
      </c>
      <c r="P740" s="55">
        <f>VLOOKUP(C740,Customers!$A$2:$F$301,3,FALSE())</f>
        <v/>
      </c>
      <c r="Q740" s="55">
        <f>UPPER(TRIM(K740))</f>
        <v/>
      </c>
      <c r="R740" s="55">
        <f>(G740-O740)/G740</f>
        <v/>
      </c>
      <c r="S740" s="55">
        <f>VLOOKUP(D740,Products!$A$2:$F$61,6,FALSE())</f>
        <v/>
      </c>
    </row>
    <row r="741" ht="15" customHeight="1" s="56">
      <c r="A741" s="55">
        <f>Orders!A741</f>
        <v/>
      </c>
      <c r="B741" s="103">
        <f>Orders!B741</f>
        <v/>
      </c>
      <c r="C741" s="55">
        <f>Orders!C741</f>
        <v/>
      </c>
      <c r="D741" s="55">
        <f>Orders!D741</f>
        <v/>
      </c>
      <c r="E741" s="55">
        <f>Orders!E741</f>
        <v/>
      </c>
      <c r="F741" s="55">
        <f>Orders!F741</f>
        <v/>
      </c>
      <c r="G741" s="55">
        <f>Orders!G741</f>
        <v/>
      </c>
      <c r="H741" s="55">
        <f>Orders!H741</f>
        <v/>
      </c>
      <c r="I741" s="55">
        <f>Orders!I741</f>
        <v/>
      </c>
      <c r="J741" s="55">
        <f>Orders!J741</f>
        <v/>
      </c>
      <c r="K741" s="55">
        <f>Orders!K741</f>
        <v/>
      </c>
      <c r="L741" s="55">
        <f>VLOOKUP(D741,Products!$A$2:$F$61,3,FALSE())</f>
        <v/>
      </c>
      <c r="M741" s="55">
        <f>VLOOKUP(C741,Customers!$A$2:$F$301,5,FALSE())</f>
        <v/>
      </c>
      <c r="N741" s="55">
        <f>VLOOKUP(E741,Sales_Reps!$A$2:$E$31,3,FALSE())</f>
        <v/>
      </c>
      <c r="O741" s="55">
        <f>VLOOKUP(D741,Products!$A$2:$F$61,4,FALSE())</f>
        <v/>
      </c>
      <c r="P741" s="55">
        <f>VLOOKUP(C741,Customers!$A$2:$F$301,3,FALSE())</f>
        <v/>
      </c>
      <c r="Q741" s="55">
        <f>UPPER(TRIM(K741))</f>
        <v/>
      </c>
      <c r="R741" s="55">
        <f>(G741-O741)/G741</f>
        <v/>
      </c>
      <c r="S741" s="55">
        <f>VLOOKUP(D741,Products!$A$2:$F$61,6,FALSE())</f>
        <v/>
      </c>
    </row>
    <row r="742" ht="15" customHeight="1" s="56">
      <c r="A742" s="55">
        <f>Orders!A742</f>
        <v/>
      </c>
      <c r="B742" s="103">
        <f>Orders!B742</f>
        <v/>
      </c>
      <c r="C742" s="55">
        <f>Orders!C742</f>
        <v/>
      </c>
      <c r="D742" s="55">
        <f>Orders!D742</f>
        <v/>
      </c>
      <c r="E742" s="55">
        <f>Orders!E742</f>
        <v/>
      </c>
      <c r="F742" s="55">
        <f>Orders!F742</f>
        <v/>
      </c>
      <c r="G742" s="55">
        <f>Orders!G742</f>
        <v/>
      </c>
      <c r="H742" s="55">
        <f>Orders!H742</f>
        <v/>
      </c>
      <c r="I742" s="55">
        <f>Orders!I742</f>
        <v/>
      </c>
      <c r="J742" s="55">
        <f>Orders!J742</f>
        <v/>
      </c>
      <c r="K742" s="55">
        <f>Orders!K742</f>
        <v/>
      </c>
      <c r="L742" s="55">
        <f>VLOOKUP(D742,Products!$A$2:$F$61,3,FALSE())</f>
        <v/>
      </c>
      <c r="M742" s="55">
        <f>VLOOKUP(C742,Customers!$A$2:$F$301,5,FALSE())</f>
        <v/>
      </c>
      <c r="N742" s="55">
        <f>VLOOKUP(E742,Sales_Reps!$A$2:$E$31,3,FALSE())</f>
        <v/>
      </c>
      <c r="O742" s="55">
        <f>VLOOKUP(D742,Products!$A$2:$F$61,4,FALSE())</f>
        <v/>
      </c>
      <c r="P742" s="55">
        <f>VLOOKUP(C742,Customers!$A$2:$F$301,3,FALSE())</f>
        <v/>
      </c>
      <c r="Q742" s="55">
        <f>UPPER(TRIM(K742))</f>
        <v/>
      </c>
      <c r="R742" s="55">
        <f>(G742-O742)/G742</f>
        <v/>
      </c>
      <c r="S742" s="55">
        <f>VLOOKUP(D742,Products!$A$2:$F$61,6,FALSE())</f>
        <v/>
      </c>
    </row>
    <row r="743" ht="15" customHeight="1" s="56">
      <c r="A743" s="55">
        <f>Orders!A743</f>
        <v/>
      </c>
      <c r="B743" s="103">
        <f>Orders!B743</f>
        <v/>
      </c>
      <c r="C743" s="55">
        <f>Orders!C743</f>
        <v/>
      </c>
      <c r="D743" s="55">
        <f>Orders!D743</f>
        <v/>
      </c>
      <c r="E743" s="55">
        <f>Orders!E743</f>
        <v/>
      </c>
      <c r="F743" s="55">
        <f>Orders!F743</f>
        <v/>
      </c>
      <c r="G743" s="55">
        <f>Orders!G743</f>
        <v/>
      </c>
      <c r="H743" s="55">
        <f>Orders!H743</f>
        <v/>
      </c>
      <c r="I743" s="55">
        <f>Orders!I743</f>
        <v/>
      </c>
      <c r="J743" s="55">
        <f>Orders!J743</f>
        <v/>
      </c>
      <c r="K743" s="55">
        <f>Orders!K743</f>
        <v/>
      </c>
      <c r="L743" s="55">
        <f>VLOOKUP(D743,Products!$A$2:$F$61,3,FALSE())</f>
        <v/>
      </c>
      <c r="M743" s="55">
        <f>VLOOKUP(C743,Customers!$A$2:$F$301,5,FALSE())</f>
        <v/>
      </c>
      <c r="N743" s="55">
        <f>VLOOKUP(E743,Sales_Reps!$A$2:$E$31,3,FALSE())</f>
        <v/>
      </c>
      <c r="O743" s="55">
        <f>VLOOKUP(D743,Products!$A$2:$F$61,4,FALSE())</f>
        <v/>
      </c>
      <c r="P743" s="55">
        <f>VLOOKUP(C743,Customers!$A$2:$F$301,3,FALSE())</f>
        <v/>
      </c>
      <c r="Q743" s="55">
        <f>UPPER(TRIM(K743))</f>
        <v/>
      </c>
      <c r="R743" s="55">
        <f>(G743-O743)/G743</f>
        <v/>
      </c>
      <c r="S743" s="55">
        <f>VLOOKUP(D743,Products!$A$2:$F$61,6,FALSE())</f>
        <v/>
      </c>
    </row>
    <row r="744" ht="15" customHeight="1" s="56">
      <c r="A744" s="55">
        <f>Orders!A744</f>
        <v/>
      </c>
      <c r="B744" s="103">
        <f>Orders!B744</f>
        <v/>
      </c>
      <c r="C744" s="55">
        <f>Orders!C744</f>
        <v/>
      </c>
      <c r="D744" s="55">
        <f>Orders!D744</f>
        <v/>
      </c>
      <c r="E744" s="55">
        <f>Orders!E744</f>
        <v/>
      </c>
      <c r="F744" s="55">
        <f>Orders!F744</f>
        <v/>
      </c>
      <c r="G744" s="55">
        <f>Orders!G744</f>
        <v/>
      </c>
      <c r="H744" s="55">
        <f>Orders!H744</f>
        <v/>
      </c>
      <c r="I744" s="55">
        <f>Orders!I744</f>
        <v/>
      </c>
      <c r="J744" s="55">
        <f>Orders!J744</f>
        <v/>
      </c>
      <c r="K744" s="55">
        <f>Orders!K744</f>
        <v/>
      </c>
      <c r="L744" s="55">
        <f>VLOOKUP(D744,Products!$A$2:$F$61,3,FALSE())</f>
        <v/>
      </c>
      <c r="M744" s="55">
        <f>VLOOKUP(C744,Customers!$A$2:$F$301,5,FALSE())</f>
        <v/>
      </c>
      <c r="N744" s="55">
        <f>VLOOKUP(E744,Sales_Reps!$A$2:$E$31,3,FALSE())</f>
        <v/>
      </c>
      <c r="O744" s="55">
        <f>VLOOKUP(D744,Products!$A$2:$F$61,4,FALSE())</f>
        <v/>
      </c>
      <c r="P744" s="55">
        <f>VLOOKUP(C744,Customers!$A$2:$F$301,3,FALSE())</f>
        <v/>
      </c>
      <c r="Q744" s="55">
        <f>UPPER(TRIM(K744))</f>
        <v/>
      </c>
      <c r="R744" s="55">
        <f>(G744-O744)/G744</f>
        <v/>
      </c>
      <c r="S744" s="55">
        <f>VLOOKUP(D744,Products!$A$2:$F$61,6,FALSE())</f>
        <v/>
      </c>
    </row>
    <row r="745" ht="15" customHeight="1" s="56">
      <c r="A745" s="55">
        <f>Orders!A745</f>
        <v/>
      </c>
      <c r="B745" s="103">
        <f>Orders!B745</f>
        <v/>
      </c>
      <c r="C745" s="55">
        <f>Orders!C745</f>
        <v/>
      </c>
      <c r="D745" s="55">
        <f>Orders!D745</f>
        <v/>
      </c>
      <c r="E745" s="55">
        <f>Orders!E745</f>
        <v/>
      </c>
      <c r="F745" s="55">
        <f>Orders!F745</f>
        <v/>
      </c>
      <c r="G745" s="55">
        <f>Orders!G745</f>
        <v/>
      </c>
      <c r="H745" s="55">
        <f>Orders!H745</f>
        <v/>
      </c>
      <c r="I745" s="55">
        <f>Orders!I745</f>
        <v/>
      </c>
      <c r="J745" s="55">
        <f>Orders!J745</f>
        <v/>
      </c>
      <c r="K745" s="55">
        <f>Orders!K745</f>
        <v/>
      </c>
      <c r="L745" s="55">
        <f>VLOOKUP(D745,Products!$A$2:$F$61,3,FALSE())</f>
        <v/>
      </c>
      <c r="M745" s="55">
        <f>VLOOKUP(C745,Customers!$A$2:$F$301,5,FALSE())</f>
        <v/>
      </c>
      <c r="N745" s="55">
        <f>VLOOKUP(E745,Sales_Reps!$A$2:$E$31,3,FALSE())</f>
        <v/>
      </c>
      <c r="O745" s="55">
        <f>VLOOKUP(D745,Products!$A$2:$F$61,4,FALSE())</f>
        <v/>
      </c>
      <c r="P745" s="55">
        <f>VLOOKUP(C745,Customers!$A$2:$F$301,3,FALSE())</f>
        <v/>
      </c>
      <c r="Q745" s="55">
        <f>UPPER(TRIM(K745))</f>
        <v/>
      </c>
      <c r="R745" s="55">
        <f>(G745-O745)/G745</f>
        <v/>
      </c>
      <c r="S745" s="55">
        <f>VLOOKUP(D745,Products!$A$2:$F$61,6,FALSE())</f>
        <v/>
      </c>
    </row>
    <row r="746" ht="15" customHeight="1" s="56">
      <c r="A746" s="55">
        <f>Orders!A746</f>
        <v/>
      </c>
      <c r="B746" s="103">
        <f>Orders!B746</f>
        <v/>
      </c>
      <c r="C746" s="55">
        <f>Orders!C746</f>
        <v/>
      </c>
      <c r="D746" s="55">
        <f>Orders!D746</f>
        <v/>
      </c>
      <c r="E746" s="55">
        <f>Orders!E746</f>
        <v/>
      </c>
      <c r="F746" s="55">
        <f>Orders!F746</f>
        <v/>
      </c>
      <c r="G746" s="55">
        <f>Orders!G746</f>
        <v/>
      </c>
      <c r="H746" s="55">
        <f>Orders!H746</f>
        <v/>
      </c>
      <c r="I746" s="55">
        <f>Orders!I746</f>
        <v/>
      </c>
      <c r="J746" s="55">
        <f>Orders!J746</f>
        <v/>
      </c>
      <c r="K746" s="55">
        <f>Orders!K746</f>
        <v/>
      </c>
      <c r="L746" s="55">
        <f>VLOOKUP(D746,Products!$A$2:$F$61,3,FALSE())</f>
        <v/>
      </c>
      <c r="M746" s="55">
        <f>VLOOKUP(C746,Customers!$A$2:$F$301,5,FALSE())</f>
        <v/>
      </c>
      <c r="N746" s="55">
        <f>VLOOKUP(E746,Sales_Reps!$A$2:$E$31,3,FALSE())</f>
        <v/>
      </c>
      <c r="O746" s="55">
        <f>VLOOKUP(D746,Products!$A$2:$F$61,4,FALSE())</f>
        <v/>
      </c>
      <c r="P746" s="55">
        <f>VLOOKUP(C746,Customers!$A$2:$F$301,3,FALSE())</f>
        <v/>
      </c>
      <c r="Q746" s="55">
        <f>UPPER(TRIM(K746))</f>
        <v/>
      </c>
      <c r="R746" s="55">
        <f>(G746-O746)/G746</f>
        <v/>
      </c>
      <c r="S746" s="55">
        <f>VLOOKUP(D746,Products!$A$2:$F$61,6,FALSE())</f>
        <v/>
      </c>
    </row>
    <row r="747" ht="15" customHeight="1" s="56">
      <c r="A747" s="55">
        <f>Orders!A747</f>
        <v/>
      </c>
      <c r="B747" s="103">
        <f>Orders!B747</f>
        <v/>
      </c>
      <c r="C747" s="55">
        <f>Orders!C747</f>
        <v/>
      </c>
      <c r="D747" s="55">
        <f>Orders!D747</f>
        <v/>
      </c>
      <c r="E747" s="55">
        <f>Orders!E747</f>
        <v/>
      </c>
      <c r="F747" s="55">
        <f>Orders!F747</f>
        <v/>
      </c>
      <c r="G747" s="55">
        <f>Orders!G747</f>
        <v/>
      </c>
      <c r="H747" s="55">
        <f>Orders!H747</f>
        <v/>
      </c>
      <c r="I747" s="55">
        <f>Orders!I747</f>
        <v/>
      </c>
      <c r="J747" s="55">
        <f>Orders!J747</f>
        <v/>
      </c>
      <c r="K747" s="55">
        <f>Orders!K747</f>
        <v/>
      </c>
      <c r="L747" s="55">
        <f>VLOOKUP(D747,Products!$A$2:$F$61,3,FALSE())</f>
        <v/>
      </c>
      <c r="M747" s="55">
        <f>VLOOKUP(C747,Customers!$A$2:$F$301,5,FALSE())</f>
        <v/>
      </c>
      <c r="N747" s="55">
        <f>VLOOKUP(E747,Sales_Reps!$A$2:$E$31,3,FALSE())</f>
        <v/>
      </c>
      <c r="O747" s="55">
        <f>VLOOKUP(D747,Products!$A$2:$F$61,4,FALSE())</f>
        <v/>
      </c>
      <c r="P747" s="55">
        <f>VLOOKUP(C747,Customers!$A$2:$F$301,3,FALSE())</f>
        <v/>
      </c>
      <c r="Q747" s="55">
        <f>UPPER(TRIM(K747))</f>
        <v/>
      </c>
      <c r="R747" s="55">
        <f>(G747-O747)/G747</f>
        <v/>
      </c>
      <c r="S747" s="55">
        <f>VLOOKUP(D747,Products!$A$2:$F$61,6,FALSE())</f>
        <v/>
      </c>
    </row>
    <row r="748" ht="15" customHeight="1" s="56">
      <c r="A748" s="55">
        <f>Orders!A748</f>
        <v/>
      </c>
      <c r="B748" s="103">
        <f>Orders!B748</f>
        <v/>
      </c>
      <c r="C748" s="55">
        <f>Orders!C748</f>
        <v/>
      </c>
      <c r="D748" s="55">
        <f>Orders!D748</f>
        <v/>
      </c>
      <c r="E748" s="55">
        <f>Orders!E748</f>
        <v/>
      </c>
      <c r="F748" s="55">
        <f>Orders!F748</f>
        <v/>
      </c>
      <c r="G748" s="55">
        <f>Orders!G748</f>
        <v/>
      </c>
      <c r="H748" s="55">
        <f>Orders!H748</f>
        <v/>
      </c>
      <c r="I748" s="55">
        <f>Orders!I748</f>
        <v/>
      </c>
      <c r="J748" s="55">
        <f>Orders!J748</f>
        <v/>
      </c>
      <c r="K748" s="55">
        <f>Orders!K748</f>
        <v/>
      </c>
      <c r="L748" s="55">
        <f>VLOOKUP(D748,Products!$A$2:$F$61,3,FALSE())</f>
        <v/>
      </c>
      <c r="M748" s="55">
        <f>VLOOKUP(C748,Customers!$A$2:$F$301,5,FALSE())</f>
        <v/>
      </c>
      <c r="N748" s="55">
        <f>VLOOKUP(E748,Sales_Reps!$A$2:$E$31,3,FALSE())</f>
        <v/>
      </c>
      <c r="O748" s="55">
        <f>VLOOKUP(D748,Products!$A$2:$F$61,4,FALSE())</f>
        <v/>
      </c>
      <c r="P748" s="55">
        <f>VLOOKUP(C748,Customers!$A$2:$F$301,3,FALSE())</f>
        <v/>
      </c>
      <c r="Q748" s="55">
        <f>UPPER(TRIM(K748))</f>
        <v/>
      </c>
      <c r="R748" s="55">
        <f>(G748-O748)/G748</f>
        <v/>
      </c>
      <c r="S748" s="55">
        <f>VLOOKUP(D748,Products!$A$2:$F$61,6,FALSE())</f>
        <v/>
      </c>
    </row>
    <row r="749" ht="15" customHeight="1" s="56">
      <c r="A749" s="55">
        <f>Orders!A749</f>
        <v/>
      </c>
      <c r="B749" s="103">
        <f>Orders!B749</f>
        <v/>
      </c>
      <c r="C749" s="55">
        <f>Orders!C749</f>
        <v/>
      </c>
      <c r="D749" s="55">
        <f>Orders!D749</f>
        <v/>
      </c>
      <c r="E749" s="55">
        <f>Orders!E749</f>
        <v/>
      </c>
      <c r="F749" s="55">
        <f>Orders!F749</f>
        <v/>
      </c>
      <c r="G749" s="55">
        <f>Orders!G749</f>
        <v/>
      </c>
      <c r="H749" s="55">
        <f>Orders!H749</f>
        <v/>
      </c>
      <c r="I749" s="55">
        <f>Orders!I749</f>
        <v/>
      </c>
      <c r="J749" s="55">
        <f>Orders!J749</f>
        <v/>
      </c>
      <c r="K749" s="55">
        <f>Orders!K749</f>
        <v/>
      </c>
      <c r="L749" s="55">
        <f>VLOOKUP(D749,Products!$A$2:$F$61,3,FALSE())</f>
        <v/>
      </c>
      <c r="M749" s="55">
        <f>VLOOKUP(C749,Customers!$A$2:$F$301,5,FALSE())</f>
        <v/>
      </c>
      <c r="N749" s="55">
        <f>VLOOKUP(E749,Sales_Reps!$A$2:$E$31,3,FALSE())</f>
        <v/>
      </c>
      <c r="O749" s="55">
        <f>VLOOKUP(D749,Products!$A$2:$F$61,4,FALSE())</f>
        <v/>
      </c>
      <c r="P749" s="55">
        <f>VLOOKUP(C749,Customers!$A$2:$F$301,3,FALSE())</f>
        <v/>
      </c>
      <c r="Q749" s="55">
        <f>UPPER(TRIM(K749))</f>
        <v/>
      </c>
      <c r="R749" s="55">
        <f>(G749-O749)/G749</f>
        <v/>
      </c>
      <c r="S749" s="55">
        <f>VLOOKUP(D749,Products!$A$2:$F$61,6,FALSE())</f>
        <v/>
      </c>
    </row>
    <row r="750" ht="15" customHeight="1" s="56">
      <c r="A750" s="55">
        <f>Orders!A750</f>
        <v/>
      </c>
      <c r="B750" s="103">
        <f>Orders!B750</f>
        <v/>
      </c>
      <c r="C750" s="55">
        <f>Orders!C750</f>
        <v/>
      </c>
      <c r="D750" s="55">
        <f>Orders!D750</f>
        <v/>
      </c>
      <c r="E750" s="55">
        <f>Orders!E750</f>
        <v/>
      </c>
      <c r="F750" s="55">
        <f>Orders!F750</f>
        <v/>
      </c>
      <c r="G750" s="55">
        <f>Orders!G750</f>
        <v/>
      </c>
      <c r="H750" s="55">
        <f>Orders!H750</f>
        <v/>
      </c>
      <c r="I750" s="55">
        <f>Orders!I750</f>
        <v/>
      </c>
      <c r="J750" s="55">
        <f>Orders!J750</f>
        <v/>
      </c>
      <c r="K750" s="55">
        <f>Orders!K750</f>
        <v/>
      </c>
      <c r="L750" s="55">
        <f>VLOOKUP(D750,Products!$A$2:$F$61,3,FALSE())</f>
        <v/>
      </c>
      <c r="M750" s="55">
        <f>VLOOKUP(C750,Customers!$A$2:$F$301,5,FALSE())</f>
        <v/>
      </c>
      <c r="N750" s="55">
        <f>VLOOKUP(E750,Sales_Reps!$A$2:$E$31,3,FALSE())</f>
        <v/>
      </c>
      <c r="O750" s="55">
        <f>VLOOKUP(D750,Products!$A$2:$F$61,4,FALSE())</f>
        <v/>
      </c>
      <c r="P750" s="55">
        <f>VLOOKUP(C750,Customers!$A$2:$F$301,3,FALSE())</f>
        <v/>
      </c>
      <c r="Q750" s="55">
        <f>UPPER(TRIM(K750))</f>
        <v/>
      </c>
      <c r="R750" s="55">
        <f>(G750-O750)/G750</f>
        <v/>
      </c>
      <c r="S750" s="55">
        <f>VLOOKUP(D750,Products!$A$2:$F$61,6,FALSE())</f>
        <v/>
      </c>
    </row>
    <row r="751" ht="15" customHeight="1" s="56">
      <c r="A751" s="55">
        <f>Orders!A751</f>
        <v/>
      </c>
      <c r="B751" s="103">
        <f>Orders!B751</f>
        <v/>
      </c>
      <c r="C751" s="55">
        <f>Orders!C751</f>
        <v/>
      </c>
      <c r="D751" s="55">
        <f>Orders!D751</f>
        <v/>
      </c>
      <c r="E751" s="55">
        <f>Orders!E751</f>
        <v/>
      </c>
      <c r="F751" s="55">
        <f>Orders!F751</f>
        <v/>
      </c>
      <c r="G751" s="55">
        <f>Orders!G751</f>
        <v/>
      </c>
      <c r="H751" s="55">
        <f>Orders!H751</f>
        <v/>
      </c>
      <c r="I751" s="55">
        <f>Orders!I751</f>
        <v/>
      </c>
      <c r="J751" s="55">
        <f>Orders!J751</f>
        <v/>
      </c>
      <c r="K751" s="55">
        <f>Orders!K751</f>
        <v/>
      </c>
      <c r="L751" s="55">
        <f>VLOOKUP(D751,Products!$A$2:$F$61,3,FALSE())</f>
        <v/>
      </c>
      <c r="M751" s="55">
        <f>VLOOKUP(C751,Customers!$A$2:$F$301,5,FALSE())</f>
        <v/>
      </c>
      <c r="N751" s="55">
        <f>VLOOKUP(E751,Sales_Reps!$A$2:$E$31,3,FALSE())</f>
        <v/>
      </c>
      <c r="O751" s="55">
        <f>VLOOKUP(D751,Products!$A$2:$F$61,4,FALSE())</f>
        <v/>
      </c>
      <c r="P751" s="55">
        <f>VLOOKUP(C751,Customers!$A$2:$F$301,3,FALSE())</f>
        <v/>
      </c>
      <c r="Q751" s="55">
        <f>UPPER(TRIM(K751))</f>
        <v/>
      </c>
      <c r="R751" s="55">
        <f>(G751-O751)/G751</f>
        <v/>
      </c>
      <c r="S751" s="55">
        <f>VLOOKUP(D751,Products!$A$2:$F$61,6,FALSE())</f>
        <v/>
      </c>
    </row>
    <row r="752" ht="15" customHeight="1" s="56">
      <c r="A752" s="55">
        <f>Orders!A752</f>
        <v/>
      </c>
      <c r="B752" s="103">
        <f>Orders!B752</f>
        <v/>
      </c>
      <c r="C752" s="55">
        <f>Orders!C752</f>
        <v/>
      </c>
      <c r="D752" s="55">
        <f>Orders!D752</f>
        <v/>
      </c>
      <c r="E752" s="55">
        <f>Orders!E752</f>
        <v/>
      </c>
      <c r="F752" s="55">
        <f>Orders!F752</f>
        <v/>
      </c>
      <c r="G752" s="55">
        <f>Orders!G752</f>
        <v/>
      </c>
      <c r="H752" s="55">
        <f>Orders!H752</f>
        <v/>
      </c>
      <c r="I752" s="55">
        <f>Orders!I752</f>
        <v/>
      </c>
      <c r="J752" s="55">
        <f>Orders!J752</f>
        <v/>
      </c>
      <c r="K752" s="55">
        <f>Orders!K752</f>
        <v/>
      </c>
      <c r="L752" s="55">
        <f>VLOOKUP(D752,Products!$A$2:$F$61,3,FALSE())</f>
        <v/>
      </c>
      <c r="M752" s="55">
        <f>VLOOKUP(C752,Customers!$A$2:$F$301,5,FALSE())</f>
        <v/>
      </c>
      <c r="N752" s="55">
        <f>VLOOKUP(E752,Sales_Reps!$A$2:$E$31,3,FALSE())</f>
        <v/>
      </c>
      <c r="O752" s="55">
        <f>VLOOKUP(D752,Products!$A$2:$F$61,4,FALSE())</f>
        <v/>
      </c>
      <c r="P752" s="55">
        <f>VLOOKUP(C752,Customers!$A$2:$F$301,3,FALSE())</f>
        <v/>
      </c>
      <c r="Q752" s="55">
        <f>UPPER(TRIM(K752))</f>
        <v/>
      </c>
      <c r="R752" s="55">
        <f>(G752-O752)/G752</f>
        <v/>
      </c>
      <c r="S752" s="55">
        <f>VLOOKUP(D752,Products!$A$2:$F$61,6,FALSE())</f>
        <v/>
      </c>
    </row>
    <row r="753" ht="15" customHeight="1" s="56">
      <c r="A753" s="55">
        <f>Orders!A753</f>
        <v/>
      </c>
      <c r="B753" s="103">
        <f>Orders!B753</f>
        <v/>
      </c>
      <c r="C753" s="55">
        <f>Orders!C753</f>
        <v/>
      </c>
      <c r="D753" s="55">
        <f>Orders!D753</f>
        <v/>
      </c>
      <c r="E753" s="55">
        <f>Orders!E753</f>
        <v/>
      </c>
      <c r="F753" s="55">
        <f>Orders!F753</f>
        <v/>
      </c>
      <c r="G753" s="55">
        <f>Orders!G753</f>
        <v/>
      </c>
      <c r="H753" s="55">
        <f>Orders!H753</f>
        <v/>
      </c>
      <c r="I753" s="55">
        <f>Orders!I753</f>
        <v/>
      </c>
      <c r="J753" s="55">
        <f>Orders!J753</f>
        <v/>
      </c>
      <c r="K753" s="55">
        <f>Orders!K753</f>
        <v/>
      </c>
      <c r="L753" s="55">
        <f>VLOOKUP(D753,Products!$A$2:$F$61,3,FALSE())</f>
        <v/>
      </c>
      <c r="M753" s="55">
        <f>VLOOKUP(C753,Customers!$A$2:$F$301,5,FALSE())</f>
        <v/>
      </c>
      <c r="N753" s="55">
        <f>VLOOKUP(E753,Sales_Reps!$A$2:$E$31,3,FALSE())</f>
        <v/>
      </c>
      <c r="O753" s="55">
        <f>VLOOKUP(D753,Products!$A$2:$F$61,4,FALSE())</f>
        <v/>
      </c>
      <c r="P753" s="55">
        <f>VLOOKUP(C753,Customers!$A$2:$F$301,3,FALSE())</f>
        <v/>
      </c>
      <c r="Q753" s="55">
        <f>UPPER(TRIM(K753))</f>
        <v/>
      </c>
      <c r="R753" s="55">
        <f>(G753-O753)/G753</f>
        <v/>
      </c>
      <c r="S753" s="55">
        <f>VLOOKUP(D753,Products!$A$2:$F$61,6,FALSE())</f>
        <v/>
      </c>
    </row>
    <row r="754" ht="15" customHeight="1" s="56">
      <c r="A754" s="55">
        <f>Orders!A754</f>
        <v/>
      </c>
      <c r="B754" s="103">
        <f>Orders!B754</f>
        <v/>
      </c>
      <c r="C754" s="55">
        <f>Orders!C754</f>
        <v/>
      </c>
      <c r="D754" s="55">
        <f>Orders!D754</f>
        <v/>
      </c>
      <c r="E754" s="55">
        <f>Orders!E754</f>
        <v/>
      </c>
      <c r="F754" s="55">
        <f>Orders!F754</f>
        <v/>
      </c>
      <c r="G754" s="55">
        <f>Orders!G754</f>
        <v/>
      </c>
      <c r="H754" s="55">
        <f>Orders!H754</f>
        <v/>
      </c>
      <c r="I754" s="55">
        <f>Orders!I754</f>
        <v/>
      </c>
      <c r="J754" s="55">
        <f>Orders!J754</f>
        <v/>
      </c>
      <c r="K754" s="55">
        <f>Orders!K754</f>
        <v/>
      </c>
      <c r="L754" s="55">
        <f>VLOOKUP(D754,Products!$A$2:$F$61,3,FALSE())</f>
        <v/>
      </c>
      <c r="M754" s="55">
        <f>VLOOKUP(C754,Customers!$A$2:$F$301,5,FALSE())</f>
        <v/>
      </c>
      <c r="N754" s="55">
        <f>VLOOKUP(E754,Sales_Reps!$A$2:$E$31,3,FALSE())</f>
        <v/>
      </c>
      <c r="O754" s="55">
        <f>VLOOKUP(D754,Products!$A$2:$F$61,4,FALSE())</f>
        <v/>
      </c>
      <c r="P754" s="55">
        <f>VLOOKUP(C754,Customers!$A$2:$F$301,3,FALSE())</f>
        <v/>
      </c>
      <c r="Q754" s="55">
        <f>UPPER(TRIM(K754))</f>
        <v/>
      </c>
      <c r="R754" s="55">
        <f>(G754-O754)/G754</f>
        <v/>
      </c>
      <c r="S754" s="55">
        <f>VLOOKUP(D754,Products!$A$2:$F$61,6,FALSE())</f>
        <v/>
      </c>
    </row>
    <row r="755" ht="15" customHeight="1" s="56">
      <c r="A755" s="55">
        <f>Orders!A755</f>
        <v/>
      </c>
      <c r="B755" s="103">
        <f>Orders!B755</f>
        <v/>
      </c>
      <c r="C755" s="55">
        <f>Orders!C755</f>
        <v/>
      </c>
      <c r="D755" s="55">
        <f>Orders!D755</f>
        <v/>
      </c>
      <c r="E755" s="55">
        <f>Orders!E755</f>
        <v/>
      </c>
      <c r="F755" s="55">
        <f>Orders!F755</f>
        <v/>
      </c>
      <c r="G755" s="55">
        <f>Orders!G755</f>
        <v/>
      </c>
      <c r="H755" s="55">
        <f>Orders!H755</f>
        <v/>
      </c>
      <c r="I755" s="55">
        <f>Orders!I755</f>
        <v/>
      </c>
      <c r="J755" s="55">
        <f>Orders!J755</f>
        <v/>
      </c>
      <c r="K755" s="55">
        <f>Orders!K755</f>
        <v/>
      </c>
      <c r="L755" s="55">
        <f>VLOOKUP(D755,Products!$A$2:$F$61,3,FALSE())</f>
        <v/>
      </c>
      <c r="M755" s="55">
        <f>VLOOKUP(C755,Customers!$A$2:$F$301,5,FALSE())</f>
        <v/>
      </c>
      <c r="N755" s="55">
        <f>VLOOKUP(E755,Sales_Reps!$A$2:$E$31,3,FALSE())</f>
        <v/>
      </c>
      <c r="O755" s="55">
        <f>VLOOKUP(D755,Products!$A$2:$F$61,4,FALSE())</f>
        <v/>
      </c>
      <c r="P755" s="55">
        <f>VLOOKUP(C755,Customers!$A$2:$F$301,3,FALSE())</f>
        <v/>
      </c>
      <c r="Q755" s="55">
        <f>UPPER(TRIM(K755))</f>
        <v/>
      </c>
      <c r="R755" s="55">
        <f>(G755-O755)/G755</f>
        <v/>
      </c>
      <c r="S755" s="55">
        <f>VLOOKUP(D755,Products!$A$2:$F$61,6,FALSE())</f>
        <v/>
      </c>
    </row>
    <row r="756" ht="15" customHeight="1" s="56">
      <c r="A756" s="55">
        <f>Orders!A756</f>
        <v/>
      </c>
      <c r="B756" s="103">
        <f>Orders!B756</f>
        <v/>
      </c>
      <c r="C756" s="55">
        <f>Orders!C756</f>
        <v/>
      </c>
      <c r="D756" s="55">
        <f>Orders!D756</f>
        <v/>
      </c>
      <c r="E756" s="55">
        <f>Orders!E756</f>
        <v/>
      </c>
      <c r="F756" s="55">
        <f>Orders!F756</f>
        <v/>
      </c>
      <c r="G756" s="55">
        <f>Orders!G756</f>
        <v/>
      </c>
      <c r="H756" s="55">
        <f>Orders!H756</f>
        <v/>
      </c>
      <c r="I756" s="55">
        <f>Orders!I756</f>
        <v/>
      </c>
      <c r="J756" s="55">
        <f>Orders!J756</f>
        <v/>
      </c>
      <c r="K756" s="55">
        <f>Orders!K756</f>
        <v/>
      </c>
      <c r="L756" s="55">
        <f>VLOOKUP(D756,Products!$A$2:$F$61,3,FALSE())</f>
        <v/>
      </c>
      <c r="M756" s="55">
        <f>VLOOKUP(C756,Customers!$A$2:$F$301,5,FALSE())</f>
        <v/>
      </c>
      <c r="N756" s="55">
        <f>VLOOKUP(E756,Sales_Reps!$A$2:$E$31,3,FALSE())</f>
        <v/>
      </c>
      <c r="O756" s="55">
        <f>VLOOKUP(D756,Products!$A$2:$F$61,4,FALSE())</f>
        <v/>
      </c>
      <c r="P756" s="55">
        <f>VLOOKUP(C756,Customers!$A$2:$F$301,3,FALSE())</f>
        <v/>
      </c>
      <c r="Q756" s="55">
        <f>UPPER(TRIM(K756))</f>
        <v/>
      </c>
      <c r="R756" s="55">
        <f>(G756-O756)/G756</f>
        <v/>
      </c>
      <c r="S756" s="55">
        <f>VLOOKUP(D756,Products!$A$2:$F$61,6,FALSE())</f>
        <v/>
      </c>
    </row>
    <row r="757" ht="15" customHeight="1" s="56">
      <c r="A757" s="55">
        <f>Orders!A757</f>
        <v/>
      </c>
      <c r="B757" s="103">
        <f>Orders!B757</f>
        <v/>
      </c>
      <c r="C757" s="55">
        <f>Orders!C757</f>
        <v/>
      </c>
      <c r="D757" s="55">
        <f>Orders!D757</f>
        <v/>
      </c>
      <c r="E757" s="55">
        <f>Orders!E757</f>
        <v/>
      </c>
      <c r="F757" s="55">
        <f>Orders!F757</f>
        <v/>
      </c>
      <c r="G757" s="55">
        <f>Orders!G757</f>
        <v/>
      </c>
      <c r="H757" s="55">
        <f>Orders!H757</f>
        <v/>
      </c>
      <c r="I757" s="55">
        <f>Orders!I757</f>
        <v/>
      </c>
      <c r="J757" s="55">
        <f>Orders!J757</f>
        <v/>
      </c>
      <c r="K757" s="55">
        <f>Orders!K757</f>
        <v/>
      </c>
      <c r="L757" s="55">
        <f>VLOOKUP(D757,Products!$A$2:$F$61,3,FALSE())</f>
        <v/>
      </c>
      <c r="M757" s="55">
        <f>VLOOKUP(C757,Customers!$A$2:$F$301,5,FALSE())</f>
        <v/>
      </c>
      <c r="N757" s="55">
        <f>VLOOKUP(E757,Sales_Reps!$A$2:$E$31,3,FALSE())</f>
        <v/>
      </c>
      <c r="O757" s="55">
        <f>VLOOKUP(D757,Products!$A$2:$F$61,4,FALSE())</f>
        <v/>
      </c>
      <c r="P757" s="55">
        <f>VLOOKUP(C757,Customers!$A$2:$F$301,3,FALSE())</f>
        <v/>
      </c>
      <c r="Q757" s="55">
        <f>UPPER(TRIM(K757))</f>
        <v/>
      </c>
      <c r="R757" s="55">
        <f>(G757-O757)/G757</f>
        <v/>
      </c>
      <c r="S757" s="55">
        <f>VLOOKUP(D757,Products!$A$2:$F$61,6,FALSE())</f>
        <v/>
      </c>
    </row>
    <row r="758" ht="15" customHeight="1" s="56">
      <c r="A758" s="55">
        <f>Orders!A758</f>
        <v/>
      </c>
      <c r="B758" s="103">
        <f>Orders!B758</f>
        <v/>
      </c>
      <c r="C758" s="55">
        <f>Orders!C758</f>
        <v/>
      </c>
      <c r="D758" s="55">
        <f>Orders!D758</f>
        <v/>
      </c>
      <c r="E758" s="55">
        <f>Orders!E758</f>
        <v/>
      </c>
      <c r="F758" s="55">
        <f>Orders!F758</f>
        <v/>
      </c>
      <c r="G758" s="55">
        <f>Orders!G758</f>
        <v/>
      </c>
      <c r="H758" s="55">
        <f>Orders!H758</f>
        <v/>
      </c>
      <c r="I758" s="55">
        <f>Orders!I758</f>
        <v/>
      </c>
      <c r="J758" s="55">
        <f>Orders!J758</f>
        <v/>
      </c>
      <c r="K758" s="55">
        <f>Orders!K758</f>
        <v/>
      </c>
      <c r="L758" s="55">
        <f>VLOOKUP(D758,Products!$A$2:$F$61,3,FALSE())</f>
        <v/>
      </c>
      <c r="M758" s="55">
        <f>VLOOKUP(C758,Customers!$A$2:$F$301,5,FALSE())</f>
        <v/>
      </c>
      <c r="N758" s="55">
        <f>VLOOKUP(E758,Sales_Reps!$A$2:$E$31,3,FALSE())</f>
        <v/>
      </c>
      <c r="O758" s="55">
        <f>VLOOKUP(D758,Products!$A$2:$F$61,4,FALSE())</f>
        <v/>
      </c>
      <c r="P758" s="55">
        <f>VLOOKUP(C758,Customers!$A$2:$F$301,3,FALSE())</f>
        <v/>
      </c>
      <c r="Q758" s="55">
        <f>UPPER(TRIM(K758))</f>
        <v/>
      </c>
      <c r="R758" s="55">
        <f>(G758-O758)/G758</f>
        <v/>
      </c>
      <c r="S758" s="55">
        <f>VLOOKUP(D758,Products!$A$2:$F$61,6,FALSE())</f>
        <v/>
      </c>
    </row>
    <row r="759" ht="15" customHeight="1" s="56">
      <c r="A759" s="55">
        <f>Orders!A759</f>
        <v/>
      </c>
      <c r="B759" s="103">
        <f>Orders!B759</f>
        <v/>
      </c>
      <c r="C759" s="55">
        <f>Orders!C759</f>
        <v/>
      </c>
      <c r="D759" s="55">
        <f>Orders!D759</f>
        <v/>
      </c>
      <c r="E759" s="55">
        <f>Orders!E759</f>
        <v/>
      </c>
      <c r="F759" s="55">
        <f>Orders!F759</f>
        <v/>
      </c>
      <c r="G759" s="55">
        <f>Orders!G759</f>
        <v/>
      </c>
      <c r="H759" s="55">
        <f>Orders!H759</f>
        <v/>
      </c>
      <c r="I759" s="55">
        <f>Orders!I759</f>
        <v/>
      </c>
      <c r="J759" s="55">
        <f>Orders!J759</f>
        <v/>
      </c>
      <c r="K759" s="55">
        <f>Orders!K759</f>
        <v/>
      </c>
      <c r="L759" s="55">
        <f>VLOOKUP(D759,Products!$A$2:$F$61,3,FALSE())</f>
        <v/>
      </c>
      <c r="M759" s="55">
        <f>VLOOKUP(C759,Customers!$A$2:$F$301,5,FALSE())</f>
        <v/>
      </c>
      <c r="N759" s="55">
        <f>VLOOKUP(E759,Sales_Reps!$A$2:$E$31,3,FALSE())</f>
        <v/>
      </c>
      <c r="O759" s="55">
        <f>VLOOKUP(D759,Products!$A$2:$F$61,4,FALSE())</f>
        <v/>
      </c>
      <c r="P759" s="55">
        <f>VLOOKUP(C759,Customers!$A$2:$F$301,3,FALSE())</f>
        <v/>
      </c>
      <c r="Q759" s="55">
        <f>UPPER(TRIM(K759))</f>
        <v/>
      </c>
      <c r="R759" s="55">
        <f>(G759-O759)/G759</f>
        <v/>
      </c>
      <c r="S759" s="55">
        <f>VLOOKUP(D759,Products!$A$2:$F$61,6,FALSE())</f>
        <v/>
      </c>
    </row>
    <row r="760" ht="15" customHeight="1" s="56">
      <c r="A760" s="55">
        <f>Orders!A760</f>
        <v/>
      </c>
      <c r="B760" s="103">
        <f>Orders!B760</f>
        <v/>
      </c>
      <c r="C760" s="55">
        <f>Orders!C760</f>
        <v/>
      </c>
      <c r="D760" s="55">
        <f>Orders!D760</f>
        <v/>
      </c>
      <c r="E760" s="55">
        <f>Orders!E760</f>
        <v/>
      </c>
      <c r="F760" s="55">
        <f>Orders!F760</f>
        <v/>
      </c>
      <c r="G760" s="55">
        <f>Orders!G760</f>
        <v/>
      </c>
      <c r="H760" s="55">
        <f>Orders!H760</f>
        <v/>
      </c>
      <c r="I760" s="55">
        <f>Orders!I760</f>
        <v/>
      </c>
      <c r="J760" s="55">
        <f>Orders!J760</f>
        <v/>
      </c>
      <c r="K760" s="55">
        <f>Orders!K760</f>
        <v/>
      </c>
      <c r="L760" s="55">
        <f>VLOOKUP(D760,Products!$A$2:$F$61,3,FALSE())</f>
        <v/>
      </c>
      <c r="M760" s="55">
        <f>VLOOKUP(C760,Customers!$A$2:$F$301,5,FALSE())</f>
        <v/>
      </c>
      <c r="N760" s="55">
        <f>VLOOKUP(E760,Sales_Reps!$A$2:$E$31,3,FALSE())</f>
        <v/>
      </c>
      <c r="O760" s="55">
        <f>VLOOKUP(D760,Products!$A$2:$F$61,4,FALSE())</f>
        <v/>
      </c>
      <c r="P760" s="55">
        <f>VLOOKUP(C760,Customers!$A$2:$F$301,3,FALSE())</f>
        <v/>
      </c>
      <c r="Q760" s="55">
        <f>UPPER(TRIM(K760))</f>
        <v/>
      </c>
      <c r="R760" s="55">
        <f>(G760-O760)/G760</f>
        <v/>
      </c>
      <c r="S760" s="55">
        <f>VLOOKUP(D760,Products!$A$2:$F$61,6,FALSE())</f>
        <v/>
      </c>
    </row>
    <row r="761" ht="15" customHeight="1" s="56">
      <c r="A761" s="55">
        <f>Orders!A761</f>
        <v/>
      </c>
      <c r="B761" s="103">
        <f>Orders!B761</f>
        <v/>
      </c>
      <c r="C761" s="55">
        <f>Orders!C761</f>
        <v/>
      </c>
      <c r="D761" s="55">
        <f>Orders!D761</f>
        <v/>
      </c>
      <c r="E761" s="55">
        <f>Orders!E761</f>
        <v/>
      </c>
      <c r="F761" s="55">
        <f>Orders!F761</f>
        <v/>
      </c>
      <c r="G761" s="55">
        <f>Orders!G761</f>
        <v/>
      </c>
      <c r="H761" s="55">
        <f>Orders!H761</f>
        <v/>
      </c>
      <c r="I761" s="55">
        <f>Orders!I761</f>
        <v/>
      </c>
      <c r="J761" s="55">
        <f>Orders!J761</f>
        <v/>
      </c>
      <c r="K761" s="55">
        <f>Orders!K761</f>
        <v/>
      </c>
      <c r="L761" s="55">
        <f>VLOOKUP(D761,Products!$A$2:$F$61,3,FALSE())</f>
        <v/>
      </c>
      <c r="M761" s="55">
        <f>VLOOKUP(C761,Customers!$A$2:$F$301,5,FALSE())</f>
        <v/>
      </c>
      <c r="N761" s="55">
        <f>VLOOKUP(E761,Sales_Reps!$A$2:$E$31,3,FALSE())</f>
        <v/>
      </c>
      <c r="O761" s="55">
        <f>VLOOKUP(D761,Products!$A$2:$F$61,4,FALSE())</f>
        <v/>
      </c>
      <c r="P761" s="55">
        <f>VLOOKUP(C761,Customers!$A$2:$F$301,3,FALSE())</f>
        <v/>
      </c>
      <c r="Q761" s="55">
        <f>UPPER(TRIM(K761))</f>
        <v/>
      </c>
      <c r="R761" s="55">
        <f>(G761-O761)/G761</f>
        <v/>
      </c>
      <c r="S761" s="55">
        <f>VLOOKUP(D761,Products!$A$2:$F$61,6,FALSE())</f>
        <v/>
      </c>
    </row>
    <row r="762" ht="15" customHeight="1" s="56">
      <c r="A762" s="55">
        <f>Orders!A762</f>
        <v/>
      </c>
      <c r="B762" s="103">
        <f>Orders!B762</f>
        <v/>
      </c>
      <c r="C762" s="55">
        <f>Orders!C762</f>
        <v/>
      </c>
      <c r="D762" s="55">
        <f>Orders!D762</f>
        <v/>
      </c>
      <c r="E762" s="55">
        <f>Orders!E762</f>
        <v/>
      </c>
      <c r="F762" s="55">
        <f>Orders!F762</f>
        <v/>
      </c>
      <c r="G762" s="55">
        <f>Orders!G762</f>
        <v/>
      </c>
      <c r="H762" s="55">
        <f>Orders!H762</f>
        <v/>
      </c>
      <c r="I762" s="55">
        <f>Orders!I762</f>
        <v/>
      </c>
      <c r="J762" s="55">
        <f>Orders!J762</f>
        <v/>
      </c>
      <c r="K762" s="55">
        <f>Orders!K762</f>
        <v/>
      </c>
      <c r="L762" s="55">
        <f>VLOOKUP(D762,Products!$A$2:$F$61,3,FALSE())</f>
        <v/>
      </c>
      <c r="M762" s="55">
        <f>VLOOKUP(C762,Customers!$A$2:$F$301,5,FALSE())</f>
        <v/>
      </c>
      <c r="N762" s="55">
        <f>VLOOKUP(E762,Sales_Reps!$A$2:$E$31,3,FALSE())</f>
        <v/>
      </c>
      <c r="O762" s="55">
        <f>VLOOKUP(D762,Products!$A$2:$F$61,4,FALSE())</f>
        <v/>
      </c>
      <c r="P762" s="55">
        <f>VLOOKUP(C762,Customers!$A$2:$F$301,3,FALSE())</f>
        <v/>
      </c>
      <c r="Q762" s="55">
        <f>UPPER(TRIM(K762))</f>
        <v/>
      </c>
      <c r="R762" s="55">
        <f>(G762-O762)/G762</f>
        <v/>
      </c>
      <c r="S762" s="55">
        <f>VLOOKUP(D762,Products!$A$2:$F$61,6,FALSE())</f>
        <v/>
      </c>
    </row>
    <row r="763" ht="15" customHeight="1" s="56">
      <c r="A763" s="55">
        <f>Orders!A763</f>
        <v/>
      </c>
      <c r="B763" s="103">
        <f>Orders!B763</f>
        <v/>
      </c>
      <c r="C763" s="55">
        <f>Orders!C763</f>
        <v/>
      </c>
      <c r="D763" s="55">
        <f>Orders!D763</f>
        <v/>
      </c>
      <c r="E763" s="55">
        <f>Orders!E763</f>
        <v/>
      </c>
      <c r="F763" s="55">
        <f>Orders!F763</f>
        <v/>
      </c>
      <c r="G763" s="55">
        <f>Orders!G763</f>
        <v/>
      </c>
      <c r="H763" s="55">
        <f>Orders!H763</f>
        <v/>
      </c>
      <c r="I763" s="55">
        <f>Orders!I763</f>
        <v/>
      </c>
      <c r="J763" s="55">
        <f>Orders!J763</f>
        <v/>
      </c>
      <c r="K763" s="55">
        <f>Orders!K763</f>
        <v/>
      </c>
      <c r="L763" s="55">
        <f>VLOOKUP(D763,Products!$A$2:$F$61,3,FALSE())</f>
        <v/>
      </c>
      <c r="M763" s="55">
        <f>VLOOKUP(C763,Customers!$A$2:$F$301,5,FALSE())</f>
        <v/>
      </c>
      <c r="N763" s="55">
        <f>VLOOKUP(E763,Sales_Reps!$A$2:$E$31,3,FALSE())</f>
        <v/>
      </c>
      <c r="O763" s="55">
        <f>VLOOKUP(D763,Products!$A$2:$F$61,4,FALSE())</f>
        <v/>
      </c>
      <c r="P763" s="55">
        <f>VLOOKUP(C763,Customers!$A$2:$F$301,3,FALSE())</f>
        <v/>
      </c>
      <c r="Q763" s="55">
        <f>UPPER(TRIM(K763))</f>
        <v/>
      </c>
      <c r="R763" s="55">
        <f>(G763-O763)/G763</f>
        <v/>
      </c>
      <c r="S763" s="55">
        <f>VLOOKUP(D763,Products!$A$2:$F$61,6,FALSE())</f>
        <v/>
      </c>
    </row>
    <row r="764" ht="15" customHeight="1" s="56">
      <c r="A764" s="55">
        <f>Orders!A764</f>
        <v/>
      </c>
      <c r="B764" s="103">
        <f>Orders!B764</f>
        <v/>
      </c>
      <c r="C764" s="55">
        <f>Orders!C764</f>
        <v/>
      </c>
      <c r="D764" s="55">
        <f>Orders!D764</f>
        <v/>
      </c>
      <c r="E764" s="55">
        <f>Orders!E764</f>
        <v/>
      </c>
      <c r="F764" s="55">
        <f>Orders!F764</f>
        <v/>
      </c>
      <c r="G764" s="55">
        <f>Orders!G764</f>
        <v/>
      </c>
      <c r="H764" s="55">
        <f>Orders!H764</f>
        <v/>
      </c>
      <c r="I764" s="55">
        <f>Orders!I764</f>
        <v/>
      </c>
      <c r="J764" s="55">
        <f>Orders!J764</f>
        <v/>
      </c>
      <c r="K764" s="55">
        <f>Orders!K764</f>
        <v/>
      </c>
      <c r="L764" s="55">
        <f>VLOOKUP(D764,Products!$A$2:$F$61,3,FALSE())</f>
        <v/>
      </c>
      <c r="M764" s="55">
        <f>VLOOKUP(C764,Customers!$A$2:$F$301,5,FALSE())</f>
        <v/>
      </c>
      <c r="N764" s="55">
        <f>VLOOKUP(E764,Sales_Reps!$A$2:$E$31,3,FALSE())</f>
        <v/>
      </c>
      <c r="O764" s="55">
        <f>VLOOKUP(D764,Products!$A$2:$F$61,4,FALSE())</f>
        <v/>
      </c>
      <c r="P764" s="55">
        <f>VLOOKUP(C764,Customers!$A$2:$F$301,3,FALSE())</f>
        <v/>
      </c>
      <c r="Q764" s="55">
        <f>UPPER(TRIM(K764))</f>
        <v/>
      </c>
      <c r="R764" s="55">
        <f>(G764-O764)/G764</f>
        <v/>
      </c>
      <c r="S764" s="55">
        <f>VLOOKUP(D764,Products!$A$2:$F$61,6,FALSE())</f>
        <v/>
      </c>
    </row>
    <row r="765" ht="15" customHeight="1" s="56">
      <c r="A765" s="55">
        <f>Orders!A765</f>
        <v/>
      </c>
      <c r="B765" s="103">
        <f>Orders!B765</f>
        <v/>
      </c>
      <c r="C765" s="55">
        <f>Orders!C765</f>
        <v/>
      </c>
      <c r="D765" s="55">
        <f>Orders!D765</f>
        <v/>
      </c>
      <c r="E765" s="55">
        <f>Orders!E765</f>
        <v/>
      </c>
      <c r="F765" s="55">
        <f>Orders!F765</f>
        <v/>
      </c>
      <c r="G765" s="55">
        <f>Orders!G765</f>
        <v/>
      </c>
      <c r="H765" s="55">
        <f>Orders!H765</f>
        <v/>
      </c>
      <c r="I765" s="55">
        <f>Orders!I765</f>
        <v/>
      </c>
      <c r="J765" s="55">
        <f>Orders!J765</f>
        <v/>
      </c>
      <c r="K765" s="55">
        <f>Orders!K765</f>
        <v/>
      </c>
      <c r="L765" s="55">
        <f>VLOOKUP(D765,Products!$A$2:$F$61,3,FALSE())</f>
        <v/>
      </c>
      <c r="M765" s="55">
        <f>VLOOKUP(C765,Customers!$A$2:$F$301,5,FALSE())</f>
        <v/>
      </c>
      <c r="N765" s="55">
        <f>VLOOKUP(E765,Sales_Reps!$A$2:$E$31,3,FALSE())</f>
        <v/>
      </c>
      <c r="O765" s="55">
        <f>VLOOKUP(D765,Products!$A$2:$F$61,4,FALSE())</f>
        <v/>
      </c>
      <c r="P765" s="55">
        <f>VLOOKUP(C765,Customers!$A$2:$F$301,3,FALSE())</f>
        <v/>
      </c>
      <c r="Q765" s="55">
        <f>UPPER(TRIM(K765))</f>
        <v/>
      </c>
      <c r="R765" s="55">
        <f>(G765-O765)/G765</f>
        <v/>
      </c>
      <c r="S765" s="55">
        <f>VLOOKUP(D765,Products!$A$2:$F$61,6,FALSE())</f>
        <v/>
      </c>
    </row>
    <row r="766" ht="15" customHeight="1" s="56">
      <c r="A766" s="55">
        <f>Orders!A766</f>
        <v/>
      </c>
      <c r="B766" s="103">
        <f>Orders!B766</f>
        <v/>
      </c>
      <c r="C766" s="55">
        <f>Orders!C766</f>
        <v/>
      </c>
      <c r="D766" s="55">
        <f>Orders!D766</f>
        <v/>
      </c>
      <c r="E766" s="55">
        <f>Orders!E766</f>
        <v/>
      </c>
      <c r="F766" s="55">
        <f>Orders!F766</f>
        <v/>
      </c>
      <c r="G766" s="55">
        <f>Orders!G766</f>
        <v/>
      </c>
      <c r="H766" s="55">
        <f>Orders!H766</f>
        <v/>
      </c>
      <c r="I766" s="55">
        <f>Orders!I766</f>
        <v/>
      </c>
      <c r="J766" s="55">
        <f>Orders!J766</f>
        <v/>
      </c>
      <c r="K766" s="55">
        <f>Orders!K766</f>
        <v/>
      </c>
      <c r="L766" s="55">
        <f>VLOOKUP(D766,Products!$A$2:$F$61,3,FALSE())</f>
        <v/>
      </c>
      <c r="M766" s="55">
        <f>VLOOKUP(C766,Customers!$A$2:$F$301,5,FALSE())</f>
        <v/>
      </c>
      <c r="N766" s="55">
        <f>VLOOKUP(E766,Sales_Reps!$A$2:$E$31,3,FALSE())</f>
        <v/>
      </c>
      <c r="O766" s="55">
        <f>VLOOKUP(D766,Products!$A$2:$F$61,4,FALSE())</f>
        <v/>
      </c>
      <c r="P766" s="55">
        <f>VLOOKUP(C766,Customers!$A$2:$F$301,3,FALSE())</f>
        <v/>
      </c>
      <c r="Q766" s="55">
        <f>UPPER(TRIM(K766))</f>
        <v/>
      </c>
      <c r="R766" s="55">
        <f>(G766-O766)/G766</f>
        <v/>
      </c>
      <c r="S766" s="55">
        <f>VLOOKUP(D766,Products!$A$2:$F$61,6,FALSE())</f>
        <v/>
      </c>
    </row>
    <row r="767" ht="15" customHeight="1" s="56">
      <c r="A767" s="55">
        <f>Orders!A767</f>
        <v/>
      </c>
      <c r="B767" s="103">
        <f>Orders!B767</f>
        <v/>
      </c>
      <c r="C767" s="55">
        <f>Orders!C767</f>
        <v/>
      </c>
      <c r="D767" s="55">
        <f>Orders!D767</f>
        <v/>
      </c>
      <c r="E767" s="55">
        <f>Orders!E767</f>
        <v/>
      </c>
      <c r="F767" s="55">
        <f>Orders!F767</f>
        <v/>
      </c>
      <c r="G767" s="55">
        <f>Orders!G767</f>
        <v/>
      </c>
      <c r="H767" s="55">
        <f>Orders!H767</f>
        <v/>
      </c>
      <c r="I767" s="55">
        <f>Orders!I767</f>
        <v/>
      </c>
      <c r="J767" s="55">
        <f>Orders!J767</f>
        <v/>
      </c>
      <c r="K767" s="55">
        <f>Orders!K767</f>
        <v/>
      </c>
      <c r="L767" s="55">
        <f>VLOOKUP(D767,Products!$A$2:$F$61,3,FALSE())</f>
        <v/>
      </c>
      <c r="M767" s="55">
        <f>VLOOKUP(C767,Customers!$A$2:$F$301,5,FALSE())</f>
        <v/>
      </c>
      <c r="N767" s="55">
        <f>VLOOKUP(E767,Sales_Reps!$A$2:$E$31,3,FALSE())</f>
        <v/>
      </c>
      <c r="O767" s="55">
        <f>VLOOKUP(D767,Products!$A$2:$F$61,4,FALSE())</f>
        <v/>
      </c>
      <c r="P767" s="55">
        <f>VLOOKUP(C767,Customers!$A$2:$F$301,3,FALSE())</f>
        <v/>
      </c>
      <c r="Q767" s="55">
        <f>UPPER(TRIM(K767))</f>
        <v/>
      </c>
      <c r="R767" s="55">
        <f>(G767-O767)/G767</f>
        <v/>
      </c>
      <c r="S767" s="55">
        <f>VLOOKUP(D767,Products!$A$2:$F$61,6,FALSE())</f>
        <v/>
      </c>
    </row>
    <row r="768" ht="15" customHeight="1" s="56">
      <c r="A768" s="55">
        <f>Orders!A768</f>
        <v/>
      </c>
      <c r="B768" s="103">
        <f>Orders!B768</f>
        <v/>
      </c>
      <c r="C768" s="55">
        <f>Orders!C768</f>
        <v/>
      </c>
      <c r="D768" s="55">
        <f>Orders!D768</f>
        <v/>
      </c>
      <c r="E768" s="55">
        <f>Orders!E768</f>
        <v/>
      </c>
      <c r="F768" s="55">
        <f>Orders!F768</f>
        <v/>
      </c>
      <c r="G768" s="55">
        <f>Orders!G768</f>
        <v/>
      </c>
      <c r="H768" s="55">
        <f>Orders!H768</f>
        <v/>
      </c>
      <c r="I768" s="55">
        <f>Orders!I768</f>
        <v/>
      </c>
      <c r="J768" s="55">
        <f>Orders!J768</f>
        <v/>
      </c>
      <c r="K768" s="55">
        <f>Orders!K768</f>
        <v/>
      </c>
      <c r="L768" s="55">
        <f>VLOOKUP(D768,Products!$A$2:$F$61,3,FALSE())</f>
        <v/>
      </c>
      <c r="M768" s="55">
        <f>VLOOKUP(C768,Customers!$A$2:$F$301,5,FALSE())</f>
        <v/>
      </c>
      <c r="N768" s="55">
        <f>VLOOKUP(E768,Sales_Reps!$A$2:$E$31,3,FALSE())</f>
        <v/>
      </c>
      <c r="O768" s="55">
        <f>VLOOKUP(D768,Products!$A$2:$F$61,4,FALSE())</f>
        <v/>
      </c>
      <c r="P768" s="55">
        <f>VLOOKUP(C768,Customers!$A$2:$F$301,3,FALSE())</f>
        <v/>
      </c>
      <c r="Q768" s="55">
        <f>UPPER(TRIM(K768))</f>
        <v/>
      </c>
      <c r="R768" s="55">
        <f>(G768-O768)/G768</f>
        <v/>
      </c>
      <c r="S768" s="55">
        <f>VLOOKUP(D768,Products!$A$2:$F$61,6,FALSE())</f>
        <v/>
      </c>
    </row>
    <row r="769" ht="15" customHeight="1" s="56">
      <c r="A769" s="55">
        <f>Orders!A769</f>
        <v/>
      </c>
      <c r="B769" s="103">
        <f>Orders!B769</f>
        <v/>
      </c>
      <c r="C769" s="55">
        <f>Orders!C769</f>
        <v/>
      </c>
      <c r="D769" s="55">
        <f>Orders!D769</f>
        <v/>
      </c>
      <c r="E769" s="55">
        <f>Orders!E769</f>
        <v/>
      </c>
      <c r="F769" s="55">
        <f>Orders!F769</f>
        <v/>
      </c>
      <c r="G769" s="55">
        <f>Orders!G769</f>
        <v/>
      </c>
      <c r="H769" s="55">
        <f>Orders!H769</f>
        <v/>
      </c>
      <c r="I769" s="55">
        <f>Orders!I769</f>
        <v/>
      </c>
      <c r="J769" s="55">
        <f>Orders!J769</f>
        <v/>
      </c>
      <c r="K769" s="55">
        <f>Orders!K769</f>
        <v/>
      </c>
      <c r="L769" s="55">
        <f>VLOOKUP(D769,Products!$A$2:$F$61,3,FALSE())</f>
        <v/>
      </c>
      <c r="M769" s="55">
        <f>VLOOKUP(C769,Customers!$A$2:$F$301,5,FALSE())</f>
        <v/>
      </c>
      <c r="N769" s="55">
        <f>VLOOKUP(E769,Sales_Reps!$A$2:$E$31,3,FALSE())</f>
        <v/>
      </c>
      <c r="O769" s="55">
        <f>VLOOKUP(D769,Products!$A$2:$F$61,4,FALSE())</f>
        <v/>
      </c>
      <c r="P769" s="55">
        <f>VLOOKUP(C769,Customers!$A$2:$F$301,3,FALSE())</f>
        <v/>
      </c>
      <c r="Q769" s="55">
        <f>UPPER(TRIM(K769))</f>
        <v/>
      </c>
      <c r="R769" s="55">
        <f>(G769-O769)/G769</f>
        <v/>
      </c>
      <c r="S769" s="55">
        <f>VLOOKUP(D769,Products!$A$2:$F$61,6,FALSE())</f>
        <v/>
      </c>
    </row>
    <row r="770" ht="15" customHeight="1" s="56">
      <c r="A770" s="55">
        <f>Orders!A770</f>
        <v/>
      </c>
      <c r="B770" s="103">
        <f>Orders!B770</f>
        <v/>
      </c>
      <c r="C770" s="55">
        <f>Orders!C770</f>
        <v/>
      </c>
      <c r="D770" s="55">
        <f>Orders!D770</f>
        <v/>
      </c>
      <c r="E770" s="55">
        <f>Orders!E770</f>
        <v/>
      </c>
      <c r="F770" s="55">
        <f>Orders!F770</f>
        <v/>
      </c>
      <c r="G770" s="55">
        <f>Orders!G770</f>
        <v/>
      </c>
      <c r="H770" s="55">
        <f>Orders!H770</f>
        <v/>
      </c>
      <c r="I770" s="55">
        <f>Orders!I770</f>
        <v/>
      </c>
      <c r="J770" s="55">
        <f>Orders!J770</f>
        <v/>
      </c>
      <c r="K770" s="55">
        <f>Orders!K770</f>
        <v/>
      </c>
      <c r="L770" s="55">
        <f>VLOOKUP(D770,Products!$A$2:$F$61,3,FALSE())</f>
        <v/>
      </c>
      <c r="M770" s="55">
        <f>VLOOKUP(C770,Customers!$A$2:$F$301,5,FALSE())</f>
        <v/>
      </c>
      <c r="N770" s="55">
        <f>VLOOKUP(E770,Sales_Reps!$A$2:$E$31,3,FALSE())</f>
        <v/>
      </c>
      <c r="O770" s="55">
        <f>VLOOKUP(D770,Products!$A$2:$F$61,4,FALSE())</f>
        <v/>
      </c>
      <c r="P770" s="55">
        <f>VLOOKUP(C770,Customers!$A$2:$F$301,3,FALSE())</f>
        <v/>
      </c>
      <c r="Q770" s="55">
        <f>UPPER(TRIM(K770))</f>
        <v/>
      </c>
      <c r="R770" s="55">
        <f>(G770-O770)/G770</f>
        <v/>
      </c>
      <c r="S770" s="55">
        <f>VLOOKUP(D770,Products!$A$2:$F$61,6,FALSE())</f>
        <v/>
      </c>
    </row>
    <row r="771" ht="15" customHeight="1" s="56">
      <c r="A771" s="55">
        <f>Orders!A771</f>
        <v/>
      </c>
      <c r="B771" s="103">
        <f>Orders!B771</f>
        <v/>
      </c>
      <c r="C771" s="55">
        <f>Orders!C771</f>
        <v/>
      </c>
      <c r="D771" s="55">
        <f>Orders!D771</f>
        <v/>
      </c>
      <c r="E771" s="55">
        <f>Orders!E771</f>
        <v/>
      </c>
      <c r="F771" s="55">
        <f>Orders!F771</f>
        <v/>
      </c>
      <c r="G771" s="55">
        <f>Orders!G771</f>
        <v/>
      </c>
      <c r="H771" s="55">
        <f>Orders!H771</f>
        <v/>
      </c>
      <c r="I771" s="55">
        <f>Orders!I771</f>
        <v/>
      </c>
      <c r="J771" s="55">
        <f>Orders!J771</f>
        <v/>
      </c>
      <c r="K771" s="55">
        <f>Orders!K771</f>
        <v/>
      </c>
      <c r="L771" s="55">
        <f>VLOOKUP(D771,Products!$A$2:$F$61,3,FALSE())</f>
        <v/>
      </c>
      <c r="M771" s="55">
        <f>VLOOKUP(C771,Customers!$A$2:$F$301,5,FALSE())</f>
        <v/>
      </c>
      <c r="N771" s="55">
        <f>VLOOKUP(E771,Sales_Reps!$A$2:$E$31,3,FALSE())</f>
        <v/>
      </c>
      <c r="O771" s="55">
        <f>VLOOKUP(D771,Products!$A$2:$F$61,4,FALSE())</f>
        <v/>
      </c>
      <c r="P771" s="55">
        <f>VLOOKUP(C771,Customers!$A$2:$F$301,3,FALSE())</f>
        <v/>
      </c>
      <c r="Q771" s="55">
        <f>UPPER(TRIM(K771))</f>
        <v/>
      </c>
      <c r="R771" s="55">
        <f>(G771-O771)/G771</f>
        <v/>
      </c>
      <c r="S771" s="55">
        <f>VLOOKUP(D771,Products!$A$2:$F$61,6,FALSE())</f>
        <v/>
      </c>
    </row>
    <row r="772" ht="15" customHeight="1" s="56">
      <c r="A772" s="55">
        <f>Orders!A772</f>
        <v/>
      </c>
      <c r="B772" s="103">
        <f>Orders!B772</f>
        <v/>
      </c>
      <c r="C772" s="55">
        <f>Orders!C772</f>
        <v/>
      </c>
      <c r="D772" s="55">
        <f>Orders!D772</f>
        <v/>
      </c>
      <c r="E772" s="55">
        <f>Orders!E772</f>
        <v/>
      </c>
      <c r="F772" s="55">
        <f>Orders!F772</f>
        <v/>
      </c>
      <c r="G772" s="55">
        <f>Orders!G772</f>
        <v/>
      </c>
      <c r="H772" s="55">
        <f>Orders!H772</f>
        <v/>
      </c>
      <c r="I772" s="55">
        <f>Orders!I772</f>
        <v/>
      </c>
      <c r="J772" s="55">
        <f>Orders!J772</f>
        <v/>
      </c>
      <c r="K772" s="55">
        <f>Orders!K772</f>
        <v/>
      </c>
      <c r="L772" s="55">
        <f>VLOOKUP(D772,Products!$A$2:$F$61,3,FALSE())</f>
        <v/>
      </c>
      <c r="M772" s="55">
        <f>VLOOKUP(C772,Customers!$A$2:$F$301,5,FALSE())</f>
        <v/>
      </c>
      <c r="N772" s="55">
        <f>VLOOKUP(E772,Sales_Reps!$A$2:$E$31,3,FALSE())</f>
        <v/>
      </c>
      <c r="O772" s="55">
        <f>VLOOKUP(D772,Products!$A$2:$F$61,4,FALSE())</f>
        <v/>
      </c>
      <c r="P772" s="55">
        <f>VLOOKUP(C772,Customers!$A$2:$F$301,3,FALSE())</f>
        <v/>
      </c>
      <c r="Q772" s="55">
        <f>UPPER(TRIM(K772))</f>
        <v/>
      </c>
      <c r="R772" s="55">
        <f>(G772-O772)/G772</f>
        <v/>
      </c>
      <c r="S772" s="55">
        <f>VLOOKUP(D772,Products!$A$2:$F$61,6,FALSE())</f>
        <v/>
      </c>
    </row>
    <row r="773" ht="15" customHeight="1" s="56">
      <c r="A773" s="55">
        <f>Orders!A773</f>
        <v/>
      </c>
      <c r="B773" s="103">
        <f>Orders!B773</f>
        <v/>
      </c>
      <c r="C773" s="55">
        <f>Orders!C773</f>
        <v/>
      </c>
      <c r="D773" s="55">
        <f>Orders!D773</f>
        <v/>
      </c>
      <c r="E773" s="55">
        <f>Orders!E773</f>
        <v/>
      </c>
      <c r="F773" s="55">
        <f>Orders!F773</f>
        <v/>
      </c>
      <c r="G773" s="55">
        <f>Orders!G773</f>
        <v/>
      </c>
      <c r="H773" s="55">
        <f>Orders!H773</f>
        <v/>
      </c>
      <c r="I773" s="55">
        <f>Orders!I773</f>
        <v/>
      </c>
      <c r="J773" s="55">
        <f>Orders!J773</f>
        <v/>
      </c>
      <c r="K773" s="55">
        <f>Orders!K773</f>
        <v/>
      </c>
      <c r="L773" s="55">
        <f>VLOOKUP(D773,Products!$A$2:$F$61,3,FALSE())</f>
        <v/>
      </c>
      <c r="M773" s="55">
        <f>VLOOKUP(C773,Customers!$A$2:$F$301,5,FALSE())</f>
        <v/>
      </c>
      <c r="N773" s="55">
        <f>VLOOKUP(E773,Sales_Reps!$A$2:$E$31,3,FALSE())</f>
        <v/>
      </c>
      <c r="O773" s="55">
        <f>VLOOKUP(D773,Products!$A$2:$F$61,4,FALSE())</f>
        <v/>
      </c>
      <c r="P773" s="55">
        <f>VLOOKUP(C773,Customers!$A$2:$F$301,3,FALSE())</f>
        <v/>
      </c>
      <c r="Q773" s="55">
        <f>UPPER(TRIM(K773))</f>
        <v/>
      </c>
      <c r="R773" s="55">
        <f>(G773-O773)/G773</f>
        <v/>
      </c>
      <c r="S773" s="55">
        <f>VLOOKUP(D773,Products!$A$2:$F$61,6,FALSE())</f>
        <v/>
      </c>
    </row>
    <row r="774" ht="15" customHeight="1" s="56">
      <c r="A774" s="55">
        <f>Orders!A774</f>
        <v/>
      </c>
      <c r="B774" s="103">
        <f>Orders!B774</f>
        <v/>
      </c>
      <c r="C774" s="55">
        <f>Orders!C774</f>
        <v/>
      </c>
      <c r="D774" s="55">
        <f>Orders!D774</f>
        <v/>
      </c>
      <c r="E774" s="55">
        <f>Orders!E774</f>
        <v/>
      </c>
      <c r="F774" s="55">
        <f>Orders!F774</f>
        <v/>
      </c>
      <c r="G774" s="55">
        <f>Orders!G774</f>
        <v/>
      </c>
      <c r="H774" s="55">
        <f>Orders!H774</f>
        <v/>
      </c>
      <c r="I774" s="55">
        <f>Orders!I774</f>
        <v/>
      </c>
      <c r="J774" s="55">
        <f>Orders!J774</f>
        <v/>
      </c>
      <c r="K774" s="55">
        <f>Orders!K774</f>
        <v/>
      </c>
      <c r="L774" s="55">
        <f>VLOOKUP(D774,Products!$A$2:$F$61,3,FALSE())</f>
        <v/>
      </c>
      <c r="M774" s="55">
        <f>VLOOKUP(C774,Customers!$A$2:$F$301,5,FALSE())</f>
        <v/>
      </c>
      <c r="N774" s="55">
        <f>VLOOKUP(E774,Sales_Reps!$A$2:$E$31,3,FALSE())</f>
        <v/>
      </c>
      <c r="O774" s="55">
        <f>VLOOKUP(D774,Products!$A$2:$F$61,4,FALSE())</f>
        <v/>
      </c>
      <c r="P774" s="55">
        <f>VLOOKUP(C774,Customers!$A$2:$F$301,3,FALSE())</f>
        <v/>
      </c>
      <c r="Q774" s="55">
        <f>UPPER(TRIM(K774))</f>
        <v/>
      </c>
      <c r="R774" s="55">
        <f>(G774-O774)/G774</f>
        <v/>
      </c>
      <c r="S774" s="55">
        <f>VLOOKUP(D774,Products!$A$2:$F$61,6,FALSE())</f>
        <v/>
      </c>
    </row>
    <row r="775" ht="15" customHeight="1" s="56">
      <c r="A775" s="55">
        <f>Orders!A775</f>
        <v/>
      </c>
      <c r="B775" s="103">
        <f>Orders!B775</f>
        <v/>
      </c>
      <c r="C775" s="55">
        <f>Orders!C775</f>
        <v/>
      </c>
      <c r="D775" s="55">
        <f>Orders!D775</f>
        <v/>
      </c>
      <c r="E775" s="55">
        <f>Orders!E775</f>
        <v/>
      </c>
      <c r="F775" s="55">
        <f>Orders!F775</f>
        <v/>
      </c>
      <c r="G775" s="55">
        <f>Orders!G775</f>
        <v/>
      </c>
      <c r="H775" s="55">
        <f>Orders!H775</f>
        <v/>
      </c>
      <c r="I775" s="55">
        <f>Orders!I775</f>
        <v/>
      </c>
      <c r="J775" s="55">
        <f>Orders!J775</f>
        <v/>
      </c>
      <c r="K775" s="55">
        <f>Orders!K775</f>
        <v/>
      </c>
      <c r="L775" s="55">
        <f>VLOOKUP(D775,Products!$A$2:$F$61,3,FALSE())</f>
        <v/>
      </c>
      <c r="M775" s="55">
        <f>VLOOKUP(C775,Customers!$A$2:$F$301,5,FALSE())</f>
        <v/>
      </c>
      <c r="N775" s="55">
        <f>VLOOKUP(E775,Sales_Reps!$A$2:$E$31,3,FALSE())</f>
        <v/>
      </c>
      <c r="O775" s="55">
        <f>VLOOKUP(D775,Products!$A$2:$F$61,4,FALSE())</f>
        <v/>
      </c>
      <c r="P775" s="55">
        <f>VLOOKUP(C775,Customers!$A$2:$F$301,3,FALSE())</f>
        <v/>
      </c>
      <c r="Q775" s="55">
        <f>UPPER(TRIM(K775))</f>
        <v/>
      </c>
      <c r="R775" s="55">
        <f>(G775-O775)/G775</f>
        <v/>
      </c>
      <c r="S775" s="55">
        <f>VLOOKUP(D775,Products!$A$2:$F$61,6,FALSE())</f>
        <v/>
      </c>
    </row>
    <row r="776" ht="15" customHeight="1" s="56">
      <c r="A776" s="55">
        <f>Orders!A776</f>
        <v/>
      </c>
      <c r="B776" s="103">
        <f>Orders!B776</f>
        <v/>
      </c>
      <c r="C776" s="55">
        <f>Orders!C776</f>
        <v/>
      </c>
      <c r="D776" s="55">
        <f>Orders!D776</f>
        <v/>
      </c>
      <c r="E776" s="55">
        <f>Orders!E776</f>
        <v/>
      </c>
      <c r="F776" s="55">
        <f>Orders!F776</f>
        <v/>
      </c>
      <c r="G776" s="55">
        <f>Orders!G776</f>
        <v/>
      </c>
      <c r="H776" s="55">
        <f>Orders!H776</f>
        <v/>
      </c>
      <c r="I776" s="55">
        <f>Orders!I776</f>
        <v/>
      </c>
      <c r="J776" s="55">
        <f>Orders!J776</f>
        <v/>
      </c>
      <c r="K776" s="55">
        <f>Orders!K776</f>
        <v/>
      </c>
      <c r="L776" s="55">
        <f>VLOOKUP(D776,Products!$A$2:$F$61,3,FALSE())</f>
        <v/>
      </c>
      <c r="M776" s="55">
        <f>VLOOKUP(C776,Customers!$A$2:$F$301,5,FALSE())</f>
        <v/>
      </c>
      <c r="N776" s="55">
        <f>VLOOKUP(E776,Sales_Reps!$A$2:$E$31,3,FALSE())</f>
        <v/>
      </c>
      <c r="O776" s="55">
        <f>VLOOKUP(D776,Products!$A$2:$F$61,4,FALSE())</f>
        <v/>
      </c>
      <c r="P776" s="55">
        <f>VLOOKUP(C776,Customers!$A$2:$F$301,3,FALSE())</f>
        <v/>
      </c>
      <c r="Q776" s="55">
        <f>UPPER(TRIM(K776))</f>
        <v/>
      </c>
      <c r="R776" s="55">
        <f>(G776-O776)/G776</f>
        <v/>
      </c>
      <c r="S776" s="55">
        <f>VLOOKUP(D776,Products!$A$2:$F$61,6,FALSE())</f>
        <v/>
      </c>
    </row>
    <row r="777" ht="15" customHeight="1" s="56">
      <c r="A777" s="55">
        <f>Orders!A777</f>
        <v/>
      </c>
      <c r="B777" s="103">
        <f>Orders!B777</f>
        <v/>
      </c>
      <c r="C777" s="55">
        <f>Orders!C777</f>
        <v/>
      </c>
      <c r="D777" s="55">
        <f>Orders!D777</f>
        <v/>
      </c>
      <c r="E777" s="55">
        <f>Orders!E777</f>
        <v/>
      </c>
      <c r="F777" s="55">
        <f>Orders!F777</f>
        <v/>
      </c>
      <c r="G777" s="55">
        <f>Orders!G777</f>
        <v/>
      </c>
      <c r="H777" s="55">
        <f>Orders!H777</f>
        <v/>
      </c>
      <c r="I777" s="55">
        <f>Orders!I777</f>
        <v/>
      </c>
      <c r="J777" s="55">
        <f>Orders!J777</f>
        <v/>
      </c>
      <c r="K777" s="55">
        <f>Orders!K777</f>
        <v/>
      </c>
      <c r="L777" s="55">
        <f>VLOOKUP(D777,Products!$A$2:$F$61,3,FALSE())</f>
        <v/>
      </c>
      <c r="M777" s="55">
        <f>VLOOKUP(C777,Customers!$A$2:$F$301,5,FALSE())</f>
        <v/>
      </c>
      <c r="N777" s="55">
        <f>VLOOKUP(E777,Sales_Reps!$A$2:$E$31,3,FALSE())</f>
        <v/>
      </c>
      <c r="O777" s="55">
        <f>VLOOKUP(D777,Products!$A$2:$F$61,4,FALSE())</f>
        <v/>
      </c>
      <c r="P777" s="55">
        <f>VLOOKUP(C777,Customers!$A$2:$F$301,3,FALSE())</f>
        <v/>
      </c>
      <c r="Q777" s="55">
        <f>UPPER(TRIM(K777))</f>
        <v/>
      </c>
      <c r="R777" s="55">
        <f>(G777-O777)/G777</f>
        <v/>
      </c>
      <c r="S777" s="55">
        <f>VLOOKUP(D777,Products!$A$2:$F$61,6,FALSE())</f>
        <v/>
      </c>
    </row>
    <row r="778" ht="15" customHeight="1" s="56">
      <c r="A778" s="55">
        <f>Orders!A778</f>
        <v/>
      </c>
      <c r="B778" s="103">
        <f>Orders!B778</f>
        <v/>
      </c>
      <c r="C778" s="55">
        <f>Orders!C778</f>
        <v/>
      </c>
      <c r="D778" s="55">
        <f>Orders!D778</f>
        <v/>
      </c>
      <c r="E778" s="55">
        <f>Orders!E778</f>
        <v/>
      </c>
      <c r="F778" s="55">
        <f>Orders!F778</f>
        <v/>
      </c>
      <c r="G778" s="55">
        <f>Orders!G778</f>
        <v/>
      </c>
      <c r="H778" s="55">
        <f>Orders!H778</f>
        <v/>
      </c>
      <c r="I778" s="55">
        <f>Orders!I778</f>
        <v/>
      </c>
      <c r="J778" s="55">
        <f>Orders!J778</f>
        <v/>
      </c>
      <c r="K778" s="55">
        <f>Orders!K778</f>
        <v/>
      </c>
      <c r="L778" s="55">
        <f>VLOOKUP(D778,Products!$A$2:$F$61,3,FALSE())</f>
        <v/>
      </c>
      <c r="M778" s="55">
        <f>VLOOKUP(C778,Customers!$A$2:$F$301,5,FALSE())</f>
        <v/>
      </c>
      <c r="N778" s="55">
        <f>VLOOKUP(E778,Sales_Reps!$A$2:$E$31,3,FALSE())</f>
        <v/>
      </c>
      <c r="O778" s="55">
        <f>VLOOKUP(D778,Products!$A$2:$F$61,4,FALSE())</f>
        <v/>
      </c>
      <c r="P778" s="55">
        <f>VLOOKUP(C778,Customers!$A$2:$F$301,3,FALSE())</f>
        <v/>
      </c>
      <c r="Q778" s="55">
        <f>UPPER(TRIM(K778))</f>
        <v/>
      </c>
      <c r="R778" s="55">
        <f>(G778-O778)/G778</f>
        <v/>
      </c>
      <c r="S778" s="55">
        <f>VLOOKUP(D778,Products!$A$2:$F$61,6,FALSE())</f>
        <v/>
      </c>
    </row>
    <row r="779" ht="15" customHeight="1" s="56">
      <c r="A779" s="55">
        <f>Orders!A779</f>
        <v/>
      </c>
      <c r="B779" s="103">
        <f>Orders!B779</f>
        <v/>
      </c>
      <c r="C779" s="55">
        <f>Orders!C779</f>
        <v/>
      </c>
      <c r="D779" s="55">
        <f>Orders!D779</f>
        <v/>
      </c>
      <c r="E779" s="55">
        <f>Orders!E779</f>
        <v/>
      </c>
      <c r="F779" s="55">
        <f>Orders!F779</f>
        <v/>
      </c>
      <c r="G779" s="55">
        <f>Orders!G779</f>
        <v/>
      </c>
      <c r="H779" s="55">
        <f>Orders!H779</f>
        <v/>
      </c>
      <c r="I779" s="55">
        <f>Orders!I779</f>
        <v/>
      </c>
      <c r="J779" s="55">
        <f>Orders!J779</f>
        <v/>
      </c>
      <c r="K779" s="55">
        <f>Orders!K779</f>
        <v/>
      </c>
      <c r="L779" s="55">
        <f>VLOOKUP(D779,Products!$A$2:$F$61,3,FALSE())</f>
        <v/>
      </c>
      <c r="M779" s="55">
        <f>VLOOKUP(C779,Customers!$A$2:$F$301,5,FALSE())</f>
        <v/>
      </c>
      <c r="N779" s="55">
        <f>VLOOKUP(E779,Sales_Reps!$A$2:$E$31,3,FALSE())</f>
        <v/>
      </c>
      <c r="O779" s="55">
        <f>VLOOKUP(D779,Products!$A$2:$F$61,4,FALSE())</f>
        <v/>
      </c>
      <c r="P779" s="55">
        <f>VLOOKUP(C779,Customers!$A$2:$F$301,3,FALSE())</f>
        <v/>
      </c>
      <c r="Q779" s="55">
        <f>UPPER(TRIM(K779))</f>
        <v/>
      </c>
      <c r="R779" s="55">
        <f>(G779-O779)/G779</f>
        <v/>
      </c>
      <c r="S779" s="55">
        <f>VLOOKUP(D779,Products!$A$2:$F$61,6,FALSE())</f>
        <v/>
      </c>
    </row>
    <row r="780" ht="15" customHeight="1" s="56">
      <c r="A780" s="55">
        <f>Orders!A780</f>
        <v/>
      </c>
      <c r="B780" s="103">
        <f>Orders!B780</f>
        <v/>
      </c>
      <c r="C780" s="55">
        <f>Orders!C780</f>
        <v/>
      </c>
      <c r="D780" s="55">
        <f>Orders!D780</f>
        <v/>
      </c>
      <c r="E780" s="55">
        <f>Orders!E780</f>
        <v/>
      </c>
      <c r="F780" s="55">
        <f>Orders!F780</f>
        <v/>
      </c>
      <c r="G780" s="55">
        <f>Orders!G780</f>
        <v/>
      </c>
      <c r="H780" s="55">
        <f>Orders!H780</f>
        <v/>
      </c>
      <c r="I780" s="55">
        <f>Orders!I780</f>
        <v/>
      </c>
      <c r="J780" s="55">
        <f>Orders!J780</f>
        <v/>
      </c>
      <c r="K780" s="55">
        <f>Orders!K780</f>
        <v/>
      </c>
      <c r="L780" s="55">
        <f>VLOOKUP(D780,Products!$A$2:$F$61,3,FALSE())</f>
        <v/>
      </c>
      <c r="M780" s="55">
        <f>VLOOKUP(C780,Customers!$A$2:$F$301,5,FALSE())</f>
        <v/>
      </c>
      <c r="N780" s="55">
        <f>VLOOKUP(E780,Sales_Reps!$A$2:$E$31,3,FALSE())</f>
        <v/>
      </c>
      <c r="O780" s="55">
        <f>VLOOKUP(D780,Products!$A$2:$F$61,4,FALSE())</f>
        <v/>
      </c>
      <c r="P780" s="55">
        <f>VLOOKUP(C780,Customers!$A$2:$F$301,3,FALSE())</f>
        <v/>
      </c>
      <c r="Q780" s="55">
        <f>UPPER(TRIM(K780))</f>
        <v/>
      </c>
      <c r="R780" s="55">
        <f>(G780-O780)/G780</f>
        <v/>
      </c>
      <c r="S780" s="55">
        <f>VLOOKUP(D780,Products!$A$2:$F$61,6,FALSE())</f>
        <v/>
      </c>
    </row>
    <row r="781" ht="15" customHeight="1" s="56">
      <c r="A781" s="55">
        <f>Orders!A781</f>
        <v/>
      </c>
      <c r="B781" s="103">
        <f>Orders!B781</f>
        <v/>
      </c>
      <c r="C781" s="55">
        <f>Orders!C781</f>
        <v/>
      </c>
      <c r="D781" s="55">
        <f>Orders!D781</f>
        <v/>
      </c>
      <c r="E781" s="55">
        <f>Orders!E781</f>
        <v/>
      </c>
      <c r="F781" s="55">
        <f>Orders!F781</f>
        <v/>
      </c>
      <c r="G781" s="55">
        <f>Orders!G781</f>
        <v/>
      </c>
      <c r="H781" s="55">
        <f>Orders!H781</f>
        <v/>
      </c>
      <c r="I781" s="55">
        <f>Orders!I781</f>
        <v/>
      </c>
      <c r="J781" s="55">
        <f>Orders!J781</f>
        <v/>
      </c>
      <c r="K781" s="55">
        <f>Orders!K781</f>
        <v/>
      </c>
      <c r="L781" s="55">
        <f>VLOOKUP(D781,Products!$A$2:$F$61,3,FALSE())</f>
        <v/>
      </c>
      <c r="M781" s="55">
        <f>VLOOKUP(C781,Customers!$A$2:$F$301,5,FALSE())</f>
        <v/>
      </c>
      <c r="N781" s="55">
        <f>VLOOKUP(E781,Sales_Reps!$A$2:$E$31,3,FALSE())</f>
        <v/>
      </c>
      <c r="O781" s="55">
        <f>VLOOKUP(D781,Products!$A$2:$F$61,4,FALSE())</f>
        <v/>
      </c>
      <c r="P781" s="55">
        <f>VLOOKUP(C781,Customers!$A$2:$F$301,3,FALSE())</f>
        <v/>
      </c>
      <c r="Q781" s="55">
        <f>UPPER(TRIM(K781))</f>
        <v/>
      </c>
      <c r="R781" s="55">
        <f>(G781-O781)/G781</f>
        <v/>
      </c>
      <c r="S781" s="55">
        <f>VLOOKUP(D781,Products!$A$2:$F$61,6,FALSE())</f>
        <v/>
      </c>
    </row>
    <row r="782" ht="15" customHeight="1" s="56">
      <c r="A782" s="55">
        <f>Orders!A782</f>
        <v/>
      </c>
      <c r="B782" s="103">
        <f>Orders!B782</f>
        <v/>
      </c>
      <c r="C782" s="55">
        <f>Orders!C782</f>
        <v/>
      </c>
      <c r="D782" s="55">
        <f>Orders!D782</f>
        <v/>
      </c>
      <c r="E782" s="55">
        <f>Orders!E782</f>
        <v/>
      </c>
      <c r="F782" s="55">
        <f>Orders!F782</f>
        <v/>
      </c>
      <c r="G782" s="55">
        <f>Orders!G782</f>
        <v/>
      </c>
      <c r="H782" s="55">
        <f>Orders!H782</f>
        <v/>
      </c>
      <c r="I782" s="55">
        <f>Orders!I782</f>
        <v/>
      </c>
      <c r="J782" s="55">
        <f>Orders!J782</f>
        <v/>
      </c>
      <c r="K782" s="55">
        <f>Orders!K782</f>
        <v/>
      </c>
      <c r="L782" s="55">
        <f>VLOOKUP(D782,Products!$A$2:$F$61,3,FALSE())</f>
        <v/>
      </c>
      <c r="M782" s="55">
        <f>VLOOKUP(C782,Customers!$A$2:$F$301,5,FALSE())</f>
        <v/>
      </c>
      <c r="N782" s="55">
        <f>VLOOKUP(E782,Sales_Reps!$A$2:$E$31,3,FALSE())</f>
        <v/>
      </c>
      <c r="O782" s="55">
        <f>VLOOKUP(D782,Products!$A$2:$F$61,4,FALSE())</f>
        <v/>
      </c>
      <c r="P782" s="55">
        <f>VLOOKUP(C782,Customers!$A$2:$F$301,3,FALSE())</f>
        <v/>
      </c>
      <c r="Q782" s="55">
        <f>UPPER(TRIM(K782))</f>
        <v/>
      </c>
      <c r="R782" s="55">
        <f>(G782-O782)/G782</f>
        <v/>
      </c>
      <c r="S782" s="55">
        <f>VLOOKUP(D782,Products!$A$2:$F$61,6,FALSE())</f>
        <v/>
      </c>
    </row>
    <row r="783" ht="15" customHeight="1" s="56">
      <c r="A783" s="55">
        <f>Orders!A783</f>
        <v/>
      </c>
      <c r="B783" s="103">
        <f>Orders!B783</f>
        <v/>
      </c>
      <c r="C783" s="55">
        <f>Orders!C783</f>
        <v/>
      </c>
      <c r="D783" s="55">
        <f>Orders!D783</f>
        <v/>
      </c>
      <c r="E783" s="55">
        <f>Orders!E783</f>
        <v/>
      </c>
      <c r="F783" s="55">
        <f>Orders!F783</f>
        <v/>
      </c>
      <c r="G783" s="55">
        <f>Orders!G783</f>
        <v/>
      </c>
      <c r="H783" s="55">
        <f>Orders!H783</f>
        <v/>
      </c>
      <c r="I783" s="55">
        <f>Orders!I783</f>
        <v/>
      </c>
      <c r="J783" s="55">
        <f>Orders!J783</f>
        <v/>
      </c>
      <c r="K783" s="55">
        <f>Orders!K783</f>
        <v/>
      </c>
      <c r="L783" s="55">
        <f>VLOOKUP(D783,Products!$A$2:$F$61,3,FALSE())</f>
        <v/>
      </c>
      <c r="M783" s="55">
        <f>VLOOKUP(C783,Customers!$A$2:$F$301,5,FALSE())</f>
        <v/>
      </c>
      <c r="N783" s="55">
        <f>VLOOKUP(E783,Sales_Reps!$A$2:$E$31,3,FALSE())</f>
        <v/>
      </c>
      <c r="O783" s="55">
        <f>VLOOKUP(D783,Products!$A$2:$F$61,4,FALSE())</f>
        <v/>
      </c>
      <c r="P783" s="55">
        <f>VLOOKUP(C783,Customers!$A$2:$F$301,3,FALSE())</f>
        <v/>
      </c>
      <c r="Q783" s="55">
        <f>UPPER(TRIM(K783))</f>
        <v/>
      </c>
      <c r="R783" s="55">
        <f>(G783-O783)/G783</f>
        <v/>
      </c>
      <c r="S783" s="55">
        <f>VLOOKUP(D783,Products!$A$2:$F$61,6,FALSE())</f>
        <v/>
      </c>
    </row>
    <row r="784" ht="15" customHeight="1" s="56">
      <c r="A784" s="55">
        <f>Orders!A784</f>
        <v/>
      </c>
      <c r="B784" s="103">
        <f>Orders!B784</f>
        <v/>
      </c>
      <c r="C784" s="55">
        <f>Orders!C784</f>
        <v/>
      </c>
      <c r="D784" s="55">
        <f>Orders!D784</f>
        <v/>
      </c>
      <c r="E784" s="55">
        <f>Orders!E784</f>
        <v/>
      </c>
      <c r="F784" s="55">
        <f>Orders!F784</f>
        <v/>
      </c>
      <c r="G784" s="55">
        <f>Orders!G784</f>
        <v/>
      </c>
      <c r="H784" s="55">
        <f>Orders!H784</f>
        <v/>
      </c>
      <c r="I784" s="55">
        <f>Orders!I784</f>
        <v/>
      </c>
      <c r="J784" s="55">
        <f>Orders!J784</f>
        <v/>
      </c>
      <c r="K784" s="55">
        <f>Orders!K784</f>
        <v/>
      </c>
      <c r="L784" s="55">
        <f>VLOOKUP(D784,Products!$A$2:$F$61,3,FALSE())</f>
        <v/>
      </c>
      <c r="M784" s="55">
        <f>VLOOKUP(C784,Customers!$A$2:$F$301,5,FALSE())</f>
        <v/>
      </c>
      <c r="N784" s="55">
        <f>VLOOKUP(E784,Sales_Reps!$A$2:$E$31,3,FALSE())</f>
        <v/>
      </c>
      <c r="O784" s="55">
        <f>VLOOKUP(D784,Products!$A$2:$F$61,4,FALSE())</f>
        <v/>
      </c>
      <c r="P784" s="55">
        <f>VLOOKUP(C784,Customers!$A$2:$F$301,3,FALSE())</f>
        <v/>
      </c>
      <c r="Q784" s="55">
        <f>UPPER(TRIM(K784))</f>
        <v/>
      </c>
      <c r="R784" s="55">
        <f>(G784-O784)/G784</f>
        <v/>
      </c>
      <c r="S784" s="55">
        <f>VLOOKUP(D784,Products!$A$2:$F$61,6,FALSE())</f>
        <v/>
      </c>
    </row>
    <row r="785" ht="15" customHeight="1" s="56">
      <c r="A785" s="55">
        <f>Orders!A785</f>
        <v/>
      </c>
      <c r="B785" s="103">
        <f>Orders!B785</f>
        <v/>
      </c>
      <c r="C785" s="55">
        <f>Orders!C785</f>
        <v/>
      </c>
      <c r="D785" s="55">
        <f>Orders!D785</f>
        <v/>
      </c>
      <c r="E785" s="55">
        <f>Orders!E785</f>
        <v/>
      </c>
      <c r="F785" s="55">
        <f>Orders!F785</f>
        <v/>
      </c>
      <c r="G785" s="55">
        <f>Orders!G785</f>
        <v/>
      </c>
      <c r="H785" s="55">
        <f>Orders!H785</f>
        <v/>
      </c>
      <c r="I785" s="55">
        <f>Orders!I785</f>
        <v/>
      </c>
      <c r="J785" s="55">
        <f>Orders!J785</f>
        <v/>
      </c>
      <c r="K785" s="55">
        <f>Orders!K785</f>
        <v/>
      </c>
      <c r="L785" s="55">
        <f>VLOOKUP(D785,Products!$A$2:$F$61,3,FALSE())</f>
        <v/>
      </c>
      <c r="M785" s="55">
        <f>VLOOKUP(C785,Customers!$A$2:$F$301,5,FALSE())</f>
        <v/>
      </c>
      <c r="N785" s="55">
        <f>VLOOKUP(E785,Sales_Reps!$A$2:$E$31,3,FALSE())</f>
        <v/>
      </c>
      <c r="O785" s="55">
        <f>VLOOKUP(D785,Products!$A$2:$F$61,4,FALSE())</f>
        <v/>
      </c>
      <c r="P785" s="55">
        <f>VLOOKUP(C785,Customers!$A$2:$F$301,3,FALSE())</f>
        <v/>
      </c>
      <c r="Q785" s="55">
        <f>UPPER(TRIM(K785))</f>
        <v/>
      </c>
      <c r="R785" s="55">
        <f>(G785-O785)/G785</f>
        <v/>
      </c>
      <c r="S785" s="55">
        <f>VLOOKUP(D785,Products!$A$2:$F$61,6,FALSE())</f>
        <v/>
      </c>
    </row>
    <row r="786" ht="15" customHeight="1" s="56">
      <c r="A786" s="55">
        <f>Orders!A786</f>
        <v/>
      </c>
      <c r="B786" s="103">
        <f>Orders!B786</f>
        <v/>
      </c>
      <c r="C786" s="55">
        <f>Orders!C786</f>
        <v/>
      </c>
      <c r="D786" s="55">
        <f>Orders!D786</f>
        <v/>
      </c>
      <c r="E786" s="55">
        <f>Orders!E786</f>
        <v/>
      </c>
      <c r="F786" s="55">
        <f>Orders!F786</f>
        <v/>
      </c>
      <c r="G786" s="55">
        <f>Orders!G786</f>
        <v/>
      </c>
      <c r="H786" s="55">
        <f>Orders!H786</f>
        <v/>
      </c>
      <c r="I786" s="55">
        <f>Orders!I786</f>
        <v/>
      </c>
      <c r="J786" s="55">
        <f>Orders!J786</f>
        <v/>
      </c>
      <c r="K786" s="55">
        <f>Orders!K786</f>
        <v/>
      </c>
      <c r="L786" s="55">
        <f>VLOOKUP(D786,Products!$A$2:$F$61,3,FALSE())</f>
        <v/>
      </c>
      <c r="M786" s="55">
        <f>VLOOKUP(C786,Customers!$A$2:$F$301,5,FALSE())</f>
        <v/>
      </c>
      <c r="N786" s="55">
        <f>VLOOKUP(E786,Sales_Reps!$A$2:$E$31,3,FALSE())</f>
        <v/>
      </c>
      <c r="O786" s="55">
        <f>VLOOKUP(D786,Products!$A$2:$F$61,4,FALSE())</f>
        <v/>
      </c>
      <c r="P786" s="55">
        <f>VLOOKUP(C786,Customers!$A$2:$F$301,3,FALSE())</f>
        <v/>
      </c>
      <c r="Q786" s="55">
        <f>UPPER(TRIM(K786))</f>
        <v/>
      </c>
      <c r="R786" s="55">
        <f>(G786-O786)/G786</f>
        <v/>
      </c>
      <c r="S786" s="55">
        <f>VLOOKUP(D786,Products!$A$2:$F$61,6,FALSE())</f>
        <v/>
      </c>
    </row>
    <row r="787" ht="15" customHeight="1" s="56">
      <c r="A787" s="55">
        <f>Orders!A787</f>
        <v/>
      </c>
      <c r="B787" s="103">
        <f>Orders!B787</f>
        <v/>
      </c>
      <c r="C787" s="55">
        <f>Orders!C787</f>
        <v/>
      </c>
      <c r="D787" s="55">
        <f>Orders!D787</f>
        <v/>
      </c>
      <c r="E787" s="55">
        <f>Orders!E787</f>
        <v/>
      </c>
      <c r="F787" s="55">
        <f>Orders!F787</f>
        <v/>
      </c>
      <c r="G787" s="55">
        <f>Orders!G787</f>
        <v/>
      </c>
      <c r="H787" s="55">
        <f>Orders!H787</f>
        <v/>
      </c>
      <c r="I787" s="55">
        <f>Orders!I787</f>
        <v/>
      </c>
      <c r="J787" s="55">
        <f>Orders!J787</f>
        <v/>
      </c>
      <c r="K787" s="55">
        <f>Orders!K787</f>
        <v/>
      </c>
      <c r="L787" s="55">
        <f>VLOOKUP(D787,Products!$A$2:$F$61,3,FALSE())</f>
        <v/>
      </c>
      <c r="M787" s="55">
        <f>VLOOKUP(C787,Customers!$A$2:$F$301,5,FALSE())</f>
        <v/>
      </c>
      <c r="N787" s="55">
        <f>VLOOKUP(E787,Sales_Reps!$A$2:$E$31,3,FALSE())</f>
        <v/>
      </c>
      <c r="O787" s="55">
        <f>VLOOKUP(D787,Products!$A$2:$F$61,4,FALSE())</f>
        <v/>
      </c>
      <c r="P787" s="55">
        <f>VLOOKUP(C787,Customers!$A$2:$F$301,3,FALSE())</f>
        <v/>
      </c>
      <c r="Q787" s="55">
        <f>UPPER(TRIM(K787))</f>
        <v/>
      </c>
      <c r="R787" s="55">
        <f>(G787-O787)/G787</f>
        <v/>
      </c>
      <c r="S787" s="55">
        <f>VLOOKUP(D787,Products!$A$2:$F$61,6,FALSE())</f>
        <v/>
      </c>
    </row>
    <row r="788" ht="15" customHeight="1" s="56">
      <c r="A788" s="55">
        <f>Orders!A788</f>
        <v/>
      </c>
      <c r="B788" s="103">
        <f>Orders!B788</f>
        <v/>
      </c>
      <c r="C788" s="55">
        <f>Orders!C788</f>
        <v/>
      </c>
      <c r="D788" s="55">
        <f>Orders!D788</f>
        <v/>
      </c>
      <c r="E788" s="55">
        <f>Orders!E788</f>
        <v/>
      </c>
      <c r="F788" s="55">
        <f>Orders!F788</f>
        <v/>
      </c>
      <c r="G788" s="55">
        <f>Orders!G788</f>
        <v/>
      </c>
      <c r="H788" s="55">
        <f>Orders!H788</f>
        <v/>
      </c>
      <c r="I788" s="55">
        <f>Orders!I788</f>
        <v/>
      </c>
      <c r="J788" s="55">
        <f>Orders!J788</f>
        <v/>
      </c>
      <c r="K788" s="55">
        <f>Orders!K788</f>
        <v/>
      </c>
      <c r="L788" s="55">
        <f>VLOOKUP(D788,Products!$A$2:$F$61,3,FALSE())</f>
        <v/>
      </c>
      <c r="M788" s="55">
        <f>VLOOKUP(C788,Customers!$A$2:$F$301,5,FALSE())</f>
        <v/>
      </c>
      <c r="N788" s="55">
        <f>VLOOKUP(E788,Sales_Reps!$A$2:$E$31,3,FALSE())</f>
        <v/>
      </c>
      <c r="O788" s="55">
        <f>VLOOKUP(D788,Products!$A$2:$F$61,4,FALSE())</f>
        <v/>
      </c>
      <c r="P788" s="55">
        <f>VLOOKUP(C788,Customers!$A$2:$F$301,3,FALSE())</f>
        <v/>
      </c>
      <c r="Q788" s="55">
        <f>UPPER(TRIM(K788))</f>
        <v/>
      </c>
      <c r="R788" s="55">
        <f>(G788-O788)/G788</f>
        <v/>
      </c>
      <c r="S788" s="55">
        <f>VLOOKUP(D788,Products!$A$2:$F$61,6,FALSE())</f>
        <v/>
      </c>
    </row>
    <row r="789" ht="15" customHeight="1" s="56">
      <c r="A789" s="55">
        <f>Orders!A789</f>
        <v/>
      </c>
      <c r="B789" s="103">
        <f>Orders!B789</f>
        <v/>
      </c>
      <c r="C789" s="55">
        <f>Orders!C789</f>
        <v/>
      </c>
      <c r="D789" s="55">
        <f>Orders!D789</f>
        <v/>
      </c>
      <c r="E789" s="55">
        <f>Orders!E789</f>
        <v/>
      </c>
      <c r="F789" s="55">
        <f>Orders!F789</f>
        <v/>
      </c>
      <c r="G789" s="55">
        <f>Orders!G789</f>
        <v/>
      </c>
      <c r="H789" s="55">
        <f>Orders!H789</f>
        <v/>
      </c>
      <c r="I789" s="55">
        <f>Orders!I789</f>
        <v/>
      </c>
      <c r="J789" s="55">
        <f>Orders!J789</f>
        <v/>
      </c>
      <c r="K789" s="55">
        <f>Orders!K789</f>
        <v/>
      </c>
      <c r="L789" s="55">
        <f>VLOOKUP(D789,Products!$A$2:$F$61,3,FALSE())</f>
        <v/>
      </c>
      <c r="M789" s="55">
        <f>VLOOKUP(C789,Customers!$A$2:$F$301,5,FALSE())</f>
        <v/>
      </c>
      <c r="N789" s="55">
        <f>VLOOKUP(E789,Sales_Reps!$A$2:$E$31,3,FALSE())</f>
        <v/>
      </c>
      <c r="O789" s="55">
        <f>VLOOKUP(D789,Products!$A$2:$F$61,4,FALSE())</f>
        <v/>
      </c>
      <c r="P789" s="55">
        <f>VLOOKUP(C789,Customers!$A$2:$F$301,3,FALSE())</f>
        <v/>
      </c>
      <c r="Q789" s="55">
        <f>UPPER(TRIM(K789))</f>
        <v/>
      </c>
      <c r="R789" s="55">
        <f>(G789-O789)/G789</f>
        <v/>
      </c>
      <c r="S789" s="55">
        <f>VLOOKUP(D789,Products!$A$2:$F$61,6,FALSE())</f>
        <v/>
      </c>
    </row>
    <row r="790" ht="15" customHeight="1" s="56">
      <c r="A790" s="55">
        <f>Orders!A790</f>
        <v/>
      </c>
      <c r="B790" s="103">
        <f>Orders!B790</f>
        <v/>
      </c>
      <c r="C790" s="55">
        <f>Orders!C790</f>
        <v/>
      </c>
      <c r="D790" s="55">
        <f>Orders!D790</f>
        <v/>
      </c>
      <c r="E790" s="55">
        <f>Orders!E790</f>
        <v/>
      </c>
      <c r="F790" s="55">
        <f>Orders!F790</f>
        <v/>
      </c>
      <c r="G790" s="55">
        <f>Orders!G790</f>
        <v/>
      </c>
      <c r="H790" s="55">
        <f>Orders!H790</f>
        <v/>
      </c>
      <c r="I790" s="55">
        <f>Orders!I790</f>
        <v/>
      </c>
      <c r="J790" s="55">
        <f>Orders!J790</f>
        <v/>
      </c>
      <c r="K790" s="55">
        <f>Orders!K790</f>
        <v/>
      </c>
      <c r="L790" s="55">
        <f>VLOOKUP(D790,Products!$A$2:$F$61,3,FALSE())</f>
        <v/>
      </c>
      <c r="M790" s="55">
        <f>VLOOKUP(C790,Customers!$A$2:$F$301,5,FALSE())</f>
        <v/>
      </c>
      <c r="N790" s="55">
        <f>VLOOKUP(E790,Sales_Reps!$A$2:$E$31,3,FALSE())</f>
        <v/>
      </c>
      <c r="O790" s="55">
        <f>VLOOKUP(D790,Products!$A$2:$F$61,4,FALSE())</f>
        <v/>
      </c>
      <c r="P790" s="55">
        <f>VLOOKUP(C790,Customers!$A$2:$F$301,3,FALSE())</f>
        <v/>
      </c>
      <c r="Q790" s="55">
        <f>UPPER(TRIM(K790))</f>
        <v/>
      </c>
      <c r="R790" s="55">
        <f>(G790-O790)/G790</f>
        <v/>
      </c>
      <c r="S790" s="55">
        <f>VLOOKUP(D790,Products!$A$2:$F$61,6,FALSE())</f>
        <v/>
      </c>
    </row>
    <row r="791" ht="15" customHeight="1" s="56">
      <c r="A791" s="55">
        <f>Orders!A791</f>
        <v/>
      </c>
      <c r="B791" s="103">
        <f>Orders!B791</f>
        <v/>
      </c>
      <c r="C791" s="55">
        <f>Orders!C791</f>
        <v/>
      </c>
      <c r="D791" s="55">
        <f>Orders!D791</f>
        <v/>
      </c>
      <c r="E791" s="55">
        <f>Orders!E791</f>
        <v/>
      </c>
      <c r="F791" s="55">
        <f>Orders!F791</f>
        <v/>
      </c>
      <c r="G791" s="55">
        <f>Orders!G791</f>
        <v/>
      </c>
      <c r="H791" s="55">
        <f>Orders!H791</f>
        <v/>
      </c>
      <c r="I791" s="55">
        <f>Orders!I791</f>
        <v/>
      </c>
      <c r="J791" s="55">
        <f>Orders!J791</f>
        <v/>
      </c>
      <c r="K791" s="55">
        <f>Orders!K791</f>
        <v/>
      </c>
      <c r="L791" s="55">
        <f>VLOOKUP(D791,Products!$A$2:$F$61,3,FALSE())</f>
        <v/>
      </c>
      <c r="M791" s="55">
        <f>VLOOKUP(C791,Customers!$A$2:$F$301,5,FALSE())</f>
        <v/>
      </c>
      <c r="N791" s="55">
        <f>VLOOKUP(E791,Sales_Reps!$A$2:$E$31,3,FALSE())</f>
        <v/>
      </c>
      <c r="O791" s="55">
        <f>VLOOKUP(D791,Products!$A$2:$F$61,4,FALSE())</f>
        <v/>
      </c>
      <c r="P791" s="55">
        <f>VLOOKUP(C791,Customers!$A$2:$F$301,3,FALSE())</f>
        <v/>
      </c>
      <c r="Q791" s="55">
        <f>UPPER(TRIM(K791))</f>
        <v/>
      </c>
      <c r="R791" s="55">
        <f>(G791-O791)/G791</f>
        <v/>
      </c>
      <c r="S791" s="55">
        <f>VLOOKUP(D791,Products!$A$2:$F$61,6,FALSE())</f>
        <v/>
      </c>
    </row>
    <row r="792" ht="15" customHeight="1" s="56">
      <c r="A792" s="55">
        <f>Orders!A792</f>
        <v/>
      </c>
      <c r="B792" s="103">
        <f>Orders!B792</f>
        <v/>
      </c>
      <c r="C792" s="55">
        <f>Orders!C792</f>
        <v/>
      </c>
      <c r="D792" s="55">
        <f>Orders!D792</f>
        <v/>
      </c>
      <c r="E792" s="55">
        <f>Orders!E792</f>
        <v/>
      </c>
      <c r="F792" s="55">
        <f>Orders!F792</f>
        <v/>
      </c>
      <c r="G792" s="55">
        <f>Orders!G792</f>
        <v/>
      </c>
      <c r="H792" s="55">
        <f>Orders!H792</f>
        <v/>
      </c>
      <c r="I792" s="55">
        <f>Orders!I792</f>
        <v/>
      </c>
      <c r="J792" s="55">
        <f>Orders!J792</f>
        <v/>
      </c>
      <c r="K792" s="55">
        <f>Orders!K792</f>
        <v/>
      </c>
      <c r="L792" s="55">
        <f>VLOOKUP(D792,Products!$A$2:$F$61,3,FALSE())</f>
        <v/>
      </c>
      <c r="M792" s="55">
        <f>VLOOKUP(C792,Customers!$A$2:$F$301,5,FALSE())</f>
        <v/>
      </c>
      <c r="N792" s="55">
        <f>VLOOKUP(E792,Sales_Reps!$A$2:$E$31,3,FALSE())</f>
        <v/>
      </c>
      <c r="O792" s="55">
        <f>VLOOKUP(D792,Products!$A$2:$F$61,4,FALSE())</f>
        <v/>
      </c>
      <c r="P792" s="55">
        <f>VLOOKUP(C792,Customers!$A$2:$F$301,3,FALSE())</f>
        <v/>
      </c>
      <c r="Q792" s="55">
        <f>UPPER(TRIM(K792))</f>
        <v/>
      </c>
      <c r="R792" s="55">
        <f>(G792-O792)/G792</f>
        <v/>
      </c>
      <c r="S792" s="55">
        <f>VLOOKUP(D792,Products!$A$2:$F$61,6,FALSE())</f>
        <v/>
      </c>
    </row>
    <row r="793" ht="15" customHeight="1" s="56">
      <c r="A793" s="55">
        <f>Orders!A793</f>
        <v/>
      </c>
      <c r="B793" s="103">
        <f>Orders!B793</f>
        <v/>
      </c>
      <c r="C793" s="55">
        <f>Orders!C793</f>
        <v/>
      </c>
      <c r="D793" s="55">
        <f>Orders!D793</f>
        <v/>
      </c>
      <c r="E793" s="55">
        <f>Orders!E793</f>
        <v/>
      </c>
      <c r="F793" s="55">
        <f>Orders!F793</f>
        <v/>
      </c>
      <c r="G793" s="55">
        <f>Orders!G793</f>
        <v/>
      </c>
      <c r="H793" s="55">
        <f>Orders!H793</f>
        <v/>
      </c>
      <c r="I793" s="55">
        <f>Orders!I793</f>
        <v/>
      </c>
      <c r="J793" s="55">
        <f>Orders!J793</f>
        <v/>
      </c>
      <c r="K793" s="55">
        <f>Orders!K793</f>
        <v/>
      </c>
      <c r="L793" s="55">
        <f>VLOOKUP(D793,Products!$A$2:$F$61,3,FALSE())</f>
        <v/>
      </c>
      <c r="M793" s="55">
        <f>VLOOKUP(C793,Customers!$A$2:$F$301,5,FALSE())</f>
        <v/>
      </c>
      <c r="N793" s="55">
        <f>VLOOKUP(E793,Sales_Reps!$A$2:$E$31,3,FALSE())</f>
        <v/>
      </c>
      <c r="O793" s="55">
        <f>VLOOKUP(D793,Products!$A$2:$F$61,4,FALSE())</f>
        <v/>
      </c>
      <c r="P793" s="55">
        <f>VLOOKUP(C793,Customers!$A$2:$F$301,3,FALSE())</f>
        <v/>
      </c>
      <c r="Q793" s="55">
        <f>UPPER(TRIM(K793))</f>
        <v/>
      </c>
      <c r="R793" s="55">
        <f>(G793-O793)/G793</f>
        <v/>
      </c>
      <c r="S793" s="55">
        <f>VLOOKUP(D793,Products!$A$2:$F$61,6,FALSE())</f>
        <v/>
      </c>
    </row>
    <row r="794" ht="15" customHeight="1" s="56">
      <c r="A794" s="55">
        <f>Orders!A794</f>
        <v/>
      </c>
      <c r="B794" s="103">
        <f>Orders!B794</f>
        <v/>
      </c>
      <c r="C794" s="55">
        <f>Orders!C794</f>
        <v/>
      </c>
      <c r="D794" s="55">
        <f>Orders!D794</f>
        <v/>
      </c>
      <c r="E794" s="55">
        <f>Orders!E794</f>
        <v/>
      </c>
      <c r="F794" s="55">
        <f>Orders!F794</f>
        <v/>
      </c>
      <c r="G794" s="55">
        <f>Orders!G794</f>
        <v/>
      </c>
      <c r="H794" s="55">
        <f>Orders!H794</f>
        <v/>
      </c>
      <c r="I794" s="55">
        <f>Orders!I794</f>
        <v/>
      </c>
      <c r="J794" s="55">
        <f>Orders!J794</f>
        <v/>
      </c>
      <c r="K794" s="55">
        <f>Orders!K794</f>
        <v/>
      </c>
      <c r="L794" s="55">
        <f>VLOOKUP(D794,Products!$A$2:$F$61,3,FALSE())</f>
        <v/>
      </c>
      <c r="M794" s="55">
        <f>VLOOKUP(C794,Customers!$A$2:$F$301,5,FALSE())</f>
        <v/>
      </c>
      <c r="N794" s="55">
        <f>VLOOKUP(E794,Sales_Reps!$A$2:$E$31,3,FALSE())</f>
        <v/>
      </c>
      <c r="O794" s="55">
        <f>VLOOKUP(D794,Products!$A$2:$F$61,4,FALSE())</f>
        <v/>
      </c>
      <c r="P794" s="55">
        <f>VLOOKUP(C794,Customers!$A$2:$F$301,3,FALSE())</f>
        <v/>
      </c>
      <c r="Q794" s="55">
        <f>UPPER(TRIM(K794))</f>
        <v/>
      </c>
      <c r="R794" s="55">
        <f>(G794-O794)/G794</f>
        <v/>
      </c>
      <c r="S794" s="55">
        <f>VLOOKUP(D794,Products!$A$2:$F$61,6,FALSE())</f>
        <v/>
      </c>
    </row>
    <row r="795" ht="15" customHeight="1" s="56">
      <c r="A795" s="55">
        <f>Orders!A795</f>
        <v/>
      </c>
      <c r="B795" s="103">
        <f>Orders!B795</f>
        <v/>
      </c>
      <c r="C795" s="55">
        <f>Orders!C795</f>
        <v/>
      </c>
      <c r="D795" s="55">
        <f>Orders!D795</f>
        <v/>
      </c>
      <c r="E795" s="55">
        <f>Orders!E795</f>
        <v/>
      </c>
      <c r="F795" s="55">
        <f>Orders!F795</f>
        <v/>
      </c>
      <c r="G795" s="55">
        <f>Orders!G795</f>
        <v/>
      </c>
      <c r="H795" s="55">
        <f>Orders!H795</f>
        <v/>
      </c>
      <c r="I795" s="55">
        <f>Orders!I795</f>
        <v/>
      </c>
      <c r="J795" s="55">
        <f>Orders!J795</f>
        <v/>
      </c>
      <c r="K795" s="55">
        <f>Orders!K795</f>
        <v/>
      </c>
      <c r="L795" s="55">
        <f>VLOOKUP(D795,Products!$A$2:$F$61,3,FALSE())</f>
        <v/>
      </c>
      <c r="M795" s="55">
        <f>VLOOKUP(C795,Customers!$A$2:$F$301,5,FALSE())</f>
        <v/>
      </c>
      <c r="N795" s="55">
        <f>VLOOKUP(E795,Sales_Reps!$A$2:$E$31,3,FALSE())</f>
        <v/>
      </c>
      <c r="O795" s="55">
        <f>VLOOKUP(D795,Products!$A$2:$F$61,4,FALSE())</f>
        <v/>
      </c>
      <c r="P795" s="55">
        <f>VLOOKUP(C795,Customers!$A$2:$F$301,3,FALSE())</f>
        <v/>
      </c>
      <c r="Q795" s="55">
        <f>UPPER(TRIM(K795))</f>
        <v/>
      </c>
      <c r="R795" s="55">
        <f>(G795-O795)/G795</f>
        <v/>
      </c>
      <c r="S795" s="55">
        <f>VLOOKUP(D795,Products!$A$2:$F$61,6,FALSE())</f>
        <v/>
      </c>
    </row>
    <row r="796" ht="15" customHeight="1" s="56">
      <c r="A796" s="55">
        <f>Orders!A796</f>
        <v/>
      </c>
      <c r="B796" s="103">
        <f>Orders!B796</f>
        <v/>
      </c>
      <c r="C796" s="55">
        <f>Orders!C796</f>
        <v/>
      </c>
      <c r="D796" s="55">
        <f>Orders!D796</f>
        <v/>
      </c>
      <c r="E796" s="55">
        <f>Orders!E796</f>
        <v/>
      </c>
      <c r="F796" s="55">
        <f>Orders!F796</f>
        <v/>
      </c>
      <c r="G796" s="55">
        <f>Orders!G796</f>
        <v/>
      </c>
      <c r="H796" s="55">
        <f>Orders!H796</f>
        <v/>
      </c>
      <c r="I796" s="55">
        <f>Orders!I796</f>
        <v/>
      </c>
      <c r="J796" s="55">
        <f>Orders!J796</f>
        <v/>
      </c>
      <c r="K796" s="55">
        <f>Orders!K796</f>
        <v/>
      </c>
      <c r="L796" s="55">
        <f>VLOOKUP(D796,Products!$A$2:$F$61,3,FALSE())</f>
        <v/>
      </c>
      <c r="M796" s="55">
        <f>VLOOKUP(C796,Customers!$A$2:$F$301,5,FALSE())</f>
        <v/>
      </c>
      <c r="N796" s="55">
        <f>VLOOKUP(E796,Sales_Reps!$A$2:$E$31,3,FALSE())</f>
        <v/>
      </c>
      <c r="O796" s="55">
        <f>VLOOKUP(D796,Products!$A$2:$F$61,4,FALSE())</f>
        <v/>
      </c>
      <c r="P796" s="55">
        <f>VLOOKUP(C796,Customers!$A$2:$F$301,3,FALSE())</f>
        <v/>
      </c>
      <c r="Q796" s="55">
        <f>UPPER(TRIM(K796))</f>
        <v/>
      </c>
      <c r="R796" s="55">
        <f>(G796-O796)/G796</f>
        <v/>
      </c>
      <c r="S796" s="55">
        <f>VLOOKUP(D796,Products!$A$2:$F$61,6,FALSE())</f>
        <v/>
      </c>
    </row>
    <row r="797" ht="15" customHeight="1" s="56">
      <c r="A797" s="55">
        <f>Orders!A797</f>
        <v/>
      </c>
      <c r="B797" s="103">
        <f>Orders!B797</f>
        <v/>
      </c>
      <c r="C797" s="55">
        <f>Orders!C797</f>
        <v/>
      </c>
      <c r="D797" s="55">
        <f>Orders!D797</f>
        <v/>
      </c>
      <c r="E797" s="55">
        <f>Orders!E797</f>
        <v/>
      </c>
      <c r="F797" s="55">
        <f>Orders!F797</f>
        <v/>
      </c>
      <c r="G797" s="55">
        <f>Orders!G797</f>
        <v/>
      </c>
      <c r="H797" s="55">
        <f>Orders!H797</f>
        <v/>
      </c>
      <c r="I797" s="55">
        <f>Orders!I797</f>
        <v/>
      </c>
      <c r="J797" s="55">
        <f>Orders!J797</f>
        <v/>
      </c>
      <c r="K797" s="55">
        <f>Orders!K797</f>
        <v/>
      </c>
      <c r="L797" s="55">
        <f>VLOOKUP(D797,Products!$A$2:$F$61,3,FALSE())</f>
        <v/>
      </c>
      <c r="M797" s="55">
        <f>VLOOKUP(C797,Customers!$A$2:$F$301,5,FALSE())</f>
        <v/>
      </c>
      <c r="N797" s="55">
        <f>VLOOKUP(E797,Sales_Reps!$A$2:$E$31,3,FALSE())</f>
        <v/>
      </c>
      <c r="O797" s="55">
        <f>VLOOKUP(D797,Products!$A$2:$F$61,4,FALSE())</f>
        <v/>
      </c>
      <c r="P797" s="55">
        <f>VLOOKUP(C797,Customers!$A$2:$F$301,3,FALSE())</f>
        <v/>
      </c>
      <c r="Q797" s="55">
        <f>UPPER(TRIM(K797))</f>
        <v/>
      </c>
      <c r="R797" s="55">
        <f>(G797-O797)/G797</f>
        <v/>
      </c>
      <c r="S797" s="55">
        <f>VLOOKUP(D797,Products!$A$2:$F$61,6,FALSE())</f>
        <v/>
      </c>
    </row>
    <row r="798" ht="15" customHeight="1" s="56">
      <c r="A798" s="55">
        <f>Orders!A798</f>
        <v/>
      </c>
      <c r="B798" s="103">
        <f>Orders!B798</f>
        <v/>
      </c>
      <c r="C798" s="55">
        <f>Orders!C798</f>
        <v/>
      </c>
      <c r="D798" s="55">
        <f>Orders!D798</f>
        <v/>
      </c>
      <c r="E798" s="55">
        <f>Orders!E798</f>
        <v/>
      </c>
      <c r="F798" s="55">
        <f>Orders!F798</f>
        <v/>
      </c>
      <c r="G798" s="55">
        <f>Orders!G798</f>
        <v/>
      </c>
      <c r="H798" s="55">
        <f>Orders!H798</f>
        <v/>
      </c>
      <c r="I798" s="55">
        <f>Orders!I798</f>
        <v/>
      </c>
      <c r="J798" s="55">
        <f>Orders!J798</f>
        <v/>
      </c>
      <c r="K798" s="55">
        <f>Orders!K798</f>
        <v/>
      </c>
      <c r="L798" s="55">
        <f>VLOOKUP(D798,Products!$A$2:$F$61,3,FALSE())</f>
        <v/>
      </c>
      <c r="M798" s="55">
        <f>VLOOKUP(C798,Customers!$A$2:$F$301,5,FALSE())</f>
        <v/>
      </c>
      <c r="N798" s="55">
        <f>VLOOKUP(E798,Sales_Reps!$A$2:$E$31,3,FALSE())</f>
        <v/>
      </c>
      <c r="O798" s="55">
        <f>VLOOKUP(D798,Products!$A$2:$F$61,4,FALSE())</f>
        <v/>
      </c>
      <c r="P798" s="55">
        <f>VLOOKUP(C798,Customers!$A$2:$F$301,3,FALSE())</f>
        <v/>
      </c>
      <c r="Q798" s="55">
        <f>UPPER(TRIM(K798))</f>
        <v/>
      </c>
      <c r="R798" s="55">
        <f>(G798-O798)/G798</f>
        <v/>
      </c>
      <c r="S798" s="55">
        <f>VLOOKUP(D798,Products!$A$2:$F$61,6,FALSE())</f>
        <v/>
      </c>
    </row>
    <row r="799" ht="15" customHeight="1" s="56">
      <c r="A799" s="55">
        <f>Orders!A799</f>
        <v/>
      </c>
      <c r="B799" s="103">
        <f>Orders!B799</f>
        <v/>
      </c>
      <c r="C799" s="55">
        <f>Orders!C799</f>
        <v/>
      </c>
      <c r="D799" s="55">
        <f>Orders!D799</f>
        <v/>
      </c>
      <c r="E799" s="55">
        <f>Orders!E799</f>
        <v/>
      </c>
      <c r="F799" s="55">
        <f>Orders!F799</f>
        <v/>
      </c>
      <c r="G799" s="55">
        <f>Orders!G799</f>
        <v/>
      </c>
      <c r="H799" s="55">
        <f>Orders!H799</f>
        <v/>
      </c>
      <c r="I799" s="55">
        <f>Orders!I799</f>
        <v/>
      </c>
      <c r="J799" s="55">
        <f>Orders!J799</f>
        <v/>
      </c>
      <c r="K799" s="55">
        <f>Orders!K799</f>
        <v/>
      </c>
      <c r="L799" s="55">
        <f>VLOOKUP(D799,Products!$A$2:$F$61,3,FALSE())</f>
        <v/>
      </c>
      <c r="M799" s="55">
        <f>VLOOKUP(C799,Customers!$A$2:$F$301,5,FALSE())</f>
        <v/>
      </c>
      <c r="N799" s="55">
        <f>VLOOKUP(E799,Sales_Reps!$A$2:$E$31,3,FALSE())</f>
        <v/>
      </c>
      <c r="O799" s="55">
        <f>VLOOKUP(D799,Products!$A$2:$F$61,4,FALSE())</f>
        <v/>
      </c>
      <c r="P799" s="55">
        <f>VLOOKUP(C799,Customers!$A$2:$F$301,3,FALSE())</f>
        <v/>
      </c>
      <c r="Q799" s="55">
        <f>UPPER(TRIM(K799))</f>
        <v/>
      </c>
      <c r="R799" s="55">
        <f>(G799-O799)/G799</f>
        <v/>
      </c>
      <c r="S799" s="55">
        <f>VLOOKUP(D799,Products!$A$2:$F$61,6,FALSE())</f>
        <v/>
      </c>
    </row>
    <row r="800" ht="15" customHeight="1" s="56">
      <c r="A800" s="55">
        <f>Orders!A800</f>
        <v/>
      </c>
      <c r="B800" s="103">
        <f>Orders!B800</f>
        <v/>
      </c>
      <c r="C800" s="55">
        <f>Orders!C800</f>
        <v/>
      </c>
      <c r="D800" s="55">
        <f>Orders!D800</f>
        <v/>
      </c>
      <c r="E800" s="55">
        <f>Orders!E800</f>
        <v/>
      </c>
      <c r="F800" s="55">
        <f>Orders!F800</f>
        <v/>
      </c>
      <c r="G800" s="55">
        <f>Orders!G800</f>
        <v/>
      </c>
      <c r="H800" s="55">
        <f>Orders!H800</f>
        <v/>
      </c>
      <c r="I800" s="55">
        <f>Orders!I800</f>
        <v/>
      </c>
      <c r="J800" s="55">
        <f>Orders!J800</f>
        <v/>
      </c>
      <c r="K800" s="55">
        <f>Orders!K800</f>
        <v/>
      </c>
      <c r="L800" s="55">
        <f>VLOOKUP(D800,Products!$A$2:$F$61,3,FALSE())</f>
        <v/>
      </c>
      <c r="M800" s="55">
        <f>VLOOKUP(C800,Customers!$A$2:$F$301,5,FALSE())</f>
        <v/>
      </c>
      <c r="N800" s="55">
        <f>VLOOKUP(E800,Sales_Reps!$A$2:$E$31,3,FALSE())</f>
        <v/>
      </c>
      <c r="O800" s="55">
        <f>VLOOKUP(D800,Products!$A$2:$F$61,4,FALSE())</f>
        <v/>
      </c>
      <c r="P800" s="55">
        <f>VLOOKUP(C800,Customers!$A$2:$F$301,3,FALSE())</f>
        <v/>
      </c>
      <c r="Q800" s="55">
        <f>UPPER(TRIM(K800))</f>
        <v/>
      </c>
      <c r="R800" s="55">
        <f>(G800-O800)/G800</f>
        <v/>
      </c>
      <c r="S800" s="55">
        <f>VLOOKUP(D800,Products!$A$2:$F$61,6,FALSE())</f>
        <v/>
      </c>
    </row>
    <row r="801" ht="15" customHeight="1" s="56">
      <c r="A801" s="55">
        <f>Orders!A801</f>
        <v/>
      </c>
      <c r="B801" s="103">
        <f>Orders!B801</f>
        <v/>
      </c>
      <c r="C801" s="55">
        <f>Orders!C801</f>
        <v/>
      </c>
      <c r="D801" s="55">
        <f>Orders!D801</f>
        <v/>
      </c>
      <c r="E801" s="55">
        <f>Orders!E801</f>
        <v/>
      </c>
      <c r="F801" s="55">
        <f>Orders!F801</f>
        <v/>
      </c>
      <c r="G801" s="55">
        <f>Orders!G801</f>
        <v/>
      </c>
      <c r="H801" s="55">
        <f>Orders!H801</f>
        <v/>
      </c>
      <c r="I801" s="55">
        <f>Orders!I801</f>
        <v/>
      </c>
      <c r="J801" s="55">
        <f>Orders!J801</f>
        <v/>
      </c>
      <c r="K801" s="55">
        <f>Orders!K801</f>
        <v/>
      </c>
      <c r="L801" s="55">
        <f>VLOOKUP(D801,Products!$A$2:$F$61,3,FALSE())</f>
        <v/>
      </c>
      <c r="M801" s="55">
        <f>VLOOKUP(C801,Customers!$A$2:$F$301,5,FALSE())</f>
        <v/>
      </c>
      <c r="N801" s="55">
        <f>VLOOKUP(E801,Sales_Reps!$A$2:$E$31,3,FALSE())</f>
        <v/>
      </c>
      <c r="O801" s="55">
        <f>VLOOKUP(D801,Products!$A$2:$F$61,4,FALSE())</f>
        <v/>
      </c>
      <c r="P801" s="55">
        <f>VLOOKUP(C801,Customers!$A$2:$F$301,3,FALSE())</f>
        <v/>
      </c>
      <c r="Q801" s="55">
        <f>UPPER(TRIM(K801))</f>
        <v/>
      </c>
      <c r="R801" s="55">
        <f>(G801-O801)/G801</f>
        <v/>
      </c>
      <c r="S801" s="55">
        <f>VLOOKUP(D801,Products!$A$2:$F$61,6,FALSE())</f>
        <v/>
      </c>
    </row>
    <row r="802" ht="15" customHeight="1" s="56">
      <c r="A802" s="55">
        <f>Orders!A802</f>
        <v/>
      </c>
      <c r="B802" s="103">
        <f>Orders!B802</f>
        <v/>
      </c>
      <c r="C802" s="55">
        <f>Orders!C802</f>
        <v/>
      </c>
      <c r="D802" s="55">
        <f>Orders!D802</f>
        <v/>
      </c>
      <c r="E802" s="55">
        <f>Orders!E802</f>
        <v/>
      </c>
      <c r="F802" s="55">
        <f>Orders!F802</f>
        <v/>
      </c>
      <c r="G802" s="55">
        <f>Orders!G802</f>
        <v/>
      </c>
      <c r="H802" s="55">
        <f>Orders!H802</f>
        <v/>
      </c>
      <c r="I802" s="55">
        <f>Orders!I802</f>
        <v/>
      </c>
      <c r="J802" s="55">
        <f>Orders!J802</f>
        <v/>
      </c>
      <c r="K802" s="55">
        <f>Orders!K802</f>
        <v/>
      </c>
      <c r="L802" s="55">
        <f>VLOOKUP(D802,Products!$A$2:$F$61,3,FALSE())</f>
        <v/>
      </c>
      <c r="M802" s="55">
        <f>VLOOKUP(C802,Customers!$A$2:$F$301,5,FALSE())</f>
        <v/>
      </c>
      <c r="N802" s="55">
        <f>VLOOKUP(E802,Sales_Reps!$A$2:$E$31,3,FALSE())</f>
        <v/>
      </c>
      <c r="O802" s="55">
        <f>VLOOKUP(D802,Products!$A$2:$F$61,4,FALSE())</f>
        <v/>
      </c>
      <c r="P802" s="55">
        <f>VLOOKUP(C802,Customers!$A$2:$F$301,3,FALSE())</f>
        <v/>
      </c>
      <c r="Q802" s="55">
        <f>UPPER(TRIM(K802))</f>
        <v/>
      </c>
      <c r="R802" s="55">
        <f>(G802-O802)/G802</f>
        <v/>
      </c>
      <c r="S802" s="55">
        <f>VLOOKUP(D802,Products!$A$2:$F$61,6,FALSE())</f>
        <v/>
      </c>
    </row>
    <row r="803" ht="15" customHeight="1" s="56">
      <c r="A803" s="55">
        <f>Orders!A803</f>
        <v/>
      </c>
      <c r="B803" s="103">
        <f>Orders!B803</f>
        <v/>
      </c>
      <c r="C803" s="55">
        <f>Orders!C803</f>
        <v/>
      </c>
      <c r="D803" s="55">
        <f>Orders!D803</f>
        <v/>
      </c>
      <c r="E803" s="55">
        <f>Orders!E803</f>
        <v/>
      </c>
      <c r="F803" s="55">
        <f>Orders!F803</f>
        <v/>
      </c>
      <c r="G803" s="55">
        <f>Orders!G803</f>
        <v/>
      </c>
      <c r="H803" s="55">
        <f>Orders!H803</f>
        <v/>
      </c>
      <c r="I803" s="55">
        <f>Orders!I803</f>
        <v/>
      </c>
      <c r="J803" s="55">
        <f>Orders!J803</f>
        <v/>
      </c>
      <c r="K803" s="55">
        <f>Orders!K803</f>
        <v/>
      </c>
      <c r="L803" s="55">
        <f>VLOOKUP(D803,Products!$A$2:$F$61,3,FALSE())</f>
        <v/>
      </c>
      <c r="M803" s="55">
        <f>VLOOKUP(C803,Customers!$A$2:$F$301,5,FALSE())</f>
        <v/>
      </c>
      <c r="N803" s="55">
        <f>VLOOKUP(E803,Sales_Reps!$A$2:$E$31,3,FALSE())</f>
        <v/>
      </c>
      <c r="O803" s="55">
        <f>VLOOKUP(D803,Products!$A$2:$F$61,4,FALSE())</f>
        <v/>
      </c>
      <c r="P803" s="55">
        <f>VLOOKUP(C803,Customers!$A$2:$F$301,3,FALSE())</f>
        <v/>
      </c>
      <c r="Q803" s="55">
        <f>UPPER(TRIM(K803))</f>
        <v/>
      </c>
      <c r="R803" s="55">
        <f>(G803-O803)/G803</f>
        <v/>
      </c>
      <c r="S803" s="55">
        <f>VLOOKUP(D803,Products!$A$2:$F$61,6,FALSE())</f>
        <v/>
      </c>
    </row>
    <row r="804" ht="15" customHeight="1" s="56">
      <c r="A804" s="55">
        <f>Orders!A804</f>
        <v/>
      </c>
      <c r="B804" s="103">
        <f>Orders!B804</f>
        <v/>
      </c>
      <c r="C804" s="55">
        <f>Orders!C804</f>
        <v/>
      </c>
      <c r="D804" s="55">
        <f>Orders!D804</f>
        <v/>
      </c>
      <c r="E804" s="55">
        <f>Orders!E804</f>
        <v/>
      </c>
      <c r="F804" s="55">
        <f>Orders!F804</f>
        <v/>
      </c>
      <c r="G804" s="55">
        <f>Orders!G804</f>
        <v/>
      </c>
      <c r="H804" s="55">
        <f>Orders!H804</f>
        <v/>
      </c>
      <c r="I804" s="55">
        <f>Orders!I804</f>
        <v/>
      </c>
      <c r="J804" s="55">
        <f>Orders!J804</f>
        <v/>
      </c>
      <c r="K804" s="55">
        <f>Orders!K804</f>
        <v/>
      </c>
      <c r="L804" s="55">
        <f>VLOOKUP(D804,Products!$A$2:$F$61,3,FALSE())</f>
        <v/>
      </c>
      <c r="M804" s="55">
        <f>VLOOKUP(C804,Customers!$A$2:$F$301,5,FALSE())</f>
        <v/>
      </c>
      <c r="N804" s="55">
        <f>VLOOKUP(E804,Sales_Reps!$A$2:$E$31,3,FALSE())</f>
        <v/>
      </c>
      <c r="O804" s="55">
        <f>VLOOKUP(D804,Products!$A$2:$F$61,4,FALSE())</f>
        <v/>
      </c>
      <c r="P804" s="55">
        <f>VLOOKUP(C804,Customers!$A$2:$F$301,3,FALSE())</f>
        <v/>
      </c>
      <c r="Q804" s="55">
        <f>UPPER(TRIM(K804))</f>
        <v/>
      </c>
      <c r="R804" s="55">
        <f>(G804-O804)/G804</f>
        <v/>
      </c>
      <c r="S804" s="55">
        <f>VLOOKUP(D804,Products!$A$2:$F$61,6,FALSE())</f>
        <v/>
      </c>
    </row>
    <row r="805" ht="15" customHeight="1" s="56">
      <c r="A805" s="55">
        <f>Orders!A805</f>
        <v/>
      </c>
      <c r="B805" s="103">
        <f>Orders!B805</f>
        <v/>
      </c>
      <c r="C805" s="55">
        <f>Orders!C805</f>
        <v/>
      </c>
      <c r="D805" s="55">
        <f>Orders!D805</f>
        <v/>
      </c>
      <c r="E805" s="55">
        <f>Orders!E805</f>
        <v/>
      </c>
      <c r="F805" s="55">
        <f>Orders!F805</f>
        <v/>
      </c>
      <c r="G805" s="55">
        <f>Orders!G805</f>
        <v/>
      </c>
      <c r="H805" s="55">
        <f>Orders!H805</f>
        <v/>
      </c>
      <c r="I805" s="55">
        <f>Orders!I805</f>
        <v/>
      </c>
      <c r="J805" s="55">
        <f>Orders!J805</f>
        <v/>
      </c>
      <c r="K805" s="55">
        <f>Orders!K805</f>
        <v/>
      </c>
      <c r="L805" s="55">
        <f>VLOOKUP(D805,Products!$A$2:$F$61,3,FALSE())</f>
        <v/>
      </c>
      <c r="M805" s="55">
        <f>VLOOKUP(C805,Customers!$A$2:$F$301,5,FALSE())</f>
        <v/>
      </c>
      <c r="N805" s="55">
        <f>VLOOKUP(E805,Sales_Reps!$A$2:$E$31,3,FALSE())</f>
        <v/>
      </c>
      <c r="O805" s="55">
        <f>VLOOKUP(D805,Products!$A$2:$F$61,4,FALSE())</f>
        <v/>
      </c>
      <c r="P805" s="55">
        <f>VLOOKUP(C805,Customers!$A$2:$F$301,3,FALSE())</f>
        <v/>
      </c>
      <c r="Q805" s="55">
        <f>UPPER(TRIM(K805))</f>
        <v/>
      </c>
      <c r="R805" s="55">
        <f>(G805-O805)/G805</f>
        <v/>
      </c>
      <c r="S805" s="55">
        <f>VLOOKUP(D805,Products!$A$2:$F$61,6,FALSE())</f>
        <v/>
      </c>
    </row>
    <row r="806" ht="15" customHeight="1" s="56">
      <c r="A806" s="55">
        <f>Orders!A806</f>
        <v/>
      </c>
      <c r="B806" s="103">
        <f>Orders!B806</f>
        <v/>
      </c>
      <c r="C806" s="55">
        <f>Orders!C806</f>
        <v/>
      </c>
      <c r="D806" s="55">
        <f>Orders!D806</f>
        <v/>
      </c>
      <c r="E806" s="55">
        <f>Orders!E806</f>
        <v/>
      </c>
      <c r="F806" s="55">
        <f>Orders!F806</f>
        <v/>
      </c>
      <c r="G806" s="55">
        <f>Orders!G806</f>
        <v/>
      </c>
      <c r="H806" s="55">
        <f>Orders!H806</f>
        <v/>
      </c>
      <c r="I806" s="55">
        <f>Orders!I806</f>
        <v/>
      </c>
      <c r="J806" s="55">
        <f>Orders!J806</f>
        <v/>
      </c>
      <c r="K806" s="55">
        <f>Orders!K806</f>
        <v/>
      </c>
      <c r="L806" s="55">
        <f>VLOOKUP(D806,Products!$A$2:$F$61,3,FALSE())</f>
        <v/>
      </c>
      <c r="M806" s="55">
        <f>VLOOKUP(C806,Customers!$A$2:$F$301,5,FALSE())</f>
        <v/>
      </c>
      <c r="N806" s="55">
        <f>VLOOKUP(E806,Sales_Reps!$A$2:$E$31,3,FALSE())</f>
        <v/>
      </c>
      <c r="O806" s="55">
        <f>VLOOKUP(D806,Products!$A$2:$F$61,4,FALSE())</f>
        <v/>
      </c>
      <c r="P806" s="55">
        <f>VLOOKUP(C806,Customers!$A$2:$F$301,3,FALSE())</f>
        <v/>
      </c>
      <c r="Q806" s="55">
        <f>UPPER(TRIM(K806))</f>
        <v/>
      </c>
      <c r="R806" s="55">
        <f>(G806-O806)/G806</f>
        <v/>
      </c>
      <c r="S806" s="55">
        <f>VLOOKUP(D806,Products!$A$2:$F$61,6,FALSE())</f>
        <v/>
      </c>
    </row>
    <row r="807" ht="15" customHeight="1" s="56">
      <c r="A807" s="55">
        <f>Orders!A807</f>
        <v/>
      </c>
      <c r="B807" s="103">
        <f>Orders!B807</f>
        <v/>
      </c>
      <c r="C807" s="55">
        <f>Orders!C807</f>
        <v/>
      </c>
      <c r="D807" s="55">
        <f>Orders!D807</f>
        <v/>
      </c>
      <c r="E807" s="55">
        <f>Orders!E807</f>
        <v/>
      </c>
      <c r="F807" s="55">
        <f>Orders!F807</f>
        <v/>
      </c>
      <c r="G807" s="55">
        <f>Orders!G807</f>
        <v/>
      </c>
      <c r="H807" s="55">
        <f>Orders!H807</f>
        <v/>
      </c>
      <c r="I807" s="55">
        <f>Orders!I807</f>
        <v/>
      </c>
      <c r="J807" s="55">
        <f>Orders!J807</f>
        <v/>
      </c>
      <c r="K807" s="55">
        <f>Orders!K807</f>
        <v/>
      </c>
      <c r="L807" s="55">
        <f>VLOOKUP(D807,Products!$A$2:$F$61,3,FALSE())</f>
        <v/>
      </c>
      <c r="M807" s="55">
        <f>VLOOKUP(C807,Customers!$A$2:$F$301,5,FALSE())</f>
        <v/>
      </c>
      <c r="N807" s="55">
        <f>VLOOKUP(E807,Sales_Reps!$A$2:$E$31,3,FALSE())</f>
        <v/>
      </c>
      <c r="O807" s="55">
        <f>VLOOKUP(D807,Products!$A$2:$F$61,4,FALSE())</f>
        <v/>
      </c>
      <c r="P807" s="55">
        <f>VLOOKUP(C807,Customers!$A$2:$F$301,3,FALSE())</f>
        <v/>
      </c>
      <c r="Q807" s="55">
        <f>UPPER(TRIM(K807))</f>
        <v/>
      </c>
      <c r="R807" s="55">
        <f>(G807-O807)/G807</f>
        <v/>
      </c>
      <c r="S807" s="55">
        <f>VLOOKUP(D807,Products!$A$2:$F$61,6,FALSE())</f>
        <v/>
      </c>
    </row>
    <row r="808" ht="15" customHeight="1" s="56">
      <c r="A808" s="55">
        <f>Orders!A808</f>
        <v/>
      </c>
      <c r="B808" s="103">
        <f>Orders!B808</f>
        <v/>
      </c>
      <c r="C808" s="55">
        <f>Orders!C808</f>
        <v/>
      </c>
      <c r="D808" s="55">
        <f>Orders!D808</f>
        <v/>
      </c>
      <c r="E808" s="55">
        <f>Orders!E808</f>
        <v/>
      </c>
      <c r="F808" s="55">
        <f>Orders!F808</f>
        <v/>
      </c>
      <c r="G808" s="55">
        <f>Orders!G808</f>
        <v/>
      </c>
      <c r="H808" s="55">
        <f>Orders!H808</f>
        <v/>
      </c>
      <c r="I808" s="55">
        <f>Orders!I808</f>
        <v/>
      </c>
      <c r="J808" s="55">
        <f>Orders!J808</f>
        <v/>
      </c>
      <c r="K808" s="55">
        <f>Orders!K808</f>
        <v/>
      </c>
      <c r="L808" s="55">
        <f>VLOOKUP(D808,Products!$A$2:$F$61,3,FALSE())</f>
        <v/>
      </c>
      <c r="M808" s="55">
        <f>VLOOKUP(C808,Customers!$A$2:$F$301,5,FALSE())</f>
        <v/>
      </c>
      <c r="N808" s="55">
        <f>VLOOKUP(E808,Sales_Reps!$A$2:$E$31,3,FALSE())</f>
        <v/>
      </c>
      <c r="O808" s="55">
        <f>VLOOKUP(D808,Products!$A$2:$F$61,4,FALSE())</f>
        <v/>
      </c>
      <c r="P808" s="55">
        <f>VLOOKUP(C808,Customers!$A$2:$F$301,3,FALSE())</f>
        <v/>
      </c>
      <c r="Q808" s="55">
        <f>UPPER(TRIM(K808))</f>
        <v/>
      </c>
      <c r="R808" s="55">
        <f>(G808-O808)/G808</f>
        <v/>
      </c>
      <c r="S808" s="55">
        <f>VLOOKUP(D808,Products!$A$2:$F$61,6,FALSE())</f>
        <v/>
      </c>
    </row>
    <row r="809" ht="15" customHeight="1" s="56">
      <c r="A809" s="55">
        <f>Orders!A809</f>
        <v/>
      </c>
      <c r="B809" s="103">
        <f>Orders!B809</f>
        <v/>
      </c>
      <c r="C809" s="55">
        <f>Orders!C809</f>
        <v/>
      </c>
      <c r="D809" s="55">
        <f>Orders!D809</f>
        <v/>
      </c>
      <c r="E809" s="55">
        <f>Orders!E809</f>
        <v/>
      </c>
      <c r="F809" s="55">
        <f>Orders!F809</f>
        <v/>
      </c>
      <c r="G809" s="55">
        <f>Orders!G809</f>
        <v/>
      </c>
      <c r="H809" s="55">
        <f>Orders!H809</f>
        <v/>
      </c>
      <c r="I809" s="55">
        <f>Orders!I809</f>
        <v/>
      </c>
      <c r="J809" s="55">
        <f>Orders!J809</f>
        <v/>
      </c>
      <c r="K809" s="55">
        <f>Orders!K809</f>
        <v/>
      </c>
      <c r="L809" s="55">
        <f>VLOOKUP(D809,Products!$A$2:$F$61,3,FALSE())</f>
        <v/>
      </c>
      <c r="M809" s="55">
        <f>VLOOKUP(C809,Customers!$A$2:$F$301,5,FALSE())</f>
        <v/>
      </c>
      <c r="N809" s="55">
        <f>VLOOKUP(E809,Sales_Reps!$A$2:$E$31,3,FALSE())</f>
        <v/>
      </c>
      <c r="O809" s="55">
        <f>VLOOKUP(D809,Products!$A$2:$F$61,4,FALSE())</f>
        <v/>
      </c>
      <c r="P809" s="55">
        <f>VLOOKUP(C809,Customers!$A$2:$F$301,3,FALSE())</f>
        <v/>
      </c>
      <c r="Q809" s="55">
        <f>UPPER(TRIM(K809))</f>
        <v/>
      </c>
      <c r="R809" s="55">
        <f>(G809-O809)/G809</f>
        <v/>
      </c>
      <c r="S809" s="55">
        <f>VLOOKUP(D809,Products!$A$2:$F$61,6,FALSE())</f>
        <v/>
      </c>
    </row>
    <row r="810" ht="15" customHeight="1" s="56">
      <c r="A810" s="55">
        <f>Orders!A810</f>
        <v/>
      </c>
      <c r="B810" s="103">
        <f>Orders!B810</f>
        <v/>
      </c>
      <c r="C810" s="55">
        <f>Orders!C810</f>
        <v/>
      </c>
      <c r="D810" s="55">
        <f>Orders!D810</f>
        <v/>
      </c>
      <c r="E810" s="55">
        <f>Orders!E810</f>
        <v/>
      </c>
      <c r="F810" s="55">
        <f>Orders!F810</f>
        <v/>
      </c>
      <c r="G810" s="55">
        <f>Orders!G810</f>
        <v/>
      </c>
      <c r="H810" s="55">
        <f>Orders!H810</f>
        <v/>
      </c>
      <c r="I810" s="55">
        <f>Orders!I810</f>
        <v/>
      </c>
      <c r="J810" s="55">
        <f>Orders!J810</f>
        <v/>
      </c>
      <c r="K810" s="55">
        <f>Orders!K810</f>
        <v/>
      </c>
      <c r="L810" s="55">
        <f>VLOOKUP(D810,Products!$A$2:$F$61,3,FALSE())</f>
        <v/>
      </c>
      <c r="M810" s="55">
        <f>VLOOKUP(C810,Customers!$A$2:$F$301,5,FALSE())</f>
        <v/>
      </c>
      <c r="N810" s="55">
        <f>VLOOKUP(E810,Sales_Reps!$A$2:$E$31,3,FALSE())</f>
        <v/>
      </c>
      <c r="O810" s="55">
        <f>VLOOKUP(D810,Products!$A$2:$F$61,4,FALSE())</f>
        <v/>
      </c>
      <c r="P810" s="55">
        <f>VLOOKUP(C810,Customers!$A$2:$F$301,3,FALSE())</f>
        <v/>
      </c>
      <c r="Q810" s="55">
        <f>UPPER(TRIM(K810))</f>
        <v/>
      </c>
      <c r="R810" s="55">
        <f>(G810-O810)/G810</f>
        <v/>
      </c>
      <c r="S810" s="55">
        <f>VLOOKUP(D810,Products!$A$2:$F$61,6,FALSE())</f>
        <v/>
      </c>
    </row>
    <row r="811" ht="15" customHeight="1" s="56">
      <c r="A811" s="55">
        <f>Orders!A811</f>
        <v/>
      </c>
      <c r="B811" s="103">
        <f>Orders!B811</f>
        <v/>
      </c>
      <c r="C811" s="55">
        <f>Orders!C811</f>
        <v/>
      </c>
      <c r="D811" s="55">
        <f>Orders!D811</f>
        <v/>
      </c>
      <c r="E811" s="55">
        <f>Orders!E811</f>
        <v/>
      </c>
      <c r="F811" s="55">
        <f>Orders!F811</f>
        <v/>
      </c>
      <c r="G811" s="55">
        <f>Orders!G811</f>
        <v/>
      </c>
      <c r="H811" s="55">
        <f>Orders!H811</f>
        <v/>
      </c>
      <c r="I811" s="55">
        <f>Orders!I811</f>
        <v/>
      </c>
      <c r="J811" s="55">
        <f>Orders!J811</f>
        <v/>
      </c>
      <c r="K811" s="55">
        <f>Orders!K811</f>
        <v/>
      </c>
      <c r="L811" s="55">
        <f>VLOOKUP(D811,Products!$A$2:$F$61,3,FALSE())</f>
        <v/>
      </c>
      <c r="M811" s="55">
        <f>VLOOKUP(C811,Customers!$A$2:$F$301,5,FALSE())</f>
        <v/>
      </c>
      <c r="N811" s="55">
        <f>VLOOKUP(E811,Sales_Reps!$A$2:$E$31,3,FALSE())</f>
        <v/>
      </c>
      <c r="O811" s="55">
        <f>VLOOKUP(D811,Products!$A$2:$F$61,4,FALSE())</f>
        <v/>
      </c>
      <c r="P811" s="55">
        <f>VLOOKUP(C811,Customers!$A$2:$F$301,3,FALSE())</f>
        <v/>
      </c>
      <c r="Q811" s="55">
        <f>UPPER(TRIM(K811))</f>
        <v/>
      </c>
      <c r="R811" s="55">
        <f>(G811-O811)/G811</f>
        <v/>
      </c>
      <c r="S811" s="55">
        <f>VLOOKUP(D811,Products!$A$2:$F$61,6,FALSE())</f>
        <v/>
      </c>
    </row>
    <row r="812" ht="15" customHeight="1" s="56">
      <c r="A812" s="55">
        <f>Orders!A812</f>
        <v/>
      </c>
      <c r="B812" s="103">
        <f>Orders!B812</f>
        <v/>
      </c>
      <c r="C812" s="55">
        <f>Orders!C812</f>
        <v/>
      </c>
      <c r="D812" s="55">
        <f>Orders!D812</f>
        <v/>
      </c>
      <c r="E812" s="55">
        <f>Orders!E812</f>
        <v/>
      </c>
      <c r="F812" s="55">
        <f>Orders!F812</f>
        <v/>
      </c>
      <c r="G812" s="55">
        <f>Orders!G812</f>
        <v/>
      </c>
      <c r="H812" s="55">
        <f>Orders!H812</f>
        <v/>
      </c>
      <c r="I812" s="55">
        <f>Orders!I812</f>
        <v/>
      </c>
      <c r="J812" s="55">
        <f>Orders!J812</f>
        <v/>
      </c>
      <c r="K812" s="55">
        <f>Orders!K812</f>
        <v/>
      </c>
      <c r="L812" s="55">
        <f>VLOOKUP(D812,Products!$A$2:$F$61,3,FALSE())</f>
        <v/>
      </c>
      <c r="M812" s="55">
        <f>VLOOKUP(C812,Customers!$A$2:$F$301,5,FALSE())</f>
        <v/>
      </c>
      <c r="N812" s="55">
        <f>VLOOKUP(E812,Sales_Reps!$A$2:$E$31,3,FALSE())</f>
        <v/>
      </c>
      <c r="O812" s="55">
        <f>VLOOKUP(D812,Products!$A$2:$F$61,4,FALSE())</f>
        <v/>
      </c>
      <c r="P812" s="55">
        <f>VLOOKUP(C812,Customers!$A$2:$F$301,3,FALSE())</f>
        <v/>
      </c>
      <c r="Q812" s="55">
        <f>UPPER(TRIM(K812))</f>
        <v/>
      </c>
      <c r="R812" s="55">
        <f>(G812-O812)/G812</f>
        <v/>
      </c>
      <c r="S812" s="55">
        <f>VLOOKUP(D812,Products!$A$2:$F$61,6,FALSE())</f>
        <v/>
      </c>
    </row>
    <row r="813" ht="15" customHeight="1" s="56">
      <c r="A813" s="55">
        <f>Orders!A813</f>
        <v/>
      </c>
      <c r="B813" s="103">
        <f>Orders!B813</f>
        <v/>
      </c>
      <c r="C813" s="55">
        <f>Orders!C813</f>
        <v/>
      </c>
      <c r="D813" s="55">
        <f>Orders!D813</f>
        <v/>
      </c>
      <c r="E813" s="55">
        <f>Orders!E813</f>
        <v/>
      </c>
      <c r="F813" s="55">
        <f>Orders!F813</f>
        <v/>
      </c>
      <c r="G813" s="55">
        <f>Orders!G813</f>
        <v/>
      </c>
      <c r="H813" s="55">
        <f>Orders!H813</f>
        <v/>
      </c>
      <c r="I813" s="55">
        <f>Orders!I813</f>
        <v/>
      </c>
      <c r="J813" s="55">
        <f>Orders!J813</f>
        <v/>
      </c>
      <c r="K813" s="55">
        <f>Orders!K813</f>
        <v/>
      </c>
      <c r="L813" s="55">
        <f>VLOOKUP(D813,Products!$A$2:$F$61,3,FALSE())</f>
        <v/>
      </c>
      <c r="M813" s="55">
        <f>VLOOKUP(C813,Customers!$A$2:$F$301,5,FALSE())</f>
        <v/>
      </c>
      <c r="N813" s="55">
        <f>VLOOKUP(E813,Sales_Reps!$A$2:$E$31,3,FALSE())</f>
        <v/>
      </c>
      <c r="O813" s="55">
        <f>VLOOKUP(D813,Products!$A$2:$F$61,4,FALSE())</f>
        <v/>
      </c>
      <c r="P813" s="55">
        <f>VLOOKUP(C813,Customers!$A$2:$F$301,3,FALSE())</f>
        <v/>
      </c>
      <c r="Q813" s="55">
        <f>UPPER(TRIM(K813))</f>
        <v/>
      </c>
      <c r="R813" s="55">
        <f>(G813-O813)/G813</f>
        <v/>
      </c>
      <c r="S813" s="55">
        <f>VLOOKUP(D813,Products!$A$2:$F$61,6,FALSE())</f>
        <v/>
      </c>
    </row>
    <row r="814" ht="15" customHeight="1" s="56">
      <c r="A814" s="55">
        <f>Orders!A814</f>
        <v/>
      </c>
      <c r="B814" s="103">
        <f>Orders!B814</f>
        <v/>
      </c>
      <c r="C814" s="55">
        <f>Orders!C814</f>
        <v/>
      </c>
      <c r="D814" s="55">
        <f>Orders!D814</f>
        <v/>
      </c>
      <c r="E814" s="55">
        <f>Orders!E814</f>
        <v/>
      </c>
      <c r="F814" s="55">
        <f>Orders!F814</f>
        <v/>
      </c>
      <c r="G814" s="55">
        <f>Orders!G814</f>
        <v/>
      </c>
      <c r="H814" s="55">
        <f>Orders!H814</f>
        <v/>
      </c>
      <c r="I814" s="55">
        <f>Orders!I814</f>
        <v/>
      </c>
      <c r="J814" s="55">
        <f>Orders!J814</f>
        <v/>
      </c>
      <c r="K814" s="55">
        <f>Orders!K814</f>
        <v/>
      </c>
      <c r="L814" s="55">
        <f>VLOOKUP(D814,Products!$A$2:$F$61,3,FALSE())</f>
        <v/>
      </c>
      <c r="M814" s="55">
        <f>VLOOKUP(C814,Customers!$A$2:$F$301,5,FALSE())</f>
        <v/>
      </c>
      <c r="N814" s="55">
        <f>VLOOKUP(E814,Sales_Reps!$A$2:$E$31,3,FALSE())</f>
        <v/>
      </c>
      <c r="O814" s="55">
        <f>VLOOKUP(D814,Products!$A$2:$F$61,4,FALSE())</f>
        <v/>
      </c>
      <c r="P814" s="55">
        <f>VLOOKUP(C814,Customers!$A$2:$F$301,3,FALSE())</f>
        <v/>
      </c>
      <c r="Q814" s="55">
        <f>UPPER(TRIM(K814))</f>
        <v/>
      </c>
      <c r="R814" s="55">
        <f>(G814-O814)/G814</f>
        <v/>
      </c>
      <c r="S814" s="55">
        <f>VLOOKUP(D814,Products!$A$2:$F$61,6,FALSE())</f>
        <v/>
      </c>
    </row>
    <row r="815" ht="15" customHeight="1" s="56">
      <c r="A815" s="55">
        <f>Orders!A815</f>
        <v/>
      </c>
      <c r="B815" s="103">
        <f>Orders!B815</f>
        <v/>
      </c>
      <c r="C815" s="55">
        <f>Orders!C815</f>
        <v/>
      </c>
      <c r="D815" s="55">
        <f>Orders!D815</f>
        <v/>
      </c>
      <c r="E815" s="55">
        <f>Orders!E815</f>
        <v/>
      </c>
      <c r="F815" s="55">
        <f>Orders!F815</f>
        <v/>
      </c>
      <c r="G815" s="55">
        <f>Orders!G815</f>
        <v/>
      </c>
      <c r="H815" s="55">
        <f>Orders!H815</f>
        <v/>
      </c>
      <c r="I815" s="55">
        <f>Orders!I815</f>
        <v/>
      </c>
      <c r="J815" s="55">
        <f>Orders!J815</f>
        <v/>
      </c>
      <c r="K815" s="55">
        <f>Orders!K815</f>
        <v/>
      </c>
      <c r="L815" s="55">
        <f>VLOOKUP(D815,Products!$A$2:$F$61,3,FALSE())</f>
        <v/>
      </c>
      <c r="M815" s="55">
        <f>VLOOKUP(C815,Customers!$A$2:$F$301,5,FALSE())</f>
        <v/>
      </c>
      <c r="N815" s="55">
        <f>VLOOKUP(E815,Sales_Reps!$A$2:$E$31,3,FALSE())</f>
        <v/>
      </c>
      <c r="O815" s="55">
        <f>VLOOKUP(D815,Products!$A$2:$F$61,4,FALSE())</f>
        <v/>
      </c>
      <c r="P815" s="55">
        <f>VLOOKUP(C815,Customers!$A$2:$F$301,3,FALSE())</f>
        <v/>
      </c>
      <c r="Q815" s="55">
        <f>UPPER(TRIM(K815))</f>
        <v/>
      </c>
      <c r="R815" s="55">
        <f>(G815-O815)/G815</f>
        <v/>
      </c>
      <c r="S815" s="55">
        <f>VLOOKUP(D815,Products!$A$2:$F$61,6,FALSE())</f>
        <v/>
      </c>
    </row>
    <row r="816" ht="15" customHeight="1" s="56">
      <c r="A816" s="55">
        <f>Orders!A816</f>
        <v/>
      </c>
      <c r="B816" s="103">
        <f>Orders!B816</f>
        <v/>
      </c>
      <c r="C816" s="55">
        <f>Orders!C816</f>
        <v/>
      </c>
      <c r="D816" s="55">
        <f>Orders!D816</f>
        <v/>
      </c>
      <c r="E816" s="55">
        <f>Orders!E816</f>
        <v/>
      </c>
      <c r="F816" s="55">
        <f>Orders!F816</f>
        <v/>
      </c>
      <c r="G816" s="55">
        <f>Orders!G816</f>
        <v/>
      </c>
      <c r="H816" s="55">
        <f>Orders!H816</f>
        <v/>
      </c>
      <c r="I816" s="55">
        <f>Orders!I816</f>
        <v/>
      </c>
      <c r="J816" s="55">
        <f>Orders!J816</f>
        <v/>
      </c>
      <c r="K816" s="55">
        <f>Orders!K816</f>
        <v/>
      </c>
      <c r="L816" s="55">
        <f>VLOOKUP(D816,Products!$A$2:$F$61,3,FALSE())</f>
        <v/>
      </c>
      <c r="M816" s="55">
        <f>VLOOKUP(C816,Customers!$A$2:$F$301,5,FALSE())</f>
        <v/>
      </c>
      <c r="N816" s="55">
        <f>VLOOKUP(E816,Sales_Reps!$A$2:$E$31,3,FALSE())</f>
        <v/>
      </c>
      <c r="O816" s="55">
        <f>VLOOKUP(D816,Products!$A$2:$F$61,4,FALSE())</f>
        <v/>
      </c>
      <c r="P816" s="55">
        <f>VLOOKUP(C816,Customers!$A$2:$F$301,3,FALSE())</f>
        <v/>
      </c>
      <c r="Q816" s="55">
        <f>UPPER(TRIM(K816))</f>
        <v/>
      </c>
      <c r="R816" s="55">
        <f>(G816-O816)/G816</f>
        <v/>
      </c>
      <c r="S816" s="55">
        <f>VLOOKUP(D816,Products!$A$2:$F$61,6,FALSE())</f>
        <v/>
      </c>
    </row>
    <row r="817" ht="15" customHeight="1" s="56">
      <c r="A817" s="55">
        <f>Orders!A817</f>
        <v/>
      </c>
      <c r="B817" s="103">
        <f>Orders!B817</f>
        <v/>
      </c>
      <c r="C817" s="55">
        <f>Orders!C817</f>
        <v/>
      </c>
      <c r="D817" s="55">
        <f>Orders!D817</f>
        <v/>
      </c>
      <c r="E817" s="55">
        <f>Orders!E817</f>
        <v/>
      </c>
      <c r="F817" s="55">
        <f>Orders!F817</f>
        <v/>
      </c>
      <c r="G817" s="55">
        <f>Orders!G817</f>
        <v/>
      </c>
      <c r="H817" s="55">
        <f>Orders!H817</f>
        <v/>
      </c>
      <c r="I817" s="55">
        <f>Orders!I817</f>
        <v/>
      </c>
      <c r="J817" s="55">
        <f>Orders!J817</f>
        <v/>
      </c>
      <c r="K817" s="55">
        <f>Orders!K817</f>
        <v/>
      </c>
      <c r="L817" s="55">
        <f>VLOOKUP(D817,Products!$A$2:$F$61,3,FALSE())</f>
        <v/>
      </c>
      <c r="M817" s="55">
        <f>VLOOKUP(C817,Customers!$A$2:$F$301,5,FALSE())</f>
        <v/>
      </c>
      <c r="N817" s="55">
        <f>VLOOKUP(E817,Sales_Reps!$A$2:$E$31,3,FALSE())</f>
        <v/>
      </c>
      <c r="O817" s="55">
        <f>VLOOKUP(D817,Products!$A$2:$F$61,4,FALSE())</f>
        <v/>
      </c>
      <c r="P817" s="55">
        <f>VLOOKUP(C817,Customers!$A$2:$F$301,3,FALSE())</f>
        <v/>
      </c>
      <c r="Q817" s="55">
        <f>UPPER(TRIM(K817))</f>
        <v/>
      </c>
      <c r="R817" s="55">
        <f>(G817-O817)/G817</f>
        <v/>
      </c>
      <c r="S817" s="55">
        <f>VLOOKUP(D817,Products!$A$2:$F$61,6,FALSE())</f>
        <v/>
      </c>
    </row>
    <row r="818" ht="15" customHeight="1" s="56">
      <c r="A818" s="55">
        <f>Orders!A818</f>
        <v/>
      </c>
      <c r="B818" s="103">
        <f>Orders!B818</f>
        <v/>
      </c>
      <c r="C818" s="55">
        <f>Orders!C818</f>
        <v/>
      </c>
      <c r="D818" s="55">
        <f>Orders!D818</f>
        <v/>
      </c>
      <c r="E818" s="55">
        <f>Orders!E818</f>
        <v/>
      </c>
      <c r="F818" s="55">
        <f>Orders!F818</f>
        <v/>
      </c>
      <c r="G818" s="55">
        <f>Orders!G818</f>
        <v/>
      </c>
      <c r="H818" s="55">
        <f>Orders!H818</f>
        <v/>
      </c>
      <c r="I818" s="55">
        <f>Orders!I818</f>
        <v/>
      </c>
      <c r="J818" s="55">
        <f>Orders!J818</f>
        <v/>
      </c>
      <c r="K818" s="55">
        <f>Orders!K818</f>
        <v/>
      </c>
      <c r="L818" s="55">
        <f>VLOOKUP(D818,Products!$A$2:$F$61,3,FALSE())</f>
        <v/>
      </c>
      <c r="M818" s="55">
        <f>VLOOKUP(C818,Customers!$A$2:$F$301,5,FALSE())</f>
        <v/>
      </c>
      <c r="N818" s="55">
        <f>VLOOKUP(E818,Sales_Reps!$A$2:$E$31,3,FALSE())</f>
        <v/>
      </c>
      <c r="O818" s="55">
        <f>VLOOKUP(D818,Products!$A$2:$F$61,4,FALSE())</f>
        <v/>
      </c>
      <c r="P818" s="55">
        <f>VLOOKUP(C818,Customers!$A$2:$F$301,3,FALSE())</f>
        <v/>
      </c>
      <c r="Q818" s="55">
        <f>UPPER(TRIM(K818))</f>
        <v/>
      </c>
      <c r="R818" s="55">
        <f>(G818-O818)/G818</f>
        <v/>
      </c>
      <c r="S818" s="55">
        <f>VLOOKUP(D818,Products!$A$2:$F$61,6,FALSE())</f>
        <v/>
      </c>
    </row>
    <row r="819" ht="15" customHeight="1" s="56">
      <c r="A819" s="55">
        <f>Orders!A819</f>
        <v/>
      </c>
      <c r="B819" s="103">
        <f>Orders!B819</f>
        <v/>
      </c>
      <c r="C819" s="55">
        <f>Orders!C819</f>
        <v/>
      </c>
      <c r="D819" s="55">
        <f>Orders!D819</f>
        <v/>
      </c>
      <c r="E819" s="55">
        <f>Orders!E819</f>
        <v/>
      </c>
      <c r="F819" s="55">
        <f>Orders!F819</f>
        <v/>
      </c>
      <c r="G819" s="55">
        <f>Orders!G819</f>
        <v/>
      </c>
      <c r="H819" s="55">
        <f>Orders!H819</f>
        <v/>
      </c>
      <c r="I819" s="55">
        <f>Orders!I819</f>
        <v/>
      </c>
      <c r="J819" s="55">
        <f>Orders!J819</f>
        <v/>
      </c>
      <c r="K819" s="55">
        <f>Orders!K819</f>
        <v/>
      </c>
      <c r="L819" s="55">
        <f>VLOOKUP(D819,Products!$A$2:$F$61,3,FALSE())</f>
        <v/>
      </c>
      <c r="M819" s="55">
        <f>VLOOKUP(C819,Customers!$A$2:$F$301,5,FALSE())</f>
        <v/>
      </c>
      <c r="N819" s="55">
        <f>VLOOKUP(E819,Sales_Reps!$A$2:$E$31,3,FALSE())</f>
        <v/>
      </c>
      <c r="O819" s="55">
        <f>VLOOKUP(D819,Products!$A$2:$F$61,4,FALSE())</f>
        <v/>
      </c>
      <c r="P819" s="55">
        <f>VLOOKUP(C819,Customers!$A$2:$F$301,3,FALSE())</f>
        <v/>
      </c>
      <c r="Q819" s="55">
        <f>UPPER(TRIM(K819))</f>
        <v/>
      </c>
      <c r="R819" s="55">
        <f>(G819-O819)/G819</f>
        <v/>
      </c>
      <c r="S819" s="55">
        <f>VLOOKUP(D819,Products!$A$2:$F$61,6,FALSE())</f>
        <v/>
      </c>
    </row>
    <row r="820" ht="15" customHeight="1" s="56">
      <c r="A820" s="55">
        <f>Orders!A820</f>
        <v/>
      </c>
      <c r="B820" s="103">
        <f>Orders!B820</f>
        <v/>
      </c>
      <c r="C820" s="55">
        <f>Orders!C820</f>
        <v/>
      </c>
      <c r="D820" s="55">
        <f>Orders!D820</f>
        <v/>
      </c>
      <c r="E820" s="55">
        <f>Orders!E820</f>
        <v/>
      </c>
      <c r="F820" s="55">
        <f>Orders!F820</f>
        <v/>
      </c>
      <c r="G820" s="55">
        <f>Orders!G820</f>
        <v/>
      </c>
      <c r="H820" s="55">
        <f>Orders!H820</f>
        <v/>
      </c>
      <c r="I820" s="55">
        <f>Orders!I820</f>
        <v/>
      </c>
      <c r="J820" s="55">
        <f>Orders!J820</f>
        <v/>
      </c>
      <c r="K820" s="55">
        <f>Orders!K820</f>
        <v/>
      </c>
      <c r="L820" s="55">
        <f>VLOOKUP(D820,Products!$A$2:$F$61,3,FALSE())</f>
        <v/>
      </c>
      <c r="M820" s="55">
        <f>VLOOKUP(C820,Customers!$A$2:$F$301,5,FALSE())</f>
        <v/>
      </c>
      <c r="N820" s="55">
        <f>VLOOKUP(E820,Sales_Reps!$A$2:$E$31,3,FALSE())</f>
        <v/>
      </c>
      <c r="O820" s="55">
        <f>VLOOKUP(D820,Products!$A$2:$F$61,4,FALSE())</f>
        <v/>
      </c>
      <c r="P820" s="55">
        <f>VLOOKUP(C820,Customers!$A$2:$F$301,3,FALSE())</f>
        <v/>
      </c>
      <c r="Q820" s="55">
        <f>UPPER(TRIM(K820))</f>
        <v/>
      </c>
      <c r="R820" s="55">
        <f>(G820-O820)/G820</f>
        <v/>
      </c>
      <c r="S820" s="55">
        <f>VLOOKUP(D820,Products!$A$2:$F$61,6,FALSE())</f>
        <v/>
      </c>
    </row>
    <row r="821" ht="15" customHeight="1" s="56">
      <c r="A821" s="55">
        <f>Orders!A821</f>
        <v/>
      </c>
      <c r="B821" s="103">
        <f>Orders!B821</f>
        <v/>
      </c>
      <c r="C821" s="55">
        <f>Orders!C821</f>
        <v/>
      </c>
      <c r="D821" s="55">
        <f>Orders!D821</f>
        <v/>
      </c>
      <c r="E821" s="55">
        <f>Orders!E821</f>
        <v/>
      </c>
      <c r="F821" s="55">
        <f>Orders!F821</f>
        <v/>
      </c>
      <c r="G821" s="55">
        <f>Orders!G821</f>
        <v/>
      </c>
      <c r="H821" s="55">
        <f>Orders!H821</f>
        <v/>
      </c>
      <c r="I821" s="55">
        <f>Orders!I821</f>
        <v/>
      </c>
      <c r="J821" s="55">
        <f>Orders!J821</f>
        <v/>
      </c>
      <c r="K821" s="55">
        <f>Orders!K821</f>
        <v/>
      </c>
      <c r="L821" s="55">
        <f>VLOOKUP(D821,Products!$A$2:$F$61,3,FALSE())</f>
        <v/>
      </c>
      <c r="M821" s="55">
        <f>VLOOKUP(C821,Customers!$A$2:$F$301,5,FALSE())</f>
        <v/>
      </c>
      <c r="N821" s="55">
        <f>VLOOKUP(E821,Sales_Reps!$A$2:$E$31,3,FALSE())</f>
        <v/>
      </c>
      <c r="O821" s="55">
        <f>VLOOKUP(D821,Products!$A$2:$F$61,4,FALSE())</f>
        <v/>
      </c>
      <c r="P821" s="55">
        <f>VLOOKUP(C821,Customers!$A$2:$F$301,3,FALSE())</f>
        <v/>
      </c>
      <c r="Q821" s="55">
        <f>UPPER(TRIM(K821))</f>
        <v/>
      </c>
      <c r="R821" s="55">
        <f>(G821-O821)/G821</f>
        <v/>
      </c>
      <c r="S821" s="55">
        <f>VLOOKUP(D821,Products!$A$2:$F$61,6,FALSE())</f>
        <v/>
      </c>
    </row>
    <row r="822" ht="15" customHeight="1" s="56">
      <c r="A822" s="55">
        <f>Orders!A822</f>
        <v/>
      </c>
      <c r="B822" s="103">
        <f>Orders!B822</f>
        <v/>
      </c>
      <c r="C822" s="55">
        <f>Orders!C822</f>
        <v/>
      </c>
      <c r="D822" s="55">
        <f>Orders!D822</f>
        <v/>
      </c>
      <c r="E822" s="55">
        <f>Orders!E822</f>
        <v/>
      </c>
      <c r="F822" s="55">
        <f>Orders!F822</f>
        <v/>
      </c>
      <c r="G822" s="55">
        <f>Orders!G822</f>
        <v/>
      </c>
      <c r="H822" s="55">
        <f>Orders!H822</f>
        <v/>
      </c>
      <c r="I822" s="55">
        <f>Orders!I822</f>
        <v/>
      </c>
      <c r="J822" s="55">
        <f>Orders!J822</f>
        <v/>
      </c>
      <c r="K822" s="55">
        <f>Orders!K822</f>
        <v/>
      </c>
      <c r="L822" s="55">
        <f>VLOOKUP(D822,Products!$A$2:$F$61,3,FALSE())</f>
        <v/>
      </c>
      <c r="M822" s="55">
        <f>VLOOKUP(C822,Customers!$A$2:$F$301,5,FALSE())</f>
        <v/>
      </c>
      <c r="N822" s="55">
        <f>VLOOKUP(E822,Sales_Reps!$A$2:$E$31,3,FALSE())</f>
        <v/>
      </c>
      <c r="O822" s="55">
        <f>VLOOKUP(D822,Products!$A$2:$F$61,4,FALSE())</f>
        <v/>
      </c>
      <c r="P822" s="55">
        <f>VLOOKUP(C822,Customers!$A$2:$F$301,3,FALSE())</f>
        <v/>
      </c>
      <c r="Q822" s="55">
        <f>UPPER(TRIM(K822))</f>
        <v/>
      </c>
      <c r="R822" s="55">
        <f>(G822-O822)/G822</f>
        <v/>
      </c>
      <c r="S822" s="55">
        <f>VLOOKUP(D822,Products!$A$2:$F$61,6,FALSE())</f>
        <v/>
      </c>
    </row>
    <row r="823" ht="15" customHeight="1" s="56">
      <c r="A823" s="55">
        <f>Orders!A823</f>
        <v/>
      </c>
      <c r="B823" s="103">
        <f>Orders!B823</f>
        <v/>
      </c>
      <c r="C823" s="55">
        <f>Orders!C823</f>
        <v/>
      </c>
      <c r="D823" s="55">
        <f>Orders!D823</f>
        <v/>
      </c>
      <c r="E823" s="55">
        <f>Orders!E823</f>
        <v/>
      </c>
      <c r="F823" s="55">
        <f>Orders!F823</f>
        <v/>
      </c>
      <c r="G823" s="55">
        <f>Orders!G823</f>
        <v/>
      </c>
      <c r="H823" s="55">
        <f>Orders!H823</f>
        <v/>
      </c>
      <c r="I823" s="55">
        <f>Orders!I823</f>
        <v/>
      </c>
      <c r="J823" s="55">
        <f>Orders!J823</f>
        <v/>
      </c>
      <c r="K823" s="55">
        <f>Orders!K823</f>
        <v/>
      </c>
      <c r="L823" s="55">
        <f>VLOOKUP(D823,Products!$A$2:$F$61,3,FALSE())</f>
        <v/>
      </c>
      <c r="M823" s="55">
        <f>VLOOKUP(C823,Customers!$A$2:$F$301,5,FALSE())</f>
        <v/>
      </c>
      <c r="N823" s="55">
        <f>VLOOKUP(E823,Sales_Reps!$A$2:$E$31,3,FALSE())</f>
        <v/>
      </c>
      <c r="O823" s="55">
        <f>VLOOKUP(D823,Products!$A$2:$F$61,4,FALSE())</f>
        <v/>
      </c>
      <c r="P823" s="55">
        <f>VLOOKUP(C823,Customers!$A$2:$F$301,3,FALSE())</f>
        <v/>
      </c>
      <c r="Q823" s="55">
        <f>UPPER(TRIM(K823))</f>
        <v/>
      </c>
      <c r="R823" s="55">
        <f>(G823-O823)/G823</f>
        <v/>
      </c>
      <c r="S823" s="55">
        <f>VLOOKUP(D823,Products!$A$2:$F$61,6,FALSE())</f>
        <v/>
      </c>
    </row>
    <row r="824" ht="15" customHeight="1" s="56">
      <c r="A824" s="55">
        <f>Orders!A824</f>
        <v/>
      </c>
      <c r="B824" s="103">
        <f>Orders!B824</f>
        <v/>
      </c>
      <c r="C824" s="55">
        <f>Orders!C824</f>
        <v/>
      </c>
      <c r="D824" s="55">
        <f>Orders!D824</f>
        <v/>
      </c>
      <c r="E824" s="55">
        <f>Orders!E824</f>
        <v/>
      </c>
      <c r="F824" s="55">
        <f>Orders!F824</f>
        <v/>
      </c>
      <c r="G824" s="55">
        <f>Orders!G824</f>
        <v/>
      </c>
      <c r="H824" s="55">
        <f>Orders!H824</f>
        <v/>
      </c>
      <c r="I824" s="55">
        <f>Orders!I824</f>
        <v/>
      </c>
      <c r="J824" s="55">
        <f>Orders!J824</f>
        <v/>
      </c>
      <c r="K824" s="55">
        <f>Orders!K824</f>
        <v/>
      </c>
      <c r="L824" s="55">
        <f>VLOOKUP(D824,Products!$A$2:$F$61,3,FALSE())</f>
        <v/>
      </c>
      <c r="M824" s="55">
        <f>VLOOKUP(C824,Customers!$A$2:$F$301,5,FALSE())</f>
        <v/>
      </c>
      <c r="N824" s="55">
        <f>VLOOKUP(E824,Sales_Reps!$A$2:$E$31,3,FALSE())</f>
        <v/>
      </c>
      <c r="O824" s="55">
        <f>VLOOKUP(D824,Products!$A$2:$F$61,4,FALSE())</f>
        <v/>
      </c>
      <c r="P824" s="55">
        <f>VLOOKUP(C824,Customers!$A$2:$F$301,3,FALSE())</f>
        <v/>
      </c>
      <c r="Q824" s="55">
        <f>UPPER(TRIM(K824))</f>
        <v/>
      </c>
      <c r="R824" s="55">
        <f>(G824-O824)/G824</f>
        <v/>
      </c>
      <c r="S824" s="55">
        <f>VLOOKUP(D824,Products!$A$2:$F$61,6,FALSE())</f>
        <v/>
      </c>
    </row>
    <row r="825" ht="15" customHeight="1" s="56">
      <c r="A825" s="55">
        <f>Orders!A825</f>
        <v/>
      </c>
      <c r="B825" s="103">
        <f>Orders!B825</f>
        <v/>
      </c>
      <c r="C825" s="55">
        <f>Orders!C825</f>
        <v/>
      </c>
      <c r="D825" s="55">
        <f>Orders!D825</f>
        <v/>
      </c>
      <c r="E825" s="55">
        <f>Orders!E825</f>
        <v/>
      </c>
      <c r="F825" s="55">
        <f>Orders!F825</f>
        <v/>
      </c>
      <c r="G825" s="55">
        <f>Orders!G825</f>
        <v/>
      </c>
      <c r="H825" s="55">
        <f>Orders!H825</f>
        <v/>
      </c>
      <c r="I825" s="55">
        <f>Orders!I825</f>
        <v/>
      </c>
      <c r="J825" s="55">
        <f>Orders!J825</f>
        <v/>
      </c>
      <c r="K825" s="55">
        <f>Orders!K825</f>
        <v/>
      </c>
      <c r="L825" s="55">
        <f>VLOOKUP(D825,Products!$A$2:$F$61,3,FALSE())</f>
        <v/>
      </c>
      <c r="M825" s="55">
        <f>VLOOKUP(C825,Customers!$A$2:$F$301,5,FALSE())</f>
        <v/>
      </c>
      <c r="N825" s="55">
        <f>VLOOKUP(E825,Sales_Reps!$A$2:$E$31,3,FALSE())</f>
        <v/>
      </c>
      <c r="O825" s="55">
        <f>VLOOKUP(D825,Products!$A$2:$F$61,4,FALSE())</f>
        <v/>
      </c>
      <c r="P825" s="55">
        <f>VLOOKUP(C825,Customers!$A$2:$F$301,3,FALSE())</f>
        <v/>
      </c>
      <c r="Q825" s="55">
        <f>UPPER(TRIM(K825))</f>
        <v/>
      </c>
      <c r="R825" s="55">
        <f>(G825-O825)/G825</f>
        <v/>
      </c>
      <c r="S825" s="55">
        <f>VLOOKUP(D825,Products!$A$2:$F$61,6,FALSE())</f>
        <v/>
      </c>
    </row>
    <row r="826" ht="15" customHeight="1" s="56">
      <c r="A826" s="55">
        <f>Orders!A826</f>
        <v/>
      </c>
      <c r="B826" s="103">
        <f>Orders!B826</f>
        <v/>
      </c>
      <c r="C826" s="55">
        <f>Orders!C826</f>
        <v/>
      </c>
      <c r="D826" s="55">
        <f>Orders!D826</f>
        <v/>
      </c>
      <c r="E826" s="55">
        <f>Orders!E826</f>
        <v/>
      </c>
      <c r="F826" s="55">
        <f>Orders!F826</f>
        <v/>
      </c>
      <c r="G826" s="55">
        <f>Orders!G826</f>
        <v/>
      </c>
      <c r="H826" s="55">
        <f>Orders!H826</f>
        <v/>
      </c>
      <c r="I826" s="55">
        <f>Orders!I826</f>
        <v/>
      </c>
      <c r="J826" s="55">
        <f>Orders!J826</f>
        <v/>
      </c>
      <c r="K826" s="55">
        <f>Orders!K826</f>
        <v/>
      </c>
      <c r="L826" s="55">
        <f>VLOOKUP(D826,Products!$A$2:$F$61,3,FALSE())</f>
        <v/>
      </c>
      <c r="M826" s="55">
        <f>VLOOKUP(C826,Customers!$A$2:$F$301,5,FALSE())</f>
        <v/>
      </c>
      <c r="N826" s="55">
        <f>VLOOKUP(E826,Sales_Reps!$A$2:$E$31,3,FALSE())</f>
        <v/>
      </c>
      <c r="O826" s="55">
        <f>VLOOKUP(D826,Products!$A$2:$F$61,4,FALSE())</f>
        <v/>
      </c>
      <c r="P826" s="55">
        <f>VLOOKUP(C826,Customers!$A$2:$F$301,3,FALSE())</f>
        <v/>
      </c>
      <c r="Q826" s="55">
        <f>UPPER(TRIM(K826))</f>
        <v/>
      </c>
      <c r="R826" s="55">
        <f>(G826-O826)/G826</f>
        <v/>
      </c>
      <c r="S826" s="55">
        <f>VLOOKUP(D826,Products!$A$2:$F$61,6,FALSE())</f>
        <v/>
      </c>
    </row>
    <row r="827" ht="15" customHeight="1" s="56">
      <c r="A827" s="55">
        <f>Orders!A827</f>
        <v/>
      </c>
      <c r="B827" s="103">
        <f>Orders!B827</f>
        <v/>
      </c>
      <c r="C827" s="55">
        <f>Orders!C827</f>
        <v/>
      </c>
      <c r="D827" s="55">
        <f>Orders!D827</f>
        <v/>
      </c>
      <c r="E827" s="55">
        <f>Orders!E827</f>
        <v/>
      </c>
      <c r="F827" s="55">
        <f>Orders!F827</f>
        <v/>
      </c>
      <c r="G827" s="55">
        <f>Orders!G827</f>
        <v/>
      </c>
      <c r="H827" s="55">
        <f>Orders!H827</f>
        <v/>
      </c>
      <c r="I827" s="55">
        <f>Orders!I827</f>
        <v/>
      </c>
      <c r="J827" s="55">
        <f>Orders!J827</f>
        <v/>
      </c>
      <c r="K827" s="55">
        <f>Orders!K827</f>
        <v/>
      </c>
      <c r="L827" s="55">
        <f>VLOOKUP(D827,Products!$A$2:$F$61,3,FALSE())</f>
        <v/>
      </c>
      <c r="M827" s="55">
        <f>VLOOKUP(C827,Customers!$A$2:$F$301,5,FALSE())</f>
        <v/>
      </c>
      <c r="N827" s="55">
        <f>VLOOKUP(E827,Sales_Reps!$A$2:$E$31,3,FALSE())</f>
        <v/>
      </c>
      <c r="O827" s="55">
        <f>VLOOKUP(D827,Products!$A$2:$F$61,4,FALSE())</f>
        <v/>
      </c>
      <c r="P827" s="55">
        <f>VLOOKUP(C827,Customers!$A$2:$F$301,3,FALSE())</f>
        <v/>
      </c>
      <c r="Q827" s="55">
        <f>UPPER(TRIM(K827))</f>
        <v/>
      </c>
      <c r="R827" s="55">
        <f>(G827-O827)/G827</f>
        <v/>
      </c>
      <c r="S827" s="55">
        <f>VLOOKUP(D827,Products!$A$2:$F$61,6,FALSE())</f>
        <v/>
      </c>
    </row>
    <row r="828" ht="15" customHeight="1" s="56">
      <c r="A828" s="55">
        <f>Orders!A828</f>
        <v/>
      </c>
      <c r="B828" s="103">
        <f>Orders!B828</f>
        <v/>
      </c>
      <c r="C828" s="55">
        <f>Orders!C828</f>
        <v/>
      </c>
      <c r="D828" s="55">
        <f>Orders!D828</f>
        <v/>
      </c>
      <c r="E828" s="55">
        <f>Orders!E828</f>
        <v/>
      </c>
      <c r="F828" s="55">
        <f>Orders!F828</f>
        <v/>
      </c>
      <c r="G828" s="55">
        <f>Orders!G828</f>
        <v/>
      </c>
      <c r="H828" s="55">
        <f>Orders!H828</f>
        <v/>
      </c>
      <c r="I828" s="55">
        <f>Orders!I828</f>
        <v/>
      </c>
      <c r="J828" s="55">
        <f>Orders!J828</f>
        <v/>
      </c>
      <c r="K828" s="55">
        <f>Orders!K828</f>
        <v/>
      </c>
      <c r="L828" s="55">
        <f>VLOOKUP(D828,Products!$A$2:$F$61,3,FALSE())</f>
        <v/>
      </c>
      <c r="M828" s="55">
        <f>VLOOKUP(C828,Customers!$A$2:$F$301,5,FALSE())</f>
        <v/>
      </c>
      <c r="N828" s="55">
        <f>VLOOKUP(E828,Sales_Reps!$A$2:$E$31,3,FALSE())</f>
        <v/>
      </c>
      <c r="O828" s="55">
        <f>VLOOKUP(D828,Products!$A$2:$F$61,4,FALSE())</f>
        <v/>
      </c>
      <c r="P828" s="55">
        <f>VLOOKUP(C828,Customers!$A$2:$F$301,3,FALSE())</f>
        <v/>
      </c>
      <c r="Q828" s="55">
        <f>UPPER(TRIM(K828))</f>
        <v/>
      </c>
      <c r="R828" s="55">
        <f>(G828-O828)/G828</f>
        <v/>
      </c>
      <c r="S828" s="55">
        <f>VLOOKUP(D828,Products!$A$2:$F$61,6,FALSE())</f>
        <v/>
      </c>
    </row>
    <row r="829" ht="15" customHeight="1" s="56">
      <c r="A829" s="55">
        <f>Orders!A829</f>
        <v/>
      </c>
      <c r="B829" s="103">
        <f>Orders!B829</f>
        <v/>
      </c>
      <c r="C829" s="55">
        <f>Orders!C829</f>
        <v/>
      </c>
      <c r="D829" s="55">
        <f>Orders!D829</f>
        <v/>
      </c>
      <c r="E829" s="55">
        <f>Orders!E829</f>
        <v/>
      </c>
      <c r="F829" s="55">
        <f>Orders!F829</f>
        <v/>
      </c>
      <c r="G829" s="55">
        <f>Orders!G829</f>
        <v/>
      </c>
      <c r="H829" s="55">
        <f>Orders!H829</f>
        <v/>
      </c>
      <c r="I829" s="55">
        <f>Orders!I829</f>
        <v/>
      </c>
      <c r="J829" s="55">
        <f>Orders!J829</f>
        <v/>
      </c>
      <c r="K829" s="55">
        <f>Orders!K829</f>
        <v/>
      </c>
      <c r="L829" s="55">
        <f>VLOOKUP(D829,Products!$A$2:$F$61,3,FALSE())</f>
        <v/>
      </c>
      <c r="M829" s="55">
        <f>VLOOKUP(C829,Customers!$A$2:$F$301,5,FALSE())</f>
        <v/>
      </c>
      <c r="N829" s="55">
        <f>VLOOKUP(E829,Sales_Reps!$A$2:$E$31,3,FALSE())</f>
        <v/>
      </c>
      <c r="O829" s="55">
        <f>VLOOKUP(D829,Products!$A$2:$F$61,4,FALSE())</f>
        <v/>
      </c>
      <c r="P829" s="55">
        <f>VLOOKUP(C829,Customers!$A$2:$F$301,3,FALSE())</f>
        <v/>
      </c>
      <c r="Q829" s="55">
        <f>UPPER(TRIM(K829))</f>
        <v/>
      </c>
      <c r="R829" s="55">
        <f>(G829-O829)/G829</f>
        <v/>
      </c>
      <c r="S829" s="55">
        <f>VLOOKUP(D829,Products!$A$2:$F$61,6,FALSE())</f>
        <v/>
      </c>
    </row>
    <row r="830" ht="15" customHeight="1" s="56">
      <c r="A830" s="55">
        <f>Orders!A830</f>
        <v/>
      </c>
      <c r="B830" s="103">
        <f>Orders!B830</f>
        <v/>
      </c>
      <c r="C830" s="55">
        <f>Orders!C830</f>
        <v/>
      </c>
      <c r="D830" s="55">
        <f>Orders!D830</f>
        <v/>
      </c>
      <c r="E830" s="55">
        <f>Orders!E830</f>
        <v/>
      </c>
      <c r="F830" s="55">
        <f>Orders!F830</f>
        <v/>
      </c>
      <c r="G830" s="55">
        <f>Orders!G830</f>
        <v/>
      </c>
      <c r="H830" s="55">
        <f>Orders!H830</f>
        <v/>
      </c>
      <c r="I830" s="55">
        <f>Orders!I830</f>
        <v/>
      </c>
      <c r="J830" s="55">
        <f>Orders!J830</f>
        <v/>
      </c>
      <c r="K830" s="55">
        <f>Orders!K830</f>
        <v/>
      </c>
      <c r="L830" s="55">
        <f>VLOOKUP(D830,Products!$A$2:$F$61,3,FALSE())</f>
        <v/>
      </c>
      <c r="M830" s="55">
        <f>VLOOKUP(C830,Customers!$A$2:$F$301,5,FALSE())</f>
        <v/>
      </c>
      <c r="N830" s="55">
        <f>VLOOKUP(E830,Sales_Reps!$A$2:$E$31,3,FALSE())</f>
        <v/>
      </c>
      <c r="O830" s="55">
        <f>VLOOKUP(D830,Products!$A$2:$F$61,4,FALSE())</f>
        <v/>
      </c>
      <c r="P830" s="55">
        <f>VLOOKUP(C830,Customers!$A$2:$F$301,3,FALSE())</f>
        <v/>
      </c>
      <c r="Q830" s="55">
        <f>UPPER(TRIM(K830))</f>
        <v/>
      </c>
      <c r="R830" s="55">
        <f>(G830-O830)/G830</f>
        <v/>
      </c>
      <c r="S830" s="55">
        <f>VLOOKUP(D830,Products!$A$2:$F$61,6,FALSE())</f>
        <v/>
      </c>
    </row>
    <row r="831" ht="15" customHeight="1" s="56">
      <c r="A831" s="55">
        <f>Orders!A831</f>
        <v/>
      </c>
      <c r="B831" s="103">
        <f>Orders!B831</f>
        <v/>
      </c>
      <c r="C831" s="55">
        <f>Orders!C831</f>
        <v/>
      </c>
      <c r="D831" s="55">
        <f>Orders!D831</f>
        <v/>
      </c>
      <c r="E831" s="55">
        <f>Orders!E831</f>
        <v/>
      </c>
      <c r="F831" s="55">
        <f>Orders!F831</f>
        <v/>
      </c>
      <c r="G831" s="55">
        <f>Orders!G831</f>
        <v/>
      </c>
      <c r="H831" s="55">
        <f>Orders!H831</f>
        <v/>
      </c>
      <c r="I831" s="55">
        <f>Orders!I831</f>
        <v/>
      </c>
      <c r="J831" s="55">
        <f>Orders!J831</f>
        <v/>
      </c>
      <c r="K831" s="55">
        <f>Orders!K831</f>
        <v/>
      </c>
      <c r="L831" s="55">
        <f>VLOOKUP(D831,Products!$A$2:$F$61,3,FALSE())</f>
        <v/>
      </c>
      <c r="M831" s="55">
        <f>VLOOKUP(C831,Customers!$A$2:$F$301,5,FALSE())</f>
        <v/>
      </c>
      <c r="N831" s="55">
        <f>VLOOKUP(E831,Sales_Reps!$A$2:$E$31,3,FALSE())</f>
        <v/>
      </c>
      <c r="O831" s="55">
        <f>VLOOKUP(D831,Products!$A$2:$F$61,4,FALSE())</f>
        <v/>
      </c>
      <c r="P831" s="55">
        <f>VLOOKUP(C831,Customers!$A$2:$F$301,3,FALSE())</f>
        <v/>
      </c>
      <c r="Q831" s="55">
        <f>UPPER(TRIM(K831))</f>
        <v/>
      </c>
      <c r="R831" s="55">
        <f>(G831-O831)/G831</f>
        <v/>
      </c>
      <c r="S831" s="55">
        <f>VLOOKUP(D831,Products!$A$2:$F$61,6,FALSE())</f>
        <v/>
      </c>
    </row>
    <row r="832" ht="15" customHeight="1" s="56">
      <c r="A832" s="55">
        <f>Orders!A832</f>
        <v/>
      </c>
      <c r="B832" s="103">
        <f>Orders!B832</f>
        <v/>
      </c>
      <c r="C832" s="55">
        <f>Orders!C832</f>
        <v/>
      </c>
      <c r="D832" s="55">
        <f>Orders!D832</f>
        <v/>
      </c>
      <c r="E832" s="55">
        <f>Orders!E832</f>
        <v/>
      </c>
      <c r="F832" s="55">
        <f>Orders!F832</f>
        <v/>
      </c>
      <c r="G832" s="55">
        <f>Orders!G832</f>
        <v/>
      </c>
      <c r="H832" s="55">
        <f>Orders!H832</f>
        <v/>
      </c>
      <c r="I832" s="55">
        <f>Orders!I832</f>
        <v/>
      </c>
      <c r="J832" s="55">
        <f>Orders!J832</f>
        <v/>
      </c>
      <c r="K832" s="55">
        <f>Orders!K832</f>
        <v/>
      </c>
      <c r="L832" s="55">
        <f>VLOOKUP(D832,Products!$A$2:$F$61,3,FALSE())</f>
        <v/>
      </c>
      <c r="M832" s="55">
        <f>VLOOKUP(C832,Customers!$A$2:$F$301,5,FALSE())</f>
        <v/>
      </c>
      <c r="N832" s="55">
        <f>VLOOKUP(E832,Sales_Reps!$A$2:$E$31,3,FALSE())</f>
        <v/>
      </c>
      <c r="O832" s="55">
        <f>VLOOKUP(D832,Products!$A$2:$F$61,4,FALSE())</f>
        <v/>
      </c>
      <c r="P832" s="55">
        <f>VLOOKUP(C832,Customers!$A$2:$F$301,3,FALSE())</f>
        <v/>
      </c>
      <c r="Q832" s="55">
        <f>UPPER(TRIM(K832))</f>
        <v/>
      </c>
      <c r="R832" s="55">
        <f>(G832-O832)/G832</f>
        <v/>
      </c>
      <c r="S832" s="55">
        <f>VLOOKUP(D832,Products!$A$2:$F$61,6,FALSE())</f>
        <v/>
      </c>
    </row>
    <row r="833" ht="15" customHeight="1" s="56">
      <c r="A833" s="55">
        <f>Orders!A833</f>
        <v/>
      </c>
      <c r="B833" s="103">
        <f>Orders!B833</f>
        <v/>
      </c>
      <c r="C833" s="55">
        <f>Orders!C833</f>
        <v/>
      </c>
      <c r="D833" s="55">
        <f>Orders!D833</f>
        <v/>
      </c>
      <c r="E833" s="55">
        <f>Orders!E833</f>
        <v/>
      </c>
      <c r="F833" s="55">
        <f>Orders!F833</f>
        <v/>
      </c>
      <c r="G833" s="55">
        <f>Orders!G833</f>
        <v/>
      </c>
      <c r="H833" s="55">
        <f>Orders!H833</f>
        <v/>
      </c>
      <c r="I833" s="55">
        <f>Orders!I833</f>
        <v/>
      </c>
      <c r="J833" s="55">
        <f>Orders!J833</f>
        <v/>
      </c>
      <c r="K833" s="55">
        <f>Orders!K833</f>
        <v/>
      </c>
      <c r="L833" s="55">
        <f>VLOOKUP(D833,Products!$A$2:$F$61,3,FALSE())</f>
        <v/>
      </c>
      <c r="M833" s="55">
        <f>VLOOKUP(C833,Customers!$A$2:$F$301,5,FALSE())</f>
        <v/>
      </c>
      <c r="N833" s="55">
        <f>VLOOKUP(E833,Sales_Reps!$A$2:$E$31,3,FALSE())</f>
        <v/>
      </c>
      <c r="O833" s="55">
        <f>VLOOKUP(D833,Products!$A$2:$F$61,4,FALSE())</f>
        <v/>
      </c>
      <c r="P833" s="55">
        <f>VLOOKUP(C833,Customers!$A$2:$F$301,3,FALSE())</f>
        <v/>
      </c>
      <c r="Q833" s="55">
        <f>UPPER(TRIM(K833))</f>
        <v/>
      </c>
      <c r="R833" s="55">
        <f>(G833-O833)/G833</f>
        <v/>
      </c>
      <c r="S833" s="55">
        <f>VLOOKUP(D833,Products!$A$2:$F$61,6,FALSE())</f>
        <v/>
      </c>
    </row>
    <row r="834" ht="15" customHeight="1" s="56">
      <c r="A834" s="55">
        <f>Orders!A834</f>
        <v/>
      </c>
      <c r="B834" s="103">
        <f>Orders!B834</f>
        <v/>
      </c>
      <c r="C834" s="55">
        <f>Orders!C834</f>
        <v/>
      </c>
      <c r="D834" s="55">
        <f>Orders!D834</f>
        <v/>
      </c>
      <c r="E834" s="55">
        <f>Orders!E834</f>
        <v/>
      </c>
      <c r="F834" s="55">
        <f>Orders!F834</f>
        <v/>
      </c>
      <c r="G834" s="55">
        <f>Orders!G834</f>
        <v/>
      </c>
      <c r="H834" s="55">
        <f>Orders!H834</f>
        <v/>
      </c>
      <c r="I834" s="55">
        <f>Orders!I834</f>
        <v/>
      </c>
      <c r="J834" s="55">
        <f>Orders!J834</f>
        <v/>
      </c>
      <c r="K834" s="55">
        <f>Orders!K834</f>
        <v/>
      </c>
      <c r="L834" s="55">
        <f>VLOOKUP(D834,Products!$A$2:$F$61,3,FALSE())</f>
        <v/>
      </c>
      <c r="M834" s="55">
        <f>VLOOKUP(C834,Customers!$A$2:$F$301,5,FALSE())</f>
        <v/>
      </c>
      <c r="N834" s="55">
        <f>VLOOKUP(E834,Sales_Reps!$A$2:$E$31,3,FALSE())</f>
        <v/>
      </c>
      <c r="O834" s="55">
        <f>VLOOKUP(D834,Products!$A$2:$F$61,4,FALSE())</f>
        <v/>
      </c>
      <c r="P834" s="55">
        <f>VLOOKUP(C834,Customers!$A$2:$F$301,3,FALSE())</f>
        <v/>
      </c>
      <c r="Q834" s="55">
        <f>UPPER(TRIM(K834))</f>
        <v/>
      </c>
      <c r="R834" s="55">
        <f>(G834-O834)/G834</f>
        <v/>
      </c>
      <c r="S834" s="55">
        <f>VLOOKUP(D834,Products!$A$2:$F$61,6,FALSE())</f>
        <v/>
      </c>
    </row>
    <row r="835" ht="15" customHeight="1" s="56">
      <c r="A835" s="55">
        <f>Orders!A835</f>
        <v/>
      </c>
      <c r="B835" s="103">
        <f>Orders!B835</f>
        <v/>
      </c>
      <c r="C835" s="55">
        <f>Orders!C835</f>
        <v/>
      </c>
      <c r="D835" s="55">
        <f>Orders!D835</f>
        <v/>
      </c>
      <c r="E835" s="55">
        <f>Orders!E835</f>
        <v/>
      </c>
      <c r="F835" s="55">
        <f>Orders!F835</f>
        <v/>
      </c>
      <c r="G835" s="55">
        <f>Orders!G835</f>
        <v/>
      </c>
      <c r="H835" s="55">
        <f>Orders!H835</f>
        <v/>
      </c>
      <c r="I835" s="55">
        <f>Orders!I835</f>
        <v/>
      </c>
      <c r="J835" s="55">
        <f>Orders!J835</f>
        <v/>
      </c>
      <c r="K835" s="55">
        <f>Orders!K835</f>
        <v/>
      </c>
      <c r="L835" s="55">
        <f>VLOOKUP(D835,Products!$A$2:$F$61,3,FALSE())</f>
        <v/>
      </c>
      <c r="M835" s="55">
        <f>VLOOKUP(C835,Customers!$A$2:$F$301,5,FALSE())</f>
        <v/>
      </c>
      <c r="N835" s="55">
        <f>VLOOKUP(E835,Sales_Reps!$A$2:$E$31,3,FALSE())</f>
        <v/>
      </c>
      <c r="O835" s="55">
        <f>VLOOKUP(D835,Products!$A$2:$F$61,4,FALSE())</f>
        <v/>
      </c>
      <c r="P835" s="55">
        <f>VLOOKUP(C835,Customers!$A$2:$F$301,3,FALSE())</f>
        <v/>
      </c>
      <c r="Q835" s="55">
        <f>UPPER(TRIM(K835))</f>
        <v/>
      </c>
      <c r="R835" s="55">
        <f>(G835-O835)/G835</f>
        <v/>
      </c>
      <c r="S835" s="55">
        <f>VLOOKUP(D835,Products!$A$2:$F$61,6,FALSE())</f>
        <v/>
      </c>
    </row>
    <row r="836" ht="15" customHeight="1" s="56">
      <c r="A836" s="55">
        <f>Orders!A836</f>
        <v/>
      </c>
      <c r="B836" s="103">
        <f>Orders!B836</f>
        <v/>
      </c>
      <c r="C836" s="55">
        <f>Orders!C836</f>
        <v/>
      </c>
      <c r="D836" s="55">
        <f>Orders!D836</f>
        <v/>
      </c>
      <c r="E836" s="55">
        <f>Orders!E836</f>
        <v/>
      </c>
      <c r="F836" s="55">
        <f>Orders!F836</f>
        <v/>
      </c>
      <c r="G836" s="55">
        <f>Orders!G836</f>
        <v/>
      </c>
      <c r="H836" s="55">
        <f>Orders!H836</f>
        <v/>
      </c>
      <c r="I836" s="55">
        <f>Orders!I836</f>
        <v/>
      </c>
      <c r="J836" s="55">
        <f>Orders!J836</f>
        <v/>
      </c>
      <c r="K836" s="55">
        <f>Orders!K836</f>
        <v/>
      </c>
      <c r="L836" s="55">
        <f>VLOOKUP(D836,Products!$A$2:$F$61,3,FALSE())</f>
        <v/>
      </c>
      <c r="M836" s="55">
        <f>VLOOKUP(C836,Customers!$A$2:$F$301,5,FALSE())</f>
        <v/>
      </c>
      <c r="N836" s="55">
        <f>VLOOKUP(E836,Sales_Reps!$A$2:$E$31,3,FALSE())</f>
        <v/>
      </c>
      <c r="O836" s="55">
        <f>VLOOKUP(D836,Products!$A$2:$F$61,4,FALSE())</f>
        <v/>
      </c>
      <c r="P836" s="55">
        <f>VLOOKUP(C836,Customers!$A$2:$F$301,3,FALSE())</f>
        <v/>
      </c>
      <c r="Q836" s="55">
        <f>UPPER(TRIM(K836))</f>
        <v/>
      </c>
      <c r="R836" s="55">
        <f>(G836-O836)/G836</f>
        <v/>
      </c>
      <c r="S836" s="55">
        <f>VLOOKUP(D836,Products!$A$2:$F$61,6,FALSE())</f>
        <v/>
      </c>
    </row>
    <row r="837" ht="15" customHeight="1" s="56">
      <c r="A837" s="55">
        <f>Orders!A837</f>
        <v/>
      </c>
      <c r="B837" s="103">
        <f>Orders!B837</f>
        <v/>
      </c>
      <c r="C837" s="55">
        <f>Orders!C837</f>
        <v/>
      </c>
      <c r="D837" s="55">
        <f>Orders!D837</f>
        <v/>
      </c>
      <c r="E837" s="55">
        <f>Orders!E837</f>
        <v/>
      </c>
      <c r="F837" s="55">
        <f>Orders!F837</f>
        <v/>
      </c>
      <c r="G837" s="55">
        <f>Orders!G837</f>
        <v/>
      </c>
      <c r="H837" s="55">
        <f>Orders!H837</f>
        <v/>
      </c>
      <c r="I837" s="55">
        <f>Orders!I837</f>
        <v/>
      </c>
      <c r="J837" s="55">
        <f>Orders!J837</f>
        <v/>
      </c>
      <c r="K837" s="55">
        <f>Orders!K837</f>
        <v/>
      </c>
      <c r="L837" s="55">
        <f>VLOOKUP(D837,Products!$A$2:$F$61,3,FALSE())</f>
        <v/>
      </c>
      <c r="M837" s="55">
        <f>VLOOKUP(C837,Customers!$A$2:$F$301,5,FALSE())</f>
        <v/>
      </c>
      <c r="N837" s="55">
        <f>VLOOKUP(E837,Sales_Reps!$A$2:$E$31,3,FALSE())</f>
        <v/>
      </c>
      <c r="O837" s="55">
        <f>VLOOKUP(D837,Products!$A$2:$F$61,4,FALSE())</f>
        <v/>
      </c>
      <c r="P837" s="55">
        <f>VLOOKUP(C837,Customers!$A$2:$F$301,3,FALSE())</f>
        <v/>
      </c>
      <c r="Q837" s="55">
        <f>UPPER(TRIM(K837))</f>
        <v/>
      </c>
      <c r="R837" s="55">
        <f>(G837-O837)/G837</f>
        <v/>
      </c>
      <c r="S837" s="55">
        <f>VLOOKUP(D837,Products!$A$2:$F$61,6,FALSE())</f>
        <v/>
      </c>
    </row>
    <row r="838" ht="15" customHeight="1" s="56">
      <c r="A838" s="55">
        <f>Orders!A838</f>
        <v/>
      </c>
      <c r="B838" s="103">
        <f>Orders!B838</f>
        <v/>
      </c>
      <c r="C838" s="55">
        <f>Orders!C838</f>
        <v/>
      </c>
      <c r="D838" s="55">
        <f>Orders!D838</f>
        <v/>
      </c>
      <c r="E838" s="55">
        <f>Orders!E838</f>
        <v/>
      </c>
      <c r="F838" s="55">
        <f>Orders!F838</f>
        <v/>
      </c>
      <c r="G838" s="55">
        <f>Orders!G838</f>
        <v/>
      </c>
      <c r="H838" s="55">
        <f>Orders!H838</f>
        <v/>
      </c>
      <c r="I838" s="55">
        <f>Orders!I838</f>
        <v/>
      </c>
      <c r="J838" s="55">
        <f>Orders!J838</f>
        <v/>
      </c>
      <c r="K838" s="55">
        <f>Orders!K838</f>
        <v/>
      </c>
      <c r="L838" s="55">
        <f>VLOOKUP(D838,Products!$A$2:$F$61,3,FALSE())</f>
        <v/>
      </c>
      <c r="M838" s="55">
        <f>VLOOKUP(C838,Customers!$A$2:$F$301,5,FALSE())</f>
        <v/>
      </c>
      <c r="N838" s="55">
        <f>VLOOKUP(E838,Sales_Reps!$A$2:$E$31,3,FALSE())</f>
        <v/>
      </c>
      <c r="O838" s="55">
        <f>VLOOKUP(D838,Products!$A$2:$F$61,4,FALSE())</f>
        <v/>
      </c>
      <c r="P838" s="55">
        <f>VLOOKUP(C838,Customers!$A$2:$F$301,3,FALSE())</f>
        <v/>
      </c>
      <c r="Q838" s="55">
        <f>UPPER(TRIM(K838))</f>
        <v/>
      </c>
      <c r="R838" s="55">
        <f>(G838-O838)/G838</f>
        <v/>
      </c>
      <c r="S838" s="55">
        <f>VLOOKUP(D838,Products!$A$2:$F$61,6,FALSE())</f>
        <v/>
      </c>
    </row>
    <row r="839" ht="15" customHeight="1" s="56">
      <c r="A839" s="55">
        <f>Orders!A839</f>
        <v/>
      </c>
      <c r="B839" s="103">
        <f>Orders!B839</f>
        <v/>
      </c>
      <c r="C839" s="55">
        <f>Orders!C839</f>
        <v/>
      </c>
      <c r="D839" s="55">
        <f>Orders!D839</f>
        <v/>
      </c>
      <c r="E839" s="55">
        <f>Orders!E839</f>
        <v/>
      </c>
      <c r="F839" s="55">
        <f>Orders!F839</f>
        <v/>
      </c>
      <c r="G839" s="55">
        <f>Orders!G839</f>
        <v/>
      </c>
      <c r="H839" s="55">
        <f>Orders!H839</f>
        <v/>
      </c>
      <c r="I839" s="55">
        <f>Orders!I839</f>
        <v/>
      </c>
      <c r="J839" s="55">
        <f>Orders!J839</f>
        <v/>
      </c>
      <c r="K839" s="55">
        <f>Orders!K839</f>
        <v/>
      </c>
      <c r="L839" s="55">
        <f>VLOOKUP(D839,Products!$A$2:$F$61,3,FALSE())</f>
        <v/>
      </c>
      <c r="M839" s="55">
        <f>VLOOKUP(C839,Customers!$A$2:$F$301,5,FALSE())</f>
        <v/>
      </c>
      <c r="N839" s="55">
        <f>VLOOKUP(E839,Sales_Reps!$A$2:$E$31,3,FALSE())</f>
        <v/>
      </c>
      <c r="O839" s="55">
        <f>VLOOKUP(D839,Products!$A$2:$F$61,4,FALSE())</f>
        <v/>
      </c>
      <c r="P839" s="55">
        <f>VLOOKUP(C839,Customers!$A$2:$F$301,3,FALSE())</f>
        <v/>
      </c>
      <c r="Q839" s="55">
        <f>UPPER(TRIM(K839))</f>
        <v/>
      </c>
      <c r="R839" s="55">
        <f>(G839-O839)/G839</f>
        <v/>
      </c>
      <c r="S839" s="55">
        <f>VLOOKUP(D839,Products!$A$2:$F$61,6,FALSE())</f>
        <v/>
      </c>
    </row>
    <row r="840" ht="15" customHeight="1" s="56">
      <c r="A840" s="55">
        <f>Orders!A840</f>
        <v/>
      </c>
      <c r="B840" s="103">
        <f>Orders!B840</f>
        <v/>
      </c>
      <c r="C840" s="55">
        <f>Orders!C840</f>
        <v/>
      </c>
      <c r="D840" s="55">
        <f>Orders!D840</f>
        <v/>
      </c>
      <c r="E840" s="55">
        <f>Orders!E840</f>
        <v/>
      </c>
      <c r="F840" s="55">
        <f>Orders!F840</f>
        <v/>
      </c>
      <c r="G840" s="55">
        <f>Orders!G840</f>
        <v/>
      </c>
      <c r="H840" s="55">
        <f>Orders!H840</f>
        <v/>
      </c>
      <c r="I840" s="55">
        <f>Orders!I840</f>
        <v/>
      </c>
      <c r="J840" s="55">
        <f>Orders!J840</f>
        <v/>
      </c>
      <c r="K840" s="55">
        <f>Orders!K840</f>
        <v/>
      </c>
      <c r="L840" s="55">
        <f>VLOOKUP(D840,Products!$A$2:$F$61,3,FALSE())</f>
        <v/>
      </c>
      <c r="M840" s="55">
        <f>VLOOKUP(C840,Customers!$A$2:$F$301,5,FALSE())</f>
        <v/>
      </c>
      <c r="N840" s="55">
        <f>VLOOKUP(E840,Sales_Reps!$A$2:$E$31,3,FALSE())</f>
        <v/>
      </c>
      <c r="O840" s="55">
        <f>VLOOKUP(D840,Products!$A$2:$F$61,4,FALSE())</f>
        <v/>
      </c>
      <c r="P840" s="55">
        <f>VLOOKUP(C840,Customers!$A$2:$F$301,3,FALSE())</f>
        <v/>
      </c>
      <c r="Q840" s="55">
        <f>UPPER(TRIM(K840))</f>
        <v/>
      </c>
      <c r="R840" s="55">
        <f>(G840-O840)/G840</f>
        <v/>
      </c>
      <c r="S840" s="55">
        <f>VLOOKUP(D840,Products!$A$2:$F$61,6,FALSE())</f>
        <v/>
      </c>
    </row>
    <row r="841" ht="15" customHeight="1" s="56">
      <c r="A841" s="55">
        <f>Orders!A841</f>
        <v/>
      </c>
      <c r="B841" s="103">
        <f>Orders!B841</f>
        <v/>
      </c>
      <c r="C841" s="55">
        <f>Orders!C841</f>
        <v/>
      </c>
      <c r="D841" s="55">
        <f>Orders!D841</f>
        <v/>
      </c>
      <c r="E841" s="55">
        <f>Orders!E841</f>
        <v/>
      </c>
      <c r="F841" s="55">
        <f>Orders!F841</f>
        <v/>
      </c>
      <c r="G841" s="55">
        <f>Orders!G841</f>
        <v/>
      </c>
      <c r="H841" s="55">
        <f>Orders!H841</f>
        <v/>
      </c>
      <c r="I841" s="55">
        <f>Orders!I841</f>
        <v/>
      </c>
      <c r="J841" s="55">
        <f>Orders!J841</f>
        <v/>
      </c>
      <c r="K841" s="55">
        <f>Orders!K841</f>
        <v/>
      </c>
      <c r="L841" s="55">
        <f>VLOOKUP(D841,Products!$A$2:$F$61,3,FALSE())</f>
        <v/>
      </c>
      <c r="M841" s="55">
        <f>VLOOKUP(C841,Customers!$A$2:$F$301,5,FALSE())</f>
        <v/>
      </c>
      <c r="N841" s="55">
        <f>VLOOKUP(E841,Sales_Reps!$A$2:$E$31,3,FALSE())</f>
        <v/>
      </c>
      <c r="O841" s="55">
        <f>VLOOKUP(D841,Products!$A$2:$F$61,4,FALSE())</f>
        <v/>
      </c>
      <c r="P841" s="55">
        <f>VLOOKUP(C841,Customers!$A$2:$F$301,3,FALSE())</f>
        <v/>
      </c>
      <c r="Q841" s="55">
        <f>UPPER(TRIM(K841))</f>
        <v/>
      </c>
      <c r="R841" s="55">
        <f>(G841-O841)/G841</f>
        <v/>
      </c>
      <c r="S841" s="55">
        <f>VLOOKUP(D841,Products!$A$2:$F$61,6,FALSE())</f>
        <v/>
      </c>
    </row>
    <row r="842" ht="15" customHeight="1" s="56">
      <c r="A842" s="55">
        <f>Orders!A842</f>
        <v/>
      </c>
      <c r="B842" s="103">
        <f>Orders!B842</f>
        <v/>
      </c>
      <c r="C842" s="55">
        <f>Orders!C842</f>
        <v/>
      </c>
      <c r="D842" s="55">
        <f>Orders!D842</f>
        <v/>
      </c>
      <c r="E842" s="55">
        <f>Orders!E842</f>
        <v/>
      </c>
      <c r="F842" s="55">
        <f>Orders!F842</f>
        <v/>
      </c>
      <c r="G842" s="55">
        <f>Orders!G842</f>
        <v/>
      </c>
      <c r="H842" s="55">
        <f>Orders!H842</f>
        <v/>
      </c>
      <c r="I842" s="55">
        <f>Orders!I842</f>
        <v/>
      </c>
      <c r="J842" s="55">
        <f>Orders!J842</f>
        <v/>
      </c>
      <c r="K842" s="55">
        <f>Orders!K842</f>
        <v/>
      </c>
      <c r="L842" s="55">
        <f>VLOOKUP(D842,Products!$A$2:$F$61,3,FALSE())</f>
        <v/>
      </c>
      <c r="M842" s="55">
        <f>VLOOKUP(C842,Customers!$A$2:$F$301,5,FALSE())</f>
        <v/>
      </c>
      <c r="N842" s="55">
        <f>VLOOKUP(E842,Sales_Reps!$A$2:$E$31,3,FALSE())</f>
        <v/>
      </c>
      <c r="O842" s="55">
        <f>VLOOKUP(D842,Products!$A$2:$F$61,4,FALSE())</f>
        <v/>
      </c>
      <c r="P842" s="55">
        <f>VLOOKUP(C842,Customers!$A$2:$F$301,3,FALSE())</f>
        <v/>
      </c>
      <c r="Q842" s="55">
        <f>UPPER(TRIM(K842))</f>
        <v/>
      </c>
      <c r="R842" s="55">
        <f>(G842-O842)/G842</f>
        <v/>
      </c>
      <c r="S842" s="55">
        <f>VLOOKUP(D842,Products!$A$2:$F$61,6,FALSE())</f>
        <v/>
      </c>
    </row>
    <row r="843" ht="15" customHeight="1" s="56">
      <c r="A843" s="55">
        <f>Orders!A843</f>
        <v/>
      </c>
      <c r="B843" s="103">
        <f>Orders!B843</f>
        <v/>
      </c>
      <c r="C843" s="55">
        <f>Orders!C843</f>
        <v/>
      </c>
      <c r="D843" s="55">
        <f>Orders!D843</f>
        <v/>
      </c>
      <c r="E843" s="55">
        <f>Orders!E843</f>
        <v/>
      </c>
      <c r="F843" s="55">
        <f>Orders!F843</f>
        <v/>
      </c>
      <c r="G843" s="55">
        <f>Orders!G843</f>
        <v/>
      </c>
      <c r="H843" s="55">
        <f>Orders!H843</f>
        <v/>
      </c>
      <c r="I843" s="55">
        <f>Orders!I843</f>
        <v/>
      </c>
      <c r="J843" s="55">
        <f>Orders!J843</f>
        <v/>
      </c>
      <c r="K843" s="55">
        <f>Orders!K843</f>
        <v/>
      </c>
      <c r="L843" s="55">
        <f>VLOOKUP(D843,Products!$A$2:$F$61,3,FALSE())</f>
        <v/>
      </c>
      <c r="M843" s="55">
        <f>VLOOKUP(C843,Customers!$A$2:$F$301,5,FALSE())</f>
        <v/>
      </c>
      <c r="N843" s="55">
        <f>VLOOKUP(E843,Sales_Reps!$A$2:$E$31,3,FALSE())</f>
        <v/>
      </c>
      <c r="O843" s="55">
        <f>VLOOKUP(D843,Products!$A$2:$F$61,4,FALSE())</f>
        <v/>
      </c>
      <c r="P843" s="55">
        <f>VLOOKUP(C843,Customers!$A$2:$F$301,3,FALSE())</f>
        <v/>
      </c>
      <c r="Q843" s="55">
        <f>UPPER(TRIM(K843))</f>
        <v/>
      </c>
      <c r="R843" s="55">
        <f>(G843-O843)/G843</f>
        <v/>
      </c>
      <c r="S843" s="55">
        <f>VLOOKUP(D843,Products!$A$2:$F$61,6,FALSE())</f>
        <v/>
      </c>
    </row>
    <row r="844" ht="15" customHeight="1" s="56">
      <c r="A844" s="55">
        <f>Orders!A844</f>
        <v/>
      </c>
      <c r="B844" s="103">
        <f>Orders!B844</f>
        <v/>
      </c>
      <c r="C844" s="55">
        <f>Orders!C844</f>
        <v/>
      </c>
      <c r="D844" s="55">
        <f>Orders!D844</f>
        <v/>
      </c>
      <c r="E844" s="55">
        <f>Orders!E844</f>
        <v/>
      </c>
      <c r="F844" s="55">
        <f>Orders!F844</f>
        <v/>
      </c>
      <c r="G844" s="55">
        <f>Orders!G844</f>
        <v/>
      </c>
      <c r="H844" s="55">
        <f>Orders!H844</f>
        <v/>
      </c>
      <c r="I844" s="55">
        <f>Orders!I844</f>
        <v/>
      </c>
      <c r="J844" s="55">
        <f>Orders!J844</f>
        <v/>
      </c>
      <c r="K844" s="55">
        <f>Orders!K844</f>
        <v/>
      </c>
      <c r="L844" s="55">
        <f>VLOOKUP(D844,Products!$A$2:$F$61,3,FALSE())</f>
        <v/>
      </c>
      <c r="M844" s="55">
        <f>VLOOKUP(C844,Customers!$A$2:$F$301,5,FALSE())</f>
        <v/>
      </c>
      <c r="N844" s="55">
        <f>VLOOKUP(E844,Sales_Reps!$A$2:$E$31,3,FALSE())</f>
        <v/>
      </c>
      <c r="O844" s="55">
        <f>VLOOKUP(D844,Products!$A$2:$F$61,4,FALSE())</f>
        <v/>
      </c>
      <c r="P844" s="55">
        <f>VLOOKUP(C844,Customers!$A$2:$F$301,3,FALSE())</f>
        <v/>
      </c>
      <c r="Q844" s="55">
        <f>UPPER(TRIM(K844))</f>
        <v/>
      </c>
      <c r="R844" s="55">
        <f>(G844-O844)/G844</f>
        <v/>
      </c>
      <c r="S844" s="55">
        <f>VLOOKUP(D844,Products!$A$2:$F$61,6,FALSE())</f>
        <v/>
      </c>
    </row>
    <row r="845" ht="15" customHeight="1" s="56">
      <c r="A845" s="55">
        <f>Orders!A845</f>
        <v/>
      </c>
      <c r="B845" s="103">
        <f>Orders!B845</f>
        <v/>
      </c>
      <c r="C845" s="55">
        <f>Orders!C845</f>
        <v/>
      </c>
      <c r="D845" s="55">
        <f>Orders!D845</f>
        <v/>
      </c>
      <c r="E845" s="55">
        <f>Orders!E845</f>
        <v/>
      </c>
      <c r="F845" s="55">
        <f>Orders!F845</f>
        <v/>
      </c>
      <c r="G845" s="55">
        <f>Orders!G845</f>
        <v/>
      </c>
      <c r="H845" s="55">
        <f>Orders!H845</f>
        <v/>
      </c>
      <c r="I845" s="55">
        <f>Orders!I845</f>
        <v/>
      </c>
      <c r="J845" s="55">
        <f>Orders!J845</f>
        <v/>
      </c>
      <c r="K845" s="55">
        <f>Orders!K845</f>
        <v/>
      </c>
      <c r="L845" s="55">
        <f>VLOOKUP(D845,Products!$A$2:$F$61,3,FALSE())</f>
        <v/>
      </c>
      <c r="M845" s="55">
        <f>VLOOKUP(C845,Customers!$A$2:$F$301,5,FALSE())</f>
        <v/>
      </c>
      <c r="N845" s="55">
        <f>VLOOKUP(E845,Sales_Reps!$A$2:$E$31,3,FALSE())</f>
        <v/>
      </c>
      <c r="O845" s="55">
        <f>VLOOKUP(D845,Products!$A$2:$F$61,4,FALSE())</f>
        <v/>
      </c>
      <c r="P845" s="55">
        <f>VLOOKUP(C845,Customers!$A$2:$F$301,3,FALSE())</f>
        <v/>
      </c>
      <c r="Q845" s="55">
        <f>UPPER(TRIM(K845))</f>
        <v/>
      </c>
      <c r="R845" s="55">
        <f>(G845-O845)/G845</f>
        <v/>
      </c>
      <c r="S845" s="55">
        <f>VLOOKUP(D845,Products!$A$2:$F$61,6,FALSE())</f>
        <v/>
      </c>
    </row>
    <row r="846" ht="15" customHeight="1" s="56">
      <c r="A846" s="55">
        <f>Orders!A846</f>
        <v/>
      </c>
      <c r="B846" s="103">
        <f>Orders!B846</f>
        <v/>
      </c>
      <c r="C846" s="55">
        <f>Orders!C846</f>
        <v/>
      </c>
      <c r="D846" s="55">
        <f>Orders!D846</f>
        <v/>
      </c>
      <c r="E846" s="55">
        <f>Orders!E846</f>
        <v/>
      </c>
      <c r="F846" s="55">
        <f>Orders!F846</f>
        <v/>
      </c>
      <c r="G846" s="55">
        <f>Orders!G846</f>
        <v/>
      </c>
      <c r="H846" s="55">
        <f>Orders!H846</f>
        <v/>
      </c>
      <c r="I846" s="55">
        <f>Orders!I846</f>
        <v/>
      </c>
      <c r="J846" s="55">
        <f>Orders!J846</f>
        <v/>
      </c>
      <c r="K846" s="55">
        <f>Orders!K846</f>
        <v/>
      </c>
      <c r="L846" s="55">
        <f>VLOOKUP(D846,Products!$A$2:$F$61,3,FALSE())</f>
        <v/>
      </c>
      <c r="M846" s="55">
        <f>VLOOKUP(C846,Customers!$A$2:$F$301,5,FALSE())</f>
        <v/>
      </c>
      <c r="N846" s="55">
        <f>VLOOKUP(E846,Sales_Reps!$A$2:$E$31,3,FALSE())</f>
        <v/>
      </c>
      <c r="O846" s="55">
        <f>VLOOKUP(D846,Products!$A$2:$F$61,4,FALSE())</f>
        <v/>
      </c>
      <c r="P846" s="55">
        <f>VLOOKUP(C846,Customers!$A$2:$F$301,3,FALSE())</f>
        <v/>
      </c>
      <c r="Q846" s="55">
        <f>UPPER(TRIM(K846))</f>
        <v/>
      </c>
      <c r="R846" s="55">
        <f>(G846-O846)/G846</f>
        <v/>
      </c>
      <c r="S846" s="55">
        <f>VLOOKUP(D846,Products!$A$2:$F$61,6,FALSE())</f>
        <v/>
      </c>
    </row>
    <row r="847" ht="15" customHeight="1" s="56">
      <c r="A847" s="55">
        <f>Orders!A847</f>
        <v/>
      </c>
      <c r="B847" s="103">
        <f>Orders!B847</f>
        <v/>
      </c>
      <c r="C847" s="55">
        <f>Orders!C847</f>
        <v/>
      </c>
      <c r="D847" s="55">
        <f>Orders!D847</f>
        <v/>
      </c>
      <c r="E847" s="55">
        <f>Orders!E847</f>
        <v/>
      </c>
      <c r="F847" s="55">
        <f>Orders!F847</f>
        <v/>
      </c>
      <c r="G847" s="55">
        <f>Orders!G847</f>
        <v/>
      </c>
      <c r="H847" s="55">
        <f>Orders!H847</f>
        <v/>
      </c>
      <c r="I847" s="55">
        <f>Orders!I847</f>
        <v/>
      </c>
      <c r="J847" s="55">
        <f>Orders!J847</f>
        <v/>
      </c>
      <c r="K847" s="55">
        <f>Orders!K847</f>
        <v/>
      </c>
      <c r="L847" s="55">
        <f>VLOOKUP(D847,Products!$A$2:$F$61,3,FALSE())</f>
        <v/>
      </c>
      <c r="M847" s="55">
        <f>VLOOKUP(C847,Customers!$A$2:$F$301,5,FALSE())</f>
        <v/>
      </c>
      <c r="N847" s="55">
        <f>VLOOKUP(E847,Sales_Reps!$A$2:$E$31,3,FALSE())</f>
        <v/>
      </c>
      <c r="O847" s="55">
        <f>VLOOKUP(D847,Products!$A$2:$F$61,4,FALSE())</f>
        <v/>
      </c>
      <c r="P847" s="55">
        <f>VLOOKUP(C847,Customers!$A$2:$F$301,3,FALSE())</f>
        <v/>
      </c>
      <c r="Q847" s="55">
        <f>UPPER(TRIM(K847))</f>
        <v/>
      </c>
      <c r="R847" s="55">
        <f>(G847-O847)/G847</f>
        <v/>
      </c>
      <c r="S847" s="55">
        <f>VLOOKUP(D847,Products!$A$2:$F$61,6,FALSE())</f>
        <v/>
      </c>
    </row>
    <row r="848" ht="15" customHeight="1" s="56">
      <c r="A848" s="55">
        <f>Orders!A848</f>
        <v/>
      </c>
      <c r="B848" s="103">
        <f>Orders!B848</f>
        <v/>
      </c>
      <c r="C848" s="55">
        <f>Orders!C848</f>
        <v/>
      </c>
      <c r="D848" s="55">
        <f>Orders!D848</f>
        <v/>
      </c>
      <c r="E848" s="55">
        <f>Orders!E848</f>
        <v/>
      </c>
      <c r="F848" s="55">
        <f>Orders!F848</f>
        <v/>
      </c>
      <c r="G848" s="55">
        <f>Orders!G848</f>
        <v/>
      </c>
      <c r="H848" s="55">
        <f>Orders!H848</f>
        <v/>
      </c>
      <c r="I848" s="55">
        <f>Orders!I848</f>
        <v/>
      </c>
      <c r="J848" s="55">
        <f>Orders!J848</f>
        <v/>
      </c>
      <c r="K848" s="55">
        <f>Orders!K848</f>
        <v/>
      </c>
      <c r="L848" s="55">
        <f>VLOOKUP(D848,Products!$A$2:$F$61,3,FALSE())</f>
        <v/>
      </c>
      <c r="M848" s="55">
        <f>VLOOKUP(C848,Customers!$A$2:$F$301,5,FALSE())</f>
        <v/>
      </c>
      <c r="N848" s="55">
        <f>VLOOKUP(E848,Sales_Reps!$A$2:$E$31,3,FALSE())</f>
        <v/>
      </c>
      <c r="O848" s="55">
        <f>VLOOKUP(D848,Products!$A$2:$F$61,4,FALSE())</f>
        <v/>
      </c>
      <c r="P848" s="55">
        <f>VLOOKUP(C848,Customers!$A$2:$F$301,3,FALSE())</f>
        <v/>
      </c>
      <c r="Q848" s="55">
        <f>UPPER(TRIM(K848))</f>
        <v/>
      </c>
      <c r="R848" s="55">
        <f>(G848-O848)/G848</f>
        <v/>
      </c>
      <c r="S848" s="55">
        <f>VLOOKUP(D848,Products!$A$2:$F$61,6,FALSE())</f>
        <v/>
      </c>
    </row>
    <row r="849" ht="15" customHeight="1" s="56">
      <c r="A849" s="55">
        <f>Orders!A849</f>
        <v/>
      </c>
      <c r="B849" s="103">
        <f>Orders!B849</f>
        <v/>
      </c>
      <c r="C849" s="55">
        <f>Orders!C849</f>
        <v/>
      </c>
      <c r="D849" s="55">
        <f>Orders!D849</f>
        <v/>
      </c>
      <c r="E849" s="55">
        <f>Orders!E849</f>
        <v/>
      </c>
      <c r="F849" s="55">
        <f>Orders!F849</f>
        <v/>
      </c>
      <c r="G849" s="55">
        <f>Orders!G849</f>
        <v/>
      </c>
      <c r="H849" s="55">
        <f>Orders!H849</f>
        <v/>
      </c>
      <c r="I849" s="55">
        <f>Orders!I849</f>
        <v/>
      </c>
      <c r="J849" s="55">
        <f>Orders!J849</f>
        <v/>
      </c>
      <c r="K849" s="55">
        <f>Orders!K849</f>
        <v/>
      </c>
      <c r="L849" s="55">
        <f>VLOOKUP(D849,Products!$A$2:$F$61,3,FALSE())</f>
        <v/>
      </c>
      <c r="M849" s="55">
        <f>VLOOKUP(C849,Customers!$A$2:$F$301,5,FALSE())</f>
        <v/>
      </c>
      <c r="N849" s="55">
        <f>VLOOKUP(E849,Sales_Reps!$A$2:$E$31,3,FALSE())</f>
        <v/>
      </c>
      <c r="O849" s="55">
        <f>VLOOKUP(D849,Products!$A$2:$F$61,4,FALSE())</f>
        <v/>
      </c>
      <c r="P849" s="55">
        <f>VLOOKUP(C849,Customers!$A$2:$F$301,3,FALSE())</f>
        <v/>
      </c>
      <c r="Q849" s="55">
        <f>UPPER(TRIM(K849))</f>
        <v/>
      </c>
      <c r="R849" s="55">
        <f>(G849-O849)/G849</f>
        <v/>
      </c>
      <c r="S849" s="55">
        <f>VLOOKUP(D849,Products!$A$2:$F$61,6,FALSE())</f>
        <v/>
      </c>
    </row>
    <row r="850" ht="15" customHeight="1" s="56">
      <c r="A850" s="55">
        <f>Orders!A850</f>
        <v/>
      </c>
      <c r="B850" s="103">
        <f>Orders!B850</f>
        <v/>
      </c>
      <c r="C850" s="55">
        <f>Orders!C850</f>
        <v/>
      </c>
      <c r="D850" s="55">
        <f>Orders!D850</f>
        <v/>
      </c>
      <c r="E850" s="55">
        <f>Orders!E850</f>
        <v/>
      </c>
      <c r="F850" s="55">
        <f>Orders!F850</f>
        <v/>
      </c>
      <c r="G850" s="55">
        <f>Orders!G850</f>
        <v/>
      </c>
      <c r="H850" s="55">
        <f>Orders!H850</f>
        <v/>
      </c>
      <c r="I850" s="55">
        <f>Orders!I850</f>
        <v/>
      </c>
      <c r="J850" s="55">
        <f>Orders!J850</f>
        <v/>
      </c>
      <c r="K850" s="55">
        <f>Orders!K850</f>
        <v/>
      </c>
      <c r="L850" s="55">
        <f>VLOOKUP(D850,Products!$A$2:$F$61,3,FALSE())</f>
        <v/>
      </c>
      <c r="M850" s="55">
        <f>VLOOKUP(C850,Customers!$A$2:$F$301,5,FALSE())</f>
        <v/>
      </c>
      <c r="N850" s="55">
        <f>VLOOKUP(E850,Sales_Reps!$A$2:$E$31,3,FALSE())</f>
        <v/>
      </c>
      <c r="O850" s="55">
        <f>VLOOKUP(D850,Products!$A$2:$F$61,4,FALSE())</f>
        <v/>
      </c>
      <c r="P850" s="55">
        <f>VLOOKUP(C850,Customers!$A$2:$F$301,3,FALSE())</f>
        <v/>
      </c>
      <c r="Q850" s="55">
        <f>UPPER(TRIM(K850))</f>
        <v/>
      </c>
      <c r="R850" s="55">
        <f>(G850-O850)/G850</f>
        <v/>
      </c>
      <c r="S850" s="55">
        <f>VLOOKUP(D850,Products!$A$2:$F$61,6,FALSE())</f>
        <v/>
      </c>
    </row>
    <row r="851" ht="15" customHeight="1" s="56">
      <c r="A851" s="55">
        <f>Orders!A851</f>
        <v/>
      </c>
      <c r="B851" s="103">
        <f>Orders!B851</f>
        <v/>
      </c>
      <c r="C851" s="55">
        <f>Orders!C851</f>
        <v/>
      </c>
      <c r="D851" s="55">
        <f>Orders!D851</f>
        <v/>
      </c>
      <c r="E851" s="55">
        <f>Orders!E851</f>
        <v/>
      </c>
      <c r="F851" s="55">
        <f>Orders!F851</f>
        <v/>
      </c>
      <c r="G851" s="55">
        <f>Orders!G851</f>
        <v/>
      </c>
      <c r="H851" s="55">
        <f>Orders!H851</f>
        <v/>
      </c>
      <c r="I851" s="55">
        <f>Orders!I851</f>
        <v/>
      </c>
      <c r="J851" s="55">
        <f>Orders!J851</f>
        <v/>
      </c>
      <c r="K851" s="55">
        <f>Orders!K851</f>
        <v/>
      </c>
      <c r="L851" s="55">
        <f>VLOOKUP(D851,Products!$A$2:$F$61,3,FALSE())</f>
        <v/>
      </c>
      <c r="M851" s="55">
        <f>VLOOKUP(C851,Customers!$A$2:$F$301,5,FALSE())</f>
        <v/>
      </c>
      <c r="N851" s="55">
        <f>VLOOKUP(E851,Sales_Reps!$A$2:$E$31,3,FALSE())</f>
        <v/>
      </c>
      <c r="O851" s="55">
        <f>VLOOKUP(D851,Products!$A$2:$F$61,4,FALSE())</f>
        <v/>
      </c>
      <c r="P851" s="55">
        <f>VLOOKUP(C851,Customers!$A$2:$F$301,3,FALSE())</f>
        <v/>
      </c>
      <c r="Q851" s="55">
        <f>UPPER(TRIM(K851))</f>
        <v/>
      </c>
      <c r="R851" s="55">
        <f>(G851-O851)/G851</f>
        <v/>
      </c>
      <c r="S851" s="55">
        <f>VLOOKUP(D851,Products!$A$2:$F$61,6,FALSE())</f>
        <v/>
      </c>
    </row>
    <row r="852" ht="15" customHeight="1" s="56">
      <c r="A852" s="55">
        <f>Orders!A852</f>
        <v/>
      </c>
      <c r="B852" s="103">
        <f>Orders!B852</f>
        <v/>
      </c>
      <c r="C852" s="55">
        <f>Orders!C852</f>
        <v/>
      </c>
      <c r="D852" s="55">
        <f>Orders!D852</f>
        <v/>
      </c>
      <c r="E852" s="55">
        <f>Orders!E852</f>
        <v/>
      </c>
      <c r="F852" s="55">
        <f>Orders!F852</f>
        <v/>
      </c>
      <c r="G852" s="55">
        <f>Orders!G852</f>
        <v/>
      </c>
      <c r="H852" s="55">
        <f>Orders!H852</f>
        <v/>
      </c>
      <c r="I852" s="55">
        <f>Orders!I852</f>
        <v/>
      </c>
      <c r="J852" s="55">
        <f>Orders!J852</f>
        <v/>
      </c>
      <c r="K852" s="55">
        <f>Orders!K852</f>
        <v/>
      </c>
      <c r="L852" s="55">
        <f>VLOOKUP(D852,Products!$A$2:$F$61,3,FALSE())</f>
        <v/>
      </c>
      <c r="M852" s="55">
        <f>VLOOKUP(C852,Customers!$A$2:$F$301,5,FALSE())</f>
        <v/>
      </c>
      <c r="N852" s="55">
        <f>VLOOKUP(E852,Sales_Reps!$A$2:$E$31,3,FALSE())</f>
        <v/>
      </c>
      <c r="O852" s="55">
        <f>VLOOKUP(D852,Products!$A$2:$F$61,4,FALSE())</f>
        <v/>
      </c>
      <c r="P852" s="55">
        <f>VLOOKUP(C852,Customers!$A$2:$F$301,3,FALSE())</f>
        <v/>
      </c>
      <c r="Q852" s="55">
        <f>UPPER(TRIM(K852))</f>
        <v/>
      </c>
      <c r="R852" s="55">
        <f>(G852-O852)/G852</f>
        <v/>
      </c>
      <c r="S852" s="55">
        <f>VLOOKUP(D852,Products!$A$2:$F$61,6,FALSE())</f>
        <v/>
      </c>
    </row>
    <row r="853" ht="15" customHeight="1" s="56">
      <c r="A853" s="55">
        <f>Orders!A853</f>
        <v/>
      </c>
      <c r="B853" s="103">
        <f>Orders!B853</f>
        <v/>
      </c>
      <c r="C853" s="55">
        <f>Orders!C853</f>
        <v/>
      </c>
      <c r="D853" s="55">
        <f>Orders!D853</f>
        <v/>
      </c>
      <c r="E853" s="55">
        <f>Orders!E853</f>
        <v/>
      </c>
      <c r="F853" s="55">
        <f>Orders!F853</f>
        <v/>
      </c>
      <c r="G853" s="55">
        <f>Orders!G853</f>
        <v/>
      </c>
      <c r="H853" s="55">
        <f>Orders!H853</f>
        <v/>
      </c>
      <c r="I853" s="55">
        <f>Orders!I853</f>
        <v/>
      </c>
      <c r="J853" s="55">
        <f>Orders!J853</f>
        <v/>
      </c>
      <c r="K853" s="55">
        <f>Orders!K853</f>
        <v/>
      </c>
      <c r="L853" s="55">
        <f>VLOOKUP(D853,Products!$A$2:$F$61,3,FALSE())</f>
        <v/>
      </c>
      <c r="M853" s="55">
        <f>VLOOKUP(C853,Customers!$A$2:$F$301,5,FALSE())</f>
        <v/>
      </c>
      <c r="N853" s="55">
        <f>VLOOKUP(E853,Sales_Reps!$A$2:$E$31,3,FALSE())</f>
        <v/>
      </c>
      <c r="O853" s="55">
        <f>VLOOKUP(D853,Products!$A$2:$F$61,4,FALSE())</f>
        <v/>
      </c>
      <c r="P853" s="55">
        <f>VLOOKUP(C853,Customers!$A$2:$F$301,3,FALSE())</f>
        <v/>
      </c>
      <c r="Q853" s="55">
        <f>UPPER(TRIM(K853))</f>
        <v/>
      </c>
      <c r="R853" s="55">
        <f>(G853-O853)/G853</f>
        <v/>
      </c>
      <c r="S853" s="55">
        <f>VLOOKUP(D853,Products!$A$2:$F$61,6,FALSE())</f>
        <v/>
      </c>
    </row>
    <row r="854" ht="15" customHeight="1" s="56">
      <c r="A854" s="55">
        <f>Orders!A854</f>
        <v/>
      </c>
      <c r="B854" s="103">
        <f>Orders!B854</f>
        <v/>
      </c>
      <c r="C854" s="55">
        <f>Orders!C854</f>
        <v/>
      </c>
      <c r="D854" s="55">
        <f>Orders!D854</f>
        <v/>
      </c>
      <c r="E854" s="55">
        <f>Orders!E854</f>
        <v/>
      </c>
      <c r="F854" s="55">
        <f>Orders!F854</f>
        <v/>
      </c>
      <c r="G854" s="55">
        <f>Orders!G854</f>
        <v/>
      </c>
      <c r="H854" s="55">
        <f>Orders!H854</f>
        <v/>
      </c>
      <c r="I854" s="55">
        <f>Orders!I854</f>
        <v/>
      </c>
      <c r="J854" s="55">
        <f>Orders!J854</f>
        <v/>
      </c>
      <c r="K854" s="55">
        <f>Orders!K854</f>
        <v/>
      </c>
      <c r="L854" s="55">
        <f>VLOOKUP(D854,Products!$A$2:$F$61,3,FALSE())</f>
        <v/>
      </c>
      <c r="M854" s="55">
        <f>VLOOKUP(C854,Customers!$A$2:$F$301,5,FALSE())</f>
        <v/>
      </c>
      <c r="N854" s="55">
        <f>VLOOKUP(E854,Sales_Reps!$A$2:$E$31,3,FALSE())</f>
        <v/>
      </c>
      <c r="O854" s="55">
        <f>VLOOKUP(D854,Products!$A$2:$F$61,4,FALSE())</f>
        <v/>
      </c>
      <c r="P854" s="55">
        <f>VLOOKUP(C854,Customers!$A$2:$F$301,3,FALSE())</f>
        <v/>
      </c>
      <c r="Q854" s="55">
        <f>UPPER(TRIM(K854))</f>
        <v/>
      </c>
      <c r="R854" s="55">
        <f>(G854-O854)/G854</f>
        <v/>
      </c>
      <c r="S854" s="55">
        <f>VLOOKUP(D854,Products!$A$2:$F$61,6,FALSE())</f>
        <v/>
      </c>
    </row>
    <row r="855" ht="15" customHeight="1" s="56">
      <c r="A855" s="55">
        <f>Orders!A855</f>
        <v/>
      </c>
      <c r="B855" s="103">
        <f>Orders!B855</f>
        <v/>
      </c>
      <c r="C855" s="55">
        <f>Orders!C855</f>
        <v/>
      </c>
      <c r="D855" s="55">
        <f>Orders!D855</f>
        <v/>
      </c>
      <c r="E855" s="55">
        <f>Orders!E855</f>
        <v/>
      </c>
      <c r="F855" s="55">
        <f>Orders!F855</f>
        <v/>
      </c>
      <c r="G855" s="55">
        <f>Orders!G855</f>
        <v/>
      </c>
      <c r="H855" s="55">
        <f>Orders!H855</f>
        <v/>
      </c>
      <c r="I855" s="55">
        <f>Orders!I855</f>
        <v/>
      </c>
      <c r="J855" s="55">
        <f>Orders!J855</f>
        <v/>
      </c>
      <c r="K855" s="55">
        <f>Orders!K855</f>
        <v/>
      </c>
      <c r="L855" s="55">
        <f>VLOOKUP(D855,Products!$A$2:$F$61,3,FALSE())</f>
        <v/>
      </c>
      <c r="M855" s="55">
        <f>VLOOKUP(C855,Customers!$A$2:$F$301,5,FALSE())</f>
        <v/>
      </c>
      <c r="N855" s="55">
        <f>VLOOKUP(E855,Sales_Reps!$A$2:$E$31,3,FALSE())</f>
        <v/>
      </c>
      <c r="O855" s="55">
        <f>VLOOKUP(D855,Products!$A$2:$F$61,4,FALSE())</f>
        <v/>
      </c>
      <c r="P855" s="55">
        <f>VLOOKUP(C855,Customers!$A$2:$F$301,3,FALSE())</f>
        <v/>
      </c>
      <c r="Q855" s="55">
        <f>UPPER(TRIM(K855))</f>
        <v/>
      </c>
      <c r="R855" s="55">
        <f>(G855-O855)/G855</f>
        <v/>
      </c>
      <c r="S855" s="55">
        <f>VLOOKUP(D855,Products!$A$2:$F$61,6,FALSE())</f>
        <v/>
      </c>
    </row>
    <row r="856" ht="15" customHeight="1" s="56">
      <c r="A856" s="55">
        <f>Orders!A856</f>
        <v/>
      </c>
      <c r="B856" s="103">
        <f>Orders!B856</f>
        <v/>
      </c>
      <c r="C856" s="55">
        <f>Orders!C856</f>
        <v/>
      </c>
      <c r="D856" s="55">
        <f>Orders!D856</f>
        <v/>
      </c>
      <c r="E856" s="55">
        <f>Orders!E856</f>
        <v/>
      </c>
      <c r="F856" s="55">
        <f>Orders!F856</f>
        <v/>
      </c>
      <c r="G856" s="55">
        <f>Orders!G856</f>
        <v/>
      </c>
      <c r="H856" s="55">
        <f>Orders!H856</f>
        <v/>
      </c>
      <c r="I856" s="55">
        <f>Orders!I856</f>
        <v/>
      </c>
      <c r="J856" s="55">
        <f>Orders!J856</f>
        <v/>
      </c>
      <c r="K856" s="55">
        <f>Orders!K856</f>
        <v/>
      </c>
      <c r="L856" s="55">
        <f>VLOOKUP(D856,Products!$A$2:$F$61,3,FALSE())</f>
        <v/>
      </c>
      <c r="M856" s="55">
        <f>VLOOKUP(C856,Customers!$A$2:$F$301,5,FALSE())</f>
        <v/>
      </c>
      <c r="N856" s="55">
        <f>VLOOKUP(E856,Sales_Reps!$A$2:$E$31,3,FALSE())</f>
        <v/>
      </c>
      <c r="O856" s="55">
        <f>VLOOKUP(D856,Products!$A$2:$F$61,4,FALSE())</f>
        <v/>
      </c>
      <c r="P856" s="55">
        <f>VLOOKUP(C856,Customers!$A$2:$F$301,3,FALSE())</f>
        <v/>
      </c>
      <c r="Q856" s="55">
        <f>UPPER(TRIM(K856))</f>
        <v/>
      </c>
      <c r="R856" s="55">
        <f>(G856-O856)/G856</f>
        <v/>
      </c>
      <c r="S856" s="55">
        <f>VLOOKUP(D856,Products!$A$2:$F$61,6,FALSE())</f>
        <v/>
      </c>
    </row>
    <row r="857" ht="15" customHeight="1" s="56">
      <c r="A857" s="55">
        <f>Orders!A857</f>
        <v/>
      </c>
      <c r="B857" s="103">
        <f>Orders!B857</f>
        <v/>
      </c>
      <c r="C857" s="55">
        <f>Orders!C857</f>
        <v/>
      </c>
      <c r="D857" s="55">
        <f>Orders!D857</f>
        <v/>
      </c>
      <c r="E857" s="55">
        <f>Orders!E857</f>
        <v/>
      </c>
      <c r="F857" s="55">
        <f>Orders!F857</f>
        <v/>
      </c>
      <c r="G857" s="55">
        <f>Orders!G857</f>
        <v/>
      </c>
      <c r="H857" s="55">
        <f>Orders!H857</f>
        <v/>
      </c>
      <c r="I857" s="55">
        <f>Orders!I857</f>
        <v/>
      </c>
      <c r="J857" s="55">
        <f>Orders!J857</f>
        <v/>
      </c>
      <c r="K857" s="55">
        <f>Orders!K857</f>
        <v/>
      </c>
      <c r="L857" s="55">
        <f>VLOOKUP(D857,Products!$A$2:$F$61,3,FALSE())</f>
        <v/>
      </c>
      <c r="M857" s="55">
        <f>VLOOKUP(C857,Customers!$A$2:$F$301,5,FALSE())</f>
        <v/>
      </c>
      <c r="N857" s="55">
        <f>VLOOKUP(E857,Sales_Reps!$A$2:$E$31,3,FALSE())</f>
        <v/>
      </c>
      <c r="O857" s="55">
        <f>VLOOKUP(D857,Products!$A$2:$F$61,4,FALSE())</f>
        <v/>
      </c>
      <c r="P857" s="55">
        <f>VLOOKUP(C857,Customers!$A$2:$F$301,3,FALSE())</f>
        <v/>
      </c>
      <c r="Q857" s="55">
        <f>UPPER(TRIM(K857))</f>
        <v/>
      </c>
      <c r="R857" s="55">
        <f>(G857-O857)/G857</f>
        <v/>
      </c>
      <c r="S857" s="55">
        <f>VLOOKUP(D857,Products!$A$2:$F$61,6,FALSE())</f>
        <v/>
      </c>
    </row>
    <row r="858" ht="15" customHeight="1" s="56">
      <c r="A858" s="55">
        <f>Orders!A858</f>
        <v/>
      </c>
      <c r="B858" s="103">
        <f>Orders!B858</f>
        <v/>
      </c>
      <c r="C858" s="55">
        <f>Orders!C858</f>
        <v/>
      </c>
      <c r="D858" s="55">
        <f>Orders!D858</f>
        <v/>
      </c>
      <c r="E858" s="55">
        <f>Orders!E858</f>
        <v/>
      </c>
      <c r="F858" s="55">
        <f>Orders!F858</f>
        <v/>
      </c>
      <c r="G858" s="55">
        <f>Orders!G858</f>
        <v/>
      </c>
      <c r="H858" s="55">
        <f>Orders!H858</f>
        <v/>
      </c>
      <c r="I858" s="55">
        <f>Orders!I858</f>
        <v/>
      </c>
      <c r="J858" s="55">
        <f>Orders!J858</f>
        <v/>
      </c>
      <c r="K858" s="55">
        <f>Orders!K858</f>
        <v/>
      </c>
      <c r="L858" s="55">
        <f>VLOOKUP(D858,Products!$A$2:$F$61,3,FALSE())</f>
        <v/>
      </c>
      <c r="M858" s="55">
        <f>VLOOKUP(C858,Customers!$A$2:$F$301,5,FALSE())</f>
        <v/>
      </c>
      <c r="N858" s="55">
        <f>VLOOKUP(E858,Sales_Reps!$A$2:$E$31,3,FALSE())</f>
        <v/>
      </c>
      <c r="O858" s="55">
        <f>VLOOKUP(D858,Products!$A$2:$F$61,4,FALSE())</f>
        <v/>
      </c>
      <c r="P858" s="55">
        <f>VLOOKUP(C858,Customers!$A$2:$F$301,3,FALSE())</f>
        <v/>
      </c>
      <c r="Q858" s="55">
        <f>UPPER(TRIM(K858))</f>
        <v/>
      </c>
      <c r="R858" s="55">
        <f>(G858-O858)/G858</f>
        <v/>
      </c>
      <c r="S858" s="55">
        <f>VLOOKUP(D858,Products!$A$2:$F$61,6,FALSE())</f>
        <v/>
      </c>
    </row>
    <row r="859" ht="15" customHeight="1" s="56">
      <c r="A859" s="55">
        <f>Orders!A859</f>
        <v/>
      </c>
      <c r="B859" s="103">
        <f>Orders!B859</f>
        <v/>
      </c>
      <c r="C859" s="55">
        <f>Orders!C859</f>
        <v/>
      </c>
      <c r="D859" s="55">
        <f>Orders!D859</f>
        <v/>
      </c>
      <c r="E859" s="55">
        <f>Orders!E859</f>
        <v/>
      </c>
      <c r="F859" s="55">
        <f>Orders!F859</f>
        <v/>
      </c>
      <c r="G859" s="55">
        <f>Orders!G859</f>
        <v/>
      </c>
      <c r="H859" s="55">
        <f>Orders!H859</f>
        <v/>
      </c>
      <c r="I859" s="55">
        <f>Orders!I859</f>
        <v/>
      </c>
      <c r="J859" s="55">
        <f>Orders!J859</f>
        <v/>
      </c>
      <c r="K859" s="55">
        <f>Orders!K859</f>
        <v/>
      </c>
      <c r="L859" s="55">
        <f>VLOOKUP(D859,Products!$A$2:$F$61,3,FALSE())</f>
        <v/>
      </c>
      <c r="M859" s="55">
        <f>VLOOKUP(C859,Customers!$A$2:$F$301,5,FALSE())</f>
        <v/>
      </c>
      <c r="N859" s="55">
        <f>VLOOKUP(E859,Sales_Reps!$A$2:$E$31,3,FALSE())</f>
        <v/>
      </c>
      <c r="O859" s="55">
        <f>VLOOKUP(D859,Products!$A$2:$F$61,4,FALSE())</f>
        <v/>
      </c>
      <c r="P859" s="55">
        <f>VLOOKUP(C859,Customers!$A$2:$F$301,3,FALSE())</f>
        <v/>
      </c>
      <c r="Q859" s="55">
        <f>UPPER(TRIM(K859))</f>
        <v/>
      </c>
      <c r="R859" s="55">
        <f>(G859-O859)/G859</f>
        <v/>
      </c>
      <c r="S859" s="55">
        <f>VLOOKUP(D859,Products!$A$2:$F$61,6,FALSE())</f>
        <v/>
      </c>
    </row>
    <row r="860" ht="15" customHeight="1" s="56">
      <c r="A860" s="55">
        <f>Orders!A860</f>
        <v/>
      </c>
      <c r="B860" s="103">
        <f>Orders!B860</f>
        <v/>
      </c>
      <c r="C860" s="55">
        <f>Orders!C860</f>
        <v/>
      </c>
      <c r="D860" s="55">
        <f>Orders!D860</f>
        <v/>
      </c>
      <c r="E860" s="55">
        <f>Orders!E860</f>
        <v/>
      </c>
      <c r="F860" s="55">
        <f>Orders!F860</f>
        <v/>
      </c>
      <c r="G860" s="55">
        <f>Orders!G860</f>
        <v/>
      </c>
      <c r="H860" s="55">
        <f>Orders!H860</f>
        <v/>
      </c>
      <c r="I860" s="55">
        <f>Orders!I860</f>
        <v/>
      </c>
      <c r="J860" s="55">
        <f>Orders!J860</f>
        <v/>
      </c>
      <c r="K860" s="55">
        <f>Orders!K860</f>
        <v/>
      </c>
      <c r="L860" s="55">
        <f>VLOOKUP(D860,Products!$A$2:$F$61,3,FALSE())</f>
        <v/>
      </c>
      <c r="M860" s="55">
        <f>VLOOKUP(C860,Customers!$A$2:$F$301,5,FALSE())</f>
        <v/>
      </c>
      <c r="N860" s="55">
        <f>VLOOKUP(E860,Sales_Reps!$A$2:$E$31,3,FALSE())</f>
        <v/>
      </c>
      <c r="O860" s="55">
        <f>VLOOKUP(D860,Products!$A$2:$F$61,4,FALSE())</f>
        <v/>
      </c>
      <c r="P860" s="55">
        <f>VLOOKUP(C860,Customers!$A$2:$F$301,3,FALSE())</f>
        <v/>
      </c>
      <c r="Q860" s="55">
        <f>UPPER(TRIM(K860))</f>
        <v/>
      </c>
      <c r="R860" s="55">
        <f>(G860-O860)/G860</f>
        <v/>
      </c>
      <c r="S860" s="55">
        <f>VLOOKUP(D860,Products!$A$2:$F$61,6,FALSE())</f>
        <v/>
      </c>
    </row>
    <row r="861" ht="15" customHeight="1" s="56">
      <c r="A861" s="55">
        <f>Orders!A861</f>
        <v/>
      </c>
      <c r="B861" s="103">
        <f>Orders!B861</f>
        <v/>
      </c>
      <c r="C861" s="55">
        <f>Orders!C861</f>
        <v/>
      </c>
      <c r="D861" s="55">
        <f>Orders!D861</f>
        <v/>
      </c>
      <c r="E861" s="55">
        <f>Orders!E861</f>
        <v/>
      </c>
      <c r="F861" s="55">
        <f>Orders!F861</f>
        <v/>
      </c>
      <c r="G861" s="55">
        <f>Orders!G861</f>
        <v/>
      </c>
      <c r="H861" s="55">
        <f>Orders!H861</f>
        <v/>
      </c>
      <c r="I861" s="55">
        <f>Orders!I861</f>
        <v/>
      </c>
      <c r="J861" s="55">
        <f>Orders!J861</f>
        <v/>
      </c>
      <c r="K861" s="55">
        <f>Orders!K861</f>
        <v/>
      </c>
      <c r="L861" s="55">
        <f>VLOOKUP(D861,Products!$A$2:$F$61,3,FALSE())</f>
        <v/>
      </c>
      <c r="M861" s="55">
        <f>VLOOKUP(C861,Customers!$A$2:$F$301,5,FALSE())</f>
        <v/>
      </c>
      <c r="N861" s="55">
        <f>VLOOKUP(E861,Sales_Reps!$A$2:$E$31,3,FALSE())</f>
        <v/>
      </c>
      <c r="O861" s="55">
        <f>VLOOKUP(D861,Products!$A$2:$F$61,4,FALSE())</f>
        <v/>
      </c>
      <c r="P861" s="55">
        <f>VLOOKUP(C861,Customers!$A$2:$F$301,3,FALSE())</f>
        <v/>
      </c>
      <c r="Q861" s="55">
        <f>UPPER(TRIM(K861))</f>
        <v/>
      </c>
      <c r="R861" s="55">
        <f>(G861-O861)/G861</f>
        <v/>
      </c>
      <c r="S861" s="55">
        <f>VLOOKUP(D861,Products!$A$2:$F$61,6,FALSE())</f>
        <v/>
      </c>
    </row>
    <row r="862" ht="15" customHeight="1" s="56">
      <c r="A862" s="55">
        <f>Orders!A862</f>
        <v/>
      </c>
      <c r="B862" s="103">
        <f>Orders!B862</f>
        <v/>
      </c>
      <c r="C862" s="55">
        <f>Orders!C862</f>
        <v/>
      </c>
      <c r="D862" s="55">
        <f>Orders!D862</f>
        <v/>
      </c>
      <c r="E862" s="55">
        <f>Orders!E862</f>
        <v/>
      </c>
      <c r="F862" s="55">
        <f>Orders!F862</f>
        <v/>
      </c>
      <c r="G862" s="55">
        <f>Orders!G862</f>
        <v/>
      </c>
      <c r="H862" s="55">
        <f>Orders!H862</f>
        <v/>
      </c>
      <c r="I862" s="55">
        <f>Orders!I862</f>
        <v/>
      </c>
      <c r="J862" s="55">
        <f>Orders!J862</f>
        <v/>
      </c>
      <c r="K862" s="55">
        <f>Orders!K862</f>
        <v/>
      </c>
      <c r="L862" s="55">
        <f>VLOOKUP(D862,Products!$A$2:$F$61,3,FALSE())</f>
        <v/>
      </c>
      <c r="M862" s="55">
        <f>VLOOKUP(C862,Customers!$A$2:$F$301,5,FALSE())</f>
        <v/>
      </c>
      <c r="N862" s="55">
        <f>VLOOKUP(E862,Sales_Reps!$A$2:$E$31,3,FALSE())</f>
        <v/>
      </c>
      <c r="O862" s="55">
        <f>VLOOKUP(D862,Products!$A$2:$F$61,4,FALSE())</f>
        <v/>
      </c>
      <c r="P862" s="55">
        <f>VLOOKUP(C862,Customers!$A$2:$F$301,3,FALSE())</f>
        <v/>
      </c>
      <c r="Q862" s="55">
        <f>UPPER(TRIM(K862))</f>
        <v/>
      </c>
      <c r="R862" s="55">
        <f>(G862-O862)/G862</f>
        <v/>
      </c>
      <c r="S862" s="55">
        <f>VLOOKUP(D862,Products!$A$2:$F$61,6,FALSE())</f>
        <v/>
      </c>
    </row>
    <row r="863" ht="15" customHeight="1" s="56">
      <c r="A863" s="55">
        <f>Orders!A863</f>
        <v/>
      </c>
      <c r="B863" s="103">
        <f>Orders!B863</f>
        <v/>
      </c>
      <c r="C863" s="55">
        <f>Orders!C863</f>
        <v/>
      </c>
      <c r="D863" s="55">
        <f>Orders!D863</f>
        <v/>
      </c>
      <c r="E863" s="55">
        <f>Orders!E863</f>
        <v/>
      </c>
      <c r="F863" s="55">
        <f>Orders!F863</f>
        <v/>
      </c>
      <c r="G863" s="55">
        <f>Orders!G863</f>
        <v/>
      </c>
      <c r="H863" s="55">
        <f>Orders!H863</f>
        <v/>
      </c>
      <c r="I863" s="55">
        <f>Orders!I863</f>
        <v/>
      </c>
      <c r="J863" s="55">
        <f>Orders!J863</f>
        <v/>
      </c>
      <c r="K863" s="55">
        <f>Orders!K863</f>
        <v/>
      </c>
      <c r="L863" s="55">
        <f>VLOOKUP(D863,Products!$A$2:$F$61,3,FALSE())</f>
        <v/>
      </c>
      <c r="M863" s="55">
        <f>VLOOKUP(C863,Customers!$A$2:$F$301,5,FALSE())</f>
        <v/>
      </c>
      <c r="N863" s="55">
        <f>VLOOKUP(E863,Sales_Reps!$A$2:$E$31,3,FALSE())</f>
        <v/>
      </c>
      <c r="O863" s="55">
        <f>VLOOKUP(D863,Products!$A$2:$F$61,4,FALSE())</f>
        <v/>
      </c>
      <c r="P863" s="55">
        <f>VLOOKUP(C863,Customers!$A$2:$F$301,3,FALSE())</f>
        <v/>
      </c>
      <c r="Q863" s="55">
        <f>UPPER(TRIM(K863))</f>
        <v/>
      </c>
      <c r="R863" s="55">
        <f>(G863-O863)/G863</f>
        <v/>
      </c>
      <c r="S863" s="55">
        <f>VLOOKUP(D863,Products!$A$2:$F$61,6,FALSE())</f>
        <v/>
      </c>
    </row>
    <row r="864" ht="15" customHeight="1" s="56">
      <c r="A864" s="55">
        <f>Orders!A864</f>
        <v/>
      </c>
      <c r="B864" s="103">
        <f>Orders!B864</f>
        <v/>
      </c>
      <c r="C864" s="55">
        <f>Orders!C864</f>
        <v/>
      </c>
      <c r="D864" s="55">
        <f>Orders!D864</f>
        <v/>
      </c>
      <c r="E864" s="55">
        <f>Orders!E864</f>
        <v/>
      </c>
      <c r="F864" s="55">
        <f>Orders!F864</f>
        <v/>
      </c>
      <c r="G864" s="55">
        <f>Orders!G864</f>
        <v/>
      </c>
      <c r="H864" s="55">
        <f>Orders!H864</f>
        <v/>
      </c>
      <c r="I864" s="55">
        <f>Orders!I864</f>
        <v/>
      </c>
      <c r="J864" s="55">
        <f>Orders!J864</f>
        <v/>
      </c>
      <c r="K864" s="55">
        <f>Orders!K864</f>
        <v/>
      </c>
      <c r="L864" s="55">
        <f>VLOOKUP(D864,Products!$A$2:$F$61,3,FALSE())</f>
        <v/>
      </c>
      <c r="M864" s="55">
        <f>VLOOKUP(C864,Customers!$A$2:$F$301,5,FALSE())</f>
        <v/>
      </c>
      <c r="N864" s="55">
        <f>VLOOKUP(E864,Sales_Reps!$A$2:$E$31,3,FALSE())</f>
        <v/>
      </c>
      <c r="O864" s="55">
        <f>VLOOKUP(D864,Products!$A$2:$F$61,4,FALSE())</f>
        <v/>
      </c>
      <c r="P864" s="55">
        <f>VLOOKUP(C864,Customers!$A$2:$F$301,3,FALSE())</f>
        <v/>
      </c>
      <c r="Q864" s="55">
        <f>UPPER(TRIM(K864))</f>
        <v/>
      </c>
      <c r="R864" s="55">
        <f>(G864-O864)/G864</f>
        <v/>
      </c>
      <c r="S864" s="55">
        <f>VLOOKUP(D864,Products!$A$2:$F$61,6,FALSE())</f>
        <v/>
      </c>
    </row>
    <row r="865" ht="15" customHeight="1" s="56">
      <c r="A865" s="55">
        <f>Orders!A865</f>
        <v/>
      </c>
      <c r="B865" s="103">
        <f>Orders!B865</f>
        <v/>
      </c>
      <c r="C865" s="55">
        <f>Orders!C865</f>
        <v/>
      </c>
      <c r="D865" s="55">
        <f>Orders!D865</f>
        <v/>
      </c>
      <c r="E865" s="55">
        <f>Orders!E865</f>
        <v/>
      </c>
      <c r="F865" s="55">
        <f>Orders!F865</f>
        <v/>
      </c>
      <c r="G865" s="55">
        <f>Orders!G865</f>
        <v/>
      </c>
      <c r="H865" s="55">
        <f>Orders!H865</f>
        <v/>
      </c>
      <c r="I865" s="55">
        <f>Orders!I865</f>
        <v/>
      </c>
      <c r="J865" s="55">
        <f>Orders!J865</f>
        <v/>
      </c>
      <c r="K865" s="55">
        <f>Orders!K865</f>
        <v/>
      </c>
      <c r="L865" s="55">
        <f>VLOOKUP(D865,Products!$A$2:$F$61,3,FALSE())</f>
        <v/>
      </c>
      <c r="M865" s="55">
        <f>VLOOKUP(C865,Customers!$A$2:$F$301,5,FALSE())</f>
        <v/>
      </c>
      <c r="N865" s="55">
        <f>VLOOKUP(E865,Sales_Reps!$A$2:$E$31,3,FALSE())</f>
        <v/>
      </c>
      <c r="O865" s="55">
        <f>VLOOKUP(D865,Products!$A$2:$F$61,4,FALSE())</f>
        <v/>
      </c>
      <c r="P865" s="55">
        <f>VLOOKUP(C865,Customers!$A$2:$F$301,3,FALSE())</f>
        <v/>
      </c>
      <c r="Q865" s="55">
        <f>UPPER(TRIM(K865))</f>
        <v/>
      </c>
      <c r="R865" s="55">
        <f>(G865-O865)/G865</f>
        <v/>
      </c>
      <c r="S865" s="55">
        <f>VLOOKUP(D865,Products!$A$2:$F$61,6,FALSE())</f>
        <v/>
      </c>
    </row>
    <row r="866" ht="15" customHeight="1" s="56">
      <c r="A866" s="55">
        <f>Orders!A866</f>
        <v/>
      </c>
      <c r="B866" s="103">
        <f>Orders!B866</f>
        <v/>
      </c>
      <c r="C866" s="55">
        <f>Orders!C866</f>
        <v/>
      </c>
      <c r="D866" s="55">
        <f>Orders!D866</f>
        <v/>
      </c>
      <c r="E866" s="55">
        <f>Orders!E866</f>
        <v/>
      </c>
      <c r="F866" s="55">
        <f>Orders!F866</f>
        <v/>
      </c>
      <c r="G866" s="55">
        <f>Orders!G866</f>
        <v/>
      </c>
      <c r="H866" s="55">
        <f>Orders!H866</f>
        <v/>
      </c>
      <c r="I866" s="55">
        <f>Orders!I866</f>
        <v/>
      </c>
      <c r="J866" s="55">
        <f>Orders!J866</f>
        <v/>
      </c>
      <c r="K866" s="55">
        <f>Orders!K866</f>
        <v/>
      </c>
      <c r="L866" s="55">
        <f>VLOOKUP(D866,Products!$A$2:$F$61,3,FALSE())</f>
        <v/>
      </c>
      <c r="M866" s="55">
        <f>VLOOKUP(C866,Customers!$A$2:$F$301,5,FALSE())</f>
        <v/>
      </c>
      <c r="N866" s="55">
        <f>VLOOKUP(E866,Sales_Reps!$A$2:$E$31,3,FALSE())</f>
        <v/>
      </c>
      <c r="O866" s="55">
        <f>VLOOKUP(D866,Products!$A$2:$F$61,4,FALSE())</f>
        <v/>
      </c>
      <c r="P866" s="55">
        <f>VLOOKUP(C866,Customers!$A$2:$F$301,3,FALSE())</f>
        <v/>
      </c>
      <c r="Q866" s="55">
        <f>UPPER(TRIM(K866))</f>
        <v/>
      </c>
      <c r="R866" s="55">
        <f>(G866-O866)/G866</f>
        <v/>
      </c>
      <c r="S866" s="55">
        <f>VLOOKUP(D866,Products!$A$2:$F$61,6,FALSE())</f>
        <v/>
      </c>
    </row>
    <row r="867" ht="15" customHeight="1" s="56">
      <c r="A867" s="55">
        <f>Orders!A867</f>
        <v/>
      </c>
      <c r="B867" s="103">
        <f>Orders!B867</f>
        <v/>
      </c>
      <c r="C867" s="55">
        <f>Orders!C867</f>
        <v/>
      </c>
      <c r="D867" s="55">
        <f>Orders!D867</f>
        <v/>
      </c>
      <c r="E867" s="55">
        <f>Orders!E867</f>
        <v/>
      </c>
      <c r="F867" s="55">
        <f>Orders!F867</f>
        <v/>
      </c>
      <c r="G867" s="55">
        <f>Orders!G867</f>
        <v/>
      </c>
      <c r="H867" s="55">
        <f>Orders!H867</f>
        <v/>
      </c>
      <c r="I867" s="55">
        <f>Orders!I867</f>
        <v/>
      </c>
      <c r="J867" s="55">
        <f>Orders!J867</f>
        <v/>
      </c>
      <c r="K867" s="55">
        <f>Orders!K867</f>
        <v/>
      </c>
      <c r="L867" s="55">
        <f>VLOOKUP(D867,Products!$A$2:$F$61,3,FALSE())</f>
        <v/>
      </c>
      <c r="M867" s="55">
        <f>VLOOKUP(C867,Customers!$A$2:$F$301,5,FALSE())</f>
        <v/>
      </c>
      <c r="N867" s="55">
        <f>VLOOKUP(E867,Sales_Reps!$A$2:$E$31,3,FALSE())</f>
        <v/>
      </c>
      <c r="O867" s="55">
        <f>VLOOKUP(D867,Products!$A$2:$F$61,4,FALSE())</f>
        <v/>
      </c>
      <c r="P867" s="55">
        <f>VLOOKUP(C867,Customers!$A$2:$F$301,3,FALSE())</f>
        <v/>
      </c>
      <c r="Q867" s="55">
        <f>UPPER(TRIM(K867))</f>
        <v/>
      </c>
      <c r="R867" s="55">
        <f>(G867-O867)/G867</f>
        <v/>
      </c>
      <c r="S867" s="55">
        <f>VLOOKUP(D867,Products!$A$2:$F$61,6,FALSE())</f>
        <v/>
      </c>
    </row>
    <row r="868" ht="15" customHeight="1" s="56">
      <c r="A868" s="55">
        <f>Orders!A868</f>
        <v/>
      </c>
      <c r="B868" s="103">
        <f>Orders!B868</f>
        <v/>
      </c>
      <c r="C868" s="55">
        <f>Orders!C868</f>
        <v/>
      </c>
      <c r="D868" s="55">
        <f>Orders!D868</f>
        <v/>
      </c>
      <c r="E868" s="55">
        <f>Orders!E868</f>
        <v/>
      </c>
      <c r="F868" s="55">
        <f>Orders!F868</f>
        <v/>
      </c>
      <c r="G868" s="55">
        <f>Orders!G868</f>
        <v/>
      </c>
      <c r="H868" s="55">
        <f>Orders!H868</f>
        <v/>
      </c>
      <c r="I868" s="55">
        <f>Orders!I868</f>
        <v/>
      </c>
      <c r="J868" s="55">
        <f>Orders!J868</f>
        <v/>
      </c>
      <c r="K868" s="55">
        <f>Orders!K868</f>
        <v/>
      </c>
      <c r="L868" s="55">
        <f>VLOOKUP(D868,Products!$A$2:$F$61,3,FALSE())</f>
        <v/>
      </c>
      <c r="M868" s="55">
        <f>VLOOKUP(C868,Customers!$A$2:$F$301,5,FALSE())</f>
        <v/>
      </c>
      <c r="N868" s="55">
        <f>VLOOKUP(E868,Sales_Reps!$A$2:$E$31,3,FALSE())</f>
        <v/>
      </c>
      <c r="O868" s="55">
        <f>VLOOKUP(D868,Products!$A$2:$F$61,4,FALSE())</f>
        <v/>
      </c>
      <c r="P868" s="55">
        <f>VLOOKUP(C868,Customers!$A$2:$F$301,3,FALSE())</f>
        <v/>
      </c>
      <c r="Q868" s="55">
        <f>UPPER(TRIM(K868))</f>
        <v/>
      </c>
      <c r="R868" s="55">
        <f>(G868-O868)/G868</f>
        <v/>
      </c>
      <c r="S868" s="55">
        <f>VLOOKUP(D868,Products!$A$2:$F$61,6,FALSE())</f>
        <v/>
      </c>
    </row>
    <row r="869" ht="15" customHeight="1" s="56">
      <c r="A869" s="55">
        <f>Orders!A869</f>
        <v/>
      </c>
      <c r="B869" s="103">
        <f>Orders!B869</f>
        <v/>
      </c>
      <c r="C869" s="55">
        <f>Orders!C869</f>
        <v/>
      </c>
      <c r="D869" s="55">
        <f>Orders!D869</f>
        <v/>
      </c>
      <c r="E869" s="55">
        <f>Orders!E869</f>
        <v/>
      </c>
      <c r="F869" s="55">
        <f>Orders!F869</f>
        <v/>
      </c>
      <c r="G869" s="55">
        <f>Orders!G869</f>
        <v/>
      </c>
      <c r="H869" s="55">
        <f>Orders!H869</f>
        <v/>
      </c>
      <c r="I869" s="55">
        <f>Orders!I869</f>
        <v/>
      </c>
      <c r="J869" s="55">
        <f>Orders!J869</f>
        <v/>
      </c>
      <c r="K869" s="55">
        <f>Orders!K869</f>
        <v/>
      </c>
      <c r="L869" s="55">
        <f>VLOOKUP(D869,Products!$A$2:$F$61,3,FALSE())</f>
        <v/>
      </c>
      <c r="M869" s="55">
        <f>VLOOKUP(C869,Customers!$A$2:$F$301,5,FALSE())</f>
        <v/>
      </c>
      <c r="N869" s="55">
        <f>VLOOKUP(E869,Sales_Reps!$A$2:$E$31,3,FALSE())</f>
        <v/>
      </c>
      <c r="O869" s="55">
        <f>VLOOKUP(D869,Products!$A$2:$F$61,4,FALSE())</f>
        <v/>
      </c>
      <c r="P869" s="55">
        <f>VLOOKUP(C869,Customers!$A$2:$F$301,3,FALSE())</f>
        <v/>
      </c>
      <c r="Q869" s="55">
        <f>UPPER(TRIM(K869))</f>
        <v/>
      </c>
      <c r="R869" s="55">
        <f>(G869-O869)/G869</f>
        <v/>
      </c>
      <c r="S869" s="55">
        <f>VLOOKUP(D869,Products!$A$2:$F$61,6,FALSE())</f>
        <v/>
      </c>
    </row>
    <row r="870" ht="15" customHeight="1" s="56">
      <c r="A870" s="55">
        <f>Orders!A870</f>
        <v/>
      </c>
      <c r="B870" s="103">
        <f>Orders!B870</f>
        <v/>
      </c>
      <c r="C870" s="55">
        <f>Orders!C870</f>
        <v/>
      </c>
      <c r="D870" s="55">
        <f>Orders!D870</f>
        <v/>
      </c>
      <c r="E870" s="55">
        <f>Orders!E870</f>
        <v/>
      </c>
      <c r="F870" s="55">
        <f>Orders!F870</f>
        <v/>
      </c>
      <c r="G870" s="55">
        <f>Orders!G870</f>
        <v/>
      </c>
      <c r="H870" s="55">
        <f>Orders!H870</f>
        <v/>
      </c>
      <c r="I870" s="55">
        <f>Orders!I870</f>
        <v/>
      </c>
      <c r="J870" s="55">
        <f>Orders!J870</f>
        <v/>
      </c>
      <c r="K870" s="55">
        <f>Orders!K870</f>
        <v/>
      </c>
      <c r="L870" s="55">
        <f>VLOOKUP(D870,Products!$A$2:$F$61,3,FALSE())</f>
        <v/>
      </c>
      <c r="M870" s="55">
        <f>VLOOKUP(C870,Customers!$A$2:$F$301,5,FALSE())</f>
        <v/>
      </c>
      <c r="N870" s="55">
        <f>VLOOKUP(E870,Sales_Reps!$A$2:$E$31,3,FALSE())</f>
        <v/>
      </c>
      <c r="O870" s="55">
        <f>VLOOKUP(D870,Products!$A$2:$F$61,4,FALSE())</f>
        <v/>
      </c>
      <c r="P870" s="55">
        <f>VLOOKUP(C870,Customers!$A$2:$F$301,3,FALSE())</f>
        <v/>
      </c>
      <c r="Q870" s="55">
        <f>UPPER(TRIM(K870))</f>
        <v/>
      </c>
      <c r="R870" s="55">
        <f>(G870-O870)/G870</f>
        <v/>
      </c>
      <c r="S870" s="55">
        <f>VLOOKUP(D870,Products!$A$2:$F$61,6,FALSE())</f>
        <v/>
      </c>
    </row>
    <row r="871" ht="15" customHeight="1" s="56">
      <c r="A871" s="55">
        <f>Orders!A871</f>
        <v/>
      </c>
      <c r="B871" s="103">
        <f>Orders!B871</f>
        <v/>
      </c>
      <c r="C871" s="55">
        <f>Orders!C871</f>
        <v/>
      </c>
      <c r="D871" s="55">
        <f>Orders!D871</f>
        <v/>
      </c>
      <c r="E871" s="55">
        <f>Orders!E871</f>
        <v/>
      </c>
      <c r="F871" s="55">
        <f>Orders!F871</f>
        <v/>
      </c>
      <c r="G871" s="55">
        <f>Orders!G871</f>
        <v/>
      </c>
      <c r="H871" s="55">
        <f>Orders!H871</f>
        <v/>
      </c>
      <c r="I871" s="55">
        <f>Orders!I871</f>
        <v/>
      </c>
      <c r="J871" s="55">
        <f>Orders!J871</f>
        <v/>
      </c>
      <c r="K871" s="55">
        <f>Orders!K871</f>
        <v/>
      </c>
      <c r="L871" s="55">
        <f>VLOOKUP(D871,Products!$A$2:$F$61,3,FALSE())</f>
        <v/>
      </c>
      <c r="M871" s="55">
        <f>VLOOKUP(C871,Customers!$A$2:$F$301,5,FALSE())</f>
        <v/>
      </c>
      <c r="N871" s="55">
        <f>VLOOKUP(E871,Sales_Reps!$A$2:$E$31,3,FALSE())</f>
        <v/>
      </c>
      <c r="O871" s="55">
        <f>VLOOKUP(D871,Products!$A$2:$F$61,4,FALSE())</f>
        <v/>
      </c>
      <c r="P871" s="55">
        <f>VLOOKUP(C871,Customers!$A$2:$F$301,3,FALSE())</f>
        <v/>
      </c>
      <c r="Q871" s="55">
        <f>UPPER(TRIM(K871))</f>
        <v/>
      </c>
      <c r="R871" s="55">
        <f>(G871-O871)/G871</f>
        <v/>
      </c>
      <c r="S871" s="55">
        <f>VLOOKUP(D871,Products!$A$2:$F$61,6,FALSE())</f>
        <v/>
      </c>
    </row>
    <row r="872" ht="15" customHeight="1" s="56">
      <c r="A872" s="55">
        <f>Orders!A872</f>
        <v/>
      </c>
      <c r="B872" s="103">
        <f>Orders!B872</f>
        <v/>
      </c>
      <c r="C872" s="55">
        <f>Orders!C872</f>
        <v/>
      </c>
      <c r="D872" s="55">
        <f>Orders!D872</f>
        <v/>
      </c>
      <c r="E872" s="55">
        <f>Orders!E872</f>
        <v/>
      </c>
      <c r="F872" s="55">
        <f>Orders!F872</f>
        <v/>
      </c>
      <c r="G872" s="55">
        <f>Orders!G872</f>
        <v/>
      </c>
      <c r="H872" s="55">
        <f>Orders!H872</f>
        <v/>
      </c>
      <c r="I872" s="55">
        <f>Orders!I872</f>
        <v/>
      </c>
      <c r="J872" s="55">
        <f>Orders!J872</f>
        <v/>
      </c>
      <c r="K872" s="55">
        <f>Orders!K872</f>
        <v/>
      </c>
      <c r="L872" s="55">
        <f>VLOOKUP(D872,Products!$A$2:$F$61,3,FALSE())</f>
        <v/>
      </c>
      <c r="M872" s="55">
        <f>VLOOKUP(C872,Customers!$A$2:$F$301,5,FALSE())</f>
        <v/>
      </c>
      <c r="N872" s="55">
        <f>VLOOKUP(E872,Sales_Reps!$A$2:$E$31,3,FALSE())</f>
        <v/>
      </c>
      <c r="O872" s="55">
        <f>VLOOKUP(D872,Products!$A$2:$F$61,4,FALSE())</f>
        <v/>
      </c>
      <c r="P872" s="55">
        <f>VLOOKUP(C872,Customers!$A$2:$F$301,3,FALSE())</f>
        <v/>
      </c>
      <c r="Q872" s="55">
        <f>UPPER(TRIM(K872))</f>
        <v/>
      </c>
      <c r="R872" s="55">
        <f>(G872-O872)/G872</f>
        <v/>
      </c>
      <c r="S872" s="55">
        <f>VLOOKUP(D872,Products!$A$2:$F$61,6,FALSE())</f>
        <v/>
      </c>
    </row>
    <row r="873" ht="15" customHeight="1" s="56">
      <c r="A873" s="55">
        <f>Orders!A873</f>
        <v/>
      </c>
      <c r="B873" s="103">
        <f>Orders!B873</f>
        <v/>
      </c>
      <c r="C873" s="55">
        <f>Orders!C873</f>
        <v/>
      </c>
      <c r="D873" s="55">
        <f>Orders!D873</f>
        <v/>
      </c>
      <c r="E873" s="55">
        <f>Orders!E873</f>
        <v/>
      </c>
      <c r="F873" s="55">
        <f>Orders!F873</f>
        <v/>
      </c>
      <c r="G873" s="55">
        <f>Orders!G873</f>
        <v/>
      </c>
      <c r="H873" s="55">
        <f>Orders!H873</f>
        <v/>
      </c>
      <c r="I873" s="55">
        <f>Orders!I873</f>
        <v/>
      </c>
      <c r="J873" s="55">
        <f>Orders!J873</f>
        <v/>
      </c>
      <c r="K873" s="55">
        <f>Orders!K873</f>
        <v/>
      </c>
      <c r="L873" s="55">
        <f>VLOOKUP(D873,Products!$A$2:$F$61,3,FALSE())</f>
        <v/>
      </c>
      <c r="M873" s="55">
        <f>VLOOKUP(C873,Customers!$A$2:$F$301,5,FALSE())</f>
        <v/>
      </c>
      <c r="N873" s="55">
        <f>VLOOKUP(E873,Sales_Reps!$A$2:$E$31,3,FALSE())</f>
        <v/>
      </c>
      <c r="O873" s="55">
        <f>VLOOKUP(D873,Products!$A$2:$F$61,4,FALSE())</f>
        <v/>
      </c>
      <c r="P873" s="55">
        <f>VLOOKUP(C873,Customers!$A$2:$F$301,3,FALSE())</f>
        <v/>
      </c>
      <c r="Q873" s="55">
        <f>UPPER(TRIM(K873))</f>
        <v/>
      </c>
      <c r="R873" s="55">
        <f>(G873-O873)/G873</f>
        <v/>
      </c>
      <c r="S873" s="55">
        <f>VLOOKUP(D873,Products!$A$2:$F$61,6,FALSE())</f>
        <v/>
      </c>
    </row>
    <row r="874" ht="15" customHeight="1" s="56">
      <c r="A874" s="55">
        <f>Orders!A874</f>
        <v/>
      </c>
      <c r="B874" s="103">
        <f>Orders!B874</f>
        <v/>
      </c>
      <c r="C874" s="55">
        <f>Orders!C874</f>
        <v/>
      </c>
      <c r="D874" s="55">
        <f>Orders!D874</f>
        <v/>
      </c>
      <c r="E874" s="55">
        <f>Orders!E874</f>
        <v/>
      </c>
      <c r="F874" s="55">
        <f>Orders!F874</f>
        <v/>
      </c>
      <c r="G874" s="55">
        <f>Orders!G874</f>
        <v/>
      </c>
      <c r="H874" s="55">
        <f>Orders!H874</f>
        <v/>
      </c>
      <c r="I874" s="55">
        <f>Orders!I874</f>
        <v/>
      </c>
      <c r="J874" s="55">
        <f>Orders!J874</f>
        <v/>
      </c>
      <c r="K874" s="55">
        <f>Orders!K874</f>
        <v/>
      </c>
      <c r="L874" s="55">
        <f>VLOOKUP(D874,Products!$A$2:$F$61,3,FALSE())</f>
        <v/>
      </c>
      <c r="M874" s="55">
        <f>VLOOKUP(C874,Customers!$A$2:$F$301,5,FALSE())</f>
        <v/>
      </c>
      <c r="N874" s="55">
        <f>VLOOKUP(E874,Sales_Reps!$A$2:$E$31,3,FALSE())</f>
        <v/>
      </c>
      <c r="O874" s="55">
        <f>VLOOKUP(D874,Products!$A$2:$F$61,4,FALSE())</f>
        <v/>
      </c>
      <c r="P874" s="55">
        <f>VLOOKUP(C874,Customers!$A$2:$F$301,3,FALSE())</f>
        <v/>
      </c>
      <c r="Q874" s="55">
        <f>UPPER(TRIM(K874))</f>
        <v/>
      </c>
      <c r="R874" s="55">
        <f>(G874-O874)/G874</f>
        <v/>
      </c>
      <c r="S874" s="55">
        <f>VLOOKUP(D874,Products!$A$2:$F$61,6,FALSE())</f>
        <v/>
      </c>
    </row>
    <row r="875" ht="15" customHeight="1" s="56">
      <c r="A875" s="55">
        <f>Orders!A875</f>
        <v/>
      </c>
      <c r="B875" s="103">
        <f>Orders!B875</f>
        <v/>
      </c>
      <c r="C875" s="55">
        <f>Orders!C875</f>
        <v/>
      </c>
      <c r="D875" s="55">
        <f>Orders!D875</f>
        <v/>
      </c>
      <c r="E875" s="55">
        <f>Orders!E875</f>
        <v/>
      </c>
      <c r="F875" s="55">
        <f>Orders!F875</f>
        <v/>
      </c>
      <c r="G875" s="55">
        <f>Orders!G875</f>
        <v/>
      </c>
      <c r="H875" s="55">
        <f>Orders!H875</f>
        <v/>
      </c>
      <c r="I875" s="55">
        <f>Orders!I875</f>
        <v/>
      </c>
      <c r="J875" s="55">
        <f>Orders!J875</f>
        <v/>
      </c>
      <c r="K875" s="55">
        <f>Orders!K875</f>
        <v/>
      </c>
      <c r="L875" s="55">
        <f>VLOOKUP(D875,Products!$A$2:$F$61,3,FALSE())</f>
        <v/>
      </c>
      <c r="M875" s="55">
        <f>VLOOKUP(C875,Customers!$A$2:$F$301,5,FALSE())</f>
        <v/>
      </c>
      <c r="N875" s="55">
        <f>VLOOKUP(E875,Sales_Reps!$A$2:$E$31,3,FALSE())</f>
        <v/>
      </c>
      <c r="O875" s="55">
        <f>VLOOKUP(D875,Products!$A$2:$F$61,4,FALSE())</f>
        <v/>
      </c>
      <c r="P875" s="55">
        <f>VLOOKUP(C875,Customers!$A$2:$F$301,3,FALSE())</f>
        <v/>
      </c>
      <c r="Q875" s="55">
        <f>UPPER(TRIM(K875))</f>
        <v/>
      </c>
      <c r="R875" s="55">
        <f>(G875-O875)/G875</f>
        <v/>
      </c>
      <c r="S875" s="55">
        <f>VLOOKUP(D875,Products!$A$2:$F$61,6,FALSE())</f>
        <v/>
      </c>
    </row>
    <row r="876" ht="15" customHeight="1" s="56">
      <c r="A876" s="55">
        <f>Orders!A876</f>
        <v/>
      </c>
      <c r="B876" s="103">
        <f>Orders!B876</f>
        <v/>
      </c>
      <c r="C876" s="55">
        <f>Orders!C876</f>
        <v/>
      </c>
      <c r="D876" s="55">
        <f>Orders!D876</f>
        <v/>
      </c>
      <c r="E876" s="55">
        <f>Orders!E876</f>
        <v/>
      </c>
      <c r="F876" s="55">
        <f>Orders!F876</f>
        <v/>
      </c>
      <c r="G876" s="55">
        <f>Orders!G876</f>
        <v/>
      </c>
      <c r="H876" s="55">
        <f>Orders!H876</f>
        <v/>
      </c>
      <c r="I876" s="55">
        <f>Orders!I876</f>
        <v/>
      </c>
      <c r="J876" s="55">
        <f>Orders!J876</f>
        <v/>
      </c>
      <c r="K876" s="55">
        <f>Orders!K876</f>
        <v/>
      </c>
      <c r="L876" s="55">
        <f>VLOOKUP(D876,Products!$A$2:$F$61,3,FALSE())</f>
        <v/>
      </c>
      <c r="M876" s="55">
        <f>VLOOKUP(C876,Customers!$A$2:$F$301,5,FALSE())</f>
        <v/>
      </c>
      <c r="N876" s="55">
        <f>VLOOKUP(E876,Sales_Reps!$A$2:$E$31,3,FALSE())</f>
        <v/>
      </c>
      <c r="O876" s="55">
        <f>VLOOKUP(D876,Products!$A$2:$F$61,4,FALSE())</f>
        <v/>
      </c>
      <c r="P876" s="55">
        <f>VLOOKUP(C876,Customers!$A$2:$F$301,3,FALSE())</f>
        <v/>
      </c>
      <c r="Q876" s="55">
        <f>UPPER(TRIM(K876))</f>
        <v/>
      </c>
      <c r="R876" s="55">
        <f>(G876-O876)/G876</f>
        <v/>
      </c>
      <c r="S876" s="55">
        <f>VLOOKUP(D876,Products!$A$2:$F$61,6,FALSE())</f>
        <v/>
      </c>
    </row>
    <row r="877" ht="15" customHeight="1" s="56">
      <c r="A877" s="55">
        <f>Orders!A877</f>
        <v/>
      </c>
      <c r="B877" s="103">
        <f>Orders!B877</f>
        <v/>
      </c>
      <c r="C877" s="55">
        <f>Orders!C877</f>
        <v/>
      </c>
      <c r="D877" s="55">
        <f>Orders!D877</f>
        <v/>
      </c>
      <c r="E877" s="55">
        <f>Orders!E877</f>
        <v/>
      </c>
      <c r="F877" s="55">
        <f>Orders!F877</f>
        <v/>
      </c>
      <c r="G877" s="55">
        <f>Orders!G877</f>
        <v/>
      </c>
      <c r="H877" s="55">
        <f>Orders!H877</f>
        <v/>
      </c>
      <c r="I877" s="55">
        <f>Orders!I877</f>
        <v/>
      </c>
      <c r="J877" s="55">
        <f>Orders!J877</f>
        <v/>
      </c>
      <c r="K877" s="55">
        <f>Orders!K877</f>
        <v/>
      </c>
      <c r="L877" s="55">
        <f>VLOOKUP(D877,Products!$A$2:$F$61,3,FALSE())</f>
        <v/>
      </c>
      <c r="M877" s="55">
        <f>VLOOKUP(C877,Customers!$A$2:$F$301,5,FALSE())</f>
        <v/>
      </c>
      <c r="N877" s="55">
        <f>VLOOKUP(E877,Sales_Reps!$A$2:$E$31,3,FALSE())</f>
        <v/>
      </c>
      <c r="O877" s="55">
        <f>VLOOKUP(D877,Products!$A$2:$F$61,4,FALSE())</f>
        <v/>
      </c>
      <c r="P877" s="55">
        <f>VLOOKUP(C877,Customers!$A$2:$F$301,3,FALSE())</f>
        <v/>
      </c>
      <c r="Q877" s="55">
        <f>UPPER(TRIM(K877))</f>
        <v/>
      </c>
      <c r="R877" s="55">
        <f>(G877-O877)/G877</f>
        <v/>
      </c>
      <c r="S877" s="55">
        <f>VLOOKUP(D877,Products!$A$2:$F$61,6,FALSE())</f>
        <v/>
      </c>
    </row>
    <row r="878" ht="15" customHeight="1" s="56">
      <c r="A878" s="55">
        <f>Orders!A878</f>
        <v/>
      </c>
      <c r="B878" s="103">
        <f>Orders!B878</f>
        <v/>
      </c>
      <c r="C878" s="55">
        <f>Orders!C878</f>
        <v/>
      </c>
      <c r="D878" s="55">
        <f>Orders!D878</f>
        <v/>
      </c>
      <c r="E878" s="55">
        <f>Orders!E878</f>
        <v/>
      </c>
      <c r="F878" s="55">
        <f>Orders!F878</f>
        <v/>
      </c>
      <c r="G878" s="55">
        <f>Orders!G878</f>
        <v/>
      </c>
      <c r="H878" s="55">
        <f>Orders!H878</f>
        <v/>
      </c>
      <c r="I878" s="55">
        <f>Orders!I878</f>
        <v/>
      </c>
      <c r="J878" s="55">
        <f>Orders!J878</f>
        <v/>
      </c>
      <c r="K878" s="55">
        <f>Orders!K878</f>
        <v/>
      </c>
      <c r="L878" s="55">
        <f>VLOOKUP(D878,Products!$A$2:$F$61,3,FALSE())</f>
        <v/>
      </c>
      <c r="M878" s="55">
        <f>VLOOKUP(C878,Customers!$A$2:$F$301,5,FALSE())</f>
        <v/>
      </c>
      <c r="N878" s="55">
        <f>VLOOKUP(E878,Sales_Reps!$A$2:$E$31,3,FALSE())</f>
        <v/>
      </c>
      <c r="O878" s="55">
        <f>VLOOKUP(D878,Products!$A$2:$F$61,4,FALSE())</f>
        <v/>
      </c>
      <c r="P878" s="55">
        <f>VLOOKUP(C878,Customers!$A$2:$F$301,3,FALSE())</f>
        <v/>
      </c>
      <c r="Q878" s="55">
        <f>UPPER(TRIM(K878))</f>
        <v/>
      </c>
      <c r="R878" s="55">
        <f>(G878-O878)/G878</f>
        <v/>
      </c>
      <c r="S878" s="55">
        <f>VLOOKUP(D878,Products!$A$2:$F$61,6,FALSE())</f>
        <v/>
      </c>
    </row>
    <row r="879" ht="15" customHeight="1" s="56">
      <c r="A879" s="55">
        <f>Orders!A879</f>
        <v/>
      </c>
      <c r="B879" s="103">
        <f>Orders!B879</f>
        <v/>
      </c>
      <c r="C879" s="55">
        <f>Orders!C879</f>
        <v/>
      </c>
      <c r="D879" s="55">
        <f>Orders!D879</f>
        <v/>
      </c>
      <c r="E879" s="55">
        <f>Orders!E879</f>
        <v/>
      </c>
      <c r="F879" s="55">
        <f>Orders!F879</f>
        <v/>
      </c>
      <c r="G879" s="55">
        <f>Orders!G879</f>
        <v/>
      </c>
      <c r="H879" s="55">
        <f>Orders!H879</f>
        <v/>
      </c>
      <c r="I879" s="55">
        <f>Orders!I879</f>
        <v/>
      </c>
      <c r="J879" s="55">
        <f>Orders!J879</f>
        <v/>
      </c>
      <c r="K879" s="55">
        <f>Orders!K879</f>
        <v/>
      </c>
      <c r="L879" s="55">
        <f>VLOOKUP(D879,Products!$A$2:$F$61,3,FALSE())</f>
        <v/>
      </c>
      <c r="M879" s="55">
        <f>VLOOKUP(C879,Customers!$A$2:$F$301,5,FALSE())</f>
        <v/>
      </c>
      <c r="N879" s="55">
        <f>VLOOKUP(E879,Sales_Reps!$A$2:$E$31,3,FALSE())</f>
        <v/>
      </c>
      <c r="O879" s="55">
        <f>VLOOKUP(D879,Products!$A$2:$F$61,4,FALSE())</f>
        <v/>
      </c>
      <c r="P879" s="55">
        <f>VLOOKUP(C879,Customers!$A$2:$F$301,3,FALSE())</f>
        <v/>
      </c>
      <c r="Q879" s="55">
        <f>UPPER(TRIM(K879))</f>
        <v/>
      </c>
      <c r="R879" s="55">
        <f>(G879-O879)/G879</f>
        <v/>
      </c>
      <c r="S879" s="55">
        <f>VLOOKUP(D879,Products!$A$2:$F$61,6,FALSE())</f>
        <v/>
      </c>
    </row>
    <row r="880" ht="15" customHeight="1" s="56">
      <c r="A880" s="55">
        <f>Orders!A880</f>
        <v/>
      </c>
      <c r="B880" s="103">
        <f>Orders!B880</f>
        <v/>
      </c>
      <c r="C880" s="55">
        <f>Orders!C880</f>
        <v/>
      </c>
      <c r="D880" s="55">
        <f>Orders!D880</f>
        <v/>
      </c>
      <c r="E880" s="55">
        <f>Orders!E880</f>
        <v/>
      </c>
      <c r="F880" s="55">
        <f>Orders!F880</f>
        <v/>
      </c>
      <c r="G880" s="55">
        <f>Orders!G880</f>
        <v/>
      </c>
      <c r="H880" s="55">
        <f>Orders!H880</f>
        <v/>
      </c>
      <c r="I880" s="55">
        <f>Orders!I880</f>
        <v/>
      </c>
      <c r="J880" s="55">
        <f>Orders!J880</f>
        <v/>
      </c>
      <c r="K880" s="55">
        <f>Orders!K880</f>
        <v/>
      </c>
      <c r="L880" s="55">
        <f>VLOOKUP(D880,Products!$A$2:$F$61,3,FALSE())</f>
        <v/>
      </c>
      <c r="M880" s="55">
        <f>VLOOKUP(C880,Customers!$A$2:$F$301,5,FALSE())</f>
        <v/>
      </c>
      <c r="N880" s="55">
        <f>VLOOKUP(E880,Sales_Reps!$A$2:$E$31,3,FALSE())</f>
        <v/>
      </c>
      <c r="O880" s="55">
        <f>VLOOKUP(D880,Products!$A$2:$F$61,4,FALSE())</f>
        <v/>
      </c>
      <c r="P880" s="55">
        <f>VLOOKUP(C880,Customers!$A$2:$F$301,3,FALSE())</f>
        <v/>
      </c>
      <c r="Q880" s="55">
        <f>UPPER(TRIM(K880))</f>
        <v/>
      </c>
      <c r="R880" s="55">
        <f>(G880-O880)/G880</f>
        <v/>
      </c>
      <c r="S880" s="55">
        <f>VLOOKUP(D880,Products!$A$2:$F$61,6,FALSE())</f>
        <v/>
      </c>
    </row>
    <row r="881" ht="15" customHeight="1" s="56">
      <c r="A881" s="55">
        <f>Orders!A881</f>
        <v/>
      </c>
      <c r="B881" s="103">
        <f>Orders!B881</f>
        <v/>
      </c>
      <c r="C881" s="55">
        <f>Orders!C881</f>
        <v/>
      </c>
      <c r="D881" s="55">
        <f>Orders!D881</f>
        <v/>
      </c>
      <c r="E881" s="55">
        <f>Orders!E881</f>
        <v/>
      </c>
      <c r="F881" s="55">
        <f>Orders!F881</f>
        <v/>
      </c>
      <c r="G881" s="55">
        <f>Orders!G881</f>
        <v/>
      </c>
      <c r="H881" s="55">
        <f>Orders!H881</f>
        <v/>
      </c>
      <c r="I881" s="55">
        <f>Orders!I881</f>
        <v/>
      </c>
      <c r="J881" s="55">
        <f>Orders!J881</f>
        <v/>
      </c>
      <c r="K881" s="55">
        <f>Orders!K881</f>
        <v/>
      </c>
      <c r="L881" s="55">
        <f>VLOOKUP(D881,Products!$A$2:$F$61,3,FALSE())</f>
        <v/>
      </c>
      <c r="M881" s="55">
        <f>VLOOKUP(C881,Customers!$A$2:$F$301,5,FALSE())</f>
        <v/>
      </c>
      <c r="N881" s="55">
        <f>VLOOKUP(E881,Sales_Reps!$A$2:$E$31,3,FALSE())</f>
        <v/>
      </c>
      <c r="O881" s="55">
        <f>VLOOKUP(D881,Products!$A$2:$F$61,4,FALSE())</f>
        <v/>
      </c>
      <c r="P881" s="55">
        <f>VLOOKUP(C881,Customers!$A$2:$F$301,3,FALSE())</f>
        <v/>
      </c>
      <c r="Q881" s="55">
        <f>UPPER(TRIM(K881))</f>
        <v/>
      </c>
      <c r="R881" s="55">
        <f>(G881-O881)/G881</f>
        <v/>
      </c>
      <c r="S881" s="55">
        <f>VLOOKUP(D881,Products!$A$2:$F$61,6,FALSE())</f>
        <v/>
      </c>
    </row>
    <row r="882" ht="15" customHeight="1" s="56">
      <c r="A882" s="55">
        <f>Orders!A882</f>
        <v/>
      </c>
      <c r="B882" s="103">
        <f>Orders!B882</f>
        <v/>
      </c>
      <c r="C882" s="55">
        <f>Orders!C882</f>
        <v/>
      </c>
      <c r="D882" s="55">
        <f>Orders!D882</f>
        <v/>
      </c>
      <c r="E882" s="55">
        <f>Orders!E882</f>
        <v/>
      </c>
      <c r="F882" s="55">
        <f>Orders!F882</f>
        <v/>
      </c>
      <c r="G882" s="55">
        <f>Orders!G882</f>
        <v/>
      </c>
      <c r="H882" s="55">
        <f>Orders!H882</f>
        <v/>
      </c>
      <c r="I882" s="55">
        <f>Orders!I882</f>
        <v/>
      </c>
      <c r="J882" s="55">
        <f>Orders!J882</f>
        <v/>
      </c>
      <c r="K882" s="55">
        <f>Orders!K882</f>
        <v/>
      </c>
      <c r="L882" s="55">
        <f>VLOOKUP(D882,Products!$A$2:$F$61,3,FALSE())</f>
        <v/>
      </c>
      <c r="M882" s="55">
        <f>VLOOKUP(C882,Customers!$A$2:$F$301,5,FALSE())</f>
        <v/>
      </c>
      <c r="N882" s="55">
        <f>VLOOKUP(E882,Sales_Reps!$A$2:$E$31,3,FALSE())</f>
        <v/>
      </c>
      <c r="O882" s="55">
        <f>VLOOKUP(D882,Products!$A$2:$F$61,4,FALSE())</f>
        <v/>
      </c>
      <c r="P882" s="55">
        <f>VLOOKUP(C882,Customers!$A$2:$F$301,3,FALSE())</f>
        <v/>
      </c>
      <c r="Q882" s="55">
        <f>UPPER(TRIM(K882))</f>
        <v/>
      </c>
      <c r="R882" s="55">
        <f>(G882-O882)/G882</f>
        <v/>
      </c>
      <c r="S882" s="55">
        <f>VLOOKUP(D882,Products!$A$2:$F$61,6,FALSE())</f>
        <v/>
      </c>
    </row>
    <row r="883" ht="15" customHeight="1" s="56">
      <c r="A883" s="55">
        <f>Orders!A883</f>
        <v/>
      </c>
      <c r="B883" s="103">
        <f>Orders!B883</f>
        <v/>
      </c>
      <c r="C883" s="55">
        <f>Orders!C883</f>
        <v/>
      </c>
      <c r="D883" s="55">
        <f>Orders!D883</f>
        <v/>
      </c>
      <c r="E883" s="55">
        <f>Orders!E883</f>
        <v/>
      </c>
      <c r="F883" s="55">
        <f>Orders!F883</f>
        <v/>
      </c>
      <c r="G883" s="55">
        <f>Orders!G883</f>
        <v/>
      </c>
      <c r="H883" s="55">
        <f>Orders!H883</f>
        <v/>
      </c>
      <c r="I883" s="55">
        <f>Orders!I883</f>
        <v/>
      </c>
      <c r="J883" s="55">
        <f>Orders!J883</f>
        <v/>
      </c>
      <c r="K883" s="55">
        <f>Orders!K883</f>
        <v/>
      </c>
      <c r="L883" s="55">
        <f>VLOOKUP(D883,Products!$A$2:$F$61,3,FALSE())</f>
        <v/>
      </c>
      <c r="M883" s="55">
        <f>VLOOKUP(C883,Customers!$A$2:$F$301,5,FALSE())</f>
        <v/>
      </c>
      <c r="N883" s="55">
        <f>VLOOKUP(E883,Sales_Reps!$A$2:$E$31,3,FALSE())</f>
        <v/>
      </c>
      <c r="O883" s="55">
        <f>VLOOKUP(D883,Products!$A$2:$F$61,4,FALSE())</f>
        <v/>
      </c>
      <c r="P883" s="55">
        <f>VLOOKUP(C883,Customers!$A$2:$F$301,3,FALSE())</f>
        <v/>
      </c>
      <c r="Q883" s="55">
        <f>UPPER(TRIM(K883))</f>
        <v/>
      </c>
      <c r="R883" s="55">
        <f>(G883-O883)/G883</f>
        <v/>
      </c>
      <c r="S883" s="55">
        <f>VLOOKUP(D883,Products!$A$2:$F$61,6,FALSE())</f>
        <v/>
      </c>
    </row>
    <row r="884" ht="15" customHeight="1" s="56">
      <c r="A884" s="55">
        <f>Orders!A884</f>
        <v/>
      </c>
      <c r="B884" s="103">
        <f>Orders!B884</f>
        <v/>
      </c>
      <c r="C884" s="55">
        <f>Orders!C884</f>
        <v/>
      </c>
      <c r="D884" s="55">
        <f>Orders!D884</f>
        <v/>
      </c>
      <c r="E884" s="55">
        <f>Orders!E884</f>
        <v/>
      </c>
      <c r="F884" s="55">
        <f>Orders!F884</f>
        <v/>
      </c>
      <c r="G884" s="55">
        <f>Orders!G884</f>
        <v/>
      </c>
      <c r="H884" s="55">
        <f>Orders!H884</f>
        <v/>
      </c>
      <c r="I884" s="55">
        <f>Orders!I884</f>
        <v/>
      </c>
      <c r="J884" s="55">
        <f>Orders!J884</f>
        <v/>
      </c>
      <c r="K884" s="55">
        <f>Orders!K884</f>
        <v/>
      </c>
      <c r="L884" s="55">
        <f>VLOOKUP(D884,Products!$A$2:$F$61,3,FALSE())</f>
        <v/>
      </c>
      <c r="M884" s="55">
        <f>VLOOKUP(C884,Customers!$A$2:$F$301,5,FALSE())</f>
        <v/>
      </c>
      <c r="N884" s="55">
        <f>VLOOKUP(E884,Sales_Reps!$A$2:$E$31,3,FALSE())</f>
        <v/>
      </c>
      <c r="O884" s="55">
        <f>VLOOKUP(D884,Products!$A$2:$F$61,4,FALSE())</f>
        <v/>
      </c>
      <c r="P884" s="55">
        <f>VLOOKUP(C884,Customers!$A$2:$F$301,3,FALSE())</f>
        <v/>
      </c>
      <c r="Q884" s="55">
        <f>UPPER(TRIM(K884))</f>
        <v/>
      </c>
      <c r="R884" s="55">
        <f>(G884-O884)/G884</f>
        <v/>
      </c>
      <c r="S884" s="55">
        <f>VLOOKUP(D884,Products!$A$2:$F$61,6,FALSE())</f>
        <v/>
      </c>
    </row>
    <row r="885" ht="15" customHeight="1" s="56">
      <c r="A885" s="55">
        <f>Orders!A885</f>
        <v/>
      </c>
      <c r="B885" s="103">
        <f>Orders!B885</f>
        <v/>
      </c>
      <c r="C885" s="55">
        <f>Orders!C885</f>
        <v/>
      </c>
      <c r="D885" s="55">
        <f>Orders!D885</f>
        <v/>
      </c>
      <c r="E885" s="55">
        <f>Orders!E885</f>
        <v/>
      </c>
      <c r="F885" s="55">
        <f>Orders!F885</f>
        <v/>
      </c>
      <c r="G885" s="55">
        <f>Orders!G885</f>
        <v/>
      </c>
      <c r="H885" s="55">
        <f>Orders!H885</f>
        <v/>
      </c>
      <c r="I885" s="55">
        <f>Orders!I885</f>
        <v/>
      </c>
      <c r="J885" s="55">
        <f>Orders!J885</f>
        <v/>
      </c>
      <c r="K885" s="55">
        <f>Orders!K885</f>
        <v/>
      </c>
      <c r="L885" s="55">
        <f>VLOOKUP(D885,Products!$A$2:$F$61,3,FALSE())</f>
        <v/>
      </c>
      <c r="M885" s="55">
        <f>VLOOKUP(C885,Customers!$A$2:$F$301,5,FALSE())</f>
        <v/>
      </c>
      <c r="N885" s="55">
        <f>VLOOKUP(E885,Sales_Reps!$A$2:$E$31,3,FALSE())</f>
        <v/>
      </c>
      <c r="O885" s="55">
        <f>VLOOKUP(D885,Products!$A$2:$F$61,4,FALSE())</f>
        <v/>
      </c>
      <c r="P885" s="55">
        <f>VLOOKUP(C885,Customers!$A$2:$F$301,3,FALSE())</f>
        <v/>
      </c>
      <c r="Q885" s="55">
        <f>UPPER(TRIM(K885))</f>
        <v/>
      </c>
      <c r="R885" s="55">
        <f>(G885-O885)/G885</f>
        <v/>
      </c>
      <c r="S885" s="55">
        <f>VLOOKUP(D885,Products!$A$2:$F$61,6,FALSE())</f>
        <v/>
      </c>
    </row>
    <row r="886" ht="15" customHeight="1" s="56">
      <c r="A886" s="55">
        <f>Orders!A886</f>
        <v/>
      </c>
      <c r="B886" s="103">
        <f>Orders!B886</f>
        <v/>
      </c>
      <c r="C886" s="55">
        <f>Orders!C886</f>
        <v/>
      </c>
      <c r="D886" s="55">
        <f>Orders!D886</f>
        <v/>
      </c>
      <c r="E886" s="55">
        <f>Orders!E886</f>
        <v/>
      </c>
      <c r="F886" s="55">
        <f>Orders!F886</f>
        <v/>
      </c>
      <c r="G886" s="55">
        <f>Orders!G886</f>
        <v/>
      </c>
      <c r="H886" s="55">
        <f>Orders!H886</f>
        <v/>
      </c>
      <c r="I886" s="55">
        <f>Orders!I886</f>
        <v/>
      </c>
      <c r="J886" s="55">
        <f>Orders!J886</f>
        <v/>
      </c>
      <c r="K886" s="55">
        <f>Orders!K886</f>
        <v/>
      </c>
      <c r="L886" s="55">
        <f>VLOOKUP(D886,Products!$A$2:$F$61,3,FALSE())</f>
        <v/>
      </c>
      <c r="M886" s="55">
        <f>VLOOKUP(C886,Customers!$A$2:$F$301,5,FALSE())</f>
        <v/>
      </c>
      <c r="N886" s="55">
        <f>VLOOKUP(E886,Sales_Reps!$A$2:$E$31,3,FALSE())</f>
        <v/>
      </c>
      <c r="O886" s="55">
        <f>VLOOKUP(D886,Products!$A$2:$F$61,4,FALSE())</f>
        <v/>
      </c>
      <c r="P886" s="55">
        <f>VLOOKUP(C886,Customers!$A$2:$F$301,3,FALSE())</f>
        <v/>
      </c>
      <c r="Q886" s="55">
        <f>UPPER(TRIM(K886))</f>
        <v/>
      </c>
      <c r="R886" s="55">
        <f>(G886-O886)/G886</f>
        <v/>
      </c>
      <c r="S886" s="55">
        <f>VLOOKUP(D886,Products!$A$2:$F$61,6,FALSE())</f>
        <v/>
      </c>
    </row>
    <row r="887" ht="15" customHeight="1" s="56">
      <c r="A887" s="55">
        <f>Orders!A887</f>
        <v/>
      </c>
      <c r="B887" s="103">
        <f>Orders!B887</f>
        <v/>
      </c>
      <c r="C887" s="55">
        <f>Orders!C887</f>
        <v/>
      </c>
      <c r="D887" s="55">
        <f>Orders!D887</f>
        <v/>
      </c>
      <c r="E887" s="55">
        <f>Orders!E887</f>
        <v/>
      </c>
      <c r="F887" s="55">
        <f>Orders!F887</f>
        <v/>
      </c>
      <c r="G887" s="55">
        <f>Orders!G887</f>
        <v/>
      </c>
      <c r="H887" s="55">
        <f>Orders!H887</f>
        <v/>
      </c>
      <c r="I887" s="55">
        <f>Orders!I887</f>
        <v/>
      </c>
      <c r="J887" s="55">
        <f>Orders!J887</f>
        <v/>
      </c>
      <c r="K887" s="55">
        <f>Orders!K887</f>
        <v/>
      </c>
      <c r="L887" s="55">
        <f>VLOOKUP(D887,Products!$A$2:$F$61,3,FALSE())</f>
        <v/>
      </c>
      <c r="M887" s="55">
        <f>VLOOKUP(C887,Customers!$A$2:$F$301,5,FALSE())</f>
        <v/>
      </c>
      <c r="N887" s="55">
        <f>VLOOKUP(E887,Sales_Reps!$A$2:$E$31,3,FALSE())</f>
        <v/>
      </c>
      <c r="O887" s="55">
        <f>VLOOKUP(D887,Products!$A$2:$F$61,4,FALSE())</f>
        <v/>
      </c>
      <c r="P887" s="55">
        <f>VLOOKUP(C887,Customers!$A$2:$F$301,3,FALSE())</f>
        <v/>
      </c>
      <c r="Q887" s="55">
        <f>UPPER(TRIM(K887))</f>
        <v/>
      </c>
      <c r="R887" s="55">
        <f>(G887-O887)/G887</f>
        <v/>
      </c>
      <c r="S887" s="55">
        <f>VLOOKUP(D887,Products!$A$2:$F$61,6,FALSE())</f>
        <v/>
      </c>
    </row>
    <row r="888" ht="15" customHeight="1" s="56">
      <c r="A888" s="55">
        <f>Orders!A888</f>
        <v/>
      </c>
      <c r="B888" s="103">
        <f>Orders!B888</f>
        <v/>
      </c>
      <c r="C888" s="55">
        <f>Orders!C888</f>
        <v/>
      </c>
      <c r="D888" s="55">
        <f>Orders!D888</f>
        <v/>
      </c>
      <c r="E888" s="55">
        <f>Orders!E888</f>
        <v/>
      </c>
      <c r="F888" s="55">
        <f>Orders!F888</f>
        <v/>
      </c>
      <c r="G888" s="55">
        <f>Orders!G888</f>
        <v/>
      </c>
      <c r="H888" s="55">
        <f>Orders!H888</f>
        <v/>
      </c>
      <c r="I888" s="55">
        <f>Orders!I888</f>
        <v/>
      </c>
      <c r="J888" s="55">
        <f>Orders!J888</f>
        <v/>
      </c>
      <c r="K888" s="55">
        <f>Orders!K888</f>
        <v/>
      </c>
      <c r="L888" s="55">
        <f>VLOOKUP(D888,Products!$A$2:$F$61,3,FALSE())</f>
        <v/>
      </c>
      <c r="M888" s="55">
        <f>VLOOKUP(C888,Customers!$A$2:$F$301,5,FALSE())</f>
        <v/>
      </c>
      <c r="N888" s="55">
        <f>VLOOKUP(E888,Sales_Reps!$A$2:$E$31,3,FALSE())</f>
        <v/>
      </c>
      <c r="O888" s="55">
        <f>VLOOKUP(D888,Products!$A$2:$F$61,4,FALSE())</f>
        <v/>
      </c>
      <c r="P888" s="55">
        <f>VLOOKUP(C888,Customers!$A$2:$F$301,3,FALSE())</f>
        <v/>
      </c>
      <c r="Q888" s="55">
        <f>UPPER(TRIM(K888))</f>
        <v/>
      </c>
      <c r="R888" s="55">
        <f>(G888-O888)/G888</f>
        <v/>
      </c>
      <c r="S888" s="55">
        <f>VLOOKUP(D888,Products!$A$2:$F$61,6,FALSE())</f>
        <v/>
      </c>
    </row>
    <row r="889" ht="15" customHeight="1" s="56">
      <c r="A889" s="55">
        <f>Orders!A889</f>
        <v/>
      </c>
      <c r="B889" s="103">
        <f>Orders!B889</f>
        <v/>
      </c>
      <c r="C889" s="55">
        <f>Orders!C889</f>
        <v/>
      </c>
      <c r="D889" s="55">
        <f>Orders!D889</f>
        <v/>
      </c>
      <c r="E889" s="55">
        <f>Orders!E889</f>
        <v/>
      </c>
      <c r="F889" s="55">
        <f>Orders!F889</f>
        <v/>
      </c>
      <c r="G889" s="55">
        <f>Orders!G889</f>
        <v/>
      </c>
      <c r="H889" s="55">
        <f>Orders!H889</f>
        <v/>
      </c>
      <c r="I889" s="55">
        <f>Orders!I889</f>
        <v/>
      </c>
      <c r="J889" s="55">
        <f>Orders!J889</f>
        <v/>
      </c>
      <c r="K889" s="55">
        <f>Orders!K889</f>
        <v/>
      </c>
      <c r="L889" s="55">
        <f>VLOOKUP(D889,Products!$A$2:$F$61,3,FALSE())</f>
        <v/>
      </c>
      <c r="M889" s="55">
        <f>VLOOKUP(C889,Customers!$A$2:$F$301,5,FALSE())</f>
        <v/>
      </c>
      <c r="N889" s="55">
        <f>VLOOKUP(E889,Sales_Reps!$A$2:$E$31,3,FALSE())</f>
        <v/>
      </c>
      <c r="O889" s="55">
        <f>VLOOKUP(D889,Products!$A$2:$F$61,4,FALSE())</f>
        <v/>
      </c>
      <c r="P889" s="55">
        <f>VLOOKUP(C889,Customers!$A$2:$F$301,3,FALSE())</f>
        <v/>
      </c>
      <c r="Q889" s="55">
        <f>UPPER(TRIM(K889))</f>
        <v/>
      </c>
      <c r="R889" s="55">
        <f>(G889-O889)/G889</f>
        <v/>
      </c>
      <c r="S889" s="55">
        <f>VLOOKUP(D889,Products!$A$2:$F$61,6,FALSE())</f>
        <v/>
      </c>
    </row>
    <row r="890" ht="15" customHeight="1" s="56">
      <c r="A890" s="55">
        <f>Orders!A890</f>
        <v/>
      </c>
      <c r="B890" s="103">
        <f>Orders!B890</f>
        <v/>
      </c>
      <c r="C890" s="55">
        <f>Orders!C890</f>
        <v/>
      </c>
      <c r="D890" s="55">
        <f>Orders!D890</f>
        <v/>
      </c>
      <c r="E890" s="55">
        <f>Orders!E890</f>
        <v/>
      </c>
      <c r="F890" s="55">
        <f>Orders!F890</f>
        <v/>
      </c>
      <c r="G890" s="55">
        <f>Orders!G890</f>
        <v/>
      </c>
      <c r="H890" s="55">
        <f>Orders!H890</f>
        <v/>
      </c>
      <c r="I890" s="55">
        <f>Orders!I890</f>
        <v/>
      </c>
      <c r="J890" s="55">
        <f>Orders!J890</f>
        <v/>
      </c>
      <c r="K890" s="55">
        <f>Orders!K890</f>
        <v/>
      </c>
      <c r="L890" s="55">
        <f>VLOOKUP(D890,Products!$A$2:$F$61,3,FALSE())</f>
        <v/>
      </c>
      <c r="M890" s="55">
        <f>VLOOKUP(C890,Customers!$A$2:$F$301,5,FALSE())</f>
        <v/>
      </c>
      <c r="N890" s="55">
        <f>VLOOKUP(E890,Sales_Reps!$A$2:$E$31,3,FALSE())</f>
        <v/>
      </c>
      <c r="O890" s="55">
        <f>VLOOKUP(D890,Products!$A$2:$F$61,4,FALSE())</f>
        <v/>
      </c>
      <c r="P890" s="55">
        <f>VLOOKUP(C890,Customers!$A$2:$F$301,3,FALSE())</f>
        <v/>
      </c>
      <c r="Q890" s="55">
        <f>UPPER(TRIM(K890))</f>
        <v/>
      </c>
      <c r="R890" s="55">
        <f>(G890-O890)/G890</f>
        <v/>
      </c>
      <c r="S890" s="55">
        <f>VLOOKUP(D890,Products!$A$2:$F$61,6,FALSE())</f>
        <v/>
      </c>
    </row>
    <row r="891" ht="15" customHeight="1" s="56">
      <c r="A891" s="55">
        <f>Orders!A891</f>
        <v/>
      </c>
      <c r="B891" s="103">
        <f>Orders!B891</f>
        <v/>
      </c>
      <c r="C891" s="55">
        <f>Orders!C891</f>
        <v/>
      </c>
      <c r="D891" s="55">
        <f>Orders!D891</f>
        <v/>
      </c>
      <c r="E891" s="55">
        <f>Orders!E891</f>
        <v/>
      </c>
      <c r="F891" s="55">
        <f>Orders!F891</f>
        <v/>
      </c>
      <c r="G891" s="55">
        <f>Orders!G891</f>
        <v/>
      </c>
      <c r="H891" s="55">
        <f>Orders!H891</f>
        <v/>
      </c>
      <c r="I891" s="55">
        <f>Orders!I891</f>
        <v/>
      </c>
      <c r="J891" s="55">
        <f>Orders!J891</f>
        <v/>
      </c>
      <c r="K891" s="55">
        <f>Orders!K891</f>
        <v/>
      </c>
      <c r="L891" s="55">
        <f>VLOOKUP(D891,Products!$A$2:$F$61,3,FALSE())</f>
        <v/>
      </c>
      <c r="M891" s="55">
        <f>VLOOKUP(C891,Customers!$A$2:$F$301,5,FALSE())</f>
        <v/>
      </c>
      <c r="N891" s="55">
        <f>VLOOKUP(E891,Sales_Reps!$A$2:$E$31,3,FALSE())</f>
        <v/>
      </c>
      <c r="O891" s="55">
        <f>VLOOKUP(D891,Products!$A$2:$F$61,4,FALSE())</f>
        <v/>
      </c>
      <c r="P891" s="55">
        <f>VLOOKUP(C891,Customers!$A$2:$F$301,3,FALSE())</f>
        <v/>
      </c>
      <c r="Q891" s="55">
        <f>UPPER(TRIM(K891))</f>
        <v/>
      </c>
      <c r="R891" s="55">
        <f>(G891-O891)/G891</f>
        <v/>
      </c>
      <c r="S891" s="55">
        <f>VLOOKUP(D891,Products!$A$2:$F$61,6,FALSE())</f>
        <v/>
      </c>
    </row>
    <row r="892" ht="15" customHeight="1" s="56">
      <c r="A892" s="55">
        <f>Orders!A892</f>
        <v/>
      </c>
      <c r="B892" s="103">
        <f>Orders!B892</f>
        <v/>
      </c>
      <c r="C892" s="55">
        <f>Orders!C892</f>
        <v/>
      </c>
      <c r="D892" s="55">
        <f>Orders!D892</f>
        <v/>
      </c>
      <c r="E892" s="55">
        <f>Orders!E892</f>
        <v/>
      </c>
      <c r="F892" s="55">
        <f>Orders!F892</f>
        <v/>
      </c>
      <c r="G892" s="55">
        <f>Orders!G892</f>
        <v/>
      </c>
      <c r="H892" s="55">
        <f>Orders!H892</f>
        <v/>
      </c>
      <c r="I892" s="55">
        <f>Orders!I892</f>
        <v/>
      </c>
      <c r="J892" s="55">
        <f>Orders!J892</f>
        <v/>
      </c>
      <c r="K892" s="55">
        <f>Orders!K892</f>
        <v/>
      </c>
      <c r="L892" s="55">
        <f>VLOOKUP(D892,Products!$A$2:$F$61,3,FALSE())</f>
        <v/>
      </c>
      <c r="M892" s="55">
        <f>VLOOKUP(C892,Customers!$A$2:$F$301,5,FALSE())</f>
        <v/>
      </c>
      <c r="N892" s="55">
        <f>VLOOKUP(E892,Sales_Reps!$A$2:$E$31,3,FALSE())</f>
        <v/>
      </c>
      <c r="O892" s="55">
        <f>VLOOKUP(D892,Products!$A$2:$F$61,4,FALSE())</f>
        <v/>
      </c>
      <c r="P892" s="55">
        <f>VLOOKUP(C892,Customers!$A$2:$F$301,3,FALSE())</f>
        <v/>
      </c>
      <c r="Q892" s="55">
        <f>UPPER(TRIM(K892))</f>
        <v/>
      </c>
      <c r="R892" s="55">
        <f>(G892-O892)/G892</f>
        <v/>
      </c>
      <c r="S892" s="55">
        <f>VLOOKUP(D892,Products!$A$2:$F$61,6,FALSE())</f>
        <v/>
      </c>
    </row>
    <row r="893" ht="15" customHeight="1" s="56">
      <c r="A893" s="55">
        <f>Orders!A893</f>
        <v/>
      </c>
      <c r="B893" s="103">
        <f>Orders!B893</f>
        <v/>
      </c>
      <c r="C893" s="55">
        <f>Orders!C893</f>
        <v/>
      </c>
      <c r="D893" s="55">
        <f>Orders!D893</f>
        <v/>
      </c>
      <c r="E893" s="55">
        <f>Orders!E893</f>
        <v/>
      </c>
      <c r="F893" s="55">
        <f>Orders!F893</f>
        <v/>
      </c>
      <c r="G893" s="55">
        <f>Orders!G893</f>
        <v/>
      </c>
      <c r="H893" s="55">
        <f>Orders!H893</f>
        <v/>
      </c>
      <c r="I893" s="55">
        <f>Orders!I893</f>
        <v/>
      </c>
      <c r="J893" s="55">
        <f>Orders!J893</f>
        <v/>
      </c>
      <c r="K893" s="55">
        <f>Orders!K893</f>
        <v/>
      </c>
      <c r="L893" s="55">
        <f>VLOOKUP(D893,Products!$A$2:$F$61,3,FALSE())</f>
        <v/>
      </c>
      <c r="M893" s="55">
        <f>VLOOKUP(C893,Customers!$A$2:$F$301,5,FALSE())</f>
        <v/>
      </c>
      <c r="N893" s="55">
        <f>VLOOKUP(E893,Sales_Reps!$A$2:$E$31,3,FALSE())</f>
        <v/>
      </c>
      <c r="O893" s="55">
        <f>VLOOKUP(D893,Products!$A$2:$F$61,4,FALSE())</f>
        <v/>
      </c>
      <c r="P893" s="55">
        <f>VLOOKUP(C893,Customers!$A$2:$F$301,3,FALSE())</f>
        <v/>
      </c>
      <c r="Q893" s="55">
        <f>UPPER(TRIM(K893))</f>
        <v/>
      </c>
      <c r="R893" s="55">
        <f>(G893-O893)/G893</f>
        <v/>
      </c>
      <c r="S893" s="55">
        <f>VLOOKUP(D893,Products!$A$2:$F$61,6,FALSE())</f>
        <v/>
      </c>
    </row>
    <row r="894" ht="15" customHeight="1" s="56">
      <c r="A894" s="55">
        <f>Orders!A894</f>
        <v/>
      </c>
      <c r="B894" s="103">
        <f>Orders!B894</f>
        <v/>
      </c>
      <c r="C894" s="55">
        <f>Orders!C894</f>
        <v/>
      </c>
      <c r="D894" s="55">
        <f>Orders!D894</f>
        <v/>
      </c>
      <c r="E894" s="55">
        <f>Orders!E894</f>
        <v/>
      </c>
      <c r="F894" s="55">
        <f>Orders!F894</f>
        <v/>
      </c>
      <c r="G894" s="55">
        <f>Orders!G894</f>
        <v/>
      </c>
      <c r="H894" s="55">
        <f>Orders!H894</f>
        <v/>
      </c>
      <c r="I894" s="55">
        <f>Orders!I894</f>
        <v/>
      </c>
      <c r="J894" s="55">
        <f>Orders!J894</f>
        <v/>
      </c>
      <c r="K894" s="55">
        <f>Orders!K894</f>
        <v/>
      </c>
      <c r="L894" s="55">
        <f>VLOOKUP(D894,Products!$A$2:$F$61,3,FALSE())</f>
        <v/>
      </c>
      <c r="M894" s="55">
        <f>VLOOKUP(C894,Customers!$A$2:$F$301,5,FALSE())</f>
        <v/>
      </c>
      <c r="N894" s="55">
        <f>VLOOKUP(E894,Sales_Reps!$A$2:$E$31,3,FALSE())</f>
        <v/>
      </c>
      <c r="O894" s="55">
        <f>VLOOKUP(D894,Products!$A$2:$F$61,4,FALSE())</f>
        <v/>
      </c>
      <c r="P894" s="55">
        <f>VLOOKUP(C894,Customers!$A$2:$F$301,3,FALSE())</f>
        <v/>
      </c>
      <c r="Q894" s="55">
        <f>UPPER(TRIM(K894))</f>
        <v/>
      </c>
      <c r="R894" s="55">
        <f>(G894-O894)/G894</f>
        <v/>
      </c>
      <c r="S894" s="55">
        <f>VLOOKUP(D894,Products!$A$2:$F$61,6,FALSE())</f>
        <v/>
      </c>
    </row>
    <row r="895" ht="15" customHeight="1" s="56">
      <c r="A895" s="55">
        <f>Orders!A895</f>
        <v/>
      </c>
      <c r="B895" s="103">
        <f>Orders!B895</f>
        <v/>
      </c>
      <c r="C895" s="55">
        <f>Orders!C895</f>
        <v/>
      </c>
      <c r="D895" s="55">
        <f>Orders!D895</f>
        <v/>
      </c>
      <c r="E895" s="55">
        <f>Orders!E895</f>
        <v/>
      </c>
      <c r="F895" s="55">
        <f>Orders!F895</f>
        <v/>
      </c>
      <c r="G895" s="55">
        <f>Orders!G895</f>
        <v/>
      </c>
      <c r="H895" s="55">
        <f>Orders!H895</f>
        <v/>
      </c>
      <c r="I895" s="55">
        <f>Orders!I895</f>
        <v/>
      </c>
      <c r="J895" s="55">
        <f>Orders!J895</f>
        <v/>
      </c>
      <c r="K895" s="55">
        <f>Orders!K895</f>
        <v/>
      </c>
      <c r="L895" s="55">
        <f>VLOOKUP(D895,Products!$A$2:$F$61,3,FALSE())</f>
        <v/>
      </c>
      <c r="M895" s="55">
        <f>VLOOKUP(C895,Customers!$A$2:$F$301,5,FALSE())</f>
        <v/>
      </c>
      <c r="N895" s="55">
        <f>VLOOKUP(E895,Sales_Reps!$A$2:$E$31,3,FALSE())</f>
        <v/>
      </c>
      <c r="O895" s="55">
        <f>VLOOKUP(D895,Products!$A$2:$F$61,4,FALSE())</f>
        <v/>
      </c>
      <c r="P895" s="55">
        <f>VLOOKUP(C895,Customers!$A$2:$F$301,3,FALSE())</f>
        <v/>
      </c>
      <c r="Q895" s="55">
        <f>UPPER(TRIM(K895))</f>
        <v/>
      </c>
      <c r="R895" s="55">
        <f>(G895-O895)/G895</f>
        <v/>
      </c>
      <c r="S895" s="55">
        <f>VLOOKUP(D895,Products!$A$2:$F$61,6,FALSE())</f>
        <v/>
      </c>
    </row>
    <row r="896" ht="15" customHeight="1" s="56">
      <c r="A896" s="55">
        <f>Orders!A896</f>
        <v/>
      </c>
      <c r="B896" s="103">
        <f>Orders!B896</f>
        <v/>
      </c>
      <c r="C896" s="55">
        <f>Orders!C896</f>
        <v/>
      </c>
      <c r="D896" s="55">
        <f>Orders!D896</f>
        <v/>
      </c>
      <c r="E896" s="55">
        <f>Orders!E896</f>
        <v/>
      </c>
      <c r="F896" s="55">
        <f>Orders!F896</f>
        <v/>
      </c>
      <c r="G896" s="55">
        <f>Orders!G896</f>
        <v/>
      </c>
      <c r="H896" s="55">
        <f>Orders!H896</f>
        <v/>
      </c>
      <c r="I896" s="55">
        <f>Orders!I896</f>
        <v/>
      </c>
      <c r="J896" s="55">
        <f>Orders!J896</f>
        <v/>
      </c>
      <c r="K896" s="55">
        <f>Orders!K896</f>
        <v/>
      </c>
      <c r="L896" s="55">
        <f>VLOOKUP(D896,Products!$A$2:$F$61,3,FALSE())</f>
        <v/>
      </c>
      <c r="M896" s="55">
        <f>VLOOKUP(C896,Customers!$A$2:$F$301,5,FALSE())</f>
        <v/>
      </c>
      <c r="N896" s="55">
        <f>VLOOKUP(E896,Sales_Reps!$A$2:$E$31,3,FALSE())</f>
        <v/>
      </c>
      <c r="O896" s="55">
        <f>VLOOKUP(D896,Products!$A$2:$F$61,4,FALSE())</f>
        <v/>
      </c>
      <c r="P896" s="55">
        <f>VLOOKUP(C896,Customers!$A$2:$F$301,3,FALSE())</f>
        <v/>
      </c>
      <c r="Q896" s="55">
        <f>UPPER(TRIM(K896))</f>
        <v/>
      </c>
      <c r="R896" s="55">
        <f>(G896-O896)/G896</f>
        <v/>
      </c>
      <c r="S896" s="55">
        <f>VLOOKUP(D896,Products!$A$2:$F$61,6,FALSE())</f>
        <v/>
      </c>
    </row>
    <row r="897" ht="15" customHeight="1" s="56">
      <c r="A897" s="55">
        <f>Orders!A897</f>
        <v/>
      </c>
      <c r="B897" s="103">
        <f>Orders!B897</f>
        <v/>
      </c>
      <c r="C897" s="55">
        <f>Orders!C897</f>
        <v/>
      </c>
      <c r="D897" s="55">
        <f>Orders!D897</f>
        <v/>
      </c>
      <c r="E897" s="55">
        <f>Orders!E897</f>
        <v/>
      </c>
      <c r="F897" s="55">
        <f>Orders!F897</f>
        <v/>
      </c>
      <c r="G897" s="55">
        <f>Orders!G897</f>
        <v/>
      </c>
      <c r="H897" s="55">
        <f>Orders!H897</f>
        <v/>
      </c>
      <c r="I897" s="55">
        <f>Orders!I897</f>
        <v/>
      </c>
      <c r="J897" s="55">
        <f>Orders!J897</f>
        <v/>
      </c>
      <c r="K897" s="55">
        <f>Orders!K897</f>
        <v/>
      </c>
      <c r="L897" s="55">
        <f>VLOOKUP(D897,Products!$A$2:$F$61,3,FALSE())</f>
        <v/>
      </c>
      <c r="M897" s="55">
        <f>VLOOKUP(C897,Customers!$A$2:$F$301,5,FALSE())</f>
        <v/>
      </c>
      <c r="N897" s="55">
        <f>VLOOKUP(E897,Sales_Reps!$A$2:$E$31,3,FALSE())</f>
        <v/>
      </c>
      <c r="O897" s="55">
        <f>VLOOKUP(D897,Products!$A$2:$F$61,4,FALSE())</f>
        <v/>
      </c>
      <c r="P897" s="55">
        <f>VLOOKUP(C897,Customers!$A$2:$F$301,3,FALSE())</f>
        <v/>
      </c>
      <c r="Q897" s="55">
        <f>UPPER(TRIM(K897))</f>
        <v/>
      </c>
      <c r="R897" s="55">
        <f>(G897-O897)/G897</f>
        <v/>
      </c>
      <c r="S897" s="55">
        <f>VLOOKUP(D897,Products!$A$2:$F$61,6,FALSE())</f>
        <v/>
      </c>
    </row>
    <row r="898" ht="15" customHeight="1" s="56">
      <c r="A898" s="55">
        <f>Orders!A898</f>
        <v/>
      </c>
      <c r="B898" s="103">
        <f>Orders!B898</f>
        <v/>
      </c>
      <c r="C898" s="55">
        <f>Orders!C898</f>
        <v/>
      </c>
      <c r="D898" s="55">
        <f>Orders!D898</f>
        <v/>
      </c>
      <c r="E898" s="55">
        <f>Orders!E898</f>
        <v/>
      </c>
      <c r="F898" s="55">
        <f>Orders!F898</f>
        <v/>
      </c>
      <c r="G898" s="55">
        <f>Orders!G898</f>
        <v/>
      </c>
      <c r="H898" s="55">
        <f>Orders!H898</f>
        <v/>
      </c>
      <c r="I898" s="55">
        <f>Orders!I898</f>
        <v/>
      </c>
      <c r="J898" s="55">
        <f>Orders!J898</f>
        <v/>
      </c>
      <c r="K898" s="55">
        <f>Orders!K898</f>
        <v/>
      </c>
      <c r="L898" s="55">
        <f>VLOOKUP(D898,Products!$A$2:$F$61,3,FALSE())</f>
        <v/>
      </c>
      <c r="M898" s="55">
        <f>VLOOKUP(C898,Customers!$A$2:$F$301,5,FALSE())</f>
        <v/>
      </c>
      <c r="N898" s="55">
        <f>VLOOKUP(E898,Sales_Reps!$A$2:$E$31,3,FALSE())</f>
        <v/>
      </c>
      <c r="O898" s="55">
        <f>VLOOKUP(D898,Products!$A$2:$F$61,4,FALSE())</f>
        <v/>
      </c>
      <c r="P898" s="55">
        <f>VLOOKUP(C898,Customers!$A$2:$F$301,3,FALSE())</f>
        <v/>
      </c>
      <c r="Q898" s="55">
        <f>UPPER(TRIM(K898))</f>
        <v/>
      </c>
      <c r="R898" s="55">
        <f>(G898-O898)/G898</f>
        <v/>
      </c>
      <c r="S898" s="55">
        <f>VLOOKUP(D898,Products!$A$2:$F$61,6,FALSE())</f>
        <v/>
      </c>
    </row>
    <row r="899" ht="15" customHeight="1" s="56">
      <c r="A899" s="55">
        <f>Orders!A899</f>
        <v/>
      </c>
      <c r="B899" s="103">
        <f>Orders!B899</f>
        <v/>
      </c>
      <c r="C899" s="55">
        <f>Orders!C899</f>
        <v/>
      </c>
      <c r="D899" s="55">
        <f>Orders!D899</f>
        <v/>
      </c>
      <c r="E899" s="55">
        <f>Orders!E899</f>
        <v/>
      </c>
      <c r="F899" s="55">
        <f>Orders!F899</f>
        <v/>
      </c>
      <c r="G899" s="55">
        <f>Orders!G899</f>
        <v/>
      </c>
      <c r="H899" s="55">
        <f>Orders!H899</f>
        <v/>
      </c>
      <c r="I899" s="55">
        <f>Orders!I899</f>
        <v/>
      </c>
      <c r="J899" s="55">
        <f>Orders!J899</f>
        <v/>
      </c>
      <c r="K899" s="55">
        <f>Orders!K899</f>
        <v/>
      </c>
      <c r="L899" s="55">
        <f>VLOOKUP(D899,Products!$A$2:$F$61,3,FALSE())</f>
        <v/>
      </c>
      <c r="M899" s="55">
        <f>VLOOKUP(C899,Customers!$A$2:$F$301,5,FALSE())</f>
        <v/>
      </c>
      <c r="N899" s="55">
        <f>VLOOKUP(E899,Sales_Reps!$A$2:$E$31,3,FALSE())</f>
        <v/>
      </c>
      <c r="O899" s="55">
        <f>VLOOKUP(D899,Products!$A$2:$F$61,4,FALSE())</f>
        <v/>
      </c>
      <c r="P899" s="55">
        <f>VLOOKUP(C899,Customers!$A$2:$F$301,3,FALSE())</f>
        <v/>
      </c>
      <c r="Q899" s="55">
        <f>UPPER(TRIM(K899))</f>
        <v/>
      </c>
      <c r="R899" s="55">
        <f>(G899-O899)/G899</f>
        <v/>
      </c>
      <c r="S899" s="55">
        <f>VLOOKUP(D899,Products!$A$2:$F$61,6,FALSE())</f>
        <v/>
      </c>
    </row>
    <row r="900" ht="15" customHeight="1" s="56">
      <c r="A900" s="55">
        <f>Orders!A900</f>
        <v/>
      </c>
      <c r="B900" s="103">
        <f>Orders!B900</f>
        <v/>
      </c>
      <c r="C900" s="55">
        <f>Orders!C900</f>
        <v/>
      </c>
      <c r="D900" s="55">
        <f>Orders!D900</f>
        <v/>
      </c>
      <c r="E900" s="55">
        <f>Orders!E900</f>
        <v/>
      </c>
      <c r="F900" s="55">
        <f>Orders!F900</f>
        <v/>
      </c>
      <c r="G900" s="55">
        <f>Orders!G900</f>
        <v/>
      </c>
      <c r="H900" s="55">
        <f>Orders!H900</f>
        <v/>
      </c>
      <c r="I900" s="55">
        <f>Orders!I900</f>
        <v/>
      </c>
      <c r="J900" s="55">
        <f>Orders!J900</f>
        <v/>
      </c>
      <c r="K900" s="55">
        <f>Orders!K900</f>
        <v/>
      </c>
      <c r="L900" s="55">
        <f>VLOOKUP(D900,Products!$A$2:$F$61,3,FALSE())</f>
        <v/>
      </c>
      <c r="M900" s="55">
        <f>VLOOKUP(C900,Customers!$A$2:$F$301,5,FALSE())</f>
        <v/>
      </c>
      <c r="N900" s="55">
        <f>VLOOKUP(E900,Sales_Reps!$A$2:$E$31,3,FALSE())</f>
        <v/>
      </c>
      <c r="O900" s="55">
        <f>VLOOKUP(D900,Products!$A$2:$F$61,4,FALSE())</f>
        <v/>
      </c>
      <c r="P900" s="55">
        <f>VLOOKUP(C900,Customers!$A$2:$F$301,3,FALSE())</f>
        <v/>
      </c>
      <c r="Q900" s="55">
        <f>UPPER(TRIM(K900))</f>
        <v/>
      </c>
      <c r="R900" s="55">
        <f>(G900-O900)/G900</f>
        <v/>
      </c>
      <c r="S900" s="55">
        <f>VLOOKUP(D900,Products!$A$2:$F$61,6,FALSE())</f>
        <v/>
      </c>
    </row>
    <row r="901" ht="15" customHeight="1" s="56">
      <c r="A901" s="55">
        <f>Orders!A901</f>
        <v/>
      </c>
      <c r="B901" s="103">
        <f>Orders!B901</f>
        <v/>
      </c>
      <c r="C901" s="55">
        <f>Orders!C901</f>
        <v/>
      </c>
      <c r="D901" s="55">
        <f>Orders!D901</f>
        <v/>
      </c>
      <c r="E901" s="55">
        <f>Orders!E901</f>
        <v/>
      </c>
      <c r="F901" s="55">
        <f>Orders!F901</f>
        <v/>
      </c>
      <c r="G901" s="55">
        <f>Orders!G901</f>
        <v/>
      </c>
      <c r="H901" s="55">
        <f>Orders!H901</f>
        <v/>
      </c>
      <c r="I901" s="55">
        <f>Orders!I901</f>
        <v/>
      </c>
      <c r="J901" s="55">
        <f>Orders!J901</f>
        <v/>
      </c>
      <c r="K901" s="55">
        <f>Orders!K901</f>
        <v/>
      </c>
      <c r="L901" s="55">
        <f>VLOOKUP(D901,Products!$A$2:$F$61,3,FALSE())</f>
        <v/>
      </c>
      <c r="M901" s="55">
        <f>VLOOKUP(C901,Customers!$A$2:$F$301,5,FALSE())</f>
        <v/>
      </c>
      <c r="N901" s="55">
        <f>VLOOKUP(E901,Sales_Reps!$A$2:$E$31,3,FALSE())</f>
        <v/>
      </c>
      <c r="O901" s="55">
        <f>VLOOKUP(D901,Products!$A$2:$F$61,4,FALSE())</f>
        <v/>
      </c>
      <c r="P901" s="55">
        <f>VLOOKUP(C901,Customers!$A$2:$F$301,3,FALSE())</f>
        <v/>
      </c>
      <c r="Q901" s="55">
        <f>UPPER(TRIM(K901))</f>
        <v/>
      </c>
      <c r="R901" s="55">
        <f>(G901-O901)/G901</f>
        <v/>
      </c>
      <c r="S901" s="55">
        <f>VLOOKUP(D901,Products!$A$2:$F$61,6,FALSE())</f>
        <v/>
      </c>
    </row>
    <row r="902" ht="15" customHeight="1" s="56">
      <c r="A902" s="55">
        <f>Orders!A902</f>
        <v/>
      </c>
      <c r="B902" s="103">
        <f>Orders!B902</f>
        <v/>
      </c>
      <c r="C902" s="55">
        <f>Orders!C902</f>
        <v/>
      </c>
      <c r="D902" s="55">
        <f>Orders!D902</f>
        <v/>
      </c>
      <c r="E902" s="55">
        <f>Orders!E902</f>
        <v/>
      </c>
      <c r="F902" s="55">
        <f>Orders!F902</f>
        <v/>
      </c>
      <c r="G902" s="55">
        <f>Orders!G902</f>
        <v/>
      </c>
      <c r="H902" s="55">
        <f>Orders!H902</f>
        <v/>
      </c>
      <c r="I902" s="55">
        <f>Orders!I902</f>
        <v/>
      </c>
      <c r="J902" s="55">
        <f>Orders!J902</f>
        <v/>
      </c>
      <c r="K902" s="55">
        <f>Orders!K902</f>
        <v/>
      </c>
      <c r="L902" s="55">
        <f>VLOOKUP(D902,Products!$A$2:$F$61,3,FALSE())</f>
        <v/>
      </c>
      <c r="M902" s="55">
        <f>VLOOKUP(C902,Customers!$A$2:$F$301,5,FALSE())</f>
        <v/>
      </c>
      <c r="N902" s="55">
        <f>VLOOKUP(E902,Sales_Reps!$A$2:$E$31,3,FALSE())</f>
        <v/>
      </c>
      <c r="O902" s="55">
        <f>VLOOKUP(D902,Products!$A$2:$F$61,4,FALSE())</f>
        <v/>
      </c>
      <c r="P902" s="55">
        <f>VLOOKUP(C902,Customers!$A$2:$F$301,3,FALSE())</f>
        <v/>
      </c>
      <c r="Q902" s="55">
        <f>UPPER(TRIM(K902))</f>
        <v/>
      </c>
      <c r="R902" s="55">
        <f>(G902-O902)/G902</f>
        <v/>
      </c>
      <c r="S902" s="55">
        <f>VLOOKUP(D902,Products!$A$2:$F$61,6,FALSE())</f>
        <v/>
      </c>
    </row>
    <row r="903" ht="15" customHeight="1" s="56">
      <c r="A903" s="55">
        <f>Orders!A903</f>
        <v/>
      </c>
      <c r="B903" s="103">
        <f>Orders!B903</f>
        <v/>
      </c>
      <c r="C903" s="55">
        <f>Orders!C903</f>
        <v/>
      </c>
      <c r="D903" s="55">
        <f>Orders!D903</f>
        <v/>
      </c>
      <c r="E903" s="55">
        <f>Orders!E903</f>
        <v/>
      </c>
      <c r="F903" s="55">
        <f>Orders!F903</f>
        <v/>
      </c>
      <c r="G903" s="55">
        <f>Orders!G903</f>
        <v/>
      </c>
      <c r="H903" s="55">
        <f>Orders!H903</f>
        <v/>
      </c>
      <c r="I903" s="55">
        <f>Orders!I903</f>
        <v/>
      </c>
      <c r="J903" s="55">
        <f>Orders!J903</f>
        <v/>
      </c>
      <c r="K903" s="55">
        <f>Orders!K903</f>
        <v/>
      </c>
      <c r="L903" s="55">
        <f>VLOOKUP(D903,Products!$A$2:$F$61,3,FALSE())</f>
        <v/>
      </c>
      <c r="M903" s="55">
        <f>VLOOKUP(C903,Customers!$A$2:$F$301,5,FALSE())</f>
        <v/>
      </c>
      <c r="N903" s="55">
        <f>VLOOKUP(E903,Sales_Reps!$A$2:$E$31,3,FALSE())</f>
        <v/>
      </c>
      <c r="O903" s="55">
        <f>VLOOKUP(D903,Products!$A$2:$F$61,4,FALSE())</f>
        <v/>
      </c>
      <c r="P903" s="55">
        <f>VLOOKUP(C903,Customers!$A$2:$F$301,3,FALSE())</f>
        <v/>
      </c>
      <c r="Q903" s="55">
        <f>UPPER(TRIM(K903))</f>
        <v/>
      </c>
      <c r="R903" s="55">
        <f>(G903-O903)/G903</f>
        <v/>
      </c>
      <c r="S903" s="55">
        <f>VLOOKUP(D903,Products!$A$2:$F$61,6,FALSE())</f>
        <v/>
      </c>
    </row>
    <row r="904" ht="15" customHeight="1" s="56">
      <c r="A904" s="55">
        <f>Orders!A904</f>
        <v/>
      </c>
      <c r="B904" s="103">
        <f>Orders!B904</f>
        <v/>
      </c>
      <c r="C904" s="55">
        <f>Orders!C904</f>
        <v/>
      </c>
      <c r="D904" s="55">
        <f>Orders!D904</f>
        <v/>
      </c>
      <c r="E904" s="55">
        <f>Orders!E904</f>
        <v/>
      </c>
      <c r="F904" s="55">
        <f>Orders!F904</f>
        <v/>
      </c>
      <c r="G904" s="55">
        <f>Orders!G904</f>
        <v/>
      </c>
      <c r="H904" s="55">
        <f>Orders!H904</f>
        <v/>
      </c>
      <c r="I904" s="55">
        <f>Orders!I904</f>
        <v/>
      </c>
      <c r="J904" s="55">
        <f>Orders!J904</f>
        <v/>
      </c>
      <c r="K904" s="55">
        <f>Orders!K904</f>
        <v/>
      </c>
      <c r="L904" s="55">
        <f>VLOOKUP(D904,Products!$A$2:$F$61,3,FALSE())</f>
        <v/>
      </c>
      <c r="M904" s="55">
        <f>VLOOKUP(C904,Customers!$A$2:$F$301,5,FALSE())</f>
        <v/>
      </c>
      <c r="N904" s="55">
        <f>VLOOKUP(E904,Sales_Reps!$A$2:$E$31,3,FALSE())</f>
        <v/>
      </c>
      <c r="O904" s="55">
        <f>VLOOKUP(D904,Products!$A$2:$F$61,4,FALSE())</f>
        <v/>
      </c>
      <c r="P904" s="55">
        <f>VLOOKUP(C904,Customers!$A$2:$F$301,3,FALSE())</f>
        <v/>
      </c>
      <c r="Q904" s="55">
        <f>UPPER(TRIM(K904))</f>
        <v/>
      </c>
      <c r="R904" s="55">
        <f>(G904-O904)/G904</f>
        <v/>
      </c>
      <c r="S904" s="55">
        <f>VLOOKUP(D904,Products!$A$2:$F$61,6,FALSE())</f>
        <v/>
      </c>
    </row>
    <row r="905" ht="15" customHeight="1" s="56">
      <c r="A905" s="55">
        <f>Orders!A905</f>
        <v/>
      </c>
      <c r="B905" s="103">
        <f>Orders!B905</f>
        <v/>
      </c>
      <c r="C905" s="55">
        <f>Orders!C905</f>
        <v/>
      </c>
      <c r="D905" s="55">
        <f>Orders!D905</f>
        <v/>
      </c>
      <c r="E905" s="55">
        <f>Orders!E905</f>
        <v/>
      </c>
      <c r="F905" s="55">
        <f>Orders!F905</f>
        <v/>
      </c>
      <c r="G905" s="55">
        <f>Orders!G905</f>
        <v/>
      </c>
      <c r="H905" s="55">
        <f>Orders!H905</f>
        <v/>
      </c>
      <c r="I905" s="55">
        <f>Orders!I905</f>
        <v/>
      </c>
      <c r="J905" s="55">
        <f>Orders!J905</f>
        <v/>
      </c>
      <c r="K905" s="55">
        <f>Orders!K905</f>
        <v/>
      </c>
      <c r="L905" s="55">
        <f>VLOOKUP(D905,Products!$A$2:$F$61,3,FALSE())</f>
        <v/>
      </c>
      <c r="M905" s="55">
        <f>VLOOKUP(C905,Customers!$A$2:$F$301,5,FALSE())</f>
        <v/>
      </c>
      <c r="N905" s="55">
        <f>VLOOKUP(E905,Sales_Reps!$A$2:$E$31,3,FALSE())</f>
        <v/>
      </c>
      <c r="O905" s="55">
        <f>VLOOKUP(D905,Products!$A$2:$F$61,4,FALSE())</f>
        <v/>
      </c>
      <c r="P905" s="55">
        <f>VLOOKUP(C905,Customers!$A$2:$F$301,3,FALSE())</f>
        <v/>
      </c>
      <c r="Q905" s="55">
        <f>UPPER(TRIM(K905))</f>
        <v/>
      </c>
      <c r="R905" s="55">
        <f>(G905-O905)/G905</f>
        <v/>
      </c>
      <c r="S905" s="55">
        <f>VLOOKUP(D905,Products!$A$2:$F$61,6,FALSE())</f>
        <v/>
      </c>
    </row>
    <row r="906" ht="15" customHeight="1" s="56">
      <c r="A906" s="55">
        <f>Orders!A906</f>
        <v/>
      </c>
      <c r="B906" s="103">
        <f>Orders!B906</f>
        <v/>
      </c>
      <c r="C906" s="55">
        <f>Orders!C906</f>
        <v/>
      </c>
      <c r="D906" s="55">
        <f>Orders!D906</f>
        <v/>
      </c>
      <c r="E906" s="55">
        <f>Orders!E906</f>
        <v/>
      </c>
      <c r="F906" s="55">
        <f>Orders!F906</f>
        <v/>
      </c>
      <c r="G906" s="55">
        <f>Orders!G906</f>
        <v/>
      </c>
      <c r="H906" s="55">
        <f>Orders!H906</f>
        <v/>
      </c>
      <c r="I906" s="55">
        <f>Orders!I906</f>
        <v/>
      </c>
      <c r="J906" s="55">
        <f>Orders!J906</f>
        <v/>
      </c>
      <c r="K906" s="55">
        <f>Orders!K906</f>
        <v/>
      </c>
      <c r="L906" s="55">
        <f>VLOOKUP(D906,Products!$A$2:$F$61,3,FALSE())</f>
        <v/>
      </c>
      <c r="M906" s="55">
        <f>VLOOKUP(C906,Customers!$A$2:$F$301,5,FALSE())</f>
        <v/>
      </c>
      <c r="N906" s="55">
        <f>VLOOKUP(E906,Sales_Reps!$A$2:$E$31,3,FALSE())</f>
        <v/>
      </c>
      <c r="O906" s="55">
        <f>VLOOKUP(D906,Products!$A$2:$F$61,4,FALSE())</f>
        <v/>
      </c>
      <c r="P906" s="55">
        <f>VLOOKUP(C906,Customers!$A$2:$F$301,3,FALSE())</f>
        <v/>
      </c>
      <c r="Q906" s="55">
        <f>UPPER(TRIM(K906))</f>
        <v/>
      </c>
      <c r="R906" s="55">
        <f>(G906-O906)/G906</f>
        <v/>
      </c>
      <c r="S906" s="55">
        <f>VLOOKUP(D906,Products!$A$2:$F$61,6,FALSE())</f>
        <v/>
      </c>
    </row>
    <row r="907" ht="15" customHeight="1" s="56">
      <c r="A907" s="55">
        <f>Orders!A907</f>
        <v/>
      </c>
      <c r="B907" s="103">
        <f>Orders!B907</f>
        <v/>
      </c>
      <c r="C907" s="55">
        <f>Orders!C907</f>
        <v/>
      </c>
      <c r="D907" s="55">
        <f>Orders!D907</f>
        <v/>
      </c>
      <c r="E907" s="55">
        <f>Orders!E907</f>
        <v/>
      </c>
      <c r="F907" s="55">
        <f>Orders!F907</f>
        <v/>
      </c>
      <c r="G907" s="55">
        <f>Orders!G907</f>
        <v/>
      </c>
      <c r="H907" s="55">
        <f>Orders!H907</f>
        <v/>
      </c>
      <c r="I907" s="55">
        <f>Orders!I907</f>
        <v/>
      </c>
      <c r="J907" s="55">
        <f>Orders!J907</f>
        <v/>
      </c>
      <c r="K907" s="55">
        <f>Orders!K907</f>
        <v/>
      </c>
      <c r="L907" s="55">
        <f>VLOOKUP(D907,Products!$A$2:$F$61,3,FALSE())</f>
        <v/>
      </c>
      <c r="M907" s="55">
        <f>VLOOKUP(C907,Customers!$A$2:$F$301,5,FALSE())</f>
        <v/>
      </c>
      <c r="N907" s="55">
        <f>VLOOKUP(E907,Sales_Reps!$A$2:$E$31,3,FALSE())</f>
        <v/>
      </c>
      <c r="O907" s="55">
        <f>VLOOKUP(D907,Products!$A$2:$F$61,4,FALSE())</f>
        <v/>
      </c>
      <c r="P907" s="55">
        <f>VLOOKUP(C907,Customers!$A$2:$F$301,3,FALSE())</f>
        <v/>
      </c>
      <c r="Q907" s="55">
        <f>UPPER(TRIM(K907))</f>
        <v/>
      </c>
      <c r="R907" s="55">
        <f>(G907-O907)/G907</f>
        <v/>
      </c>
      <c r="S907" s="55">
        <f>VLOOKUP(D907,Products!$A$2:$F$61,6,FALSE())</f>
        <v/>
      </c>
    </row>
    <row r="908" ht="15" customHeight="1" s="56">
      <c r="A908" s="55">
        <f>Orders!A908</f>
        <v/>
      </c>
      <c r="B908" s="103">
        <f>Orders!B908</f>
        <v/>
      </c>
      <c r="C908" s="55">
        <f>Orders!C908</f>
        <v/>
      </c>
      <c r="D908" s="55">
        <f>Orders!D908</f>
        <v/>
      </c>
      <c r="E908" s="55">
        <f>Orders!E908</f>
        <v/>
      </c>
      <c r="F908" s="55">
        <f>Orders!F908</f>
        <v/>
      </c>
      <c r="G908" s="55">
        <f>Orders!G908</f>
        <v/>
      </c>
      <c r="H908" s="55">
        <f>Orders!H908</f>
        <v/>
      </c>
      <c r="I908" s="55">
        <f>Orders!I908</f>
        <v/>
      </c>
      <c r="J908" s="55">
        <f>Orders!J908</f>
        <v/>
      </c>
      <c r="K908" s="55">
        <f>Orders!K908</f>
        <v/>
      </c>
      <c r="L908" s="55">
        <f>VLOOKUP(D908,Products!$A$2:$F$61,3,FALSE())</f>
        <v/>
      </c>
      <c r="M908" s="55">
        <f>VLOOKUP(C908,Customers!$A$2:$F$301,5,FALSE())</f>
        <v/>
      </c>
      <c r="N908" s="55">
        <f>VLOOKUP(E908,Sales_Reps!$A$2:$E$31,3,FALSE())</f>
        <v/>
      </c>
      <c r="O908" s="55">
        <f>VLOOKUP(D908,Products!$A$2:$F$61,4,FALSE())</f>
        <v/>
      </c>
      <c r="P908" s="55">
        <f>VLOOKUP(C908,Customers!$A$2:$F$301,3,FALSE())</f>
        <v/>
      </c>
      <c r="Q908" s="55">
        <f>UPPER(TRIM(K908))</f>
        <v/>
      </c>
      <c r="R908" s="55">
        <f>(G908-O908)/G908</f>
        <v/>
      </c>
      <c r="S908" s="55">
        <f>VLOOKUP(D908,Products!$A$2:$F$61,6,FALSE())</f>
        <v/>
      </c>
    </row>
    <row r="909" ht="15" customHeight="1" s="56">
      <c r="A909" s="55">
        <f>Orders!A909</f>
        <v/>
      </c>
      <c r="B909" s="103">
        <f>Orders!B909</f>
        <v/>
      </c>
      <c r="C909" s="55">
        <f>Orders!C909</f>
        <v/>
      </c>
      <c r="D909" s="55">
        <f>Orders!D909</f>
        <v/>
      </c>
      <c r="E909" s="55">
        <f>Orders!E909</f>
        <v/>
      </c>
      <c r="F909" s="55">
        <f>Orders!F909</f>
        <v/>
      </c>
      <c r="G909" s="55">
        <f>Orders!G909</f>
        <v/>
      </c>
      <c r="H909" s="55">
        <f>Orders!H909</f>
        <v/>
      </c>
      <c r="I909" s="55">
        <f>Orders!I909</f>
        <v/>
      </c>
      <c r="J909" s="55">
        <f>Orders!J909</f>
        <v/>
      </c>
      <c r="K909" s="55">
        <f>Orders!K909</f>
        <v/>
      </c>
      <c r="L909" s="55">
        <f>VLOOKUP(D909,Products!$A$2:$F$61,3,FALSE())</f>
        <v/>
      </c>
      <c r="M909" s="55">
        <f>VLOOKUP(C909,Customers!$A$2:$F$301,5,FALSE())</f>
        <v/>
      </c>
      <c r="N909" s="55">
        <f>VLOOKUP(E909,Sales_Reps!$A$2:$E$31,3,FALSE())</f>
        <v/>
      </c>
      <c r="O909" s="55">
        <f>VLOOKUP(D909,Products!$A$2:$F$61,4,FALSE())</f>
        <v/>
      </c>
      <c r="P909" s="55">
        <f>VLOOKUP(C909,Customers!$A$2:$F$301,3,FALSE())</f>
        <v/>
      </c>
      <c r="Q909" s="55">
        <f>UPPER(TRIM(K909))</f>
        <v/>
      </c>
      <c r="R909" s="55">
        <f>(G909-O909)/G909</f>
        <v/>
      </c>
      <c r="S909" s="55">
        <f>VLOOKUP(D909,Products!$A$2:$F$61,6,FALSE())</f>
        <v/>
      </c>
    </row>
    <row r="910" ht="15" customHeight="1" s="56">
      <c r="A910" s="55">
        <f>Orders!A910</f>
        <v/>
      </c>
      <c r="B910" s="103">
        <f>Orders!B910</f>
        <v/>
      </c>
      <c r="C910" s="55">
        <f>Orders!C910</f>
        <v/>
      </c>
      <c r="D910" s="55">
        <f>Orders!D910</f>
        <v/>
      </c>
      <c r="E910" s="55">
        <f>Orders!E910</f>
        <v/>
      </c>
      <c r="F910" s="55">
        <f>Orders!F910</f>
        <v/>
      </c>
      <c r="G910" s="55">
        <f>Orders!G910</f>
        <v/>
      </c>
      <c r="H910" s="55">
        <f>Orders!H910</f>
        <v/>
      </c>
      <c r="I910" s="55">
        <f>Orders!I910</f>
        <v/>
      </c>
      <c r="J910" s="55">
        <f>Orders!J910</f>
        <v/>
      </c>
      <c r="K910" s="55">
        <f>Orders!K910</f>
        <v/>
      </c>
      <c r="L910" s="55">
        <f>VLOOKUP(D910,Products!$A$2:$F$61,3,FALSE())</f>
        <v/>
      </c>
      <c r="M910" s="55">
        <f>VLOOKUP(C910,Customers!$A$2:$F$301,5,FALSE())</f>
        <v/>
      </c>
      <c r="N910" s="55">
        <f>VLOOKUP(E910,Sales_Reps!$A$2:$E$31,3,FALSE())</f>
        <v/>
      </c>
      <c r="O910" s="55">
        <f>VLOOKUP(D910,Products!$A$2:$F$61,4,FALSE())</f>
        <v/>
      </c>
      <c r="P910" s="55">
        <f>VLOOKUP(C910,Customers!$A$2:$F$301,3,FALSE())</f>
        <v/>
      </c>
      <c r="Q910" s="55">
        <f>UPPER(TRIM(K910))</f>
        <v/>
      </c>
      <c r="R910" s="55">
        <f>(G910-O910)/G910</f>
        <v/>
      </c>
      <c r="S910" s="55">
        <f>VLOOKUP(D910,Products!$A$2:$F$61,6,FALSE())</f>
        <v/>
      </c>
    </row>
    <row r="911" ht="15" customHeight="1" s="56">
      <c r="A911" s="55">
        <f>Orders!A911</f>
        <v/>
      </c>
      <c r="B911" s="103">
        <f>Orders!B911</f>
        <v/>
      </c>
      <c r="C911" s="55">
        <f>Orders!C911</f>
        <v/>
      </c>
      <c r="D911" s="55">
        <f>Orders!D911</f>
        <v/>
      </c>
      <c r="E911" s="55">
        <f>Orders!E911</f>
        <v/>
      </c>
      <c r="F911" s="55">
        <f>Orders!F911</f>
        <v/>
      </c>
      <c r="G911" s="55">
        <f>Orders!G911</f>
        <v/>
      </c>
      <c r="H911" s="55">
        <f>Orders!H911</f>
        <v/>
      </c>
      <c r="I911" s="55">
        <f>Orders!I911</f>
        <v/>
      </c>
      <c r="J911" s="55">
        <f>Orders!J911</f>
        <v/>
      </c>
      <c r="K911" s="55">
        <f>Orders!K911</f>
        <v/>
      </c>
      <c r="L911" s="55">
        <f>VLOOKUP(D911,Products!$A$2:$F$61,3,FALSE())</f>
        <v/>
      </c>
      <c r="M911" s="55">
        <f>VLOOKUP(C911,Customers!$A$2:$F$301,5,FALSE())</f>
        <v/>
      </c>
      <c r="N911" s="55">
        <f>VLOOKUP(E911,Sales_Reps!$A$2:$E$31,3,FALSE())</f>
        <v/>
      </c>
      <c r="O911" s="55">
        <f>VLOOKUP(D911,Products!$A$2:$F$61,4,FALSE())</f>
        <v/>
      </c>
      <c r="P911" s="55">
        <f>VLOOKUP(C911,Customers!$A$2:$F$301,3,FALSE())</f>
        <v/>
      </c>
      <c r="Q911" s="55">
        <f>UPPER(TRIM(K911))</f>
        <v/>
      </c>
      <c r="R911" s="55">
        <f>(G911-O911)/G911</f>
        <v/>
      </c>
      <c r="S911" s="55">
        <f>VLOOKUP(D911,Products!$A$2:$F$61,6,FALSE())</f>
        <v/>
      </c>
    </row>
    <row r="912" ht="15" customHeight="1" s="56">
      <c r="A912" s="55">
        <f>Orders!A912</f>
        <v/>
      </c>
      <c r="B912" s="103">
        <f>Orders!B912</f>
        <v/>
      </c>
      <c r="C912" s="55">
        <f>Orders!C912</f>
        <v/>
      </c>
      <c r="D912" s="55">
        <f>Orders!D912</f>
        <v/>
      </c>
      <c r="E912" s="55">
        <f>Orders!E912</f>
        <v/>
      </c>
      <c r="F912" s="55">
        <f>Orders!F912</f>
        <v/>
      </c>
      <c r="G912" s="55">
        <f>Orders!G912</f>
        <v/>
      </c>
      <c r="H912" s="55">
        <f>Orders!H912</f>
        <v/>
      </c>
      <c r="I912" s="55">
        <f>Orders!I912</f>
        <v/>
      </c>
      <c r="J912" s="55">
        <f>Orders!J912</f>
        <v/>
      </c>
      <c r="K912" s="55">
        <f>Orders!K912</f>
        <v/>
      </c>
      <c r="L912" s="55">
        <f>VLOOKUP(D912,Products!$A$2:$F$61,3,FALSE())</f>
        <v/>
      </c>
      <c r="M912" s="55">
        <f>VLOOKUP(C912,Customers!$A$2:$F$301,5,FALSE())</f>
        <v/>
      </c>
      <c r="N912" s="55">
        <f>VLOOKUP(E912,Sales_Reps!$A$2:$E$31,3,FALSE())</f>
        <v/>
      </c>
      <c r="O912" s="55">
        <f>VLOOKUP(D912,Products!$A$2:$F$61,4,FALSE())</f>
        <v/>
      </c>
      <c r="P912" s="55">
        <f>VLOOKUP(C912,Customers!$A$2:$F$301,3,FALSE())</f>
        <v/>
      </c>
      <c r="Q912" s="55">
        <f>UPPER(TRIM(K912))</f>
        <v/>
      </c>
      <c r="R912" s="55">
        <f>(G912-O912)/G912</f>
        <v/>
      </c>
      <c r="S912" s="55">
        <f>VLOOKUP(D912,Products!$A$2:$F$61,6,FALSE())</f>
        <v/>
      </c>
    </row>
    <row r="913" ht="15" customHeight="1" s="56">
      <c r="A913" s="55">
        <f>Orders!A913</f>
        <v/>
      </c>
      <c r="B913" s="103">
        <f>Orders!B913</f>
        <v/>
      </c>
      <c r="C913" s="55">
        <f>Orders!C913</f>
        <v/>
      </c>
      <c r="D913" s="55">
        <f>Orders!D913</f>
        <v/>
      </c>
      <c r="E913" s="55">
        <f>Orders!E913</f>
        <v/>
      </c>
      <c r="F913" s="55">
        <f>Orders!F913</f>
        <v/>
      </c>
      <c r="G913" s="55">
        <f>Orders!G913</f>
        <v/>
      </c>
      <c r="H913" s="55">
        <f>Orders!H913</f>
        <v/>
      </c>
      <c r="I913" s="55">
        <f>Orders!I913</f>
        <v/>
      </c>
      <c r="J913" s="55">
        <f>Orders!J913</f>
        <v/>
      </c>
      <c r="K913" s="55">
        <f>Orders!K913</f>
        <v/>
      </c>
      <c r="L913" s="55">
        <f>VLOOKUP(D913,Products!$A$2:$F$61,3,FALSE())</f>
        <v/>
      </c>
      <c r="M913" s="55">
        <f>VLOOKUP(C913,Customers!$A$2:$F$301,5,FALSE())</f>
        <v/>
      </c>
      <c r="N913" s="55">
        <f>VLOOKUP(E913,Sales_Reps!$A$2:$E$31,3,FALSE())</f>
        <v/>
      </c>
      <c r="O913" s="55">
        <f>VLOOKUP(D913,Products!$A$2:$F$61,4,FALSE())</f>
        <v/>
      </c>
      <c r="P913" s="55">
        <f>VLOOKUP(C913,Customers!$A$2:$F$301,3,FALSE())</f>
        <v/>
      </c>
      <c r="Q913" s="55">
        <f>UPPER(TRIM(K913))</f>
        <v/>
      </c>
      <c r="R913" s="55">
        <f>(G913-O913)/G913</f>
        <v/>
      </c>
      <c r="S913" s="55">
        <f>VLOOKUP(D913,Products!$A$2:$F$61,6,FALSE())</f>
        <v/>
      </c>
    </row>
    <row r="914" ht="15" customHeight="1" s="56">
      <c r="A914" s="55">
        <f>Orders!A914</f>
        <v/>
      </c>
      <c r="B914" s="103">
        <f>Orders!B914</f>
        <v/>
      </c>
      <c r="C914" s="55">
        <f>Orders!C914</f>
        <v/>
      </c>
      <c r="D914" s="55">
        <f>Orders!D914</f>
        <v/>
      </c>
      <c r="E914" s="55">
        <f>Orders!E914</f>
        <v/>
      </c>
      <c r="F914" s="55">
        <f>Orders!F914</f>
        <v/>
      </c>
      <c r="G914" s="55">
        <f>Orders!G914</f>
        <v/>
      </c>
      <c r="H914" s="55">
        <f>Orders!H914</f>
        <v/>
      </c>
      <c r="I914" s="55">
        <f>Orders!I914</f>
        <v/>
      </c>
      <c r="J914" s="55">
        <f>Orders!J914</f>
        <v/>
      </c>
      <c r="K914" s="55">
        <f>Orders!K914</f>
        <v/>
      </c>
      <c r="L914" s="55">
        <f>VLOOKUP(D914,Products!$A$2:$F$61,3,FALSE())</f>
        <v/>
      </c>
      <c r="M914" s="55">
        <f>VLOOKUP(C914,Customers!$A$2:$F$301,5,FALSE())</f>
        <v/>
      </c>
      <c r="N914" s="55">
        <f>VLOOKUP(E914,Sales_Reps!$A$2:$E$31,3,FALSE())</f>
        <v/>
      </c>
      <c r="O914" s="55">
        <f>VLOOKUP(D914,Products!$A$2:$F$61,4,FALSE())</f>
        <v/>
      </c>
      <c r="P914" s="55">
        <f>VLOOKUP(C914,Customers!$A$2:$F$301,3,FALSE())</f>
        <v/>
      </c>
      <c r="Q914" s="55">
        <f>UPPER(TRIM(K914))</f>
        <v/>
      </c>
      <c r="R914" s="55">
        <f>(G914-O914)/G914</f>
        <v/>
      </c>
      <c r="S914" s="55">
        <f>VLOOKUP(D914,Products!$A$2:$F$61,6,FALSE())</f>
        <v/>
      </c>
    </row>
    <row r="915" ht="15" customHeight="1" s="56">
      <c r="A915" s="55">
        <f>Orders!A915</f>
        <v/>
      </c>
      <c r="B915" s="103">
        <f>Orders!B915</f>
        <v/>
      </c>
      <c r="C915" s="55">
        <f>Orders!C915</f>
        <v/>
      </c>
      <c r="D915" s="55">
        <f>Orders!D915</f>
        <v/>
      </c>
      <c r="E915" s="55">
        <f>Orders!E915</f>
        <v/>
      </c>
      <c r="F915" s="55">
        <f>Orders!F915</f>
        <v/>
      </c>
      <c r="G915" s="55">
        <f>Orders!G915</f>
        <v/>
      </c>
      <c r="H915" s="55">
        <f>Orders!H915</f>
        <v/>
      </c>
      <c r="I915" s="55">
        <f>Orders!I915</f>
        <v/>
      </c>
      <c r="J915" s="55">
        <f>Orders!J915</f>
        <v/>
      </c>
      <c r="K915" s="55">
        <f>Orders!K915</f>
        <v/>
      </c>
      <c r="L915" s="55">
        <f>VLOOKUP(D915,Products!$A$2:$F$61,3,FALSE())</f>
        <v/>
      </c>
      <c r="M915" s="55">
        <f>VLOOKUP(C915,Customers!$A$2:$F$301,5,FALSE())</f>
        <v/>
      </c>
      <c r="N915" s="55">
        <f>VLOOKUP(E915,Sales_Reps!$A$2:$E$31,3,FALSE())</f>
        <v/>
      </c>
      <c r="O915" s="55">
        <f>VLOOKUP(D915,Products!$A$2:$F$61,4,FALSE())</f>
        <v/>
      </c>
      <c r="P915" s="55">
        <f>VLOOKUP(C915,Customers!$A$2:$F$301,3,FALSE())</f>
        <v/>
      </c>
      <c r="Q915" s="55">
        <f>UPPER(TRIM(K915))</f>
        <v/>
      </c>
      <c r="R915" s="55">
        <f>(G915-O915)/G915</f>
        <v/>
      </c>
      <c r="S915" s="55">
        <f>VLOOKUP(D915,Products!$A$2:$F$61,6,FALSE())</f>
        <v/>
      </c>
    </row>
    <row r="916" ht="15" customHeight="1" s="56">
      <c r="A916" s="55">
        <f>Orders!A916</f>
        <v/>
      </c>
      <c r="B916" s="103">
        <f>Orders!B916</f>
        <v/>
      </c>
      <c r="C916" s="55">
        <f>Orders!C916</f>
        <v/>
      </c>
      <c r="D916" s="55">
        <f>Orders!D916</f>
        <v/>
      </c>
      <c r="E916" s="55">
        <f>Orders!E916</f>
        <v/>
      </c>
      <c r="F916" s="55">
        <f>Orders!F916</f>
        <v/>
      </c>
      <c r="G916" s="55">
        <f>Orders!G916</f>
        <v/>
      </c>
      <c r="H916" s="55">
        <f>Orders!H916</f>
        <v/>
      </c>
      <c r="I916" s="55">
        <f>Orders!I916</f>
        <v/>
      </c>
      <c r="J916" s="55">
        <f>Orders!J916</f>
        <v/>
      </c>
      <c r="K916" s="55">
        <f>Orders!K916</f>
        <v/>
      </c>
      <c r="L916" s="55">
        <f>VLOOKUP(D916,Products!$A$2:$F$61,3,FALSE())</f>
        <v/>
      </c>
      <c r="M916" s="55">
        <f>VLOOKUP(C916,Customers!$A$2:$F$301,5,FALSE())</f>
        <v/>
      </c>
      <c r="N916" s="55">
        <f>VLOOKUP(E916,Sales_Reps!$A$2:$E$31,3,FALSE())</f>
        <v/>
      </c>
      <c r="O916" s="55">
        <f>VLOOKUP(D916,Products!$A$2:$F$61,4,FALSE())</f>
        <v/>
      </c>
      <c r="P916" s="55">
        <f>VLOOKUP(C916,Customers!$A$2:$F$301,3,FALSE())</f>
        <v/>
      </c>
      <c r="Q916" s="55">
        <f>UPPER(TRIM(K916))</f>
        <v/>
      </c>
      <c r="R916" s="55">
        <f>(G916-O916)/G916</f>
        <v/>
      </c>
      <c r="S916" s="55">
        <f>VLOOKUP(D916,Products!$A$2:$F$61,6,FALSE())</f>
        <v/>
      </c>
    </row>
    <row r="917" ht="15" customHeight="1" s="56">
      <c r="A917" s="55">
        <f>Orders!A917</f>
        <v/>
      </c>
      <c r="B917" s="103">
        <f>Orders!B917</f>
        <v/>
      </c>
      <c r="C917" s="55">
        <f>Orders!C917</f>
        <v/>
      </c>
      <c r="D917" s="55">
        <f>Orders!D917</f>
        <v/>
      </c>
      <c r="E917" s="55">
        <f>Orders!E917</f>
        <v/>
      </c>
      <c r="F917" s="55">
        <f>Orders!F917</f>
        <v/>
      </c>
      <c r="G917" s="55">
        <f>Orders!G917</f>
        <v/>
      </c>
      <c r="H917" s="55">
        <f>Orders!H917</f>
        <v/>
      </c>
      <c r="I917" s="55">
        <f>Orders!I917</f>
        <v/>
      </c>
      <c r="J917" s="55">
        <f>Orders!J917</f>
        <v/>
      </c>
      <c r="K917" s="55">
        <f>Orders!K917</f>
        <v/>
      </c>
      <c r="L917" s="55">
        <f>VLOOKUP(D917,Products!$A$2:$F$61,3,FALSE())</f>
        <v/>
      </c>
      <c r="M917" s="55">
        <f>VLOOKUP(C917,Customers!$A$2:$F$301,5,FALSE())</f>
        <v/>
      </c>
      <c r="N917" s="55">
        <f>VLOOKUP(E917,Sales_Reps!$A$2:$E$31,3,FALSE())</f>
        <v/>
      </c>
      <c r="O917" s="55">
        <f>VLOOKUP(D917,Products!$A$2:$F$61,4,FALSE())</f>
        <v/>
      </c>
      <c r="P917" s="55">
        <f>VLOOKUP(C917,Customers!$A$2:$F$301,3,FALSE())</f>
        <v/>
      </c>
      <c r="Q917" s="55">
        <f>UPPER(TRIM(K917))</f>
        <v/>
      </c>
      <c r="R917" s="55">
        <f>(G917-O917)/G917</f>
        <v/>
      </c>
      <c r="S917" s="55">
        <f>VLOOKUP(D917,Products!$A$2:$F$61,6,FALSE())</f>
        <v/>
      </c>
    </row>
    <row r="918" ht="15" customHeight="1" s="56">
      <c r="A918" s="55">
        <f>Orders!A918</f>
        <v/>
      </c>
      <c r="B918" s="103">
        <f>Orders!B918</f>
        <v/>
      </c>
      <c r="C918" s="55">
        <f>Orders!C918</f>
        <v/>
      </c>
      <c r="D918" s="55">
        <f>Orders!D918</f>
        <v/>
      </c>
      <c r="E918" s="55">
        <f>Orders!E918</f>
        <v/>
      </c>
      <c r="F918" s="55">
        <f>Orders!F918</f>
        <v/>
      </c>
      <c r="G918" s="55">
        <f>Orders!G918</f>
        <v/>
      </c>
      <c r="H918" s="55">
        <f>Orders!H918</f>
        <v/>
      </c>
      <c r="I918" s="55">
        <f>Orders!I918</f>
        <v/>
      </c>
      <c r="J918" s="55">
        <f>Orders!J918</f>
        <v/>
      </c>
      <c r="K918" s="55">
        <f>Orders!K918</f>
        <v/>
      </c>
      <c r="L918" s="55">
        <f>VLOOKUP(D918,Products!$A$2:$F$61,3,FALSE())</f>
        <v/>
      </c>
      <c r="M918" s="55">
        <f>VLOOKUP(C918,Customers!$A$2:$F$301,5,FALSE())</f>
        <v/>
      </c>
      <c r="N918" s="55">
        <f>VLOOKUP(E918,Sales_Reps!$A$2:$E$31,3,FALSE())</f>
        <v/>
      </c>
      <c r="O918" s="55">
        <f>VLOOKUP(D918,Products!$A$2:$F$61,4,FALSE())</f>
        <v/>
      </c>
      <c r="P918" s="55">
        <f>VLOOKUP(C918,Customers!$A$2:$F$301,3,FALSE())</f>
        <v/>
      </c>
      <c r="Q918" s="55">
        <f>UPPER(TRIM(K918))</f>
        <v/>
      </c>
      <c r="R918" s="55">
        <f>(G918-O918)/G918</f>
        <v/>
      </c>
      <c r="S918" s="55">
        <f>VLOOKUP(D918,Products!$A$2:$F$61,6,FALSE())</f>
        <v/>
      </c>
    </row>
    <row r="919" ht="15" customHeight="1" s="56">
      <c r="A919" s="55">
        <f>Orders!A919</f>
        <v/>
      </c>
      <c r="B919" s="103">
        <f>Orders!B919</f>
        <v/>
      </c>
      <c r="C919" s="55">
        <f>Orders!C919</f>
        <v/>
      </c>
      <c r="D919" s="55">
        <f>Orders!D919</f>
        <v/>
      </c>
      <c r="E919" s="55">
        <f>Orders!E919</f>
        <v/>
      </c>
      <c r="F919" s="55">
        <f>Orders!F919</f>
        <v/>
      </c>
      <c r="G919" s="55">
        <f>Orders!G919</f>
        <v/>
      </c>
      <c r="H919" s="55">
        <f>Orders!H919</f>
        <v/>
      </c>
      <c r="I919" s="55">
        <f>Orders!I919</f>
        <v/>
      </c>
      <c r="J919" s="55">
        <f>Orders!J919</f>
        <v/>
      </c>
      <c r="K919" s="55">
        <f>Orders!K919</f>
        <v/>
      </c>
      <c r="L919" s="55">
        <f>VLOOKUP(D919,Products!$A$2:$F$61,3,FALSE())</f>
        <v/>
      </c>
      <c r="M919" s="55">
        <f>VLOOKUP(C919,Customers!$A$2:$F$301,5,FALSE())</f>
        <v/>
      </c>
      <c r="N919" s="55">
        <f>VLOOKUP(E919,Sales_Reps!$A$2:$E$31,3,FALSE())</f>
        <v/>
      </c>
      <c r="O919" s="55">
        <f>VLOOKUP(D919,Products!$A$2:$F$61,4,FALSE())</f>
        <v/>
      </c>
      <c r="P919" s="55">
        <f>VLOOKUP(C919,Customers!$A$2:$F$301,3,FALSE())</f>
        <v/>
      </c>
      <c r="Q919" s="55">
        <f>UPPER(TRIM(K919))</f>
        <v/>
      </c>
      <c r="R919" s="55">
        <f>(G919-O919)/G919</f>
        <v/>
      </c>
      <c r="S919" s="55">
        <f>VLOOKUP(D919,Products!$A$2:$F$61,6,FALSE())</f>
        <v/>
      </c>
    </row>
    <row r="920" ht="15" customHeight="1" s="56">
      <c r="A920" s="55">
        <f>Orders!A920</f>
        <v/>
      </c>
      <c r="B920" s="103">
        <f>Orders!B920</f>
        <v/>
      </c>
      <c r="C920" s="55">
        <f>Orders!C920</f>
        <v/>
      </c>
      <c r="D920" s="55">
        <f>Orders!D920</f>
        <v/>
      </c>
      <c r="E920" s="55">
        <f>Orders!E920</f>
        <v/>
      </c>
      <c r="F920" s="55">
        <f>Orders!F920</f>
        <v/>
      </c>
      <c r="G920" s="55">
        <f>Orders!G920</f>
        <v/>
      </c>
      <c r="H920" s="55">
        <f>Orders!H920</f>
        <v/>
      </c>
      <c r="I920" s="55">
        <f>Orders!I920</f>
        <v/>
      </c>
      <c r="J920" s="55">
        <f>Orders!J920</f>
        <v/>
      </c>
      <c r="K920" s="55">
        <f>Orders!K920</f>
        <v/>
      </c>
      <c r="L920" s="55">
        <f>VLOOKUP(D920,Products!$A$2:$F$61,3,FALSE())</f>
        <v/>
      </c>
      <c r="M920" s="55">
        <f>VLOOKUP(C920,Customers!$A$2:$F$301,5,FALSE())</f>
        <v/>
      </c>
      <c r="N920" s="55">
        <f>VLOOKUP(E920,Sales_Reps!$A$2:$E$31,3,FALSE())</f>
        <v/>
      </c>
      <c r="O920" s="55">
        <f>VLOOKUP(D920,Products!$A$2:$F$61,4,FALSE())</f>
        <v/>
      </c>
      <c r="P920" s="55">
        <f>VLOOKUP(C920,Customers!$A$2:$F$301,3,FALSE())</f>
        <v/>
      </c>
      <c r="Q920" s="55">
        <f>UPPER(TRIM(K920))</f>
        <v/>
      </c>
      <c r="R920" s="55">
        <f>(G920-O920)/G920</f>
        <v/>
      </c>
      <c r="S920" s="55">
        <f>VLOOKUP(D920,Products!$A$2:$F$61,6,FALSE())</f>
        <v/>
      </c>
    </row>
    <row r="921" ht="15" customHeight="1" s="56">
      <c r="A921" s="55">
        <f>Orders!A921</f>
        <v/>
      </c>
      <c r="B921" s="103">
        <f>Orders!B921</f>
        <v/>
      </c>
      <c r="C921" s="55">
        <f>Orders!C921</f>
        <v/>
      </c>
      <c r="D921" s="55">
        <f>Orders!D921</f>
        <v/>
      </c>
      <c r="E921" s="55">
        <f>Orders!E921</f>
        <v/>
      </c>
      <c r="F921" s="55">
        <f>Orders!F921</f>
        <v/>
      </c>
      <c r="G921" s="55">
        <f>Orders!G921</f>
        <v/>
      </c>
      <c r="H921" s="55">
        <f>Orders!H921</f>
        <v/>
      </c>
      <c r="I921" s="55">
        <f>Orders!I921</f>
        <v/>
      </c>
      <c r="J921" s="55">
        <f>Orders!J921</f>
        <v/>
      </c>
      <c r="K921" s="55">
        <f>Orders!K921</f>
        <v/>
      </c>
      <c r="L921" s="55">
        <f>VLOOKUP(D921,Products!$A$2:$F$61,3,FALSE())</f>
        <v/>
      </c>
      <c r="M921" s="55">
        <f>VLOOKUP(C921,Customers!$A$2:$F$301,5,FALSE())</f>
        <v/>
      </c>
      <c r="N921" s="55">
        <f>VLOOKUP(E921,Sales_Reps!$A$2:$E$31,3,FALSE())</f>
        <v/>
      </c>
      <c r="O921" s="55">
        <f>VLOOKUP(D921,Products!$A$2:$F$61,4,FALSE())</f>
        <v/>
      </c>
      <c r="P921" s="55">
        <f>VLOOKUP(C921,Customers!$A$2:$F$301,3,FALSE())</f>
        <v/>
      </c>
      <c r="Q921" s="55">
        <f>UPPER(TRIM(K921))</f>
        <v/>
      </c>
      <c r="R921" s="55">
        <f>(G921-O921)/G921</f>
        <v/>
      </c>
      <c r="S921" s="55">
        <f>VLOOKUP(D921,Products!$A$2:$F$61,6,FALSE())</f>
        <v/>
      </c>
    </row>
    <row r="922" ht="15" customHeight="1" s="56">
      <c r="A922" s="55">
        <f>Orders!A922</f>
        <v/>
      </c>
      <c r="B922" s="103">
        <f>Orders!B922</f>
        <v/>
      </c>
      <c r="C922" s="55">
        <f>Orders!C922</f>
        <v/>
      </c>
      <c r="D922" s="55">
        <f>Orders!D922</f>
        <v/>
      </c>
      <c r="E922" s="55">
        <f>Orders!E922</f>
        <v/>
      </c>
      <c r="F922" s="55">
        <f>Orders!F922</f>
        <v/>
      </c>
      <c r="G922" s="55">
        <f>Orders!G922</f>
        <v/>
      </c>
      <c r="H922" s="55">
        <f>Orders!H922</f>
        <v/>
      </c>
      <c r="I922" s="55">
        <f>Orders!I922</f>
        <v/>
      </c>
      <c r="J922" s="55">
        <f>Orders!J922</f>
        <v/>
      </c>
      <c r="K922" s="55">
        <f>Orders!K922</f>
        <v/>
      </c>
      <c r="L922" s="55">
        <f>VLOOKUP(D922,Products!$A$2:$F$61,3,FALSE())</f>
        <v/>
      </c>
      <c r="M922" s="55">
        <f>VLOOKUP(C922,Customers!$A$2:$F$301,5,FALSE())</f>
        <v/>
      </c>
      <c r="N922" s="55">
        <f>VLOOKUP(E922,Sales_Reps!$A$2:$E$31,3,FALSE())</f>
        <v/>
      </c>
      <c r="O922" s="55">
        <f>VLOOKUP(D922,Products!$A$2:$F$61,4,FALSE())</f>
        <v/>
      </c>
      <c r="P922" s="55">
        <f>VLOOKUP(C922,Customers!$A$2:$F$301,3,FALSE())</f>
        <v/>
      </c>
      <c r="Q922" s="55">
        <f>UPPER(TRIM(K922))</f>
        <v/>
      </c>
      <c r="R922" s="55">
        <f>(G922-O922)/G922</f>
        <v/>
      </c>
      <c r="S922" s="55">
        <f>VLOOKUP(D922,Products!$A$2:$F$61,6,FALSE())</f>
        <v/>
      </c>
    </row>
    <row r="923" ht="15" customHeight="1" s="56">
      <c r="A923" s="55">
        <f>Orders!A923</f>
        <v/>
      </c>
      <c r="B923" s="103">
        <f>Orders!B923</f>
        <v/>
      </c>
      <c r="C923" s="55">
        <f>Orders!C923</f>
        <v/>
      </c>
      <c r="D923" s="55">
        <f>Orders!D923</f>
        <v/>
      </c>
      <c r="E923" s="55">
        <f>Orders!E923</f>
        <v/>
      </c>
      <c r="F923" s="55">
        <f>Orders!F923</f>
        <v/>
      </c>
      <c r="G923" s="55">
        <f>Orders!G923</f>
        <v/>
      </c>
      <c r="H923" s="55">
        <f>Orders!H923</f>
        <v/>
      </c>
      <c r="I923" s="55">
        <f>Orders!I923</f>
        <v/>
      </c>
      <c r="J923" s="55">
        <f>Orders!J923</f>
        <v/>
      </c>
      <c r="K923" s="55">
        <f>Orders!K923</f>
        <v/>
      </c>
      <c r="L923" s="55">
        <f>VLOOKUP(D923,Products!$A$2:$F$61,3,FALSE())</f>
        <v/>
      </c>
      <c r="M923" s="55">
        <f>VLOOKUP(C923,Customers!$A$2:$F$301,5,FALSE())</f>
        <v/>
      </c>
      <c r="N923" s="55">
        <f>VLOOKUP(E923,Sales_Reps!$A$2:$E$31,3,FALSE())</f>
        <v/>
      </c>
      <c r="O923" s="55">
        <f>VLOOKUP(D923,Products!$A$2:$F$61,4,FALSE())</f>
        <v/>
      </c>
      <c r="P923" s="55">
        <f>VLOOKUP(C923,Customers!$A$2:$F$301,3,FALSE())</f>
        <v/>
      </c>
      <c r="Q923" s="55">
        <f>UPPER(TRIM(K923))</f>
        <v/>
      </c>
      <c r="R923" s="55">
        <f>(G923-O923)/G923</f>
        <v/>
      </c>
      <c r="S923" s="55">
        <f>VLOOKUP(D923,Products!$A$2:$F$61,6,FALSE())</f>
        <v/>
      </c>
    </row>
    <row r="924" ht="15" customHeight="1" s="56">
      <c r="A924" s="55">
        <f>Orders!A924</f>
        <v/>
      </c>
      <c r="B924" s="103">
        <f>Orders!B924</f>
        <v/>
      </c>
      <c r="C924" s="55">
        <f>Orders!C924</f>
        <v/>
      </c>
      <c r="D924" s="55">
        <f>Orders!D924</f>
        <v/>
      </c>
      <c r="E924" s="55">
        <f>Orders!E924</f>
        <v/>
      </c>
      <c r="F924" s="55">
        <f>Orders!F924</f>
        <v/>
      </c>
      <c r="G924" s="55">
        <f>Orders!G924</f>
        <v/>
      </c>
      <c r="H924" s="55">
        <f>Orders!H924</f>
        <v/>
      </c>
      <c r="I924" s="55">
        <f>Orders!I924</f>
        <v/>
      </c>
      <c r="J924" s="55">
        <f>Orders!J924</f>
        <v/>
      </c>
      <c r="K924" s="55">
        <f>Orders!K924</f>
        <v/>
      </c>
      <c r="L924" s="55">
        <f>VLOOKUP(D924,Products!$A$2:$F$61,3,FALSE())</f>
        <v/>
      </c>
      <c r="M924" s="55">
        <f>VLOOKUP(C924,Customers!$A$2:$F$301,5,FALSE())</f>
        <v/>
      </c>
      <c r="N924" s="55">
        <f>VLOOKUP(E924,Sales_Reps!$A$2:$E$31,3,FALSE())</f>
        <v/>
      </c>
      <c r="O924" s="55">
        <f>VLOOKUP(D924,Products!$A$2:$F$61,4,FALSE())</f>
        <v/>
      </c>
      <c r="P924" s="55">
        <f>VLOOKUP(C924,Customers!$A$2:$F$301,3,FALSE())</f>
        <v/>
      </c>
      <c r="Q924" s="55">
        <f>UPPER(TRIM(K924))</f>
        <v/>
      </c>
      <c r="R924" s="55">
        <f>(G924-O924)/G924</f>
        <v/>
      </c>
      <c r="S924" s="55">
        <f>VLOOKUP(D924,Products!$A$2:$F$61,6,FALSE())</f>
        <v/>
      </c>
    </row>
    <row r="925" ht="15" customHeight="1" s="56">
      <c r="A925" s="55">
        <f>Orders!A925</f>
        <v/>
      </c>
      <c r="B925" s="103">
        <f>Orders!B925</f>
        <v/>
      </c>
      <c r="C925" s="55">
        <f>Orders!C925</f>
        <v/>
      </c>
      <c r="D925" s="55">
        <f>Orders!D925</f>
        <v/>
      </c>
      <c r="E925" s="55">
        <f>Orders!E925</f>
        <v/>
      </c>
      <c r="F925" s="55">
        <f>Orders!F925</f>
        <v/>
      </c>
      <c r="G925" s="55">
        <f>Orders!G925</f>
        <v/>
      </c>
      <c r="H925" s="55">
        <f>Orders!H925</f>
        <v/>
      </c>
      <c r="I925" s="55">
        <f>Orders!I925</f>
        <v/>
      </c>
      <c r="J925" s="55">
        <f>Orders!J925</f>
        <v/>
      </c>
      <c r="K925" s="55">
        <f>Orders!K925</f>
        <v/>
      </c>
      <c r="L925" s="55">
        <f>VLOOKUP(D925,Products!$A$2:$F$61,3,FALSE())</f>
        <v/>
      </c>
      <c r="M925" s="55">
        <f>VLOOKUP(C925,Customers!$A$2:$F$301,5,FALSE())</f>
        <v/>
      </c>
      <c r="N925" s="55">
        <f>VLOOKUP(E925,Sales_Reps!$A$2:$E$31,3,FALSE())</f>
        <v/>
      </c>
      <c r="O925" s="55">
        <f>VLOOKUP(D925,Products!$A$2:$F$61,4,FALSE())</f>
        <v/>
      </c>
      <c r="P925" s="55">
        <f>VLOOKUP(C925,Customers!$A$2:$F$301,3,FALSE())</f>
        <v/>
      </c>
      <c r="Q925" s="55">
        <f>UPPER(TRIM(K925))</f>
        <v/>
      </c>
      <c r="R925" s="55">
        <f>(G925-O925)/G925</f>
        <v/>
      </c>
      <c r="S925" s="55">
        <f>VLOOKUP(D925,Products!$A$2:$F$61,6,FALSE())</f>
        <v/>
      </c>
    </row>
    <row r="926" ht="15" customHeight="1" s="56">
      <c r="A926" s="55">
        <f>Orders!A926</f>
        <v/>
      </c>
      <c r="B926" s="103">
        <f>Orders!B926</f>
        <v/>
      </c>
      <c r="C926" s="55">
        <f>Orders!C926</f>
        <v/>
      </c>
      <c r="D926" s="55">
        <f>Orders!D926</f>
        <v/>
      </c>
      <c r="E926" s="55">
        <f>Orders!E926</f>
        <v/>
      </c>
      <c r="F926" s="55">
        <f>Orders!F926</f>
        <v/>
      </c>
      <c r="G926" s="55">
        <f>Orders!G926</f>
        <v/>
      </c>
      <c r="H926" s="55">
        <f>Orders!H926</f>
        <v/>
      </c>
      <c r="I926" s="55">
        <f>Orders!I926</f>
        <v/>
      </c>
      <c r="J926" s="55">
        <f>Orders!J926</f>
        <v/>
      </c>
      <c r="K926" s="55">
        <f>Orders!K926</f>
        <v/>
      </c>
      <c r="L926" s="55">
        <f>VLOOKUP(D926,Products!$A$2:$F$61,3,FALSE())</f>
        <v/>
      </c>
      <c r="M926" s="55">
        <f>VLOOKUP(C926,Customers!$A$2:$F$301,5,FALSE())</f>
        <v/>
      </c>
      <c r="N926" s="55">
        <f>VLOOKUP(E926,Sales_Reps!$A$2:$E$31,3,FALSE())</f>
        <v/>
      </c>
      <c r="O926" s="55">
        <f>VLOOKUP(D926,Products!$A$2:$F$61,4,FALSE())</f>
        <v/>
      </c>
      <c r="P926" s="55">
        <f>VLOOKUP(C926,Customers!$A$2:$F$301,3,FALSE())</f>
        <v/>
      </c>
      <c r="Q926" s="55">
        <f>UPPER(TRIM(K926))</f>
        <v/>
      </c>
      <c r="R926" s="55">
        <f>(G926-O926)/G926</f>
        <v/>
      </c>
      <c r="S926" s="55">
        <f>VLOOKUP(D926,Products!$A$2:$F$61,6,FALSE())</f>
        <v/>
      </c>
    </row>
    <row r="927" ht="15" customHeight="1" s="56">
      <c r="A927" s="55">
        <f>Orders!A927</f>
        <v/>
      </c>
      <c r="B927" s="103">
        <f>Orders!B927</f>
        <v/>
      </c>
      <c r="C927" s="55">
        <f>Orders!C927</f>
        <v/>
      </c>
      <c r="D927" s="55">
        <f>Orders!D927</f>
        <v/>
      </c>
      <c r="E927" s="55">
        <f>Orders!E927</f>
        <v/>
      </c>
      <c r="F927" s="55">
        <f>Orders!F927</f>
        <v/>
      </c>
      <c r="G927" s="55">
        <f>Orders!G927</f>
        <v/>
      </c>
      <c r="H927" s="55">
        <f>Orders!H927</f>
        <v/>
      </c>
      <c r="I927" s="55">
        <f>Orders!I927</f>
        <v/>
      </c>
      <c r="J927" s="55">
        <f>Orders!J927</f>
        <v/>
      </c>
      <c r="K927" s="55">
        <f>Orders!K927</f>
        <v/>
      </c>
      <c r="L927" s="55">
        <f>VLOOKUP(D927,Products!$A$2:$F$61,3,FALSE())</f>
        <v/>
      </c>
      <c r="M927" s="55">
        <f>VLOOKUP(C927,Customers!$A$2:$F$301,5,FALSE())</f>
        <v/>
      </c>
      <c r="N927" s="55">
        <f>VLOOKUP(E927,Sales_Reps!$A$2:$E$31,3,FALSE())</f>
        <v/>
      </c>
      <c r="O927" s="55">
        <f>VLOOKUP(D927,Products!$A$2:$F$61,4,FALSE())</f>
        <v/>
      </c>
      <c r="P927" s="55">
        <f>VLOOKUP(C927,Customers!$A$2:$F$301,3,FALSE())</f>
        <v/>
      </c>
      <c r="Q927" s="55">
        <f>UPPER(TRIM(K927))</f>
        <v/>
      </c>
      <c r="R927" s="55">
        <f>(G927-O927)/G927</f>
        <v/>
      </c>
      <c r="S927" s="55">
        <f>VLOOKUP(D927,Products!$A$2:$F$61,6,FALSE())</f>
        <v/>
      </c>
    </row>
    <row r="928" ht="15" customHeight="1" s="56">
      <c r="A928" s="55">
        <f>Orders!A928</f>
        <v/>
      </c>
      <c r="B928" s="103">
        <f>Orders!B928</f>
        <v/>
      </c>
      <c r="C928" s="55">
        <f>Orders!C928</f>
        <v/>
      </c>
      <c r="D928" s="55">
        <f>Orders!D928</f>
        <v/>
      </c>
      <c r="E928" s="55">
        <f>Orders!E928</f>
        <v/>
      </c>
      <c r="F928" s="55">
        <f>Orders!F928</f>
        <v/>
      </c>
      <c r="G928" s="55">
        <f>Orders!G928</f>
        <v/>
      </c>
      <c r="H928" s="55">
        <f>Orders!H928</f>
        <v/>
      </c>
      <c r="I928" s="55">
        <f>Orders!I928</f>
        <v/>
      </c>
      <c r="J928" s="55">
        <f>Orders!J928</f>
        <v/>
      </c>
      <c r="K928" s="55">
        <f>Orders!K928</f>
        <v/>
      </c>
      <c r="L928" s="55">
        <f>VLOOKUP(D928,Products!$A$2:$F$61,3,FALSE())</f>
        <v/>
      </c>
      <c r="M928" s="55">
        <f>VLOOKUP(C928,Customers!$A$2:$F$301,5,FALSE())</f>
        <v/>
      </c>
      <c r="N928" s="55">
        <f>VLOOKUP(E928,Sales_Reps!$A$2:$E$31,3,FALSE())</f>
        <v/>
      </c>
      <c r="O928" s="55">
        <f>VLOOKUP(D928,Products!$A$2:$F$61,4,FALSE())</f>
        <v/>
      </c>
      <c r="P928" s="55">
        <f>VLOOKUP(C928,Customers!$A$2:$F$301,3,FALSE())</f>
        <v/>
      </c>
      <c r="Q928" s="55">
        <f>UPPER(TRIM(K928))</f>
        <v/>
      </c>
      <c r="R928" s="55">
        <f>(G928-O928)/G928</f>
        <v/>
      </c>
      <c r="S928" s="55">
        <f>VLOOKUP(D928,Products!$A$2:$F$61,6,FALSE())</f>
        <v/>
      </c>
    </row>
    <row r="929" ht="15" customHeight="1" s="56">
      <c r="A929" s="55">
        <f>Orders!A929</f>
        <v/>
      </c>
      <c r="B929" s="103">
        <f>Orders!B929</f>
        <v/>
      </c>
      <c r="C929" s="55">
        <f>Orders!C929</f>
        <v/>
      </c>
      <c r="D929" s="55">
        <f>Orders!D929</f>
        <v/>
      </c>
      <c r="E929" s="55">
        <f>Orders!E929</f>
        <v/>
      </c>
      <c r="F929" s="55">
        <f>Orders!F929</f>
        <v/>
      </c>
      <c r="G929" s="55">
        <f>Orders!G929</f>
        <v/>
      </c>
      <c r="H929" s="55">
        <f>Orders!H929</f>
        <v/>
      </c>
      <c r="I929" s="55">
        <f>Orders!I929</f>
        <v/>
      </c>
      <c r="J929" s="55">
        <f>Orders!J929</f>
        <v/>
      </c>
      <c r="K929" s="55">
        <f>Orders!K929</f>
        <v/>
      </c>
      <c r="L929" s="55">
        <f>VLOOKUP(D929,Products!$A$2:$F$61,3,FALSE())</f>
        <v/>
      </c>
      <c r="M929" s="55">
        <f>VLOOKUP(C929,Customers!$A$2:$F$301,5,FALSE())</f>
        <v/>
      </c>
      <c r="N929" s="55">
        <f>VLOOKUP(E929,Sales_Reps!$A$2:$E$31,3,FALSE())</f>
        <v/>
      </c>
      <c r="O929" s="55">
        <f>VLOOKUP(D929,Products!$A$2:$F$61,4,FALSE())</f>
        <v/>
      </c>
      <c r="P929" s="55">
        <f>VLOOKUP(C929,Customers!$A$2:$F$301,3,FALSE())</f>
        <v/>
      </c>
      <c r="Q929" s="55">
        <f>UPPER(TRIM(K929))</f>
        <v/>
      </c>
      <c r="R929" s="55">
        <f>(G929-O929)/G929</f>
        <v/>
      </c>
      <c r="S929" s="55">
        <f>VLOOKUP(D929,Products!$A$2:$F$61,6,FALSE())</f>
        <v/>
      </c>
    </row>
    <row r="930" ht="15" customHeight="1" s="56">
      <c r="A930" s="55">
        <f>Orders!A930</f>
        <v/>
      </c>
      <c r="B930" s="103">
        <f>Orders!B930</f>
        <v/>
      </c>
      <c r="C930" s="55">
        <f>Orders!C930</f>
        <v/>
      </c>
      <c r="D930" s="55">
        <f>Orders!D930</f>
        <v/>
      </c>
      <c r="E930" s="55">
        <f>Orders!E930</f>
        <v/>
      </c>
      <c r="F930" s="55">
        <f>Orders!F930</f>
        <v/>
      </c>
      <c r="G930" s="55">
        <f>Orders!G930</f>
        <v/>
      </c>
      <c r="H930" s="55">
        <f>Orders!H930</f>
        <v/>
      </c>
      <c r="I930" s="55">
        <f>Orders!I930</f>
        <v/>
      </c>
      <c r="J930" s="55">
        <f>Orders!J930</f>
        <v/>
      </c>
      <c r="K930" s="55">
        <f>Orders!K930</f>
        <v/>
      </c>
      <c r="L930" s="55">
        <f>VLOOKUP(D930,Products!$A$2:$F$61,3,FALSE())</f>
        <v/>
      </c>
      <c r="M930" s="55">
        <f>VLOOKUP(C930,Customers!$A$2:$F$301,5,FALSE())</f>
        <v/>
      </c>
      <c r="N930" s="55">
        <f>VLOOKUP(E930,Sales_Reps!$A$2:$E$31,3,FALSE())</f>
        <v/>
      </c>
      <c r="O930" s="55">
        <f>VLOOKUP(D930,Products!$A$2:$F$61,4,FALSE())</f>
        <v/>
      </c>
      <c r="P930" s="55">
        <f>VLOOKUP(C930,Customers!$A$2:$F$301,3,FALSE())</f>
        <v/>
      </c>
      <c r="Q930" s="55">
        <f>UPPER(TRIM(K930))</f>
        <v/>
      </c>
      <c r="R930" s="55">
        <f>(G930-O930)/G930</f>
        <v/>
      </c>
      <c r="S930" s="55">
        <f>VLOOKUP(D930,Products!$A$2:$F$61,6,FALSE())</f>
        <v/>
      </c>
    </row>
    <row r="931" ht="15" customHeight="1" s="56">
      <c r="A931" s="55">
        <f>Orders!A931</f>
        <v/>
      </c>
      <c r="B931" s="103">
        <f>Orders!B931</f>
        <v/>
      </c>
      <c r="C931" s="55">
        <f>Orders!C931</f>
        <v/>
      </c>
      <c r="D931" s="55">
        <f>Orders!D931</f>
        <v/>
      </c>
      <c r="E931" s="55">
        <f>Orders!E931</f>
        <v/>
      </c>
      <c r="F931" s="55">
        <f>Orders!F931</f>
        <v/>
      </c>
      <c r="G931" s="55">
        <f>Orders!G931</f>
        <v/>
      </c>
      <c r="H931" s="55">
        <f>Orders!H931</f>
        <v/>
      </c>
      <c r="I931" s="55">
        <f>Orders!I931</f>
        <v/>
      </c>
      <c r="J931" s="55">
        <f>Orders!J931</f>
        <v/>
      </c>
      <c r="K931" s="55">
        <f>Orders!K931</f>
        <v/>
      </c>
      <c r="L931" s="55">
        <f>VLOOKUP(D931,Products!$A$2:$F$61,3,FALSE())</f>
        <v/>
      </c>
      <c r="M931" s="55">
        <f>VLOOKUP(C931,Customers!$A$2:$F$301,5,FALSE())</f>
        <v/>
      </c>
      <c r="N931" s="55">
        <f>VLOOKUP(E931,Sales_Reps!$A$2:$E$31,3,FALSE())</f>
        <v/>
      </c>
      <c r="O931" s="55">
        <f>VLOOKUP(D931,Products!$A$2:$F$61,4,FALSE())</f>
        <v/>
      </c>
      <c r="P931" s="55">
        <f>VLOOKUP(C931,Customers!$A$2:$F$301,3,FALSE())</f>
        <v/>
      </c>
      <c r="Q931" s="55">
        <f>UPPER(TRIM(K931))</f>
        <v/>
      </c>
      <c r="R931" s="55">
        <f>(G931-O931)/G931</f>
        <v/>
      </c>
      <c r="S931" s="55">
        <f>VLOOKUP(D931,Products!$A$2:$F$61,6,FALSE())</f>
        <v/>
      </c>
    </row>
    <row r="932" ht="15" customHeight="1" s="56">
      <c r="A932" s="55">
        <f>Orders!A932</f>
        <v/>
      </c>
      <c r="B932" s="103">
        <f>Orders!B932</f>
        <v/>
      </c>
      <c r="C932" s="55">
        <f>Orders!C932</f>
        <v/>
      </c>
      <c r="D932" s="55">
        <f>Orders!D932</f>
        <v/>
      </c>
      <c r="E932" s="55">
        <f>Orders!E932</f>
        <v/>
      </c>
      <c r="F932" s="55">
        <f>Orders!F932</f>
        <v/>
      </c>
      <c r="G932" s="55">
        <f>Orders!G932</f>
        <v/>
      </c>
      <c r="H932" s="55">
        <f>Orders!H932</f>
        <v/>
      </c>
      <c r="I932" s="55">
        <f>Orders!I932</f>
        <v/>
      </c>
      <c r="J932" s="55">
        <f>Orders!J932</f>
        <v/>
      </c>
      <c r="K932" s="55">
        <f>Orders!K932</f>
        <v/>
      </c>
      <c r="L932" s="55">
        <f>VLOOKUP(D932,Products!$A$2:$F$61,3,FALSE())</f>
        <v/>
      </c>
      <c r="M932" s="55">
        <f>VLOOKUP(C932,Customers!$A$2:$F$301,5,FALSE())</f>
        <v/>
      </c>
      <c r="N932" s="55">
        <f>VLOOKUP(E932,Sales_Reps!$A$2:$E$31,3,FALSE())</f>
        <v/>
      </c>
      <c r="O932" s="55">
        <f>VLOOKUP(D932,Products!$A$2:$F$61,4,FALSE())</f>
        <v/>
      </c>
      <c r="P932" s="55">
        <f>VLOOKUP(C932,Customers!$A$2:$F$301,3,FALSE())</f>
        <v/>
      </c>
      <c r="Q932" s="55">
        <f>UPPER(TRIM(K932))</f>
        <v/>
      </c>
      <c r="R932" s="55">
        <f>(G932-O932)/G932</f>
        <v/>
      </c>
      <c r="S932" s="55">
        <f>VLOOKUP(D932,Products!$A$2:$F$61,6,FALSE())</f>
        <v/>
      </c>
    </row>
    <row r="933" ht="15" customHeight="1" s="56">
      <c r="A933" s="55">
        <f>Orders!A933</f>
        <v/>
      </c>
      <c r="B933" s="103">
        <f>Orders!B933</f>
        <v/>
      </c>
      <c r="C933" s="55">
        <f>Orders!C933</f>
        <v/>
      </c>
      <c r="D933" s="55">
        <f>Orders!D933</f>
        <v/>
      </c>
      <c r="E933" s="55">
        <f>Orders!E933</f>
        <v/>
      </c>
      <c r="F933" s="55">
        <f>Orders!F933</f>
        <v/>
      </c>
      <c r="G933" s="55">
        <f>Orders!G933</f>
        <v/>
      </c>
      <c r="H933" s="55">
        <f>Orders!H933</f>
        <v/>
      </c>
      <c r="I933" s="55">
        <f>Orders!I933</f>
        <v/>
      </c>
      <c r="J933" s="55">
        <f>Orders!J933</f>
        <v/>
      </c>
      <c r="K933" s="55">
        <f>Orders!K933</f>
        <v/>
      </c>
      <c r="L933" s="55">
        <f>VLOOKUP(D933,Products!$A$2:$F$61,3,FALSE())</f>
        <v/>
      </c>
      <c r="M933" s="55">
        <f>VLOOKUP(C933,Customers!$A$2:$F$301,5,FALSE())</f>
        <v/>
      </c>
      <c r="N933" s="55">
        <f>VLOOKUP(E933,Sales_Reps!$A$2:$E$31,3,FALSE())</f>
        <v/>
      </c>
      <c r="O933" s="55">
        <f>VLOOKUP(D933,Products!$A$2:$F$61,4,FALSE())</f>
        <v/>
      </c>
      <c r="P933" s="55">
        <f>VLOOKUP(C933,Customers!$A$2:$F$301,3,FALSE())</f>
        <v/>
      </c>
      <c r="Q933" s="55">
        <f>UPPER(TRIM(K933))</f>
        <v/>
      </c>
      <c r="R933" s="55">
        <f>(G933-O933)/G933</f>
        <v/>
      </c>
      <c r="S933" s="55">
        <f>VLOOKUP(D933,Products!$A$2:$F$61,6,FALSE())</f>
        <v/>
      </c>
    </row>
    <row r="934" ht="15" customHeight="1" s="56">
      <c r="A934" s="55">
        <f>Orders!A934</f>
        <v/>
      </c>
      <c r="B934" s="103">
        <f>Orders!B934</f>
        <v/>
      </c>
      <c r="C934" s="55">
        <f>Orders!C934</f>
        <v/>
      </c>
      <c r="D934" s="55">
        <f>Orders!D934</f>
        <v/>
      </c>
      <c r="E934" s="55">
        <f>Orders!E934</f>
        <v/>
      </c>
      <c r="F934" s="55">
        <f>Orders!F934</f>
        <v/>
      </c>
      <c r="G934" s="55">
        <f>Orders!G934</f>
        <v/>
      </c>
      <c r="H934" s="55">
        <f>Orders!H934</f>
        <v/>
      </c>
      <c r="I934" s="55">
        <f>Orders!I934</f>
        <v/>
      </c>
      <c r="J934" s="55">
        <f>Orders!J934</f>
        <v/>
      </c>
      <c r="K934" s="55">
        <f>Orders!K934</f>
        <v/>
      </c>
      <c r="L934" s="55">
        <f>VLOOKUP(D934,Products!$A$2:$F$61,3,FALSE())</f>
        <v/>
      </c>
      <c r="M934" s="55">
        <f>VLOOKUP(C934,Customers!$A$2:$F$301,5,FALSE())</f>
        <v/>
      </c>
      <c r="N934" s="55">
        <f>VLOOKUP(E934,Sales_Reps!$A$2:$E$31,3,FALSE())</f>
        <v/>
      </c>
      <c r="O934" s="55">
        <f>VLOOKUP(D934,Products!$A$2:$F$61,4,FALSE())</f>
        <v/>
      </c>
      <c r="P934" s="55">
        <f>VLOOKUP(C934,Customers!$A$2:$F$301,3,FALSE())</f>
        <v/>
      </c>
      <c r="Q934" s="55">
        <f>UPPER(TRIM(K934))</f>
        <v/>
      </c>
      <c r="R934" s="55">
        <f>(G934-O934)/G934</f>
        <v/>
      </c>
      <c r="S934" s="55">
        <f>VLOOKUP(D934,Products!$A$2:$F$61,6,FALSE())</f>
        <v/>
      </c>
    </row>
    <row r="935" ht="15" customHeight="1" s="56">
      <c r="A935" s="55">
        <f>Orders!A935</f>
        <v/>
      </c>
      <c r="B935" s="103">
        <f>Orders!B935</f>
        <v/>
      </c>
      <c r="C935" s="55">
        <f>Orders!C935</f>
        <v/>
      </c>
      <c r="D935" s="55">
        <f>Orders!D935</f>
        <v/>
      </c>
      <c r="E935" s="55">
        <f>Orders!E935</f>
        <v/>
      </c>
      <c r="F935" s="55">
        <f>Orders!F935</f>
        <v/>
      </c>
      <c r="G935" s="55">
        <f>Orders!G935</f>
        <v/>
      </c>
      <c r="H935" s="55">
        <f>Orders!H935</f>
        <v/>
      </c>
      <c r="I935" s="55">
        <f>Orders!I935</f>
        <v/>
      </c>
      <c r="J935" s="55">
        <f>Orders!J935</f>
        <v/>
      </c>
      <c r="K935" s="55">
        <f>Orders!K935</f>
        <v/>
      </c>
      <c r="L935" s="55">
        <f>VLOOKUP(D935,Products!$A$2:$F$61,3,FALSE())</f>
        <v/>
      </c>
      <c r="M935" s="55">
        <f>VLOOKUP(C935,Customers!$A$2:$F$301,5,FALSE())</f>
        <v/>
      </c>
      <c r="N935" s="55">
        <f>VLOOKUP(E935,Sales_Reps!$A$2:$E$31,3,FALSE())</f>
        <v/>
      </c>
      <c r="O935" s="55">
        <f>VLOOKUP(D935,Products!$A$2:$F$61,4,FALSE())</f>
        <v/>
      </c>
      <c r="P935" s="55">
        <f>VLOOKUP(C935,Customers!$A$2:$F$301,3,FALSE())</f>
        <v/>
      </c>
      <c r="Q935" s="55">
        <f>UPPER(TRIM(K935))</f>
        <v/>
      </c>
      <c r="R935" s="55">
        <f>(G935-O935)/G935</f>
        <v/>
      </c>
      <c r="S935" s="55">
        <f>VLOOKUP(D935,Products!$A$2:$F$61,6,FALSE())</f>
        <v/>
      </c>
    </row>
    <row r="936" ht="15" customHeight="1" s="56">
      <c r="A936" s="55">
        <f>Orders!A936</f>
        <v/>
      </c>
      <c r="B936" s="103">
        <f>Orders!B936</f>
        <v/>
      </c>
      <c r="C936" s="55">
        <f>Orders!C936</f>
        <v/>
      </c>
      <c r="D936" s="55">
        <f>Orders!D936</f>
        <v/>
      </c>
      <c r="E936" s="55">
        <f>Orders!E936</f>
        <v/>
      </c>
      <c r="F936" s="55">
        <f>Orders!F936</f>
        <v/>
      </c>
      <c r="G936" s="55">
        <f>Orders!G936</f>
        <v/>
      </c>
      <c r="H936" s="55">
        <f>Orders!H936</f>
        <v/>
      </c>
      <c r="I936" s="55">
        <f>Orders!I936</f>
        <v/>
      </c>
      <c r="J936" s="55">
        <f>Orders!J936</f>
        <v/>
      </c>
      <c r="K936" s="55">
        <f>Orders!K936</f>
        <v/>
      </c>
      <c r="L936" s="55">
        <f>VLOOKUP(D936,Products!$A$2:$F$61,3,FALSE())</f>
        <v/>
      </c>
      <c r="M936" s="55">
        <f>VLOOKUP(C936,Customers!$A$2:$F$301,5,FALSE())</f>
        <v/>
      </c>
      <c r="N936" s="55">
        <f>VLOOKUP(E936,Sales_Reps!$A$2:$E$31,3,FALSE())</f>
        <v/>
      </c>
      <c r="O936" s="55">
        <f>VLOOKUP(D936,Products!$A$2:$F$61,4,FALSE())</f>
        <v/>
      </c>
      <c r="P936" s="55">
        <f>VLOOKUP(C936,Customers!$A$2:$F$301,3,FALSE())</f>
        <v/>
      </c>
      <c r="Q936" s="55">
        <f>UPPER(TRIM(K936))</f>
        <v/>
      </c>
      <c r="R936" s="55">
        <f>(G936-O936)/G936</f>
        <v/>
      </c>
      <c r="S936" s="55">
        <f>VLOOKUP(D936,Products!$A$2:$F$61,6,FALSE())</f>
        <v/>
      </c>
    </row>
    <row r="937" ht="15" customHeight="1" s="56">
      <c r="A937" s="55">
        <f>Orders!A937</f>
        <v/>
      </c>
      <c r="B937" s="103">
        <f>Orders!B937</f>
        <v/>
      </c>
      <c r="C937" s="55">
        <f>Orders!C937</f>
        <v/>
      </c>
      <c r="D937" s="55">
        <f>Orders!D937</f>
        <v/>
      </c>
      <c r="E937" s="55">
        <f>Orders!E937</f>
        <v/>
      </c>
      <c r="F937" s="55">
        <f>Orders!F937</f>
        <v/>
      </c>
      <c r="G937" s="55">
        <f>Orders!G937</f>
        <v/>
      </c>
      <c r="H937" s="55">
        <f>Orders!H937</f>
        <v/>
      </c>
      <c r="I937" s="55">
        <f>Orders!I937</f>
        <v/>
      </c>
      <c r="J937" s="55">
        <f>Orders!J937</f>
        <v/>
      </c>
      <c r="K937" s="55">
        <f>Orders!K937</f>
        <v/>
      </c>
      <c r="L937" s="55">
        <f>VLOOKUP(D937,Products!$A$2:$F$61,3,FALSE())</f>
        <v/>
      </c>
      <c r="M937" s="55">
        <f>VLOOKUP(C937,Customers!$A$2:$F$301,5,FALSE())</f>
        <v/>
      </c>
      <c r="N937" s="55">
        <f>VLOOKUP(E937,Sales_Reps!$A$2:$E$31,3,FALSE())</f>
        <v/>
      </c>
      <c r="O937" s="55">
        <f>VLOOKUP(D937,Products!$A$2:$F$61,4,FALSE())</f>
        <v/>
      </c>
      <c r="P937" s="55">
        <f>VLOOKUP(C937,Customers!$A$2:$F$301,3,FALSE())</f>
        <v/>
      </c>
      <c r="Q937" s="55">
        <f>UPPER(TRIM(K937))</f>
        <v/>
      </c>
      <c r="R937" s="55">
        <f>(G937-O937)/G937</f>
        <v/>
      </c>
      <c r="S937" s="55">
        <f>VLOOKUP(D937,Products!$A$2:$F$61,6,FALSE())</f>
        <v/>
      </c>
    </row>
    <row r="938" ht="15" customHeight="1" s="56">
      <c r="A938" s="55">
        <f>Orders!A938</f>
        <v/>
      </c>
      <c r="B938" s="103">
        <f>Orders!B938</f>
        <v/>
      </c>
      <c r="C938" s="55">
        <f>Orders!C938</f>
        <v/>
      </c>
      <c r="D938" s="55">
        <f>Orders!D938</f>
        <v/>
      </c>
      <c r="E938" s="55">
        <f>Orders!E938</f>
        <v/>
      </c>
      <c r="F938" s="55">
        <f>Orders!F938</f>
        <v/>
      </c>
      <c r="G938" s="55">
        <f>Orders!G938</f>
        <v/>
      </c>
      <c r="H938" s="55">
        <f>Orders!H938</f>
        <v/>
      </c>
      <c r="I938" s="55">
        <f>Orders!I938</f>
        <v/>
      </c>
      <c r="J938" s="55">
        <f>Orders!J938</f>
        <v/>
      </c>
      <c r="K938" s="55">
        <f>Orders!K938</f>
        <v/>
      </c>
      <c r="L938" s="55">
        <f>VLOOKUP(D938,Products!$A$2:$F$61,3,FALSE())</f>
        <v/>
      </c>
      <c r="M938" s="55">
        <f>VLOOKUP(C938,Customers!$A$2:$F$301,5,FALSE())</f>
        <v/>
      </c>
      <c r="N938" s="55">
        <f>VLOOKUP(E938,Sales_Reps!$A$2:$E$31,3,FALSE())</f>
        <v/>
      </c>
      <c r="O938" s="55">
        <f>VLOOKUP(D938,Products!$A$2:$F$61,4,FALSE())</f>
        <v/>
      </c>
      <c r="P938" s="55">
        <f>VLOOKUP(C938,Customers!$A$2:$F$301,3,FALSE())</f>
        <v/>
      </c>
      <c r="Q938" s="55">
        <f>UPPER(TRIM(K938))</f>
        <v/>
      </c>
      <c r="R938" s="55">
        <f>(G938-O938)/G938</f>
        <v/>
      </c>
      <c r="S938" s="55">
        <f>VLOOKUP(D938,Products!$A$2:$F$61,6,FALSE())</f>
        <v/>
      </c>
    </row>
    <row r="939" ht="15" customHeight="1" s="56">
      <c r="A939" s="55">
        <f>Orders!A939</f>
        <v/>
      </c>
      <c r="B939" s="103">
        <f>Orders!B939</f>
        <v/>
      </c>
      <c r="C939" s="55">
        <f>Orders!C939</f>
        <v/>
      </c>
      <c r="D939" s="55">
        <f>Orders!D939</f>
        <v/>
      </c>
      <c r="E939" s="55">
        <f>Orders!E939</f>
        <v/>
      </c>
      <c r="F939" s="55">
        <f>Orders!F939</f>
        <v/>
      </c>
      <c r="G939" s="55">
        <f>Orders!G939</f>
        <v/>
      </c>
      <c r="H939" s="55">
        <f>Orders!H939</f>
        <v/>
      </c>
      <c r="I939" s="55">
        <f>Orders!I939</f>
        <v/>
      </c>
      <c r="J939" s="55">
        <f>Orders!J939</f>
        <v/>
      </c>
      <c r="K939" s="55">
        <f>Orders!K939</f>
        <v/>
      </c>
      <c r="L939" s="55">
        <f>VLOOKUP(D939,Products!$A$2:$F$61,3,FALSE())</f>
        <v/>
      </c>
      <c r="M939" s="55">
        <f>VLOOKUP(C939,Customers!$A$2:$F$301,5,FALSE())</f>
        <v/>
      </c>
      <c r="N939" s="55">
        <f>VLOOKUP(E939,Sales_Reps!$A$2:$E$31,3,FALSE())</f>
        <v/>
      </c>
      <c r="O939" s="55">
        <f>VLOOKUP(D939,Products!$A$2:$F$61,4,FALSE())</f>
        <v/>
      </c>
      <c r="P939" s="55">
        <f>VLOOKUP(C939,Customers!$A$2:$F$301,3,FALSE())</f>
        <v/>
      </c>
      <c r="Q939" s="55">
        <f>UPPER(TRIM(K939))</f>
        <v/>
      </c>
      <c r="R939" s="55">
        <f>(G939-O939)/G939</f>
        <v/>
      </c>
      <c r="S939" s="55">
        <f>VLOOKUP(D939,Products!$A$2:$F$61,6,FALSE())</f>
        <v/>
      </c>
    </row>
    <row r="940" ht="15" customHeight="1" s="56">
      <c r="A940" s="55">
        <f>Orders!A940</f>
        <v/>
      </c>
      <c r="B940" s="103">
        <f>Orders!B940</f>
        <v/>
      </c>
      <c r="C940" s="55">
        <f>Orders!C940</f>
        <v/>
      </c>
      <c r="D940" s="55">
        <f>Orders!D940</f>
        <v/>
      </c>
      <c r="E940" s="55">
        <f>Orders!E940</f>
        <v/>
      </c>
      <c r="F940" s="55">
        <f>Orders!F940</f>
        <v/>
      </c>
      <c r="G940" s="55">
        <f>Orders!G940</f>
        <v/>
      </c>
      <c r="H940" s="55">
        <f>Orders!H940</f>
        <v/>
      </c>
      <c r="I940" s="55">
        <f>Orders!I940</f>
        <v/>
      </c>
      <c r="J940" s="55">
        <f>Orders!J940</f>
        <v/>
      </c>
      <c r="K940" s="55">
        <f>Orders!K940</f>
        <v/>
      </c>
      <c r="L940" s="55">
        <f>VLOOKUP(D940,Products!$A$2:$F$61,3,FALSE())</f>
        <v/>
      </c>
      <c r="M940" s="55">
        <f>VLOOKUP(C940,Customers!$A$2:$F$301,5,FALSE())</f>
        <v/>
      </c>
      <c r="N940" s="55">
        <f>VLOOKUP(E940,Sales_Reps!$A$2:$E$31,3,FALSE())</f>
        <v/>
      </c>
      <c r="O940" s="55">
        <f>VLOOKUP(D940,Products!$A$2:$F$61,4,FALSE())</f>
        <v/>
      </c>
      <c r="P940" s="55">
        <f>VLOOKUP(C940,Customers!$A$2:$F$301,3,FALSE())</f>
        <v/>
      </c>
      <c r="Q940" s="55">
        <f>UPPER(TRIM(K940))</f>
        <v/>
      </c>
      <c r="R940" s="55">
        <f>(G940-O940)/G940</f>
        <v/>
      </c>
      <c r="S940" s="55">
        <f>VLOOKUP(D940,Products!$A$2:$F$61,6,FALSE())</f>
        <v/>
      </c>
    </row>
    <row r="941" ht="15" customHeight="1" s="56">
      <c r="A941" s="55">
        <f>Orders!A941</f>
        <v/>
      </c>
      <c r="B941" s="103">
        <f>Orders!B941</f>
        <v/>
      </c>
      <c r="C941" s="55">
        <f>Orders!C941</f>
        <v/>
      </c>
      <c r="D941" s="55">
        <f>Orders!D941</f>
        <v/>
      </c>
      <c r="E941" s="55">
        <f>Orders!E941</f>
        <v/>
      </c>
      <c r="F941" s="55">
        <f>Orders!F941</f>
        <v/>
      </c>
      <c r="G941" s="55">
        <f>Orders!G941</f>
        <v/>
      </c>
      <c r="H941" s="55">
        <f>Orders!H941</f>
        <v/>
      </c>
      <c r="I941" s="55">
        <f>Orders!I941</f>
        <v/>
      </c>
      <c r="J941" s="55">
        <f>Orders!J941</f>
        <v/>
      </c>
      <c r="K941" s="55">
        <f>Orders!K941</f>
        <v/>
      </c>
      <c r="L941" s="55">
        <f>VLOOKUP(D941,Products!$A$2:$F$61,3,FALSE())</f>
        <v/>
      </c>
      <c r="M941" s="55">
        <f>VLOOKUP(C941,Customers!$A$2:$F$301,5,FALSE())</f>
        <v/>
      </c>
      <c r="N941" s="55">
        <f>VLOOKUP(E941,Sales_Reps!$A$2:$E$31,3,FALSE())</f>
        <v/>
      </c>
      <c r="O941" s="55">
        <f>VLOOKUP(D941,Products!$A$2:$F$61,4,FALSE())</f>
        <v/>
      </c>
      <c r="P941" s="55">
        <f>VLOOKUP(C941,Customers!$A$2:$F$301,3,FALSE())</f>
        <v/>
      </c>
      <c r="Q941" s="55">
        <f>UPPER(TRIM(K941))</f>
        <v/>
      </c>
      <c r="R941" s="55">
        <f>(G941-O941)/G941</f>
        <v/>
      </c>
      <c r="S941" s="55">
        <f>VLOOKUP(D941,Products!$A$2:$F$61,6,FALSE())</f>
        <v/>
      </c>
    </row>
    <row r="942" ht="15" customHeight="1" s="56">
      <c r="A942" s="55">
        <f>Orders!A942</f>
        <v/>
      </c>
      <c r="B942" s="103">
        <f>Orders!B942</f>
        <v/>
      </c>
      <c r="C942" s="55">
        <f>Orders!C942</f>
        <v/>
      </c>
      <c r="D942" s="55">
        <f>Orders!D942</f>
        <v/>
      </c>
      <c r="E942" s="55">
        <f>Orders!E942</f>
        <v/>
      </c>
      <c r="F942" s="55">
        <f>Orders!F942</f>
        <v/>
      </c>
      <c r="G942" s="55">
        <f>Orders!G942</f>
        <v/>
      </c>
      <c r="H942" s="55">
        <f>Orders!H942</f>
        <v/>
      </c>
      <c r="I942" s="55">
        <f>Orders!I942</f>
        <v/>
      </c>
      <c r="J942" s="55">
        <f>Orders!J942</f>
        <v/>
      </c>
      <c r="K942" s="55">
        <f>Orders!K942</f>
        <v/>
      </c>
      <c r="L942" s="55">
        <f>VLOOKUP(D942,Products!$A$2:$F$61,3,FALSE())</f>
        <v/>
      </c>
      <c r="M942" s="55">
        <f>VLOOKUP(C942,Customers!$A$2:$F$301,5,FALSE())</f>
        <v/>
      </c>
      <c r="N942" s="55">
        <f>VLOOKUP(E942,Sales_Reps!$A$2:$E$31,3,FALSE())</f>
        <v/>
      </c>
      <c r="O942" s="55">
        <f>VLOOKUP(D942,Products!$A$2:$F$61,4,FALSE())</f>
        <v/>
      </c>
      <c r="P942" s="55">
        <f>VLOOKUP(C942,Customers!$A$2:$F$301,3,FALSE())</f>
        <v/>
      </c>
      <c r="Q942" s="55">
        <f>UPPER(TRIM(K942))</f>
        <v/>
      </c>
      <c r="R942" s="55">
        <f>(G942-O942)/G942</f>
        <v/>
      </c>
      <c r="S942" s="55">
        <f>VLOOKUP(D942,Products!$A$2:$F$61,6,FALSE())</f>
        <v/>
      </c>
    </row>
    <row r="943" ht="15" customHeight="1" s="56">
      <c r="A943" s="55">
        <f>Orders!A943</f>
        <v/>
      </c>
      <c r="B943" s="103">
        <f>Orders!B943</f>
        <v/>
      </c>
      <c r="C943" s="55">
        <f>Orders!C943</f>
        <v/>
      </c>
      <c r="D943" s="55">
        <f>Orders!D943</f>
        <v/>
      </c>
      <c r="E943" s="55">
        <f>Orders!E943</f>
        <v/>
      </c>
      <c r="F943" s="55">
        <f>Orders!F943</f>
        <v/>
      </c>
      <c r="G943" s="55">
        <f>Orders!G943</f>
        <v/>
      </c>
      <c r="H943" s="55">
        <f>Orders!H943</f>
        <v/>
      </c>
      <c r="I943" s="55">
        <f>Orders!I943</f>
        <v/>
      </c>
      <c r="J943" s="55">
        <f>Orders!J943</f>
        <v/>
      </c>
      <c r="K943" s="55">
        <f>Orders!K943</f>
        <v/>
      </c>
      <c r="L943" s="55">
        <f>VLOOKUP(D943,Products!$A$2:$F$61,3,FALSE())</f>
        <v/>
      </c>
      <c r="M943" s="55">
        <f>VLOOKUP(C943,Customers!$A$2:$F$301,5,FALSE())</f>
        <v/>
      </c>
      <c r="N943" s="55">
        <f>VLOOKUP(E943,Sales_Reps!$A$2:$E$31,3,FALSE())</f>
        <v/>
      </c>
      <c r="O943" s="55">
        <f>VLOOKUP(D943,Products!$A$2:$F$61,4,FALSE())</f>
        <v/>
      </c>
      <c r="P943" s="55">
        <f>VLOOKUP(C943,Customers!$A$2:$F$301,3,FALSE())</f>
        <v/>
      </c>
      <c r="Q943" s="55">
        <f>UPPER(TRIM(K943))</f>
        <v/>
      </c>
      <c r="R943" s="55">
        <f>(G943-O943)/G943</f>
        <v/>
      </c>
      <c r="S943" s="55">
        <f>VLOOKUP(D943,Products!$A$2:$F$61,6,FALSE())</f>
        <v/>
      </c>
    </row>
    <row r="944" ht="15" customHeight="1" s="56">
      <c r="A944" s="55">
        <f>Orders!A944</f>
        <v/>
      </c>
      <c r="B944" s="103">
        <f>Orders!B944</f>
        <v/>
      </c>
      <c r="C944" s="55">
        <f>Orders!C944</f>
        <v/>
      </c>
      <c r="D944" s="55">
        <f>Orders!D944</f>
        <v/>
      </c>
      <c r="E944" s="55">
        <f>Orders!E944</f>
        <v/>
      </c>
      <c r="F944" s="55">
        <f>Orders!F944</f>
        <v/>
      </c>
      <c r="G944" s="55">
        <f>Orders!G944</f>
        <v/>
      </c>
      <c r="H944" s="55">
        <f>Orders!H944</f>
        <v/>
      </c>
      <c r="I944" s="55">
        <f>Orders!I944</f>
        <v/>
      </c>
      <c r="J944" s="55">
        <f>Orders!J944</f>
        <v/>
      </c>
      <c r="K944" s="55">
        <f>Orders!K944</f>
        <v/>
      </c>
      <c r="L944" s="55">
        <f>VLOOKUP(D944,Products!$A$2:$F$61,3,FALSE())</f>
        <v/>
      </c>
      <c r="M944" s="55">
        <f>VLOOKUP(C944,Customers!$A$2:$F$301,5,FALSE())</f>
        <v/>
      </c>
      <c r="N944" s="55">
        <f>VLOOKUP(E944,Sales_Reps!$A$2:$E$31,3,FALSE())</f>
        <v/>
      </c>
      <c r="O944" s="55">
        <f>VLOOKUP(D944,Products!$A$2:$F$61,4,FALSE())</f>
        <v/>
      </c>
      <c r="P944" s="55">
        <f>VLOOKUP(C944,Customers!$A$2:$F$301,3,FALSE())</f>
        <v/>
      </c>
      <c r="Q944" s="55">
        <f>UPPER(TRIM(K944))</f>
        <v/>
      </c>
      <c r="R944" s="55">
        <f>(G944-O944)/G944</f>
        <v/>
      </c>
      <c r="S944" s="55">
        <f>VLOOKUP(D944,Products!$A$2:$F$61,6,FALSE())</f>
        <v/>
      </c>
    </row>
    <row r="945" ht="15" customHeight="1" s="56">
      <c r="A945" s="55">
        <f>Orders!A945</f>
        <v/>
      </c>
      <c r="B945" s="103">
        <f>Orders!B945</f>
        <v/>
      </c>
      <c r="C945" s="55">
        <f>Orders!C945</f>
        <v/>
      </c>
      <c r="D945" s="55">
        <f>Orders!D945</f>
        <v/>
      </c>
      <c r="E945" s="55">
        <f>Orders!E945</f>
        <v/>
      </c>
      <c r="F945" s="55">
        <f>Orders!F945</f>
        <v/>
      </c>
      <c r="G945" s="55">
        <f>Orders!G945</f>
        <v/>
      </c>
      <c r="H945" s="55">
        <f>Orders!H945</f>
        <v/>
      </c>
      <c r="I945" s="55">
        <f>Orders!I945</f>
        <v/>
      </c>
      <c r="J945" s="55">
        <f>Orders!J945</f>
        <v/>
      </c>
      <c r="K945" s="55">
        <f>Orders!K945</f>
        <v/>
      </c>
      <c r="L945" s="55">
        <f>VLOOKUP(D945,Products!$A$2:$F$61,3,FALSE())</f>
        <v/>
      </c>
      <c r="M945" s="55">
        <f>VLOOKUP(C945,Customers!$A$2:$F$301,5,FALSE())</f>
        <v/>
      </c>
      <c r="N945" s="55">
        <f>VLOOKUP(E945,Sales_Reps!$A$2:$E$31,3,FALSE())</f>
        <v/>
      </c>
      <c r="O945" s="55">
        <f>VLOOKUP(D945,Products!$A$2:$F$61,4,FALSE())</f>
        <v/>
      </c>
      <c r="P945" s="55">
        <f>VLOOKUP(C945,Customers!$A$2:$F$301,3,FALSE())</f>
        <v/>
      </c>
      <c r="Q945" s="55">
        <f>UPPER(TRIM(K945))</f>
        <v/>
      </c>
      <c r="R945" s="55">
        <f>(G945-O945)/G945</f>
        <v/>
      </c>
      <c r="S945" s="55">
        <f>VLOOKUP(D945,Products!$A$2:$F$61,6,FALSE())</f>
        <v/>
      </c>
    </row>
    <row r="946" ht="15" customHeight="1" s="56">
      <c r="A946" s="55">
        <f>Orders!A946</f>
        <v/>
      </c>
      <c r="B946" s="103">
        <f>Orders!B946</f>
        <v/>
      </c>
      <c r="C946" s="55">
        <f>Orders!C946</f>
        <v/>
      </c>
      <c r="D946" s="55">
        <f>Orders!D946</f>
        <v/>
      </c>
      <c r="E946" s="55">
        <f>Orders!E946</f>
        <v/>
      </c>
      <c r="F946" s="55">
        <f>Orders!F946</f>
        <v/>
      </c>
      <c r="G946" s="55">
        <f>Orders!G946</f>
        <v/>
      </c>
      <c r="H946" s="55">
        <f>Orders!H946</f>
        <v/>
      </c>
      <c r="I946" s="55">
        <f>Orders!I946</f>
        <v/>
      </c>
      <c r="J946" s="55">
        <f>Orders!J946</f>
        <v/>
      </c>
      <c r="K946" s="55">
        <f>Orders!K946</f>
        <v/>
      </c>
      <c r="L946" s="55">
        <f>VLOOKUP(D946,Products!$A$2:$F$61,3,FALSE())</f>
        <v/>
      </c>
      <c r="M946" s="55">
        <f>VLOOKUP(C946,Customers!$A$2:$F$301,5,FALSE())</f>
        <v/>
      </c>
      <c r="N946" s="55">
        <f>VLOOKUP(E946,Sales_Reps!$A$2:$E$31,3,FALSE())</f>
        <v/>
      </c>
      <c r="O946" s="55">
        <f>VLOOKUP(D946,Products!$A$2:$F$61,4,FALSE())</f>
        <v/>
      </c>
      <c r="P946" s="55">
        <f>VLOOKUP(C946,Customers!$A$2:$F$301,3,FALSE())</f>
        <v/>
      </c>
      <c r="Q946" s="55">
        <f>UPPER(TRIM(K946))</f>
        <v/>
      </c>
      <c r="R946" s="55">
        <f>(G946-O946)/G946</f>
        <v/>
      </c>
      <c r="S946" s="55">
        <f>VLOOKUP(D946,Products!$A$2:$F$61,6,FALSE())</f>
        <v/>
      </c>
    </row>
    <row r="947" ht="15" customHeight="1" s="56">
      <c r="A947" s="55">
        <f>Orders!A947</f>
        <v/>
      </c>
      <c r="B947" s="103">
        <f>Orders!B947</f>
        <v/>
      </c>
      <c r="C947" s="55">
        <f>Orders!C947</f>
        <v/>
      </c>
      <c r="D947" s="55">
        <f>Orders!D947</f>
        <v/>
      </c>
      <c r="E947" s="55">
        <f>Orders!E947</f>
        <v/>
      </c>
      <c r="F947" s="55">
        <f>Orders!F947</f>
        <v/>
      </c>
      <c r="G947" s="55">
        <f>Orders!G947</f>
        <v/>
      </c>
      <c r="H947" s="55">
        <f>Orders!H947</f>
        <v/>
      </c>
      <c r="I947" s="55">
        <f>Orders!I947</f>
        <v/>
      </c>
      <c r="J947" s="55">
        <f>Orders!J947</f>
        <v/>
      </c>
      <c r="K947" s="55">
        <f>Orders!K947</f>
        <v/>
      </c>
      <c r="L947" s="55">
        <f>VLOOKUP(D947,Products!$A$2:$F$61,3,FALSE())</f>
        <v/>
      </c>
      <c r="M947" s="55">
        <f>VLOOKUP(C947,Customers!$A$2:$F$301,5,FALSE())</f>
        <v/>
      </c>
      <c r="N947" s="55">
        <f>VLOOKUP(E947,Sales_Reps!$A$2:$E$31,3,FALSE())</f>
        <v/>
      </c>
      <c r="O947" s="55">
        <f>VLOOKUP(D947,Products!$A$2:$F$61,4,FALSE())</f>
        <v/>
      </c>
      <c r="P947" s="55">
        <f>VLOOKUP(C947,Customers!$A$2:$F$301,3,FALSE())</f>
        <v/>
      </c>
      <c r="Q947" s="55">
        <f>UPPER(TRIM(K947))</f>
        <v/>
      </c>
      <c r="R947" s="55">
        <f>(G947-O947)/G947</f>
        <v/>
      </c>
      <c r="S947" s="55">
        <f>VLOOKUP(D947,Products!$A$2:$F$61,6,FALSE())</f>
        <v/>
      </c>
    </row>
    <row r="948" ht="15" customHeight="1" s="56">
      <c r="A948" s="55">
        <f>Orders!A948</f>
        <v/>
      </c>
      <c r="B948" s="103">
        <f>Orders!B948</f>
        <v/>
      </c>
      <c r="C948" s="55">
        <f>Orders!C948</f>
        <v/>
      </c>
      <c r="D948" s="55">
        <f>Orders!D948</f>
        <v/>
      </c>
      <c r="E948" s="55">
        <f>Orders!E948</f>
        <v/>
      </c>
      <c r="F948" s="55">
        <f>Orders!F948</f>
        <v/>
      </c>
      <c r="G948" s="55">
        <f>Orders!G948</f>
        <v/>
      </c>
      <c r="H948" s="55">
        <f>Orders!H948</f>
        <v/>
      </c>
      <c r="I948" s="55">
        <f>Orders!I948</f>
        <v/>
      </c>
      <c r="J948" s="55">
        <f>Orders!J948</f>
        <v/>
      </c>
      <c r="K948" s="55">
        <f>Orders!K948</f>
        <v/>
      </c>
      <c r="L948" s="55">
        <f>VLOOKUP(D948,Products!$A$2:$F$61,3,FALSE())</f>
        <v/>
      </c>
      <c r="M948" s="55">
        <f>VLOOKUP(C948,Customers!$A$2:$F$301,5,FALSE())</f>
        <v/>
      </c>
      <c r="N948" s="55">
        <f>VLOOKUP(E948,Sales_Reps!$A$2:$E$31,3,FALSE())</f>
        <v/>
      </c>
      <c r="O948" s="55">
        <f>VLOOKUP(D948,Products!$A$2:$F$61,4,FALSE())</f>
        <v/>
      </c>
      <c r="P948" s="55">
        <f>VLOOKUP(C948,Customers!$A$2:$F$301,3,FALSE())</f>
        <v/>
      </c>
      <c r="Q948" s="55">
        <f>UPPER(TRIM(K948))</f>
        <v/>
      </c>
      <c r="R948" s="55">
        <f>(G948-O948)/G948</f>
        <v/>
      </c>
      <c r="S948" s="55">
        <f>VLOOKUP(D948,Products!$A$2:$F$61,6,FALSE())</f>
        <v/>
      </c>
    </row>
    <row r="949" ht="15" customHeight="1" s="56">
      <c r="A949" s="55">
        <f>Orders!A949</f>
        <v/>
      </c>
      <c r="B949" s="103">
        <f>Orders!B949</f>
        <v/>
      </c>
      <c r="C949" s="55">
        <f>Orders!C949</f>
        <v/>
      </c>
      <c r="D949" s="55">
        <f>Orders!D949</f>
        <v/>
      </c>
      <c r="E949" s="55">
        <f>Orders!E949</f>
        <v/>
      </c>
      <c r="F949" s="55">
        <f>Orders!F949</f>
        <v/>
      </c>
      <c r="G949" s="55">
        <f>Orders!G949</f>
        <v/>
      </c>
      <c r="H949" s="55">
        <f>Orders!H949</f>
        <v/>
      </c>
      <c r="I949" s="55">
        <f>Orders!I949</f>
        <v/>
      </c>
      <c r="J949" s="55">
        <f>Orders!J949</f>
        <v/>
      </c>
      <c r="K949" s="55">
        <f>Orders!K949</f>
        <v/>
      </c>
      <c r="L949" s="55">
        <f>VLOOKUP(D949,Products!$A$2:$F$61,3,FALSE())</f>
        <v/>
      </c>
      <c r="M949" s="55">
        <f>VLOOKUP(C949,Customers!$A$2:$F$301,5,FALSE())</f>
        <v/>
      </c>
      <c r="N949" s="55">
        <f>VLOOKUP(E949,Sales_Reps!$A$2:$E$31,3,FALSE())</f>
        <v/>
      </c>
      <c r="O949" s="55">
        <f>VLOOKUP(D949,Products!$A$2:$F$61,4,FALSE())</f>
        <v/>
      </c>
      <c r="P949" s="55">
        <f>VLOOKUP(C949,Customers!$A$2:$F$301,3,FALSE())</f>
        <v/>
      </c>
      <c r="Q949" s="55">
        <f>UPPER(TRIM(K949))</f>
        <v/>
      </c>
      <c r="R949" s="55">
        <f>(G949-O949)/G949</f>
        <v/>
      </c>
      <c r="S949" s="55">
        <f>VLOOKUP(D949,Products!$A$2:$F$61,6,FALSE())</f>
        <v/>
      </c>
    </row>
    <row r="950" ht="15" customHeight="1" s="56">
      <c r="A950" s="55">
        <f>Orders!A950</f>
        <v/>
      </c>
      <c r="B950" s="103">
        <f>Orders!B950</f>
        <v/>
      </c>
      <c r="C950" s="55">
        <f>Orders!C950</f>
        <v/>
      </c>
      <c r="D950" s="55">
        <f>Orders!D950</f>
        <v/>
      </c>
      <c r="E950" s="55">
        <f>Orders!E950</f>
        <v/>
      </c>
      <c r="F950" s="55">
        <f>Orders!F950</f>
        <v/>
      </c>
      <c r="G950" s="55">
        <f>Orders!G950</f>
        <v/>
      </c>
      <c r="H950" s="55">
        <f>Orders!H950</f>
        <v/>
      </c>
      <c r="I950" s="55">
        <f>Orders!I950</f>
        <v/>
      </c>
      <c r="J950" s="55">
        <f>Orders!J950</f>
        <v/>
      </c>
      <c r="K950" s="55">
        <f>Orders!K950</f>
        <v/>
      </c>
      <c r="L950" s="55">
        <f>VLOOKUP(D950,Products!$A$2:$F$61,3,FALSE())</f>
        <v/>
      </c>
      <c r="M950" s="55">
        <f>VLOOKUP(C950,Customers!$A$2:$F$301,5,FALSE())</f>
        <v/>
      </c>
      <c r="N950" s="55">
        <f>VLOOKUP(E950,Sales_Reps!$A$2:$E$31,3,FALSE())</f>
        <v/>
      </c>
      <c r="O950" s="55">
        <f>VLOOKUP(D950,Products!$A$2:$F$61,4,FALSE())</f>
        <v/>
      </c>
      <c r="P950" s="55">
        <f>VLOOKUP(C950,Customers!$A$2:$F$301,3,FALSE())</f>
        <v/>
      </c>
      <c r="Q950" s="55">
        <f>UPPER(TRIM(K950))</f>
        <v/>
      </c>
      <c r="R950" s="55">
        <f>(G950-O950)/G950</f>
        <v/>
      </c>
      <c r="S950" s="55">
        <f>VLOOKUP(D950,Products!$A$2:$F$61,6,FALSE())</f>
        <v/>
      </c>
    </row>
    <row r="951" ht="15" customHeight="1" s="56">
      <c r="A951" s="55">
        <f>Orders!A951</f>
        <v/>
      </c>
      <c r="B951" s="103">
        <f>Orders!B951</f>
        <v/>
      </c>
      <c r="C951" s="55">
        <f>Orders!C951</f>
        <v/>
      </c>
      <c r="D951" s="55">
        <f>Orders!D951</f>
        <v/>
      </c>
      <c r="E951" s="55">
        <f>Orders!E951</f>
        <v/>
      </c>
      <c r="F951" s="55">
        <f>Orders!F951</f>
        <v/>
      </c>
      <c r="G951" s="55">
        <f>Orders!G951</f>
        <v/>
      </c>
      <c r="H951" s="55">
        <f>Orders!H951</f>
        <v/>
      </c>
      <c r="I951" s="55">
        <f>Orders!I951</f>
        <v/>
      </c>
      <c r="J951" s="55">
        <f>Orders!J951</f>
        <v/>
      </c>
      <c r="K951" s="55">
        <f>Orders!K951</f>
        <v/>
      </c>
      <c r="L951" s="55">
        <f>VLOOKUP(D951,Products!$A$2:$F$61,3,FALSE())</f>
        <v/>
      </c>
      <c r="M951" s="55">
        <f>VLOOKUP(C951,Customers!$A$2:$F$301,5,FALSE())</f>
        <v/>
      </c>
      <c r="N951" s="55">
        <f>VLOOKUP(E951,Sales_Reps!$A$2:$E$31,3,FALSE())</f>
        <v/>
      </c>
      <c r="O951" s="55">
        <f>VLOOKUP(D951,Products!$A$2:$F$61,4,FALSE())</f>
        <v/>
      </c>
      <c r="P951" s="55">
        <f>VLOOKUP(C951,Customers!$A$2:$F$301,3,FALSE())</f>
        <v/>
      </c>
      <c r="Q951" s="55">
        <f>UPPER(TRIM(K951))</f>
        <v/>
      </c>
      <c r="R951" s="55">
        <f>(G951-O951)/G951</f>
        <v/>
      </c>
      <c r="S951" s="55">
        <f>VLOOKUP(D951,Products!$A$2:$F$61,6,FALSE())</f>
        <v/>
      </c>
    </row>
    <row r="952" ht="15" customHeight="1" s="56">
      <c r="A952" s="55">
        <f>Orders!A952</f>
        <v/>
      </c>
      <c r="B952" s="103">
        <f>Orders!B952</f>
        <v/>
      </c>
      <c r="C952" s="55">
        <f>Orders!C952</f>
        <v/>
      </c>
      <c r="D952" s="55">
        <f>Orders!D952</f>
        <v/>
      </c>
      <c r="E952" s="55">
        <f>Orders!E952</f>
        <v/>
      </c>
      <c r="F952" s="55">
        <f>Orders!F952</f>
        <v/>
      </c>
      <c r="G952" s="55">
        <f>Orders!G952</f>
        <v/>
      </c>
      <c r="H952" s="55">
        <f>Orders!H952</f>
        <v/>
      </c>
      <c r="I952" s="55">
        <f>Orders!I952</f>
        <v/>
      </c>
      <c r="J952" s="55">
        <f>Orders!J952</f>
        <v/>
      </c>
      <c r="K952" s="55">
        <f>Orders!K952</f>
        <v/>
      </c>
      <c r="L952" s="55">
        <f>VLOOKUP(D952,Products!$A$2:$F$61,3,FALSE())</f>
        <v/>
      </c>
      <c r="M952" s="55">
        <f>VLOOKUP(C952,Customers!$A$2:$F$301,5,FALSE())</f>
        <v/>
      </c>
      <c r="N952" s="55">
        <f>VLOOKUP(E952,Sales_Reps!$A$2:$E$31,3,FALSE())</f>
        <v/>
      </c>
      <c r="O952" s="55">
        <f>VLOOKUP(D952,Products!$A$2:$F$61,4,FALSE())</f>
        <v/>
      </c>
      <c r="P952" s="55">
        <f>VLOOKUP(C952,Customers!$A$2:$F$301,3,FALSE())</f>
        <v/>
      </c>
      <c r="Q952" s="55">
        <f>UPPER(TRIM(K952))</f>
        <v/>
      </c>
      <c r="R952" s="55">
        <f>(G952-O952)/G952</f>
        <v/>
      </c>
      <c r="S952" s="55">
        <f>VLOOKUP(D952,Products!$A$2:$F$61,6,FALSE())</f>
        <v/>
      </c>
    </row>
    <row r="953" ht="15" customHeight="1" s="56">
      <c r="A953" s="55">
        <f>Orders!A953</f>
        <v/>
      </c>
      <c r="B953" s="103">
        <f>Orders!B953</f>
        <v/>
      </c>
      <c r="C953" s="55">
        <f>Orders!C953</f>
        <v/>
      </c>
      <c r="D953" s="55">
        <f>Orders!D953</f>
        <v/>
      </c>
      <c r="E953" s="55">
        <f>Orders!E953</f>
        <v/>
      </c>
      <c r="F953" s="55">
        <f>Orders!F953</f>
        <v/>
      </c>
      <c r="G953" s="55">
        <f>Orders!G953</f>
        <v/>
      </c>
      <c r="H953" s="55">
        <f>Orders!H953</f>
        <v/>
      </c>
      <c r="I953" s="55">
        <f>Orders!I953</f>
        <v/>
      </c>
      <c r="J953" s="55">
        <f>Orders!J953</f>
        <v/>
      </c>
      <c r="K953" s="55">
        <f>Orders!K953</f>
        <v/>
      </c>
      <c r="L953" s="55">
        <f>VLOOKUP(D953,Products!$A$2:$F$61,3,FALSE())</f>
        <v/>
      </c>
      <c r="M953" s="55">
        <f>VLOOKUP(C953,Customers!$A$2:$F$301,5,FALSE())</f>
        <v/>
      </c>
      <c r="N953" s="55">
        <f>VLOOKUP(E953,Sales_Reps!$A$2:$E$31,3,FALSE())</f>
        <v/>
      </c>
      <c r="O953" s="55">
        <f>VLOOKUP(D953,Products!$A$2:$F$61,4,FALSE())</f>
        <v/>
      </c>
      <c r="P953" s="55">
        <f>VLOOKUP(C953,Customers!$A$2:$F$301,3,FALSE())</f>
        <v/>
      </c>
      <c r="Q953" s="55">
        <f>UPPER(TRIM(K953))</f>
        <v/>
      </c>
      <c r="R953" s="55">
        <f>(G953-O953)/G953</f>
        <v/>
      </c>
      <c r="S953" s="55">
        <f>VLOOKUP(D953,Products!$A$2:$F$61,6,FALSE())</f>
        <v/>
      </c>
    </row>
    <row r="954" ht="15" customHeight="1" s="56">
      <c r="A954" s="55">
        <f>Orders!A954</f>
        <v/>
      </c>
      <c r="B954" s="103">
        <f>Orders!B954</f>
        <v/>
      </c>
      <c r="C954" s="55">
        <f>Orders!C954</f>
        <v/>
      </c>
      <c r="D954" s="55">
        <f>Orders!D954</f>
        <v/>
      </c>
      <c r="E954" s="55">
        <f>Orders!E954</f>
        <v/>
      </c>
      <c r="F954" s="55">
        <f>Orders!F954</f>
        <v/>
      </c>
      <c r="G954" s="55">
        <f>Orders!G954</f>
        <v/>
      </c>
      <c r="H954" s="55">
        <f>Orders!H954</f>
        <v/>
      </c>
      <c r="I954" s="55">
        <f>Orders!I954</f>
        <v/>
      </c>
      <c r="J954" s="55">
        <f>Orders!J954</f>
        <v/>
      </c>
      <c r="K954" s="55">
        <f>Orders!K954</f>
        <v/>
      </c>
      <c r="L954" s="55">
        <f>VLOOKUP(D954,Products!$A$2:$F$61,3,FALSE())</f>
        <v/>
      </c>
      <c r="M954" s="55">
        <f>VLOOKUP(C954,Customers!$A$2:$F$301,5,FALSE())</f>
        <v/>
      </c>
      <c r="N954" s="55">
        <f>VLOOKUP(E954,Sales_Reps!$A$2:$E$31,3,FALSE())</f>
        <v/>
      </c>
      <c r="O954" s="55">
        <f>VLOOKUP(D954,Products!$A$2:$F$61,4,FALSE())</f>
        <v/>
      </c>
      <c r="P954" s="55">
        <f>VLOOKUP(C954,Customers!$A$2:$F$301,3,FALSE())</f>
        <v/>
      </c>
      <c r="Q954" s="55">
        <f>UPPER(TRIM(K954))</f>
        <v/>
      </c>
      <c r="R954" s="55">
        <f>(G954-O954)/G954</f>
        <v/>
      </c>
      <c r="S954" s="55">
        <f>VLOOKUP(D954,Products!$A$2:$F$61,6,FALSE())</f>
        <v/>
      </c>
    </row>
    <row r="955" ht="15" customHeight="1" s="56">
      <c r="A955" s="55">
        <f>Orders!A955</f>
        <v/>
      </c>
      <c r="B955" s="103">
        <f>Orders!B955</f>
        <v/>
      </c>
      <c r="C955" s="55">
        <f>Orders!C955</f>
        <v/>
      </c>
      <c r="D955" s="55">
        <f>Orders!D955</f>
        <v/>
      </c>
      <c r="E955" s="55">
        <f>Orders!E955</f>
        <v/>
      </c>
      <c r="F955" s="55">
        <f>Orders!F955</f>
        <v/>
      </c>
      <c r="G955" s="55">
        <f>Orders!G955</f>
        <v/>
      </c>
      <c r="H955" s="55">
        <f>Orders!H955</f>
        <v/>
      </c>
      <c r="I955" s="55">
        <f>Orders!I955</f>
        <v/>
      </c>
      <c r="J955" s="55">
        <f>Orders!J955</f>
        <v/>
      </c>
      <c r="K955" s="55">
        <f>Orders!K955</f>
        <v/>
      </c>
      <c r="L955" s="55">
        <f>VLOOKUP(D955,Products!$A$2:$F$61,3,FALSE())</f>
        <v/>
      </c>
      <c r="M955" s="55">
        <f>VLOOKUP(C955,Customers!$A$2:$F$301,5,FALSE())</f>
        <v/>
      </c>
      <c r="N955" s="55">
        <f>VLOOKUP(E955,Sales_Reps!$A$2:$E$31,3,FALSE())</f>
        <v/>
      </c>
      <c r="O955" s="55">
        <f>VLOOKUP(D955,Products!$A$2:$F$61,4,FALSE())</f>
        <v/>
      </c>
      <c r="P955" s="55">
        <f>VLOOKUP(C955,Customers!$A$2:$F$301,3,FALSE())</f>
        <v/>
      </c>
      <c r="Q955" s="55">
        <f>UPPER(TRIM(K955))</f>
        <v/>
      </c>
      <c r="R955" s="55">
        <f>(G955-O955)/G955</f>
        <v/>
      </c>
      <c r="S955" s="55">
        <f>VLOOKUP(D955,Products!$A$2:$F$61,6,FALSE())</f>
        <v/>
      </c>
    </row>
    <row r="956" ht="15" customHeight="1" s="56">
      <c r="A956" s="55">
        <f>Orders!A956</f>
        <v/>
      </c>
      <c r="B956" s="103">
        <f>Orders!B956</f>
        <v/>
      </c>
      <c r="C956" s="55">
        <f>Orders!C956</f>
        <v/>
      </c>
      <c r="D956" s="55">
        <f>Orders!D956</f>
        <v/>
      </c>
      <c r="E956" s="55">
        <f>Orders!E956</f>
        <v/>
      </c>
      <c r="F956" s="55">
        <f>Orders!F956</f>
        <v/>
      </c>
      <c r="G956" s="55">
        <f>Orders!G956</f>
        <v/>
      </c>
      <c r="H956" s="55">
        <f>Orders!H956</f>
        <v/>
      </c>
      <c r="I956" s="55">
        <f>Orders!I956</f>
        <v/>
      </c>
      <c r="J956" s="55">
        <f>Orders!J956</f>
        <v/>
      </c>
      <c r="K956" s="55">
        <f>Orders!K956</f>
        <v/>
      </c>
      <c r="L956" s="55">
        <f>VLOOKUP(D956,Products!$A$2:$F$61,3,FALSE())</f>
        <v/>
      </c>
      <c r="M956" s="55">
        <f>VLOOKUP(C956,Customers!$A$2:$F$301,5,FALSE())</f>
        <v/>
      </c>
      <c r="N956" s="55">
        <f>VLOOKUP(E956,Sales_Reps!$A$2:$E$31,3,FALSE())</f>
        <v/>
      </c>
      <c r="O956" s="55">
        <f>VLOOKUP(D956,Products!$A$2:$F$61,4,FALSE())</f>
        <v/>
      </c>
      <c r="P956" s="55">
        <f>VLOOKUP(C956,Customers!$A$2:$F$301,3,FALSE())</f>
        <v/>
      </c>
      <c r="Q956" s="55">
        <f>UPPER(TRIM(K956))</f>
        <v/>
      </c>
      <c r="R956" s="55">
        <f>(G956-O956)/G956</f>
        <v/>
      </c>
      <c r="S956" s="55">
        <f>VLOOKUP(D956,Products!$A$2:$F$61,6,FALSE())</f>
        <v/>
      </c>
    </row>
    <row r="957" ht="15" customHeight="1" s="56">
      <c r="A957" s="55">
        <f>Orders!A957</f>
        <v/>
      </c>
      <c r="B957" s="103">
        <f>Orders!B957</f>
        <v/>
      </c>
      <c r="C957" s="55">
        <f>Orders!C957</f>
        <v/>
      </c>
      <c r="D957" s="55">
        <f>Orders!D957</f>
        <v/>
      </c>
      <c r="E957" s="55">
        <f>Orders!E957</f>
        <v/>
      </c>
      <c r="F957" s="55">
        <f>Orders!F957</f>
        <v/>
      </c>
      <c r="G957" s="55">
        <f>Orders!G957</f>
        <v/>
      </c>
      <c r="H957" s="55">
        <f>Orders!H957</f>
        <v/>
      </c>
      <c r="I957" s="55">
        <f>Orders!I957</f>
        <v/>
      </c>
      <c r="J957" s="55">
        <f>Orders!J957</f>
        <v/>
      </c>
      <c r="K957" s="55">
        <f>Orders!K957</f>
        <v/>
      </c>
      <c r="L957" s="55">
        <f>VLOOKUP(D957,Products!$A$2:$F$61,3,FALSE())</f>
        <v/>
      </c>
      <c r="M957" s="55">
        <f>VLOOKUP(C957,Customers!$A$2:$F$301,5,FALSE())</f>
        <v/>
      </c>
      <c r="N957" s="55">
        <f>VLOOKUP(E957,Sales_Reps!$A$2:$E$31,3,FALSE())</f>
        <v/>
      </c>
      <c r="O957" s="55">
        <f>VLOOKUP(D957,Products!$A$2:$F$61,4,FALSE())</f>
        <v/>
      </c>
      <c r="P957" s="55">
        <f>VLOOKUP(C957,Customers!$A$2:$F$301,3,FALSE())</f>
        <v/>
      </c>
      <c r="Q957" s="55">
        <f>UPPER(TRIM(K957))</f>
        <v/>
      </c>
      <c r="R957" s="55">
        <f>(G957-O957)/G957</f>
        <v/>
      </c>
      <c r="S957" s="55">
        <f>VLOOKUP(D957,Products!$A$2:$F$61,6,FALSE())</f>
        <v/>
      </c>
    </row>
    <row r="958" ht="15" customHeight="1" s="56">
      <c r="A958" s="55">
        <f>Orders!A958</f>
        <v/>
      </c>
      <c r="B958" s="103">
        <f>Orders!B958</f>
        <v/>
      </c>
      <c r="C958" s="55">
        <f>Orders!C958</f>
        <v/>
      </c>
      <c r="D958" s="55">
        <f>Orders!D958</f>
        <v/>
      </c>
      <c r="E958" s="55">
        <f>Orders!E958</f>
        <v/>
      </c>
      <c r="F958" s="55">
        <f>Orders!F958</f>
        <v/>
      </c>
      <c r="G958" s="55">
        <f>Orders!G958</f>
        <v/>
      </c>
      <c r="H958" s="55">
        <f>Orders!H958</f>
        <v/>
      </c>
      <c r="I958" s="55">
        <f>Orders!I958</f>
        <v/>
      </c>
      <c r="J958" s="55">
        <f>Orders!J958</f>
        <v/>
      </c>
      <c r="K958" s="55">
        <f>Orders!K958</f>
        <v/>
      </c>
      <c r="L958" s="55">
        <f>VLOOKUP(D958,Products!$A$2:$F$61,3,FALSE())</f>
        <v/>
      </c>
      <c r="M958" s="55">
        <f>VLOOKUP(C958,Customers!$A$2:$F$301,5,FALSE())</f>
        <v/>
      </c>
      <c r="N958" s="55">
        <f>VLOOKUP(E958,Sales_Reps!$A$2:$E$31,3,FALSE())</f>
        <v/>
      </c>
      <c r="O958" s="55">
        <f>VLOOKUP(D958,Products!$A$2:$F$61,4,FALSE())</f>
        <v/>
      </c>
      <c r="P958" s="55">
        <f>VLOOKUP(C958,Customers!$A$2:$F$301,3,FALSE())</f>
        <v/>
      </c>
      <c r="Q958" s="55">
        <f>UPPER(TRIM(K958))</f>
        <v/>
      </c>
      <c r="R958" s="55">
        <f>(G958-O958)/G958</f>
        <v/>
      </c>
      <c r="S958" s="55">
        <f>VLOOKUP(D958,Products!$A$2:$F$61,6,FALSE())</f>
        <v/>
      </c>
    </row>
    <row r="959" ht="15" customHeight="1" s="56">
      <c r="A959" s="55">
        <f>Orders!A959</f>
        <v/>
      </c>
      <c r="B959" s="103">
        <f>Orders!B959</f>
        <v/>
      </c>
      <c r="C959" s="55">
        <f>Orders!C959</f>
        <v/>
      </c>
      <c r="D959" s="55">
        <f>Orders!D959</f>
        <v/>
      </c>
      <c r="E959" s="55">
        <f>Orders!E959</f>
        <v/>
      </c>
      <c r="F959" s="55">
        <f>Orders!F959</f>
        <v/>
      </c>
      <c r="G959" s="55">
        <f>Orders!G959</f>
        <v/>
      </c>
      <c r="H959" s="55">
        <f>Orders!H959</f>
        <v/>
      </c>
      <c r="I959" s="55">
        <f>Orders!I959</f>
        <v/>
      </c>
      <c r="J959" s="55">
        <f>Orders!J959</f>
        <v/>
      </c>
      <c r="K959" s="55">
        <f>Orders!K959</f>
        <v/>
      </c>
      <c r="L959" s="55">
        <f>VLOOKUP(D959,Products!$A$2:$F$61,3,FALSE())</f>
        <v/>
      </c>
      <c r="M959" s="55">
        <f>VLOOKUP(C959,Customers!$A$2:$F$301,5,FALSE())</f>
        <v/>
      </c>
      <c r="N959" s="55">
        <f>VLOOKUP(E959,Sales_Reps!$A$2:$E$31,3,FALSE())</f>
        <v/>
      </c>
      <c r="O959" s="55">
        <f>VLOOKUP(D959,Products!$A$2:$F$61,4,FALSE())</f>
        <v/>
      </c>
      <c r="P959" s="55">
        <f>VLOOKUP(C959,Customers!$A$2:$F$301,3,FALSE())</f>
        <v/>
      </c>
      <c r="Q959" s="55">
        <f>UPPER(TRIM(K959))</f>
        <v/>
      </c>
      <c r="R959" s="55">
        <f>(G959-O959)/G959</f>
        <v/>
      </c>
      <c r="S959" s="55">
        <f>VLOOKUP(D959,Products!$A$2:$F$61,6,FALSE())</f>
        <v/>
      </c>
    </row>
    <row r="960" ht="15" customHeight="1" s="56">
      <c r="A960" s="55">
        <f>Orders!A960</f>
        <v/>
      </c>
      <c r="B960" s="103">
        <f>Orders!B960</f>
        <v/>
      </c>
      <c r="C960" s="55">
        <f>Orders!C960</f>
        <v/>
      </c>
      <c r="D960" s="55">
        <f>Orders!D960</f>
        <v/>
      </c>
      <c r="E960" s="55">
        <f>Orders!E960</f>
        <v/>
      </c>
      <c r="F960" s="55">
        <f>Orders!F960</f>
        <v/>
      </c>
      <c r="G960" s="55">
        <f>Orders!G960</f>
        <v/>
      </c>
      <c r="H960" s="55">
        <f>Orders!H960</f>
        <v/>
      </c>
      <c r="I960" s="55">
        <f>Orders!I960</f>
        <v/>
      </c>
      <c r="J960" s="55">
        <f>Orders!J960</f>
        <v/>
      </c>
      <c r="K960" s="55">
        <f>Orders!K960</f>
        <v/>
      </c>
      <c r="L960" s="55">
        <f>VLOOKUP(D960,Products!$A$2:$F$61,3,FALSE())</f>
        <v/>
      </c>
      <c r="M960" s="55">
        <f>VLOOKUP(C960,Customers!$A$2:$F$301,5,FALSE())</f>
        <v/>
      </c>
      <c r="N960" s="55">
        <f>VLOOKUP(E960,Sales_Reps!$A$2:$E$31,3,FALSE())</f>
        <v/>
      </c>
      <c r="O960" s="55">
        <f>VLOOKUP(D960,Products!$A$2:$F$61,4,FALSE())</f>
        <v/>
      </c>
      <c r="P960" s="55">
        <f>VLOOKUP(C960,Customers!$A$2:$F$301,3,FALSE())</f>
        <v/>
      </c>
      <c r="Q960" s="55">
        <f>UPPER(TRIM(K960))</f>
        <v/>
      </c>
      <c r="R960" s="55">
        <f>(G960-O960)/G960</f>
        <v/>
      </c>
      <c r="S960" s="55">
        <f>VLOOKUP(D960,Products!$A$2:$F$61,6,FALSE())</f>
        <v/>
      </c>
    </row>
    <row r="961" ht="15" customHeight="1" s="56">
      <c r="A961" s="55">
        <f>Orders!A961</f>
        <v/>
      </c>
      <c r="B961" s="103">
        <f>Orders!B961</f>
        <v/>
      </c>
      <c r="C961" s="55">
        <f>Orders!C961</f>
        <v/>
      </c>
      <c r="D961" s="55">
        <f>Orders!D961</f>
        <v/>
      </c>
      <c r="E961" s="55">
        <f>Orders!E961</f>
        <v/>
      </c>
      <c r="F961" s="55">
        <f>Orders!F961</f>
        <v/>
      </c>
      <c r="G961" s="55">
        <f>Orders!G961</f>
        <v/>
      </c>
      <c r="H961" s="55">
        <f>Orders!H961</f>
        <v/>
      </c>
      <c r="I961" s="55">
        <f>Orders!I961</f>
        <v/>
      </c>
      <c r="J961" s="55">
        <f>Orders!J961</f>
        <v/>
      </c>
      <c r="K961" s="55">
        <f>Orders!K961</f>
        <v/>
      </c>
      <c r="L961" s="55">
        <f>VLOOKUP(D961,Products!$A$2:$F$61,3,FALSE())</f>
        <v/>
      </c>
      <c r="M961" s="55">
        <f>VLOOKUP(C961,Customers!$A$2:$F$301,5,FALSE())</f>
        <v/>
      </c>
      <c r="N961" s="55">
        <f>VLOOKUP(E961,Sales_Reps!$A$2:$E$31,3,FALSE())</f>
        <v/>
      </c>
      <c r="O961" s="55">
        <f>VLOOKUP(D961,Products!$A$2:$F$61,4,FALSE())</f>
        <v/>
      </c>
      <c r="P961" s="55">
        <f>VLOOKUP(C961,Customers!$A$2:$F$301,3,FALSE())</f>
        <v/>
      </c>
      <c r="Q961" s="55">
        <f>UPPER(TRIM(K961))</f>
        <v/>
      </c>
      <c r="R961" s="55">
        <f>(G961-O961)/G961</f>
        <v/>
      </c>
      <c r="S961" s="55">
        <f>VLOOKUP(D961,Products!$A$2:$F$61,6,FALSE())</f>
        <v/>
      </c>
    </row>
    <row r="962" ht="15" customHeight="1" s="56">
      <c r="A962" s="55">
        <f>Orders!A962</f>
        <v/>
      </c>
      <c r="B962" s="103">
        <f>Orders!B962</f>
        <v/>
      </c>
      <c r="C962" s="55">
        <f>Orders!C962</f>
        <v/>
      </c>
      <c r="D962" s="55">
        <f>Orders!D962</f>
        <v/>
      </c>
      <c r="E962" s="55">
        <f>Orders!E962</f>
        <v/>
      </c>
      <c r="F962" s="55">
        <f>Orders!F962</f>
        <v/>
      </c>
      <c r="G962" s="55">
        <f>Orders!G962</f>
        <v/>
      </c>
      <c r="H962" s="55">
        <f>Orders!H962</f>
        <v/>
      </c>
      <c r="I962" s="55">
        <f>Orders!I962</f>
        <v/>
      </c>
      <c r="J962" s="55">
        <f>Orders!J962</f>
        <v/>
      </c>
      <c r="K962" s="55">
        <f>Orders!K962</f>
        <v/>
      </c>
      <c r="L962" s="55">
        <f>VLOOKUP(D962,Products!$A$2:$F$61,3,FALSE())</f>
        <v/>
      </c>
      <c r="M962" s="55">
        <f>VLOOKUP(C962,Customers!$A$2:$F$301,5,FALSE())</f>
        <v/>
      </c>
      <c r="N962" s="55">
        <f>VLOOKUP(E962,Sales_Reps!$A$2:$E$31,3,FALSE())</f>
        <v/>
      </c>
      <c r="O962" s="55">
        <f>VLOOKUP(D962,Products!$A$2:$F$61,4,FALSE())</f>
        <v/>
      </c>
      <c r="P962" s="55">
        <f>VLOOKUP(C962,Customers!$A$2:$F$301,3,FALSE())</f>
        <v/>
      </c>
      <c r="Q962" s="55">
        <f>UPPER(TRIM(K962))</f>
        <v/>
      </c>
      <c r="R962" s="55">
        <f>(G962-O962)/G962</f>
        <v/>
      </c>
      <c r="S962" s="55">
        <f>VLOOKUP(D962,Products!$A$2:$F$61,6,FALSE())</f>
        <v/>
      </c>
    </row>
    <row r="963" ht="15" customHeight="1" s="56">
      <c r="A963" s="55">
        <f>Orders!A963</f>
        <v/>
      </c>
      <c r="B963" s="103">
        <f>Orders!B963</f>
        <v/>
      </c>
      <c r="C963" s="55">
        <f>Orders!C963</f>
        <v/>
      </c>
      <c r="D963" s="55">
        <f>Orders!D963</f>
        <v/>
      </c>
      <c r="E963" s="55">
        <f>Orders!E963</f>
        <v/>
      </c>
      <c r="F963" s="55">
        <f>Orders!F963</f>
        <v/>
      </c>
      <c r="G963" s="55">
        <f>Orders!G963</f>
        <v/>
      </c>
      <c r="H963" s="55">
        <f>Orders!H963</f>
        <v/>
      </c>
      <c r="I963" s="55">
        <f>Orders!I963</f>
        <v/>
      </c>
      <c r="J963" s="55">
        <f>Orders!J963</f>
        <v/>
      </c>
      <c r="K963" s="55">
        <f>Orders!K963</f>
        <v/>
      </c>
      <c r="L963" s="55">
        <f>VLOOKUP(D963,Products!$A$2:$F$61,3,FALSE())</f>
        <v/>
      </c>
      <c r="M963" s="55">
        <f>VLOOKUP(C963,Customers!$A$2:$F$301,5,FALSE())</f>
        <v/>
      </c>
      <c r="N963" s="55">
        <f>VLOOKUP(E963,Sales_Reps!$A$2:$E$31,3,FALSE())</f>
        <v/>
      </c>
      <c r="O963" s="55">
        <f>VLOOKUP(D963,Products!$A$2:$F$61,4,FALSE())</f>
        <v/>
      </c>
      <c r="P963" s="55">
        <f>VLOOKUP(C963,Customers!$A$2:$F$301,3,FALSE())</f>
        <v/>
      </c>
      <c r="Q963" s="55">
        <f>UPPER(TRIM(K963))</f>
        <v/>
      </c>
      <c r="R963" s="55">
        <f>(G963-O963)/G963</f>
        <v/>
      </c>
      <c r="S963" s="55">
        <f>VLOOKUP(D963,Products!$A$2:$F$61,6,FALSE())</f>
        <v/>
      </c>
    </row>
    <row r="964" ht="15" customHeight="1" s="56">
      <c r="A964" s="55">
        <f>Orders!A964</f>
        <v/>
      </c>
      <c r="B964" s="103">
        <f>Orders!B964</f>
        <v/>
      </c>
      <c r="C964" s="55">
        <f>Orders!C964</f>
        <v/>
      </c>
      <c r="D964" s="55">
        <f>Orders!D964</f>
        <v/>
      </c>
      <c r="E964" s="55">
        <f>Orders!E964</f>
        <v/>
      </c>
      <c r="F964" s="55">
        <f>Orders!F964</f>
        <v/>
      </c>
      <c r="G964" s="55">
        <f>Orders!G964</f>
        <v/>
      </c>
      <c r="H964" s="55">
        <f>Orders!H964</f>
        <v/>
      </c>
      <c r="I964" s="55">
        <f>Orders!I964</f>
        <v/>
      </c>
      <c r="J964" s="55">
        <f>Orders!J964</f>
        <v/>
      </c>
      <c r="K964" s="55">
        <f>Orders!K964</f>
        <v/>
      </c>
      <c r="L964" s="55">
        <f>VLOOKUP(D964,Products!$A$2:$F$61,3,FALSE())</f>
        <v/>
      </c>
      <c r="M964" s="55">
        <f>VLOOKUP(C964,Customers!$A$2:$F$301,5,FALSE())</f>
        <v/>
      </c>
      <c r="N964" s="55">
        <f>VLOOKUP(E964,Sales_Reps!$A$2:$E$31,3,FALSE())</f>
        <v/>
      </c>
      <c r="O964" s="55">
        <f>VLOOKUP(D964,Products!$A$2:$F$61,4,FALSE())</f>
        <v/>
      </c>
      <c r="P964" s="55">
        <f>VLOOKUP(C964,Customers!$A$2:$F$301,3,FALSE())</f>
        <v/>
      </c>
      <c r="Q964" s="55">
        <f>UPPER(TRIM(K964))</f>
        <v/>
      </c>
      <c r="R964" s="55">
        <f>(G964-O964)/G964</f>
        <v/>
      </c>
      <c r="S964" s="55">
        <f>VLOOKUP(D964,Products!$A$2:$F$61,6,FALSE())</f>
        <v/>
      </c>
    </row>
    <row r="965" ht="15" customHeight="1" s="56">
      <c r="A965" s="55">
        <f>Orders!A965</f>
        <v/>
      </c>
      <c r="B965" s="103">
        <f>Orders!B965</f>
        <v/>
      </c>
      <c r="C965" s="55">
        <f>Orders!C965</f>
        <v/>
      </c>
      <c r="D965" s="55">
        <f>Orders!D965</f>
        <v/>
      </c>
      <c r="E965" s="55">
        <f>Orders!E965</f>
        <v/>
      </c>
      <c r="F965" s="55">
        <f>Orders!F965</f>
        <v/>
      </c>
      <c r="G965" s="55">
        <f>Orders!G965</f>
        <v/>
      </c>
      <c r="H965" s="55">
        <f>Orders!H965</f>
        <v/>
      </c>
      <c r="I965" s="55">
        <f>Orders!I965</f>
        <v/>
      </c>
      <c r="J965" s="55">
        <f>Orders!J965</f>
        <v/>
      </c>
      <c r="K965" s="55">
        <f>Orders!K965</f>
        <v/>
      </c>
      <c r="L965" s="55">
        <f>VLOOKUP(D965,Products!$A$2:$F$61,3,FALSE())</f>
        <v/>
      </c>
      <c r="M965" s="55">
        <f>VLOOKUP(C965,Customers!$A$2:$F$301,5,FALSE())</f>
        <v/>
      </c>
      <c r="N965" s="55">
        <f>VLOOKUP(E965,Sales_Reps!$A$2:$E$31,3,FALSE())</f>
        <v/>
      </c>
      <c r="O965" s="55">
        <f>VLOOKUP(D965,Products!$A$2:$F$61,4,FALSE())</f>
        <v/>
      </c>
      <c r="P965" s="55">
        <f>VLOOKUP(C965,Customers!$A$2:$F$301,3,FALSE())</f>
        <v/>
      </c>
      <c r="Q965" s="55">
        <f>UPPER(TRIM(K965))</f>
        <v/>
      </c>
      <c r="R965" s="55">
        <f>(G965-O965)/G965</f>
        <v/>
      </c>
      <c r="S965" s="55">
        <f>VLOOKUP(D965,Products!$A$2:$F$61,6,FALSE())</f>
        <v/>
      </c>
    </row>
    <row r="966" ht="15" customHeight="1" s="56">
      <c r="A966" s="55">
        <f>Orders!A966</f>
        <v/>
      </c>
      <c r="B966" s="103">
        <f>Orders!B966</f>
        <v/>
      </c>
      <c r="C966" s="55">
        <f>Orders!C966</f>
        <v/>
      </c>
      <c r="D966" s="55">
        <f>Orders!D966</f>
        <v/>
      </c>
      <c r="E966" s="55">
        <f>Orders!E966</f>
        <v/>
      </c>
      <c r="F966" s="55">
        <f>Orders!F966</f>
        <v/>
      </c>
      <c r="G966" s="55">
        <f>Orders!G966</f>
        <v/>
      </c>
      <c r="H966" s="55">
        <f>Orders!H966</f>
        <v/>
      </c>
      <c r="I966" s="55">
        <f>Orders!I966</f>
        <v/>
      </c>
      <c r="J966" s="55">
        <f>Orders!J966</f>
        <v/>
      </c>
      <c r="K966" s="55">
        <f>Orders!K966</f>
        <v/>
      </c>
      <c r="L966" s="55">
        <f>VLOOKUP(D966,Products!$A$2:$F$61,3,FALSE())</f>
        <v/>
      </c>
      <c r="M966" s="55">
        <f>VLOOKUP(C966,Customers!$A$2:$F$301,5,FALSE())</f>
        <v/>
      </c>
      <c r="N966" s="55">
        <f>VLOOKUP(E966,Sales_Reps!$A$2:$E$31,3,FALSE())</f>
        <v/>
      </c>
      <c r="O966" s="55">
        <f>VLOOKUP(D966,Products!$A$2:$F$61,4,FALSE())</f>
        <v/>
      </c>
      <c r="P966" s="55">
        <f>VLOOKUP(C966,Customers!$A$2:$F$301,3,FALSE())</f>
        <v/>
      </c>
      <c r="Q966" s="55">
        <f>UPPER(TRIM(K966))</f>
        <v/>
      </c>
      <c r="R966" s="55">
        <f>(G966-O966)/G966</f>
        <v/>
      </c>
      <c r="S966" s="55">
        <f>VLOOKUP(D966,Products!$A$2:$F$61,6,FALSE())</f>
        <v/>
      </c>
    </row>
    <row r="967" ht="15" customHeight="1" s="56">
      <c r="A967" s="55">
        <f>Orders!A967</f>
        <v/>
      </c>
      <c r="B967" s="103">
        <f>Orders!B967</f>
        <v/>
      </c>
      <c r="C967" s="55">
        <f>Orders!C967</f>
        <v/>
      </c>
      <c r="D967" s="55">
        <f>Orders!D967</f>
        <v/>
      </c>
      <c r="E967" s="55">
        <f>Orders!E967</f>
        <v/>
      </c>
      <c r="F967" s="55">
        <f>Orders!F967</f>
        <v/>
      </c>
      <c r="G967" s="55">
        <f>Orders!G967</f>
        <v/>
      </c>
      <c r="H967" s="55">
        <f>Orders!H967</f>
        <v/>
      </c>
      <c r="I967" s="55">
        <f>Orders!I967</f>
        <v/>
      </c>
      <c r="J967" s="55">
        <f>Orders!J967</f>
        <v/>
      </c>
      <c r="K967" s="55">
        <f>Orders!K967</f>
        <v/>
      </c>
      <c r="L967" s="55">
        <f>VLOOKUP(D967,Products!$A$2:$F$61,3,FALSE())</f>
        <v/>
      </c>
      <c r="M967" s="55">
        <f>VLOOKUP(C967,Customers!$A$2:$F$301,5,FALSE())</f>
        <v/>
      </c>
      <c r="N967" s="55">
        <f>VLOOKUP(E967,Sales_Reps!$A$2:$E$31,3,FALSE())</f>
        <v/>
      </c>
      <c r="O967" s="55">
        <f>VLOOKUP(D967,Products!$A$2:$F$61,4,FALSE())</f>
        <v/>
      </c>
      <c r="P967" s="55">
        <f>VLOOKUP(C967,Customers!$A$2:$F$301,3,FALSE())</f>
        <v/>
      </c>
      <c r="Q967" s="55">
        <f>UPPER(TRIM(K967))</f>
        <v/>
      </c>
      <c r="R967" s="55">
        <f>(G967-O967)/G967</f>
        <v/>
      </c>
      <c r="S967" s="55">
        <f>VLOOKUP(D967,Products!$A$2:$F$61,6,FALSE())</f>
        <v/>
      </c>
    </row>
    <row r="968" ht="15" customHeight="1" s="56">
      <c r="A968" s="55">
        <f>Orders!A968</f>
        <v/>
      </c>
      <c r="B968" s="103">
        <f>Orders!B968</f>
        <v/>
      </c>
      <c r="C968" s="55">
        <f>Orders!C968</f>
        <v/>
      </c>
      <c r="D968" s="55">
        <f>Orders!D968</f>
        <v/>
      </c>
      <c r="E968" s="55">
        <f>Orders!E968</f>
        <v/>
      </c>
      <c r="F968" s="55">
        <f>Orders!F968</f>
        <v/>
      </c>
      <c r="G968" s="55">
        <f>Orders!G968</f>
        <v/>
      </c>
      <c r="H968" s="55">
        <f>Orders!H968</f>
        <v/>
      </c>
      <c r="I968" s="55">
        <f>Orders!I968</f>
        <v/>
      </c>
      <c r="J968" s="55">
        <f>Orders!J968</f>
        <v/>
      </c>
      <c r="K968" s="55">
        <f>Orders!K968</f>
        <v/>
      </c>
      <c r="L968" s="55">
        <f>VLOOKUP(D968,Products!$A$2:$F$61,3,FALSE())</f>
        <v/>
      </c>
      <c r="M968" s="55">
        <f>VLOOKUP(C968,Customers!$A$2:$F$301,5,FALSE())</f>
        <v/>
      </c>
      <c r="N968" s="55">
        <f>VLOOKUP(E968,Sales_Reps!$A$2:$E$31,3,FALSE())</f>
        <v/>
      </c>
      <c r="O968" s="55">
        <f>VLOOKUP(D968,Products!$A$2:$F$61,4,FALSE())</f>
        <v/>
      </c>
      <c r="P968" s="55">
        <f>VLOOKUP(C968,Customers!$A$2:$F$301,3,FALSE())</f>
        <v/>
      </c>
      <c r="Q968" s="55">
        <f>UPPER(TRIM(K968))</f>
        <v/>
      </c>
      <c r="R968" s="55">
        <f>(G968-O968)/G968</f>
        <v/>
      </c>
      <c r="S968" s="55">
        <f>VLOOKUP(D968,Products!$A$2:$F$61,6,FALSE())</f>
        <v/>
      </c>
    </row>
    <row r="969" ht="15" customHeight="1" s="56">
      <c r="A969" s="55">
        <f>Orders!A969</f>
        <v/>
      </c>
      <c r="B969" s="103">
        <f>Orders!B969</f>
        <v/>
      </c>
      <c r="C969" s="55">
        <f>Orders!C969</f>
        <v/>
      </c>
      <c r="D969" s="55">
        <f>Orders!D969</f>
        <v/>
      </c>
      <c r="E969" s="55">
        <f>Orders!E969</f>
        <v/>
      </c>
      <c r="F969" s="55">
        <f>Orders!F969</f>
        <v/>
      </c>
      <c r="G969" s="55">
        <f>Orders!G969</f>
        <v/>
      </c>
      <c r="H969" s="55">
        <f>Orders!H969</f>
        <v/>
      </c>
      <c r="I969" s="55">
        <f>Orders!I969</f>
        <v/>
      </c>
      <c r="J969" s="55">
        <f>Orders!J969</f>
        <v/>
      </c>
      <c r="K969" s="55">
        <f>Orders!K969</f>
        <v/>
      </c>
      <c r="L969" s="55">
        <f>VLOOKUP(D969,Products!$A$2:$F$61,3,FALSE())</f>
        <v/>
      </c>
      <c r="M969" s="55">
        <f>VLOOKUP(C969,Customers!$A$2:$F$301,5,FALSE())</f>
        <v/>
      </c>
      <c r="N969" s="55">
        <f>VLOOKUP(E969,Sales_Reps!$A$2:$E$31,3,FALSE())</f>
        <v/>
      </c>
      <c r="O969" s="55">
        <f>VLOOKUP(D969,Products!$A$2:$F$61,4,FALSE())</f>
        <v/>
      </c>
      <c r="P969" s="55">
        <f>VLOOKUP(C969,Customers!$A$2:$F$301,3,FALSE())</f>
        <v/>
      </c>
      <c r="Q969" s="55">
        <f>UPPER(TRIM(K969))</f>
        <v/>
      </c>
      <c r="R969" s="55">
        <f>(G969-O969)/G969</f>
        <v/>
      </c>
      <c r="S969" s="55">
        <f>VLOOKUP(D969,Products!$A$2:$F$61,6,FALSE())</f>
        <v/>
      </c>
    </row>
    <row r="970" ht="15" customHeight="1" s="56">
      <c r="A970" s="55">
        <f>Orders!A970</f>
        <v/>
      </c>
      <c r="B970" s="103">
        <f>Orders!B970</f>
        <v/>
      </c>
      <c r="C970" s="55">
        <f>Orders!C970</f>
        <v/>
      </c>
      <c r="D970" s="55">
        <f>Orders!D970</f>
        <v/>
      </c>
      <c r="E970" s="55">
        <f>Orders!E970</f>
        <v/>
      </c>
      <c r="F970" s="55">
        <f>Orders!F970</f>
        <v/>
      </c>
      <c r="G970" s="55">
        <f>Orders!G970</f>
        <v/>
      </c>
      <c r="H970" s="55">
        <f>Orders!H970</f>
        <v/>
      </c>
      <c r="I970" s="55">
        <f>Orders!I970</f>
        <v/>
      </c>
      <c r="J970" s="55">
        <f>Orders!J970</f>
        <v/>
      </c>
      <c r="K970" s="55">
        <f>Orders!K970</f>
        <v/>
      </c>
      <c r="L970" s="55">
        <f>VLOOKUP(D970,Products!$A$2:$F$61,3,FALSE())</f>
        <v/>
      </c>
      <c r="M970" s="55">
        <f>VLOOKUP(C970,Customers!$A$2:$F$301,5,FALSE())</f>
        <v/>
      </c>
      <c r="N970" s="55">
        <f>VLOOKUP(E970,Sales_Reps!$A$2:$E$31,3,FALSE())</f>
        <v/>
      </c>
      <c r="O970" s="55">
        <f>VLOOKUP(D970,Products!$A$2:$F$61,4,FALSE())</f>
        <v/>
      </c>
      <c r="P970" s="55">
        <f>VLOOKUP(C970,Customers!$A$2:$F$301,3,FALSE())</f>
        <v/>
      </c>
      <c r="Q970" s="55">
        <f>UPPER(TRIM(K970))</f>
        <v/>
      </c>
      <c r="R970" s="55">
        <f>(G970-O970)/G970</f>
        <v/>
      </c>
      <c r="S970" s="55">
        <f>VLOOKUP(D970,Products!$A$2:$F$61,6,FALSE())</f>
        <v/>
      </c>
    </row>
    <row r="971" ht="15" customHeight="1" s="56">
      <c r="A971" s="55">
        <f>Orders!A971</f>
        <v/>
      </c>
      <c r="B971" s="103">
        <f>Orders!B971</f>
        <v/>
      </c>
      <c r="C971" s="55">
        <f>Orders!C971</f>
        <v/>
      </c>
      <c r="D971" s="55">
        <f>Orders!D971</f>
        <v/>
      </c>
      <c r="E971" s="55">
        <f>Orders!E971</f>
        <v/>
      </c>
      <c r="F971" s="55">
        <f>Orders!F971</f>
        <v/>
      </c>
      <c r="G971" s="55">
        <f>Orders!G971</f>
        <v/>
      </c>
      <c r="H971" s="55">
        <f>Orders!H971</f>
        <v/>
      </c>
      <c r="I971" s="55">
        <f>Orders!I971</f>
        <v/>
      </c>
      <c r="J971" s="55">
        <f>Orders!J971</f>
        <v/>
      </c>
      <c r="K971" s="55">
        <f>Orders!K971</f>
        <v/>
      </c>
      <c r="L971" s="55">
        <f>VLOOKUP(D971,Products!$A$2:$F$61,3,FALSE())</f>
        <v/>
      </c>
      <c r="M971" s="55">
        <f>VLOOKUP(C971,Customers!$A$2:$F$301,5,FALSE())</f>
        <v/>
      </c>
      <c r="N971" s="55">
        <f>VLOOKUP(E971,Sales_Reps!$A$2:$E$31,3,FALSE())</f>
        <v/>
      </c>
      <c r="O971" s="55">
        <f>VLOOKUP(D971,Products!$A$2:$F$61,4,FALSE())</f>
        <v/>
      </c>
      <c r="P971" s="55">
        <f>VLOOKUP(C971,Customers!$A$2:$F$301,3,FALSE())</f>
        <v/>
      </c>
      <c r="Q971" s="55">
        <f>UPPER(TRIM(K971))</f>
        <v/>
      </c>
      <c r="R971" s="55">
        <f>(G971-O971)/G971</f>
        <v/>
      </c>
      <c r="S971" s="55">
        <f>VLOOKUP(D971,Products!$A$2:$F$61,6,FALSE())</f>
        <v/>
      </c>
    </row>
    <row r="972" ht="15" customHeight="1" s="56">
      <c r="A972" s="55">
        <f>Orders!A972</f>
        <v/>
      </c>
      <c r="B972" s="103">
        <f>Orders!B972</f>
        <v/>
      </c>
      <c r="C972" s="55">
        <f>Orders!C972</f>
        <v/>
      </c>
      <c r="D972" s="55">
        <f>Orders!D972</f>
        <v/>
      </c>
      <c r="E972" s="55">
        <f>Orders!E972</f>
        <v/>
      </c>
      <c r="F972" s="55">
        <f>Orders!F972</f>
        <v/>
      </c>
      <c r="G972" s="55">
        <f>Orders!G972</f>
        <v/>
      </c>
      <c r="H972" s="55">
        <f>Orders!H972</f>
        <v/>
      </c>
      <c r="I972" s="55">
        <f>Orders!I972</f>
        <v/>
      </c>
      <c r="J972" s="55">
        <f>Orders!J972</f>
        <v/>
      </c>
      <c r="K972" s="55">
        <f>Orders!K972</f>
        <v/>
      </c>
      <c r="L972" s="55">
        <f>VLOOKUP(D972,Products!$A$2:$F$61,3,FALSE())</f>
        <v/>
      </c>
      <c r="M972" s="55">
        <f>VLOOKUP(C972,Customers!$A$2:$F$301,5,FALSE())</f>
        <v/>
      </c>
      <c r="N972" s="55">
        <f>VLOOKUP(E972,Sales_Reps!$A$2:$E$31,3,FALSE())</f>
        <v/>
      </c>
      <c r="O972" s="55">
        <f>VLOOKUP(D972,Products!$A$2:$F$61,4,FALSE())</f>
        <v/>
      </c>
      <c r="P972" s="55">
        <f>VLOOKUP(C972,Customers!$A$2:$F$301,3,FALSE())</f>
        <v/>
      </c>
      <c r="Q972" s="55">
        <f>UPPER(TRIM(K972))</f>
        <v/>
      </c>
      <c r="R972" s="55">
        <f>(G972-O972)/G972</f>
        <v/>
      </c>
      <c r="S972" s="55">
        <f>VLOOKUP(D972,Products!$A$2:$F$61,6,FALSE())</f>
        <v/>
      </c>
    </row>
    <row r="973" ht="15" customHeight="1" s="56">
      <c r="A973" s="55">
        <f>Orders!A973</f>
        <v/>
      </c>
      <c r="B973" s="103">
        <f>Orders!B973</f>
        <v/>
      </c>
      <c r="C973" s="55">
        <f>Orders!C973</f>
        <v/>
      </c>
      <c r="D973" s="55">
        <f>Orders!D973</f>
        <v/>
      </c>
      <c r="E973" s="55">
        <f>Orders!E973</f>
        <v/>
      </c>
      <c r="F973" s="55">
        <f>Orders!F973</f>
        <v/>
      </c>
      <c r="G973" s="55">
        <f>Orders!G973</f>
        <v/>
      </c>
      <c r="H973" s="55">
        <f>Orders!H973</f>
        <v/>
      </c>
      <c r="I973" s="55">
        <f>Orders!I973</f>
        <v/>
      </c>
      <c r="J973" s="55">
        <f>Orders!J973</f>
        <v/>
      </c>
      <c r="K973" s="55">
        <f>Orders!K973</f>
        <v/>
      </c>
      <c r="L973" s="55">
        <f>VLOOKUP(D973,Products!$A$2:$F$61,3,FALSE())</f>
        <v/>
      </c>
      <c r="M973" s="55">
        <f>VLOOKUP(C973,Customers!$A$2:$F$301,5,FALSE())</f>
        <v/>
      </c>
      <c r="N973" s="55">
        <f>VLOOKUP(E973,Sales_Reps!$A$2:$E$31,3,FALSE())</f>
        <v/>
      </c>
      <c r="O973" s="55">
        <f>VLOOKUP(D973,Products!$A$2:$F$61,4,FALSE())</f>
        <v/>
      </c>
      <c r="P973" s="55">
        <f>VLOOKUP(C973,Customers!$A$2:$F$301,3,FALSE())</f>
        <v/>
      </c>
      <c r="Q973" s="55">
        <f>UPPER(TRIM(K973))</f>
        <v/>
      </c>
      <c r="R973" s="55">
        <f>(G973-O973)/G973</f>
        <v/>
      </c>
      <c r="S973" s="55">
        <f>VLOOKUP(D973,Products!$A$2:$F$61,6,FALSE())</f>
        <v/>
      </c>
    </row>
    <row r="974" ht="15" customHeight="1" s="56">
      <c r="A974" s="55">
        <f>Orders!A974</f>
        <v/>
      </c>
      <c r="B974" s="103">
        <f>Orders!B974</f>
        <v/>
      </c>
      <c r="C974" s="55">
        <f>Orders!C974</f>
        <v/>
      </c>
      <c r="D974" s="55">
        <f>Orders!D974</f>
        <v/>
      </c>
      <c r="E974" s="55">
        <f>Orders!E974</f>
        <v/>
      </c>
      <c r="F974" s="55">
        <f>Orders!F974</f>
        <v/>
      </c>
      <c r="G974" s="55">
        <f>Orders!G974</f>
        <v/>
      </c>
      <c r="H974" s="55">
        <f>Orders!H974</f>
        <v/>
      </c>
      <c r="I974" s="55">
        <f>Orders!I974</f>
        <v/>
      </c>
      <c r="J974" s="55">
        <f>Orders!J974</f>
        <v/>
      </c>
      <c r="K974" s="55">
        <f>Orders!K974</f>
        <v/>
      </c>
      <c r="L974" s="55">
        <f>VLOOKUP(D974,Products!$A$2:$F$61,3,FALSE())</f>
        <v/>
      </c>
      <c r="M974" s="55">
        <f>VLOOKUP(C974,Customers!$A$2:$F$301,5,FALSE())</f>
        <v/>
      </c>
      <c r="N974" s="55">
        <f>VLOOKUP(E974,Sales_Reps!$A$2:$E$31,3,FALSE())</f>
        <v/>
      </c>
      <c r="O974" s="55">
        <f>VLOOKUP(D974,Products!$A$2:$F$61,4,FALSE())</f>
        <v/>
      </c>
      <c r="P974" s="55">
        <f>VLOOKUP(C974,Customers!$A$2:$F$301,3,FALSE())</f>
        <v/>
      </c>
      <c r="Q974" s="55">
        <f>UPPER(TRIM(K974))</f>
        <v/>
      </c>
      <c r="R974" s="55">
        <f>(G974-O974)/G974</f>
        <v/>
      </c>
      <c r="S974" s="55">
        <f>VLOOKUP(D974,Products!$A$2:$F$61,6,FALSE())</f>
        <v/>
      </c>
    </row>
    <row r="975" ht="15" customHeight="1" s="56">
      <c r="A975" s="55">
        <f>Orders!A975</f>
        <v/>
      </c>
      <c r="B975" s="103">
        <f>Orders!B975</f>
        <v/>
      </c>
      <c r="C975" s="55">
        <f>Orders!C975</f>
        <v/>
      </c>
      <c r="D975" s="55">
        <f>Orders!D975</f>
        <v/>
      </c>
      <c r="E975" s="55">
        <f>Orders!E975</f>
        <v/>
      </c>
      <c r="F975" s="55">
        <f>Orders!F975</f>
        <v/>
      </c>
      <c r="G975" s="55">
        <f>Orders!G975</f>
        <v/>
      </c>
      <c r="H975" s="55">
        <f>Orders!H975</f>
        <v/>
      </c>
      <c r="I975" s="55">
        <f>Orders!I975</f>
        <v/>
      </c>
      <c r="J975" s="55">
        <f>Orders!J975</f>
        <v/>
      </c>
      <c r="K975" s="55">
        <f>Orders!K975</f>
        <v/>
      </c>
      <c r="L975" s="55">
        <f>VLOOKUP(D975,Products!$A$2:$F$61,3,FALSE())</f>
        <v/>
      </c>
      <c r="M975" s="55">
        <f>VLOOKUP(C975,Customers!$A$2:$F$301,5,FALSE())</f>
        <v/>
      </c>
      <c r="N975" s="55">
        <f>VLOOKUP(E975,Sales_Reps!$A$2:$E$31,3,FALSE())</f>
        <v/>
      </c>
      <c r="O975" s="55">
        <f>VLOOKUP(D975,Products!$A$2:$F$61,4,FALSE())</f>
        <v/>
      </c>
      <c r="P975" s="55">
        <f>VLOOKUP(C975,Customers!$A$2:$F$301,3,FALSE())</f>
        <v/>
      </c>
      <c r="Q975" s="55">
        <f>UPPER(TRIM(K975))</f>
        <v/>
      </c>
      <c r="R975" s="55">
        <f>(G975-O975)/G975</f>
        <v/>
      </c>
      <c r="S975" s="55">
        <f>VLOOKUP(D975,Products!$A$2:$F$61,6,FALSE())</f>
        <v/>
      </c>
    </row>
    <row r="976" ht="15" customHeight="1" s="56">
      <c r="A976" s="55">
        <f>Orders!A976</f>
        <v/>
      </c>
      <c r="B976" s="103">
        <f>Orders!B976</f>
        <v/>
      </c>
      <c r="C976" s="55">
        <f>Orders!C976</f>
        <v/>
      </c>
      <c r="D976" s="55">
        <f>Orders!D976</f>
        <v/>
      </c>
      <c r="E976" s="55">
        <f>Orders!E976</f>
        <v/>
      </c>
      <c r="F976" s="55">
        <f>Orders!F976</f>
        <v/>
      </c>
      <c r="G976" s="55">
        <f>Orders!G976</f>
        <v/>
      </c>
      <c r="H976" s="55">
        <f>Orders!H976</f>
        <v/>
      </c>
      <c r="I976" s="55">
        <f>Orders!I976</f>
        <v/>
      </c>
      <c r="J976" s="55">
        <f>Orders!J976</f>
        <v/>
      </c>
      <c r="K976" s="55">
        <f>Orders!K976</f>
        <v/>
      </c>
      <c r="L976" s="55">
        <f>VLOOKUP(D976,Products!$A$2:$F$61,3,FALSE())</f>
        <v/>
      </c>
      <c r="M976" s="55">
        <f>VLOOKUP(C976,Customers!$A$2:$F$301,5,FALSE())</f>
        <v/>
      </c>
      <c r="N976" s="55">
        <f>VLOOKUP(E976,Sales_Reps!$A$2:$E$31,3,FALSE())</f>
        <v/>
      </c>
      <c r="O976" s="55">
        <f>VLOOKUP(D976,Products!$A$2:$F$61,4,FALSE())</f>
        <v/>
      </c>
      <c r="P976" s="55">
        <f>VLOOKUP(C976,Customers!$A$2:$F$301,3,FALSE())</f>
        <v/>
      </c>
      <c r="Q976" s="55">
        <f>UPPER(TRIM(K976))</f>
        <v/>
      </c>
      <c r="R976" s="55">
        <f>(G976-O976)/G976</f>
        <v/>
      </c>
      <c r="S976" s="55">
        <f>VLOOKUP(D976,Products!$A$2:$F$61,6,FALSE())</f>
        <v/>
      </c>
    </row>
    <row r="977" ht="15" customHeight="1" s="56">
      <c r="A977" s="55">
        <f>Orders!A977</f>
        <v/>
      </c>
      <c r="B977" s="103">
        <f>Orders!B977</f>
        <v/>
      </c>
      <c r="C977" s="55">
        <f>Orders!C977</f>
        <v/>
      </c>
      <c r="D977" s="55">
        <f>Orders!D977</f>
        <v/>
      </c>
      <c r="E977" s="55">
        <f>Orders!E977</f>
        <v/>
      </c>
      <c r="F977" s="55">
        <f>Orders!F977</f>
        <v/>
      </c>
      <c r="G977" s="55">
        <f>Orders!G977</f>
        <v/>
      </c>
      <c r="H977" s="55">
        <f>Orders!H977</f>
        <v/>
      </c>
      <c r="I977" s="55">
        <f>Orders!I977</f>
        <v/>
      </c>
      <c r="J977" s="55">
        <f>Orders!J977</f>
        <v/>
      </c>
      <c r="K977" s="55">
        <f>Orders!K977</f>
        <v/>
      </c>
      <c r="L977" s="55">
        <f>VLOOKUP(D977,Products!$A$2:$F$61,3,FALSE())</f>
        <v/>
      </c>
      <c r="M977" s="55">
        <f>VLOOKUP(C977,Customers!$A$2:$F$301,5,FALSE())</f>
        <v/>
      </c>
      <c r="N977" s="55">
        <f>VLOOKUP(E977,Sales_Reps!$A$2:$E$31,3,FALSE())</f>
        <v/>
      </c>
      <c r="O977" s="55">
        <f>VLOOKUP(D977,Products!$A$2:$F$61,4,FALSE())</f>
        <v/>
      </c>
      <c r="P977" s="55">
        <f>VLOOKUP(C977,Customers!$A$2:$F$301,3,FALSE())</f>
        <v/>
      </c>
      <c r="Q977" s="55">
        <f>UPPER(TRIM(K977))</f>
        <v/>
      </c>
      <c r="R977" s="55">
        <f>(G977-O977)/G977</f>
        <v/>
      </c>
      <c r="S977" s="55">
        <f>VLOOKUP(D977,Products!$A$2:$F$61,6,FALSE())</f>
        <v/>
      </c>
    </row>
    <row r="978" ht="15" customHeight="1" s="56">
      <c r="A978" s="55">
        <f>Orders!A978</f>
        <v/>
      </c>
      <c r="B978" s="103">
        <f>Orders!B978</f>
        <v/>
      </c>
      <c r="C978" s="55">
        <f>Orders!C978</f>
        <v/>
      </c>
      <c r="D978" s="55">
        <f>Orders!D978</f>
        <v/>
      </c>
      <c r="E978" s="55">
        <f>Orders!E978</f>
        <v/>
      </c>
      <c r="F978" s="55">
        <f>Orders!F978</f>
        <v/>
      </c>
      <c r="G978" s="55">
        <f>Orders!G978</f>
        <v/>
      </c>
      <c r="H978" s="55">
        <f>Orders!H978</f>
        <v/>
      </c>
      <c r="I978" s="55">
        <f>Orders!I978</f>
        <v/>
      </c>
      <c r="J978" s="55">
        <f>Orders!J978</f>
        <v/>
      </c>
      <c r="K978" s="55">
        <f>Orders!K978</f>
        <v/>
      </c>
      <c r="L978" s="55">
        <f>VLOOKUP(D978,Products!$A$2:$F$61,3,FALSE())</f>
        <v/>
      </c>
      <c r="M978" s="55">
        <f>VLOOKUP(C978,Customers!$A$2:$F$301,5,FALSE())</f>
        <v/>
      </c>
      <c r="N978" s="55">
        <f>VLOOKUP(E978,Sales_Reps!$A$2:$E$31,3,FALSE())</f>
        <v/>
      </c>
      <c r="O978" s="55">
        <f>VLOOKUP(D978,Products!$A$2:$F$61,4,FALSE())</f>
        <v/>
      </c>
      <c r="P978" s="55">
        <f>VLOOKUP(C978,Customers!$A$2:$F$301,3,FALSE())</f>
        <v/>
      </c>
      <c r="Q978" s="55">
        <f>UPPER(TRIM(K978))</f>
        <v/>
      </c>
      <c r="R978" s="55">
        <f>(G978-O978)/G978</f>
        <v/>
      </c>
      <c r="S978" s="55">
        <f>VLOOKUP(D978,Products!$A$2:$F$61,6,FALSE())</f>
        <v/>
      </c>
    </row>
    <row r="979" ht="15" customHeight="1" s="56">
      <c r="A979" s="55">
        <f>Orders!A979</f>
        <v/>
      </c>
      <c r="B979" s="103">
        <f>Orders!B979</f>
        <v/>
      </c>
      <c r="C979" s="55">
        <f>Orders!C979</f>
        <v/>
      </c>
      <c r="D979" s="55">
        <f>Orders!D979</f>
        <v/>
      </c>
      <c r="E979" s="55">
        <f>Orders!E979</f>
        <v/>
      </c>
      <c r="F979" s="55">
        <f>Orders!F979</f>
        <v/>
      </c>
      <c r="G979" s="55">
        <f>Orders!G979</f>
        <v/>
      </c>
      <c r="H979" s="55">
        <f>Orders!H979</f>
        <v/>
      </c>
      <c r="I979" s="55">
        <f>Orders!I979</f>
        <v/>
      </c>
      <c r="J979" s="55">
        <f>Orders!J979</f>
        <v/>
      </c>
      <c r="K979" s="55">
        <f>Orders!K979</f>
        <v/>
      </c>
      <c r="L979" s="55">
        <f>VLOOKUP(D979,Products!$A$2:$F$61,3,FALSE())</f>
        <v/>
      </c>
      <c r="M979" s="55">
        <f>VLOOKUP(C979,Customers!$A$2:$F$301,5,FALSE())</f>
        <v/>
      </c>
      <c r="N979" s="55">
        <f>VLOOKUP(E979,Sales_Reps!$A$2:$E$31,3,FALSE())</f>
        <v/>
      </c>
      <c r="O979" s="55">
        <f>VLOOKUP(D979,Products!$A$2:$F$61,4,FALSE())</f>
        <v/>
      </c>
      <c r="P979" s="55">
        <f>VLOOKUP(C979,Customers!$A$2:$F$301,3,FALSE())</f>
        <v/>
      </c>
      <c r="Q979" s="55">
        <f>UPPER(TRIM(K979))</f>
        <v/>
      </c>
      <c r="R979" s="55">
        <f>(G979-O979)/G979</f>
        <v/>
      </c>
      <c r="S979" s="55">
        <f>VLOOKUP(D979,Products!$A$2:$F$61,6,FALSE())</f>
        <v/>
      </c>
    </row>
    <row r="980" ht="15" customHeight="1" s="56">
      <c r="A980" s="55">
        <f>Orders!A980</f>
        <v/>
      </c>
      <c r="B980" s="103">
        <f>Orders!B980</f>
        <v/>
      </c>
      <c r="C980" s="55">
        <f>Orders!C980</f>
        <v/>
      </c>
      <c r="D980" s="55">
        <f>Orders!D980</f>
        <v/>
      </c>
      <c r="E980" s="55">
        <f>Orders!E980</f>
        <v/>
      </c>
      <c r="F980" s="55">
        <f>Orders!F980</f>
        <v/>
      </c>
      <c r="G980" s="55">
        <f>Orders!G980</f>
        <v/>
      </c>
      <c r="H980" s="55">
        <f>Orders!H980</f>
        <v/>
      </c>
      <c r="I980" s="55">
        <f>Orders!I980</f>
        <v/>
      </c>
      <c r="J980" s="55">
        <f>Orders!J980</f>
        <v/>
      </c>
      <c r="K980" s="55">
        <f>Orders!K980</f>
        <v/>
      </c>
      <c r="L980" s="55">
        <f>VLOOKUP(D980,Products!$A$2:$F$61,3,FALSE())</f>
        <v/>
      </c>
      <c r="M980" s="55">
        <f>VLOOKUP(C980,Customers!$A$2:$F$301,5,FALSE())</f>
        <v/>
      </c>
      <c r="N980" s="55">
        <f>VLOOKUP(E980,Sales_Reps!$A$2:$E$31,3,FALSE())</f>
        <v/>
      </c>
      <c r="O980" s="55">
        <f>VLOOKUP(D980,Products!$A$2:$F$61,4,FALSE())</f>
        <v/>
      </c>
      <c r="P980" s="55">
        <f>VLOOKUP(C980,Customers!$A$2:$F$301,3,FALSE())</f>
        <v/>
      </c>
      <c r="Q980" s="55">
        <f>UPPER(TRIM(K980))</f>
        <v/>
      </c>
      <c r="R980" s="55">
        <f>(G980-O980)/G980</f>
        <v/>
      </c>
      <c r="S980" s="55">
        <f>VLOOKUP(D980,Products!$A$2:$F$61,6,FALSE())</f>
        <v/>
      </c>
    </row>
    <row r="981" ht="15" customHeight="1" s="56">
      <c r="A981" s="55">
        <f>Orders!A981</f>
        <v/>
      </c>
      <c r="B981" s="103">
        <f>Orders!B981</f>
        <v/>
      </c>
      <c r="C981" s="55">
        <f>Orders!C981</f>
        <v/>
      </c>
      <c r="D981" s="55">
        <f>Orders!D981</f>
        <v/>
      </c>
      <c r="E981" s="55">
        <f>Orders!E981</f>
        <v/>
      </c>
      <c r="F981" s="55">
        <f>Orders!F981</f>
        <v/>
      </c>
      <c r="G981" s="55">
        <f>Orders!G981</f>
        <v/>
      </c>
      <c r="H981" s="55">
        <f>Orders!H981</f>
        <v/>
      </c>
      <c r="I981" s="55">
        <f>Orders!I981</f>
        <v/>
      </c>
      <c r="J981" s="55">
        <f>Orders!J981</f>
        <v/>
      </c>
      <c r="K981" s="55">
        <f>Orders!K981</f>
        <v/>
      </c>
      <c r="L981" s="55">
        <f>VLOOKUP(D981,Products!$A$2:$F$61,3,FALSE())</f>
        <v/>
      </c>
      <c r="M981" s="55">
        <f>VLOOKUP(C981,Customers!$A$2:$F$301,5,FALSE())</f>
        <v/>
      </c>
      <c r="N981" s="55">
        <f>VLOOKUP(E981,Sales_Reps!$A$2:$E$31,3,FALSE())</f>
        <v/>
      </c>
      <c r="O981" s="55">
        <f>VLOOKUP(D981,Products!$A$2:$F$61,4,FALSE())</f>
        <v/>
      </c>
      <c r="P981" s="55">
        <f>VLOOKUP(C981,Customers!$A$2:$F$301,3,FALSE())</f>
        <v/>
      </c>
      <c r="Q981" s="55">
        <f>UPPER(TRIM(K981))</f>
        <v/>
      </c>
      <c r="R981" s="55">
        <f>(G981-O981)/G981</f>
        <v/>
      </c>
      <c r="S981" s="55">
        <f>VLOOKUP(D981,Products!$A$2:$F$61,6,FALSE())</f>
        <v/>
      </c>
    </row>
    <row r="982" ht="15" customHeight="1" s="56">
      <c r="A982" s="55">
        <f>Orders!A982</f>
        <v/>
      </c>
      <c r="B982" s="103">
        <f>Orders!B982</f>
        <v/>
      </c>
      <c r="C982" s="55">
        <f>Orders!C982</f>
        <v/>
      </c>
      <c r="D982" s="55">
        <f>Orders!D982</f>
        <v/>
      </c>
      <c r="E982" s="55">
        <f>Orders!E982</f>
        <v/>
      </c>
      <c r="F982" s="55">
        <f>Orders!F982</f>
        <v/>
      </c>
      <c r="G982" s="55">
        <f>Orders!G982</f>
        <v/>
      </c>
      <c r="H982" s="55">
        <f>Orders!H982</f>
        <v/>
      </c>
      <c r="I982" s="55">
        <f>Orders!I982</f>
        <v/>
      </c>
      <c r="J982" s="55">
        <f>Orders!J982</f>
        <v/>
      </c>
      <c r="K982" s="55">
        <f>Orders!K982</f>
        <v/>
      </c>
      <c r="L982" s="55">
        <f>VLOOKUP(D982,Products!$A$2:$F$61,3,FALSE())</f>
        <v/>
      </c>
      <c r="M982" s="55">
        <f>VLOOKUP(C982,Customers!$A$2:$F$301,5,FALSE())</f>
        <v/>
      </c>
      <c r="N982" s="55">
        <f>VLOOKUP(E982,Sales_Reps!$A$2:$E$31,3,FALSE())</f>
        <v/>
      </c>
      <c r="O982" s="55">
        <f>VLOOKUP(D982,Products!$A$2:$F$61,4,FALSE())</f>
        <v/>
      </c>
      <c r="P982" s="55">
        <f>VLOOKUP(C982,Customers!$A$2:$F$301,3,FALSE())</f>
        <v/>
      </c>
      <c r="Q982" s="55">
        <f>UPPER(TRIM(K982))</f>
        <v/>
      </c>
      <c r="R982" s="55">
        <f>(G982-O982)/G982</f>
        <v/>
      </c>
      <c r="S982" s="55">
        <f>VLOOKUP(D982,Products!$A$2:$F$61,6,FALSE())</f>
        <v/>
      </c>
    </row>
    <row r="983" ht="15" customHeight="1" s="56">
      <c r="A983" s="55">
        <f>Orders!A983</f>
        <v/>
      </c>
      <c r="B983" s="103">
        <f>Orders!B983</f>
        <v/>
      </c>
      <c r="C983" s="55">
        <f>Orders!C983</f>
        <v/>
      </c>
      <c r="D983" s="55">
        <f>Orders!D983</f>
        <v/>
      </c>
      <c r="E983" s="55">
        <f>Orders!E983</f>
        <v/>
      </c>
      <c r="F983" s="55">
        <f>Orders!F983</f>
        <v/>
      </c>
      <c r="G983" s="55">
        <f>Orders!G983</f>
        <v/>
      </c>
      <c r="H983" s="55">
        <f>Orders!H983</f>
        <v/>
      </c>
      <c r="I983" s="55">
        <f>Orders!I983</f>
        <v/>
      </c>
      <c r="J983" s="55">
        <f>Orders!J983</f>
        <v/>
      </c>
      <c r="K983" s="55">
        <f>Orders!K983</f>
        <v/>
      </c>
      <c r="L983" s="55">
        <f>VLOOKUP(D983,Products!$A$2:$F$61,3,FALSE())</f>
        <v/>
      </c>
      <c r="M983" s="55">
        <f>VLOOKUP(C983,Customers!$A$2:$F$301,5,FALSE())</f>
        <v/>
      </c>
      <c r="N983" s="55">
        <f>VLOOKUP(E983,Sales_Reps!$A$2:$E$31,3,FALSE())</f>
        <v/>
      </c>
      <c r="O983" s="55">
        <f>VLOOKUP(D983,Products!$A$2:$F$61,4,FALSE())</f>
        <v/>
      </c>
      <c r="P983" s="55">
        <f>VLOOKUP(C983,Customers!$A$2:$F$301,3,FALSE())</f>
        <v/>
      </c>
      <c r="Q983" s="55">
        <f>UPPER(TRIM(K983))</f>
        <v/>
      </c>
      <c r="R983" s="55">
        <f>(G983-O983)/G983</f>
        <v/>
      </c>
      <c r="S983" s="55">
        <f>VLOOKUP(D983,Products!$A$2:$F$61,6,FALSE())</f>
        <v/>
      </c>
    </row>
    <row r="984" ht="15" customHeight="1" s="56">
      <c r="A984" s="55">
        <f>Orders!A984</f>
        <v/>
      </c>
      <c r="B984" s="103">
        <f>Orders!B984</f>
        <v/>
      </c>
      <c r="C984" s="55">
        <f>Orders!C984</f>
        <v/>
      </c>
      <c r="D984" s="55">
        <f>Orders!D984</f>
        <v/>
      </c>
      <c r="E984" s="55">
        <f>Orders!E984</f>
        <v/>
      </c>
      <c r="F984" s="55">
        <f>Orders!F984</f>
        <v/>
      </c>
      <c r="G984" s="55">
        <f>Orders!G984</f>
        <v/>
      </c>
      <c r="H984" s="55">
        <f>Orders!H984</f>
        <v/>
      </c>
      <c r="I984" s="55">
        <f>Orders!I984</f>
        <v/>
      </c>
      <c r="J984" s="55">
        <f>Orders!J984</f>
        <v/>
      </c>
      <c r="K984" s="55">
        <f>Orders!K984</f>
        <v/>
      </c>
      <c r="L984" s="55">
        <f>VLOOKUP(D984,Products!$A$2:$F$61,3,FALSE())</f>
        <v/>
      </c>
      <c r="M984" s="55">
        <f>VLOOKUP(C984,Customers!$A$2:$F$301,5,FALSE())</f>
        <v/>
      </c>
      <c r="N984" s="55">
        <f>VLOOKUP(E984,Sales_Reps!$A$2:$E$31,3,FALSE())</f>
        <v/>
      </c>
      <c r="O984" s="55">
        <f>VLOOKUP(D984,Products!$A$2:$F$61,4,FALSE())</f>
        <v/>
      </c>
      <c r="P984" s="55">
        <f>VLOOKUP(C984,Customers!$A$2:$F$301,3,FALSE())</f>
        <v/>
      </c>
      <c r="Q984" s="55">
        <f>UPPER(TRIM(K984))</f>
        <v/>
      </c>
      <c r="R984" s="55">
        <f>(G984-O984)/G984</f>
        <v/>
      </c>
      <c r="S984" s="55">
        <f>VLOOKUP(D984,Products!$A$2:$F$61,6,FALSE())</f>
        <v/>
      </c>
    </row>
    <row r="985" ht="15" customHeight="1" s="56">
      <c r="A985" s="55">
        <f>Orders!A985</f>
        <v/>
      </c>
      <c r="B985" s="103">
        <f>Orders!B985</f>
        <v/>
      </c>
      <c r="C985" s="55">
        <f>Orders!C985</f>
        <v/>
      </c>
      <c r="D985" s="55">
        <f>Orders!D985</f>
        <v/>
      </c>
      <c r="E985" s="55">
        <f>Orders!E985</f>
        <v/>
      </c>
      <c r="F985" s="55">
        <f>Orders!F985</f>
        <v/>
      </c>
      <c r="G985" s="55">
        <f>Orders!G985</f>
        <v/>
      </c>
      <c r="H985" s="55">
        <f>Orders!H985</f>
        <v/>
      </c>
      <c r="I985" s="55">
        <f>Orders!I985</f>
        <v/>
      </c>
      <c r="J985" s="55">
        <f>Orders!J985</f>
        <v/>
      </c>
      <c r="K985" s="55">
        <f>Orders!K985</f>
        <v/>
      </c>
      <c r="L985" s="55">
        <f>VLOOKUP(D985,Products!$A$2:$F$61,3,FALSE())</f>
        <v/>
      </c>
      <c r="M985" s="55">
        <f>VLOOKUP(C985,Customers!$A$2:$F$301,5,FALSE())</f>
        <v/>
      </c>
      <c r="N985" s="55">
        <f>VLOOKUP(E985,Sales_Reps!$A$2:$E$31,3,FALSE())</f>
        <v/>
      </c>
      <c r="O985" s="55">
        <f>VLOOKUP(D985,Products!$A$2:$F$61,4,FALSE())</f>
        <v/>
      </c>
      <c r="P985" s="55">
        <f>VLOOKUP(C985,Customers!$A$2:$F$301,3,FALSE())</f>
        <v/>
      </c>
      <c r="Q985" s="55">
        <f>UPPER(TRIM(K985))</f>
        <v/>
      </c>
      <c r="R985" s="55">
        <f>(G985-O985)/G985</f>
        <v/>
      </c>
      <c r="S985" s="55">
        <f>VLOOKUP(D985,Products!$A$2:$F$61,6,FALSE())</f>
        <v/>
      </c>
    </row>
    <row r="986" ht="15" customHeight="1" s="56">
      <c r="A986" s="55">
        <f>Orders!A986</f>
        <v/>
      </c>
      <c r="B986" s="103">
        <f>Orders!B986</f>
        <v/>
      </c>
      <c r="C986" s="55">
        <f>Orders!C986</f>
        <v/>
      </c>
      <c r="D986" s="55">
        <f>Orders!D986</f>
        <v/>
      </c>
      <c r="E986" s="55">
        <f>Orders!E986</f>
        <v/>
      </c>
      <c r="F986" s="55">
        <f>Orders!F986</f>
        <v/>
      </c>
      <c r="G986" s="55">
        <f>Orders!G986</f>
        <v/>
      </c>
      <c r="H986" s="55">
        <f>Orders!H986</f>
        <v/>
      </c>
      <c r="I986" s="55">
        <f>Orders!I986</f>
        <v/>
      </c>
      <c r="J986" s="55">
        <f>Orders!J986</f>
        <v/>
      </c>
      <c r="K986" s="55">
        <f>Orders!K986</f>
        <v/>
      </c>
      <c r="L986" s="55">
        <f>VLOOKUP(D986,Products!$A$2:$F$61,3,FALSE())</f>
        <v/>
      </c>
      <c r="M986" s="55">
        <f>VLOOKUP(C986,Customers!$A$2:$F$301,5,FALSE())</f>
        <v/>
      </c>
      <c r="N986" s="55">
        <f>VLOOKUP(E986,Sales_Reps!$A$2:$E$31,3,FALSE())</f>
        <v/>
      </c>
      <c r="O986" s="55">
        <f>VLOOKUP(D986,Products!$A$2:$F$61,4,FALSE())</f>
        <v/>
      </c>
      <c r="P986" s="55">
        <f>VLOOKUP(C986,Customers!$A$2:$F$301,3,FALSE())</f>
        <v/>
      </c>
      <c r="Q986" s="55">
        <f>UPPER(TRIM(K986))</f>
        <v/>
      </c>
      <c r="R986" s="55">
        <f>(G986-O986)/G986</f>
        <v/>
      </c>
      <c r="S986" s="55">
        <f>VLOOKUP(D986,Products!$A$2:$F$61,6,FALSE())</f>
        <v/>
      </c>
    </row>
    <row r="987" ht="15" customHeight="1" s="56">
      <c r="A987" s="55">
        <f>Orders!A987</f>
        <v/>
      </c>
      <c r="B987" s="103">
        <f>Orders!B987</f>
        <v/>
      </c>
      <c r="C987" s="55">
        <f>Orders!C987</f>
        <v/>
      </c>
      <c r="D987" s="55">
        <f>Orders!D987</f>
        <v/>
      </c>
      <c r="E987" s="55">
        <f>Orders!E987</f>
        <v/>
      </c>
      <c r="F987" s="55">
        <f>Orders!F987</f>
        <v/>
      </c>
      <c r="G987" s="55">
        <f>Orders!G987</f>
        <v/>
      </c>
      <c r="H987" s="55">
        <f>Orders!H987</f>
        <v/>
      </c>
      <c r="I987" s="55">
        <f>Orders!I987</f>
        <v/>
      </c>
      <c r="J987" s="55">
        <f>Orders!J987</f>
        <v/>
      </c>
      <c r="K987" s="55">
        <f>Orders!K987</f>
        <v/>
      </c>
      <c r="L987" s="55">
        <f>VLOOKUP(D987,Products!$A$2:$F$61,3,FALSE())</f>
        <v/>
      </c>
      <c r="M987" s="55">
        <f>VLOOKUP(C987,Customers!$A$2:$F$301,5,FALSE())</f>
        <v/>
      </c>
      <c r="N987" s="55">
        <f>VLOOKUP(E987,Sales_Reps!$A$2:$E$31,3,FALSE())</f>
        <v/>
      </c>
      <c r="O987" s="55">
        <f>VLOOKUP(D987,Products!$A$2:$F$61,4,FALSE())</f>
        <v/>
      </c>
      <c r="P987" s="55">
        <f>VLOOKUP(C987,Customers!$A$2:$F$301,3,FALSE())</f>
        <v/>
      </c>
      <c r="Q987" s="55">
        <f>UPPER(TRIM(K987))</f>
        <v/>
      </c>
      <c r="R987" s="55">
        <f>(G987-O987)/G987</f>
        <v/>
      </c>
      <c r="S987" s="55">
        <f>VLOOKUP(D987,Products!$A$2:$F$61,6,FALSE())</f>
        <v/>
      </c>
    </row>
    <row r="988" ht="15" customHeight="1" s="56">
      <c r="A988" s="55">
        <f>Orders!A988</f>
        <v/>
      </c>
      <c r="B988" s="103">
        <f>Orders!B988</f>
        <v/>
      </c>
      <c r="C988" s="55">
        <f>Orders!C988</f>
        <v/>
      </c>
      <c r="D988" s="55">
        <f>Orders!D988</f>
        <v/>
      </c>
      <c r="E988" s="55">
        <f>Orders!E988</f>
        <v/>
      </c>
      <c r="F988" s="55">
        <f>Orders!F988</f>
        <v/>
      </c>
      <c r="G988" s="55">
        <f>Orders!G988</f>
        <v/>
      </c>
      <c r="H988" s="55">
        <f>Orders!H988</f>
        <v/>
      </c>
      <c r="I988" s="55">
        <f>Orders!I988</f>
        <v/>
      </c>
      <c r="J988" s="55">
        <f>Orders!J988</f>
        <v/>
      </c>
      <c r="K988" s="55">
        <f>Orders!K988</f>
        <v/>
      </c>
      <c r="L988" s="55">
        <f>VLOOKUP(D988,Products!$A$2:$F$61,3,FALSE())</f>
        <v/>
      </c>
      <c r="M988" s="55">
        <f>VLOOKUP(C988,Customers!$A$2:$F$301,5,FALSE())</f>
        <v/>
      </c>
      <c r="N988" s="55">
        <f>VLOOKUP(E988,Sales_Reps!$A$2:$E$31,3,FALSE())</f>
        <v/>
      </c>
      <c r="O988" s="55">
        <f>VLOOKUP(D988,Products!$A$2:$F$61,4,FALSE())</f>
        <v/>
      </c>
      <c r="P988" s="55">
        <f>VLOOKUP(C988,Customers!$A$2:$F$301,3,FALSE())</f>
        <v/>
      </c>
      <c r="Q988" s="55">
        <f>UPPER(TRIM(K988))</f>
        <v/>
      </c>
      <c r="R988" s="55">
        <f>(G988-O988)/G988</f>
        <v/>
      </c>
      <c r="S988" s="55">
        <f>VLOOKUP(D988,Products!$A$2:$F$61,6,FALSE())</f>
        <v/>
      </c>
    </row>
    <row r="989" ht="15" customHeight="1" s="56">
      <c r="A989" s="55">
        <f>Orders!A989</f>
        <v/>
      </c>
      <c r="B989" s="103">
        <f>Orders!B989</f>
        <v/>
      </c>
      <c r="C989" s="55">
        <f>Orders!C989</f>
        <v/>
      </c>
      <c r="D989" s="55">
        <f>Orders!D989</f>
        <v/>
      </c>
      <c r="E989" s="55">
        <f>Orders!E989</f>
        <v/>
      </c>
      <c r="F989" s="55">
        <f>Orders!F989</f>
        <v/>
      </c>
      <c r="G989" s="55">
        <f>Orders!G989</f>
        <v/>
      </c>
      <c r="H989" s="55">
        <f>Orders!H989</f>
        <v/>
      </c>
      <c r="I989" s="55">
        <f>Orders!I989</f>
        <v/>
      </c>
      <c r="J989" s="55">
        <f>Orders!J989</f>
        <v/>
      </c>
      <c r="K989" s="55">
        <f>Orders!K989</f>
        <v/>
      </c>
      <c r="L989" s="55">
        <f>VLOOKUP(D989,Products!$A$2:$F$61,3,FALSE())</f>
        <v/>
      </c>
      <c r="M989" s="55">
        <f>VLOOKUP(C989,Customers!$A$2:$F$301,5,FALSE())</f>
        <v/>
      </c>
      <c r="N989" s="55">
        <f>VLOOKUP(E989,Sales_Reps!$A$2:$E$31,3,FALSE())</f>
        <v/>
      </c>
      <c r="O989" s="55">
        <f>VLOOKUP(D989,Products!$A$2:$F$61,4,FALSE())</f>
        <v/>
      </c>
      <c r="P989" s="55">
        <f>VLOOKUP(C989,Customers!$A$2:$F$301,3,FALSE())</f>
        <v/>
      </c>
      <c r="Q989" s="55">
        <f>UPPER(TRIM(K989))</f>
        <v/>
      </c>
      <c r="R989" s="55">
        <f>(G989-O989)/G989</f>
        <v/>
      </c>
      <c r="S989" s="55">
        <f>VLOOKUP(D989,Products!$A$2:$F$61,6,FALSE())</f>
        <v/>
      </c>
    </row>
    <row r="990" ht="15" customHeight="1" s="56">
      <c r="A990" s="55">
        <f>Orders!A990</f>
        <v/>
      </c>
      <c r="B990" s="103">
        <f>Orders!B990</f>
        <v/>
      </c>
      <c r="C990" s="55">
        <f>Orders!C990</f>
        <v/>
      </c>
      <c r="D990" s="55">
        <f>Orders!D990</f>
        <v/>
      </c>
      <c r="E990" s="55">
        <f>Orders!E990</f>
        <v/>
      </c>
      <c r="F990" s="55">
        <f>Orders!F990</f>
        <v/>
      </c>
      <c r="G990" s="55">
        <f>Orders!G990</f>
        <v/>
      </c>
      <c r="H990" s="55">
        <f>Orders!H990</f>
        <v/>
      </c>
      <c r="I990" s="55">
        <f>Orders!I990</f>
        <v/>
      </c>
      <c r="J990" s="55">
        <f>Orders!J990</f>
        <v/>
      </c>
      <c r="K990" s="55">
        <f>Orders!K990</f>
        <v/>
      </c>
      <c r="L990" s="55">
        <f>VLOOKUP(D990,Products!$A$2:$F$61,3,FALSE())</f>
        <v/>
      </c>
      <c r="M990" s="55">
        <f>VLOOKUP(C990,Customers!$A$2:$F$301,5,FALSE())</f>
        <v/>
      </c>
      <c r="N990" s="55">
        <f>VLOOKUP(E990,Sales_Reps!$A$2:$E$31,3,FALSE())</f>
        <v/>
      </c>
      <c r="O990" s="55">
        <f>VLOOKUP(D990,Products!$A$2:$F$61,4,FALSE())</f>
        <v/>
      </c>
      <c r="P990" s="55">
        <f>VLOOKUP(C990,Customers!$A$2:$F$301,3,FALSE())</f>
        <v/>
      </c>
      <c r="Q990" s="55">
        <f>UPPER(TRIM(K990))</f>
        <v/>
      </c>
      <c r="R990" s="55">
        <f>(G990-O990)/G990</f>
        <v/>
      </c>
      <c r="S990" s="55">
        <f>VLOOKUP(D990,Products!$A$2:$F$61,6,FALSE())</f>
        <v/>
      </c>
    </row>
    <row r="991" ht="15" customHeight="1" s="56">
      <c r="A991" s="55">
        <f>Orders!A991</f>
        <v/>
      </c>
      <c r="B991" s="103">
        <f>Orders!B991</f>
        <v/>
      </c>
      <c r="C991" s="55">
        <f>Orders!C991</f>
        <v/>
      </c>
      <c r="D991" s="55">
        <f>Orders!D991</f>
        <v/>
      </c>
      <c r="E991" s="55">
        <f>Orders!E991</f>
        <v/>
      </c>
      <c r="F991" s="55">
        <f>Orders!F991</f>
        <v/>
      </c>
      <c r="G991" s="55">
        <f>Orders!G991</f>
        <v/>
      </c>
      <c r="H991" s="55">
        <f>Orders!H991</f>
        <v/>
      </c>
      <c r="I991" s="55">
        <f>Orders!I991</f>
        <v/>
      </c>
      <c r="J991" s="55">
        <f>Orders!J991</f>
        <v/>
      </c>
      <c r="K991" s="55">
        <f>Orders!K991</f>
        <v/>
      </c>
      <c r="L991" s="55">
        <f>VLOOKUP(D991,Products!$A$2:$F$61,3,FALSE())</f>
        <v/>
      </c>
      <c r="M991" s="55">
        <f>VLOOKUP(C991,Customers!$A$2:$F$301,5,FALSE())</f>
        <v/>
      </c>
      <c r="N991" s="55">
        <f>VLOOKUP(E991,Sales_Reps!$A$2:$E$31,3,FALSE())</f>
        <v/>
      </c>
      <c r="O991" s="55">
        <f>VLOOKUP(D991,Products!$A$2:$F$61,4,FALSE())</f>
        <v/>
      </c>
      <c r="P991" s="55">
        <f>VLOOKUP(C991,Customers!$A$2:$F$301,3,FALSE())</f>
        <v/>
      </c>
      <c r="Q991" s="55">
        <f>UPPER(TRIM(K991))</f>
        <v/>
      </c>
      <c r="R991" s="55">
        <f>(G991-O991)/G991</f>
        <v/>
      </c>
      <c r="S991" s="55">
        <f>VLOOKUP(D991,Products!$A$2:$F$61,6,FALSE())</f>
        <v/>
      </c>
    </row>
    <row r="992" ht="15" customHeight="1" s="56">
      <c r="A992" s="55">
        <f>Orders!A992</f>
        <v/>
      </c>
      <c r="B992" s="103">
        <f>Orders!B992</f>
        <v/>
      </c>
      <c r="C992" s="55">
        <f>Orders!C992</f>
        <v/>
      </c>
      <c r="D992" s="55">
        <f>Orders!D992</f>
        <v/>
      </c>
      <c r="E992" s="55">
        <f>Orders!E992</f>
        <v/>
      </c>
      <c r="F992" s="55">
        <f>Orders!F992</f>
        <v/>
      </c>
      <c r="G992" s="55">
        <f>Orders!G992</f>
        <v/>
      </c>
      <c r="H992" s="55">
        <f>Orders!H992</f>
        <v/>
      </c>
      <c r="I992" s="55">
        <f>Orders!I992</f>
        <v/>
      </c>
      <c r="J992" s="55">
        <f>Orders!J992</f>
        <v/>
      </c>
      <c r="K992" s="55">
        <f>Orders!K992</f>
        <v/>
      </c>
      <c r="L992" s="55">
        <f>VLOOKUP(D992,Products!$A$2:$F$61,3,FALSE())</f>
        <v/>
      </c>
      <c r="M992" s="55">
        <f>VLOOKUP(C992,Customers!$A$2:$F$301,5,FALSE())</f>
        <v/>
      </c>
      <c r="N992" s="55">
        <f>VLOOKUP(E992,Sales_Reps!$A$2:$E$31,3,FALSE())</f>
        <v/>
      </c>
      <c r="O992" s="55">
        <f>VLOOKUP(D992,Products!$A$2:$F$61,4,FALSE())</f>
        <v/>
      </c>
      <c r="P992" s="55">
        <f>VLOOKUP(C992,Customers!$A$2:$F$301,3,FALSE())</f>
        <v/>
      </c>
      <c r="Q992" s="55">
        <f>UPPER(TRIM(K992))</f>
        <v/>
      </c>
      <c r="R992" s="55">
        <f>(G992-O992)/G992</f>
        <v/>
      </c>
      <c r="S992" s="55">
        <f>VLOOKUP(D992,Products!$A$2:$F$61,6,FALSE())</f>
        <v/>
      </c>
    </row>
    <row r="993" ht="15" customHeight="1" s="56">
      <c r="A993" s="55">
        <f>Orders!A993</f>
        <v/>
      </c>
      <c r="B993" s="103">
        <f>Orders!B993</f>
        <v/>
      </c>
      <c r="C993" s="55">
        <f>Orders!C993</f>
        <v/>
      </c>
      <c r="D993" s="55">
        <f>Orders!D993</f>
        <v/>
      </c>
      <c r="E993" s="55">
        <f>Orders!E993</f>
        <v/>
      </c>
      <c r="F993" s="55">
        <f>Orders!F993</f>
        <v/>
      </c>
      <c r="G993" s="55">
        <f>Orders!G993</f>
        <v/>
      </c>
      <c r="H993" s="55">
        <f>Orders!H993</f>
        <v/>
      </c>
      <c r="I993" s="55">
        <f>Orders!I993</f>
        <v/>
      </c>
      <c r="J993" s="55">
        <f>Orders!J993</f>
        <v/>
      </c>
      <c r="K993" s="55">
        <f>Orders!K993</f>
        <v/>
      </c>
      <c r="L993" s="55">
        <f>VLOOKUP(D993,Products!$A$2:$F$61,3,FALSE())</f>
        <v/>
      </c>
      <c r="M993" s="55">
        <f>VLOOKUP(C993,Customers!$A$2:$F$301,5,FALSE())</f>
        <v/>
      </c>
      <c r="N993" s="55">
        <f>VLOOKUP(E993,Sales_Reps!$A$2:$E$31,3,FALSE())</f>
        <v/>
      </c>
      <c r="O993" s="55">
        <f>VLOOKUP(D993,Products!$A$2:$F$61,4,FALSE())</f>
        <v/>
      </c>
      <c r="P993" s="55">
        <f>VLOOKUP(C993,Customers!$A$2:$F$301,3,FALSE())</f>
        <v/>
      </c>
      <c r="Q993" s="55">
        <f>UPPER(TRIM(K993))</f>
        <v/>
      </c>
      <c r="R993" s="55">
        <f>(G993-O993)/G993</f>
        <v/>
      </c>
      <c r="S993" s="55">
        <f>VLOOKUP(D993,Products!$A$2:$F$61,6,FALSE())</f>
        <v/>
      </c>
    </row>
    <row r="994" ht="15" customHeight="1" s="56">
      <c r="A994" s="55">
        <f>Orders!A994</f>
        <v/>
      </c>
      <c r="B994" s="103">
        <f>Orders!B994</f>
        <v/>
      </c>
      <c r="C994" s="55">
        <f>Orders!C994</f>
        <v/>
      </c>
      <c r="D994" s="55">
        <f>Orders!D994</f>
        <v/>
      </c>
      <c r="E994" s="55">
        <f>Orders!E994</f>
        <v/>
      </c>
      <c r="F994" s="55">
        <f>Orders!F994</f>
        <v/>
      </c>
      <c r="G994" s="55">
        <f>Orders!G994</f>
        <v/>
      </c>
      <c r="H994" s="55">
        <f>Orders!H994</f>
        <v/>
      </c>
      <c r="I994" s="55">
        <f>Orders!I994</f>
        <v/>
      </c>
      <c r="J994" s="55">
        <f>Orders!J994</f>
        <v/>
      </c>
      <c r="K994" s="55">
        <f>Orders!K994</f>
        <v/>
      </c>
      <c r="L994" s="55">
        <f>VLOOKUP(D994,Products!$A$2:$F$61,3,FALSE())</f>
        <v/>
      </c>
      <c r="M994" s="55">
        <f>VLOOKUP(C994,Customers!$A$2:$F$301,5,FALSE())</f>
        <v/>
      </c>
      <c r="N994" s="55">
        <f>VLOOKUP(E994,Sales_Reps!$A$2:$E$31,3,FALSE())</f>
        <v/>
      </c>
      <c r="O994" s="55">
        <f>VLOOKUP(D994,Products!$A$2:$F$61,4,FALSE())</f>
        <v/>
      </c>
      <c r="P994" s="55">
        <f>VLOOKUP(C994,Customers!$A$2:$F$301,3,FALSE())</f>
        <v/>
      </c>
      <c r="Q994" s="55">
        <f>UPPER(TRIM(K994))</f>
        <v/>
      </c>
      <c r="R994" s="55">
        <f>(G994-O994)/G994</f>
        <v/>
      </c>
      <c r="S994" s="55">
        <f>VLOOKUP(D994,Products!$A$2:$F$61,6,FALSE())</f>
        <v/>
      </c>
    </row>
    <row r="995" ht="15" customHeight="1" s="56">
      <c r="A995" s="55">
        <f>Orders!A995</f>
        <v/>
      </c>
      <c r="B995" s="103">
        <f>Orders!B995</f>
        <v/>
      </c>
      <c r="C995" s="55">
        <f>Orders!C995</f>
        <v/>
      </c>
      <c r="D995" s="55">
        <f>Orders!D995</f>
        <v/>
      </c>
      <c r="E995" s="55">
        <f>Orders!E995</f>
        <v/>
      </c>
      <c r="F995" s="55">
        <f>Orders!F995</f>
        <v/>
      </c>
      <c r="G995" s="55">
        <f>Orders!G995</f>
        <v/>
      </c>
      <c r="H995" s="55">
        <f>Orders!H995</f>
        <v/>
      </c>
      <c r="I995" s="55">
        <f>Orders!I995</f>
        <v/>
      </c>
      <c r="J995" s="55">
        <f>Orders!J995</f>
        <v/>
      </c>
      <c r="K995" s="55">
        <f>Orders!K995</f>
        <v/>
      </c>
      <c r="L995" s="55">
        <f>VLOOKUP(D995,Products!$A$2:$F$61,3,FALSE())</f>
        <v/>
      </c>
      <c r="M995" s="55">
        <f>VLOOKUP(C995,Customers!$A$2:$F$301,5,FALSE())</f>
        <v/>
      </c>
      <c r="N995" s="55">
        <f>VLOOKUP(E995,Sales_Reps!$A$2:$E$31,3,FALSE())</f>
        <v/>
      </c>
      <c r="O995" s="55">
        <f>VLOOKUP(D995,Products!$A$2:$F$61,4,FALSE())</f>
        <v/>
      </c>
      <c r="P995" s="55">
        <f>VLOOKUP(C995,Customers!$A$2:$F$301,3,FALSE())</f>
        <v/>
      </c>
      <c r="Q995" s="55">
        <f>UPPER(TRIM(K995))</f>
        <v/>
      </c>
      <c r="R995" s="55">
        <f>(G995-O995)/G995</f>
        <v/>
      </c>
      <c r="S995" s="55">
        <f>VLOOKUP(D995,Products!$A$2:$F$61,6,FALSE())</f>
        <v/>
      </c>
    </row>
    <row r="996" ht="15" customHeight="1" s="56">
      <c r="A996" s="55">
        <f>Orders!A996</f>
        <v/>
      </c>
      <c r="B996" s="103">
        <f>Orders!B996</f>
        <v/>
      </c>
      <c r="C996" s="55">
        <f>Orders!C996</f>
        <v/>
      </c>
      <c r="D996" s="55">
        <f>Orders!D996</f>
        <v/>
      </c>
      <c r="E996" s="55">
        <f>Orders!E996</f>
        <v/>
      </c>
      <c r="F996" s="55">
        <f>Orders!F996</f>
        <v/>
      </c>
      <c r="G996" s="55">
        <f>Orders!G996</f>
        <v/>
      </c>
      <c r="H996" s="55">
        <f>Orders!H996</f>
        <v/>
      </c>
      <c r="I996" s="55">
        <f>Orders!I996</f>
        <v/>
      </c>
      <c r="J996" s="55">
        <f>Orders!J996</f>
        <v/>
      </c>
      <c r="K996" s="55">
        <f>Orders!K996</f>
        <v/>
      </c>
      <c r="L996" s="55">
        <f>VLOOKUP(D996,Products!$A$2:$F$61,3,FALSE())</f>
        <v/>
      </c>
      <c r="M996" s="55">
        <f>VLOOKUP(C996,Customers!$A$2:$F$301,5,FALSE())</f>
        <v/>
      </c>
      <c r="N996" s="55">
        <f>VLOOKUP(E996,Sales_Reps!$A$2:$E$31,3,FALSE())</f>
        <v/>
      </c>
      <c r="O996" s="55">
        <f>VLOOKUP(D996,Products!$A$2:$F$61,4,FALSE())</f>
        <v/>
      </c>
      <c r="P996" s="55">
        <f>VLOOKUP(C996,Customers!$A$2:$F$301,3,FALSE())</f>
        <v/>
      </c>
      <c r="Q996" s="55">
        <f>UPPER(TRIM(K996))</f>
        <v/>
      </c>
      <c r="R996" s="55">
        <f>(G996-O996)/G996</f>
        <v/>
      </c>
      <c r="S996" s="55">
        <f>VLOOKUP(D996,Products!$A$2:$F$61,6,FALSE())</f>
        <v/>
      </c>
    </row>
    <row r="997" ht="15" customHeight="1" s="56">
      <c r="A997" s="55">
        <f>Orders!A997</f>
        <v/>
      </c>
      <c r="B997" s="103">
        <f>Orders!B997</f>
        <v/>
      </c>
      <c r="C997" s="55">
        <f>Orders!C997</f>
        <v/>
      </c>
      <c r="D997" s="55">
        <f>Orders!D997</f>
        <v/>
      </c>
      <c r="E997" s="55">
        <f>Orders!E997</f>
        <v/>
      </c>
      <c r="F997" s="55">
        <f>Orders!F997</f>
        <v/>
      </c>
      <c r="G997" s="55">
        <f>Orders!G997</f>
        <v/>
      </c>
      <c r="H997" s="55">
        <f>Orders!H997</f>
        <v/>
      </c>
      <c r="I997" s="55">
        <f>Orders!I997</f>
        <v/>
      </c>
      <c r="J997" s="55">
        <f>Orders!J997</f>
        <v/>
      </c>
      <c r="K997" s="55">
        <f>Orders!K997</f>
        <v/>
      </c>
      <c r="L997" s="55">
        <f>VLOOKUP(D997,Products!$A$2:$F$61,3,FALSE())</f>
        <v/>
      </c>
      <c r="M997" s="55">
        <f>VLOOKUP(C997,Customers!$A$2:$F$301,5,FALSE())</f>
        <v/>
      </c>
      <c r="N997" s="55">
        <f>VLOOKUP(E997,Sales_Reps!$A$2:$E$31,3,FALSE())</f>
        <v/>
      </c>
      <c r="O997" s="55">
        <f>VLOOKUP(D997,Products!$A$2:$F$61,4,FALSE())</f>
        <v/>
      </c>
      <c r="P997" s="55">
        <f>VLOOKUP(C997,Customers!$A$2:$F$301,3,FALSE())</f>
        <v/>
      </c>
      <c r="Q997" s="55">
        <f>UPPER(TRIM(K997))</f>
        <v/>
      </c>
      <c r="R997" s="55">
        <f>(G997-O997)/G997</f>
        <v/>
      </c>
      <c r="S997" s="55">
        <f>VLOOKUP(D997,Products!$A$2:$F$61,6,FALSE())</f>
        <v/>
      </c>
    </row>
    <row r="998" ht="15" customHeight="1" s="56">
      <c r="A998" s="55">
        <f>Orders!A998</f>
        <v/>
      </c>
      <c r="B998" s="103">
        <f>Orders!B998</f>
        <v/>
      </c>
      <c r="C998" s="55">
        <f>Orders!C998</f>
        <v/>
      </c>
      <c r="D998" s="55">
        <f>Orders!D998</f>
        <v/>
      </c>
      <c r="E998" s="55">
        <f>Orders!E998</f>
        <v/>
      </c>
      <c r="F998" s="55">
        <f>Orders!F998</f>
        <v/>
      </c>
      <c r="G998" s="55">
        <f>Orders!G998</f>
        <v/>
      </c>
      <c r="H998" s="55">
        <f>Orders!H998</f>
        <v/>
      </c>
      <c r="I998" s="55">
        <f>Orders!I998</f>
        <v/>
      </c>
      <c r="J998" s="55">
        <f>Orders!J998</f>
        <v/>
      </c>
      <c r="K998" s="55">
        <f>Orders!K998</f>
        <v/>
      </c>
      <c r="L998" s="55">
        <f>VLOOKUP(D998,Products!$A$2:$F$61,3,FALSE())</f>
        <v/>
      </c>
      <c r="M998" s="55">
        <f>VLOOKUP(C998,Customers!$A$2:$F$301,5,FALSE())</f>
        <v/>
      </c>
      <c r="N998" s="55">
        <f>VLOOKUP(E998,Sales_Reps!$A$2:$E$31,3,FALSE())</f>
        <v/>
      </c>
      <c r="O998" s="55">
        <f>VLOOKUP(D998,Products!$A$2:$F$61,4,FALSE())</f>
        <v/>
      </c>
      <c r="P998" s="55">
        <f>VLOOKUP(C998,Customers!$A$2:$F$301,3,FALSE())</f>
        <v/>
      </c>
      <c r="Q998" s="55">
        <f>UPPER(TRIM(K998))</f>
        <v/>
      </c>
      <c r="R998" s="55">
        <f>(G998-O998)/G998</f>
        <v/>
      </c>
      <c r="S998" s="55">
        <f>VLOOKUP(D998,Products!$A$2:$F$61,6,FALSE())</f>
        <v/>
      </c>
    </row>
    <row r="999" ht="15" customHeight="1" s="56">
      <c r="A999" s="55">
        <f>Orders!A999</f>
        <v/>
      </c>
      <c r="B999" s="103">
        <f>Orders!B999</f>
        <v/>
      </c>
      <c r="C999" s="55">
        <f>Orders!C999</f>
        <v/>
      </c>
      <c r="D999" s="55">
        <f>Orders!D999</f>
        <v/>
      </c>
      <c r="E999" s="55">
        <f>Orders!E999</f>
        <v/>
      </c>
      <c r="F999" s="55">
        <f>Orders!F999</f>
        <v/>
      </c>
      <c r="G999" s="55">
        <f>Orders!G999</f>
        <v/>
      </c>
      <c r="H999" s="55">
        <f>Orders!H999</f>
        <v/>
      </c>
      <c r="I999" s="55">
        <f>Orders!I999</f>
        <v/>
      </c>
      <c r="J999" s="55">
        <f>Orders!J999</f>
        <v/>
      </c>
      <c r="K999" s="55">
        <f>Orders!K999</f>
        <v/>
      </c>
      <c r="L999" s="55">
        <f>VLOOKUP(D999,Products!$A$2:$F$61,3,FALSE())</f>
        <v/>
      </c>
      <c r="M999" s="55">
        <f>VLOOKUP(C999,Customers!$A$2:$F$301,5,FALSE())</f>
        <v/>
      </c>
      <c r="N999" s="55">
        <f>VLOOKUP(E999,Sales_Reps!$A$2:$E$31,3,FALSE())</f>
        <v/>
      </c>
      <c r="O999" s="55">
        <f>VLOOKUP(D999,Products!$A$2:$F$61,4,FALSE())</f>
        <v/>
      </c>
      <c r="P999" s="55">
        <f>VLOOKUP(C999,Customers!$A$2:$F$301,3,FALSE())</f>
        <v/>
      </c>
      <c r="Q999" s="55">
        <f>UPPER(TRIM(K999))</f>
        <v/>
      </c>
      <c r="R999" s="55">
        <f>(G999-O999)/G999</f>
        <v/>
      </c>
      <c r="S999" s="55">
        <f>VLOOKUP(D999,Products!$A$2:$F$61,6,FALSE())</f>
        <v/>
      </c>
    </row>
    <row r="1000" ht="15" customHeight="1" s="56">
      <c r="A1000" s="55">
        <f>Orders!A1000</f>
        <v/>
      </c>
      <c r="B1000" s="103">
        <f>Orders!B1000</f>
        <v/>
      </c>
      <c r="C1000" s="55">
        <f>Orders!C1000</f>
        <v/>
      </c>
      <c r="D1000" s="55">
        <f>Orders!D1000</f>
        <v/>
      </c>
      <c r="E1000" s="55">
        <f>Orders!E1000</f>
        <v/>
      </c>
      <c r="F1000" s="55">
        <f>Orders!F1000</f>
        <v/>
      </c>
      <c r="G1000" s="55">
        <f>Orders!G1000</f>
        <v/>
      </c>
      <c r="H1000" s="55">
        <f>Orders!H1000</f>
        <v/>
      </c>
      <c r="I1000" s="55">
        <f>Orders!I1000</f>
        <v/>
      </c>
      <c r="J1000" s="55">
        <f>Orders!J1000</f>
        <v/>
      </c>
      <c r="K1000" s="55">
        <f>Orders!K1000</f>
        <v/>
      </c>
      <c r="L1000" s="55">
        <f>VLOOKUP(D1000,Products!$A$2:$F$61,3,FALSE())</f>
        <v/>
      </c>
      <c r="M1000" s="55">
        <f>VLOOKUP(C1000,Customers!$A$2:$F$301,5,FALSE())</f>
        <v/>
      </c>
      <c r="N1000" s="55">
        <f>VLOOKUP(E1000,Sales_Reps!$A$2:$E$31,3,FALSE())</f>
        <v/>
      </c>
      <c r="O1000" s="55">
        <f>VLOOKUP(D1000,Products!$A$2:$F$61,4,FALSE())</f>
        <v/>
      </c>
      <c r="P1000" s="55">
        <f>VLOOKUP(C1000,Customers!$A$2:$F$301,3,FALSE())</f>
        <v/>
      </c>
      <c r="Q1000" s="55">
        <f>UPPER(TRIM(K1000))</f>
        <v/>
      </c>
      <c r="R1000" s="55">
        <f>(G1000-O1000)/G1000</f>
        <v/>
      </c>
      <c r="S1000" s="55">
        <f>VLOOKUP(D1000,Products!$A$2:$F$61,6,FALSE())</f>
        <v/>
      </c>
    </row>
    <row r="1001" ht="15" customHeight="1" s="56">
      <c r="A1001" s="55">
        <f>Orders!A1001</f>
        <v/>
      </c>
      <c r="B1001" s="103">
        <f>Orders!B1001</f>
        <v/>
      </c>
      <c r="C1001" s="55">
        <f>Orders!C1001</f>
        <v/>
      </c>
      <c r="D1001" s="55">
        <f>Orders!D1001</f>
        <v/>
      </c>
      <c r="E1001" s="55">
        <f>Orders!E1001</f>
        <v/>
      </c>
      <c r="F1001" s="55">
        <f>Orders!F1001</f>
        <v/>
      </c>
      <c r="G1001" s="55">
        <f>Orders!G1001</f>
        <v/>
      </c>
      <c r="H1001" s="55">
        <f>Orders!H1001</f>
        <v/>
      </c>
      <c r="I1001" s="55">
        <f>Orders!I1001</f>
        <v/>
      </c>
      <c r="J1001" s="55">
        <f>Orders!J1001</f>
        <v/>
      </c>
      <c r="K1001" s="55">
        <f>Orders!K1001</f>
        <v/>
      </c>
      <c r="L1001" s="55">
        <f>VLOOKUP(D1001,Products!$A$2:$F$61,3,FALSE())</f>
        <v/>
      </c>
      <c r="M1001" s="55">
        <f>VLOOKUP(C1001,Customers!$A$2:$F$301,5,FALSE())</f>
        <v/>
      </c>
      <c r="N1001" s="55">
        <f>VLOOKUP(E1001,Sales_Reps!$A$2:$E$31,3,FALSE())</f>
        <v/>
      </c>
      <c r="O1001" s="55">
        <f>VLOOKUP(D1001,Products!$A$2:$F$61,4,FALSE())</f>
        <v/>
      </c>
      <c r="P1001" s="55">
        <f>VLOOKUP(C1001,Customers!$A$2:$F$301,3,FALSE())</f>
        <v/>
      </c>
      <c r="Q1001" s="55">
        <f>UPPER(TRIM(K1001))</f>
        <v/>
      </c>
      <c r="R1001" s="55">
        <f>(G1001-O1001)/G1001</f>
        <v/>
      </c>
      <c r="S1001" s="55">
        <f>VLOOKUP(D1001,Products!$A$2:$F$61,6,FALSE())</f>
        <v/>
      </c>
    </row>
    <row r="1002" ht="15" customHeight="1" s="56">
      <c r="A1002" s="55">
        <f>Orders!A1002</f>
        <v/>
      </c>
      <c r="B1002" s="103">
        <f>Orders!B1002</f>
        <v/>
      </c>
      <c r="C1002" s="55">
        <f>Orders!C1002</f>
        <v/>
      </c>
      <c r="D1002" s="55">
        <f>Orders!D1002</f>
        <v/>
      </c>
      <c r="E1002" s="55">
        <f>Orders!E1002</f>
        <v/>
      </c>
      <c r="F1002" s="55">
        <f>Orders!F1002</f>
        <v/>
      </c>
      <c r="G1002" s="55">
        <f>Orders!G1002</f>
        <v/>
      </c>
      <c r="H1002" s="55">
        <f>Orders!H1002</f>
        <v/>
      </c>
      <c r="I1002" s="55">
        <f>Orders!I1002</f>
        <v/>
      </c>
      <c r="J1002" s="55">
        <f>Orders!J1002</f>
        <v/>
      </c>
      <c r="K1002" s="55">
        <f>Orders!K1002</f>
        <v/>
      </c>
      <c r="L1002" s="55">
        <f>VLOOKUP(D1002,Products!$A$2:$F$61,3,FALSE())</f>
        <v/>
      </c>
      <c r="M1002" s="55">
        <f>VLOOKUP(C1002,Customers!$A$2:$F$301,5,FALSE())</f>
        <v/>
      </c>
      <c r="N1002" s="55">
        <f>VLOOKUP(E1002,Sales_Reps!$A$2:$E$31,3,FALSE())</f>
        <v/>
      </c>
      <c r="O1002" s="55">
        <f>VLOOKUP(D1002,Products!$A$2:$F$61,4,FALSE())</f>
        <v/>
      </c>
      <c r="P1002" s="55">
        <f>VLOOKUP(C1002,Customers!$A$2:$F$301,3,FALSE())</f>
        <v/>
      </c>
      <c r="Q1002" s="55">
        <f>UPPER(TRIM(K1002))</f>
        <v/>
      </c>
      <c r="R1002" s="55">
        <f>(G1002-O1002)/G1002</f>
        <v/>
      </c>
      <c r="S1002" s="55">
        <f>VLOOKUP(D1002,Products!$A$2:$F$61,6,FALSE())</f>
        <v/>
      </c>
    </row>
    <row r="1003" ht="15" customHeight="1" s="56">
      <c r="A1003" s="55">
        <f>Orders!A1003</f>
        <v/>
      </c>
      <c r="B1003" s="103">
        <f>Orders!B1003</f>
        <v/>
      </c>
      <c r="C1003" s="55">
        <f>Orders!C1003</f>
        <v/>
      </c>
      <c r="D1003" s="55">
        <f>Orders!D1003</f>
        <v/>
      </c>
      <c r="E1003" s="55">
        <f>Orders!E1003</f>
        <v/>
      </c>
      <c r="F1003" s="55">
        <f>Orders!F1003</f>
        <v/>
      </c>
      <c r="G1003" s="55">
        <f>Orders!G1003</f>
        <v/>
      </c>
      <c r="H1003" s="55">
        <f>Orders!H1003</f>
        <v/>
      </c>
      <c r="I1003" s="55">
        <f>Orders!I1003</f>
        <v/>
      </c>
      <c r="J1003" s="55">
        <f>Orders!J1003</f>
        <v/>
      </c>
      <c r="K1003" s="55">
        <f>Orders!K1003</f>
        <v/>
      </c>
      <c r="L1003" s="55">
        <f>VLOOKUP(D1003,Products!$A$2:$F$61,3,FALSE())</f>
        <v/>
      </c>
      <c r="M1003" s="55">
        <f>VLOOKUP(C1003,Customers!$A$2:$F$301,5,FALSE())</f>
        <v/>
      </c>
      <c r="N1003" s="55">
        <f>VLOOKUP(E1003,Sales_Reps!$A$2:$E$31,3,FALSE())</f>
        <v/>
      </c>
      <c r="O1003" s="55">
        <f>VLOOKUP(D1003,Products!$A$2:$F$61,4,FALSE())</f>
        <v/>
      </c>
      <c r="P1003" s="55">
        <f>VLOOKUP(C1003,Customers!$A$2:$F$301,3,FALSE())</f>
        <v/>
      </c>
      <c r="Q1003" s="55">
        <f>UPPER(TRIM(K1003))</f>
        <v/>
      </c>
      <c r="R1003" s="55">
        <f>(G1003-O1003)/G1003</f>
        <v/>
      </c>
      <c r="S1003" s="55">
        <f>VLOOKUP(D1003,Products!$A$2:$F$61,6,FALSE())</f>
        <v/>
      </c>
    </row>
    <row r="1004" ht="15" customHeight="1" s="56">
      <c r="A1004" s="55">
        <f>Orders!A1004</f>
        <v/>
      </c>
      <c r="B1004" s="103">
        <f>Orders!B1004</f>
        <v/>
      </c>
      <c r="C1004" s="55">
        <f>Orders!C1004</f>
        <v/>
      </c>
      <c r="D1004" s="55">
        <f>Orders!D1004</f>
        <v/>
      </c>
      <c r="E1004" s="55">
        <f>Orders!E1004</f>
        <v/>
      </c>
      <c r="F1004" s="55">
        <f>Orders!F1004</f>
        <v/>
      </c>
      <c r="G1004" s="55">
        <f>Orders!G1004</f>
        <v/>
      </c>
      <c r="H1004" s="55">
        <f>Orders!H1004</f>
        <v/>
      </c>
      <c r="I1004" s="55">
        <f>Orders!I1004</f>
        <v/>
      </c>
      <c r="J1004" s="55">
        <f>Orders!J1004</f>
        <v/>
      </c>
      <c r="K1004" s="55">
        <f>Orders!K1004</f>
        <v/>
      </c>
      <c r="L1004" s="55">
        <f>VLOOKUP(D1004,Products!$A$2:$F$61,3,FALSE())</f>
        <v/>
      </c>
      <c r="M1004" s="55">
        <f>VLOOKUP(C1004,Customers!$A$2:$F$301,5,FALSE())</f>
        <v/>
      </c>
      <c r="N1004" s="55">
        <f>VLOOKUP(E1004,Sales_Reps!$A$2:$E$31,3,FALSE())</f>
        <v/>
      </c>
      <c r="O1004" s="55">
        <f>VLOOKUP(D1004,Products!$A$2:$F$61,4,FALSE())</f>
        <v/>
      </c>
      <c r="P1004" s="55">
        <f>VLOOKUP(C1004,Customers!$A$2:$F$301,3,FALSE())</f>
        <v/>
      </c>
      <c r="Q1004" s="55">
        <f>UPPER(TRIM(K1004))</f>
        <v/>
      </c>
      <c r="R1004" s="55">
        <f>(G1004-O1004)/G1004</f>
        <v/>
      </c>
      <c r="S1004" s="55">
        <f>VLOOKUP(D1004,Products!$A$2:$F$61,6,FALSE())</f>
        <v/>
      </c>
    </row>
    <row r="1005" ht="15" customHeight="1" s="56">
      <c r="A1005" s="55">
        <f>Orders!A1005</f>
        <v/>
      </c>
      <c r="B1005" s="103">
        <f>Orders!B1005</f>
        <v/>
      </c>
      <c r="C1005" s="55">
        <f>Orders!C1005</f>
        <v/>
      </c>
      <c r="D1005" s="55">
        <f>Orders!D1005</f>
        <v/>
      </c>
      <c r="E1005" s="55">
        <f>Orders!E1005</f>
        <v/>
      </c>
      <c r="F1005" s="55">
        <f>Orders!F1005</f>
        <v/>
      </c>
      <c r="G1005" s="55">
        <f>Orders!G1005</f>
        <v/>
      </c>
      <c r="H1005" s="55">
        <f>Orders!H1005</f>
        <v/>
      </c>
      <c r="I1005" s="55">
        <f>Orders!I1005</f>
        <v/>
      </c>
      <c r="J1005" s="55">
        <f>Orders!J1005</f>
        <v/>
      </c>
      <c r="K1005" s="55">
        <f>Orders!K1005</f>
        <v/>
      </c>
      <c r="L1005" s="55">
        <f>VLOOKUP(D1005,Products!$A$2:$F$61,3,FALSE())</f>
        <v/>
      </c>
      <c r="M1005" s="55">
        <f>VLOOKUP(C1005,Customers!$A$2:$F$301,5,FALSE())</f>
        <v/>
      </c>
      <c r="N1005" s="55">
        <f>VLOOKUP(E1005,Sales_Reps!$A$2:$E$31,3,FALSE())</f>
        <v/>
      </c>
      <c r="O1005" s="55">
        <f>VLOOKUP(D1005,Products!$A$2:$F$61,4,FALSE())</f>
        <v/>
      </c>
      <c r="P1005" s="55">
        <f>VLOOKUP(C1005,Customers!$A$2:$F$301,3,FALSE())</f>
        <v/>
      </c>
      <c r="Q1005" s="55">
        <f>UPPER(TRIM(K1005))</f>
        <v/>
      </c>
      <c r="R1005" s="55">
        <f>(G1005-O1005)/G1005</f>
        <v/>
      </c>
      <c r="S1005" s="55">
        <f>VLOOKUP(D1005,Products!$A$2:$F$61,6,FALSE())</f>
        <v/>
      </c>
    </row>
    <row r="1006" ht="15" customHeight="1" s="56">
      <c r="A1006" s="55">
        <f>Orders!A1006</f>
        <v/>
      </c>
      <c r="B1006" s="103">
        <f>Orders!B1006</f>
        <v/>
      </c>
      <c r="C1006" s="55">
        <f>Orders!C1006</f>
        <v/>
      </c>
      <c r="D1006" s="55">
        <f>Orders!D1006</f>
        <v/>
      </c>
      <c r="E1006" s="55">
        <f>Orders!E1006</f>
        <v/>
      </c>
      <c r="F1006" s="55">
        <f>Orders!F1006</f>
        <v/>
      </c>
      <c r="G1006" s="55">
        <f>Orders!G1006</f>
        <v/>
      </c>
      <c r="H1006" s="55">
        <f>Orders!H1006</f>
        <v/>
      </c>
      <c r="I1006" s="55">
        <f>Orders!I1006</f>
        <v/>
      </c>
      <c r="J1006" s="55">
        <f>Orders!J1006</f>
        <v/>
      </c>
      <c r="K1006" s="55">
        <f>Orders!K1006</f>
        <v/>
      </c>
      <c r="L1006" s="55">
        <f>VLOOKUP(D1006,Products!$A$2:$F$61,3,FALSE())</f>
        <v/>
      </c>
      <c r="M1006" s="55">
        <f>VLOOKUP(C1006,Customers!$A$2:$F$301,5,FALSE())</f>
        <v/>
      </c>
      <c r="N1006" s="55">
        <f>VLOOKUP(E1006,Sales_Reps!$A$2:$E$31,3,FALSE())</f>
        <v/>
      </c>
      <c r="O1006" s="55">
        <f>VLOOKUP(D1006,Products!$A$2:$F$61,4,FALSE())</f>
        <v/>
      </c>
      <c r="P1006" s="55">
        <f>VLOOKUP(C1006,Customers!$A$2:$F$301,3,FALSE())</f>
        <v/>
      </c>
      <c r="Q1006" s="55">
        <f>UPPER(TRIM(K1006))</f>
        <v/>
      </c>
      <c r="R1006" s="55">
        <f>(G1006-O1006)/G1006</f>
        <v/>
      </c>
      <c r="S1006" s="55">
        <f>VLOOKUP(D1006,Products!$A$2:$F$61,6,FALSE())</f>
        <v/>
      </c>
    </row>
    <row r="1007" ht="15" customHeight="1" s="56">
      <c r="A1007" s="55">
        <f>Orders!A1007</f>
        <v/>
      </c>
      <c r="B1007" s="103">
        <f>Orders!B1007</f>
        <v/>
      </c>
      <c r="C1007" s="55">
        <f>Orders!C1007</f>
        <v/>
      </c>
      <c r="D1007" s="55">
        <f>Orders!D1007</f>
        <v/>
      </c>
      <c r="E1007" s="55">
        <f>Orders!E1007</f>
        <v/>
      </c>
      <c r="F1007" s="55">
        <f>Orders!F1007</f>
        <v/>
      </c>
      <c r="G1007" s="55">
        <f>Orders!G1007</f>
        <v/>
      </c>
      <c r="H1007" s="55">
        <f>Orders!H1007</f>
        <v/>
      </c>
      <c r="I1007" s="55">
        <f>Orders!I1007</f>
        <v/>
      </c>
      <c r="J1007" s="55">
        <f>Orders!J1007</f>
        <v/>
      </c>
      <c r="K1007" s="55">
        <f>Orders!K1007</f>
        <v/>
      </c>
      <c r="L1007" s="55">
        <f>VLOOKUP(D1007,Products!$A$2:$F$61,3,FALSE())</f>
        <v/>
      </c>
      <c r="M1007" s="55">
        <f>VLOOKUP(C1007,Customers!$A$2:$F$301,5,FALSE())</f>
        <v/>
      </c>
      <c r="N1007" s="55">
        <f>VLOOKUP(E1007,Sales_Reps!$A$2:$E$31,3,FALSE())</f>
        <v/>
      </c>
      <c r="O1007" s="55">
        <f>VLOOKUP(D1007,Products!$A$2:$F$61,4,FALSE())</f>
        <v/>
      </c>
      <c r="P1007" s="55">
        <f>VLOOKUP(C1007,Customers!$A$2:$F$301,3,FALSE())</f>
        <v/>
      </c>
      <c r="Q1007" s="55">
        <f>UPPER(TRIM(K1007))</f>
        <v/>
      </c>
      <c r="R1007" s="55">
        <f>(G1007-O1007)/G1007</f>
        <v/>
      </c>
      <c r="S1007" s="55">
        <f>VLOOKUP(D1007,Products!$A$2:$F$61,6,FALSE())</f>
        <v/>
      </c>
    </row>
    <row r="1008" ht="15" customHeight="1" s="56">
      <c r="A1008" s="55">
        <f>Orders!A1008</f>
        <v/>
      </c>
      <c r="B1008" s="103">
        <f>Orders!B1008</f>
        <v/>
      </c>
      <c r="C1008" s="55">
        <f>Orders!C1008</f>
        <v/>
      </c>
      <c r="D1008" s="55">
        <f>Orders!D1008</f>
        <v/>
      </c>
      <c r="E1008" s="55">
        <f>Orders!E1008</f>
        <v/>
      </c>
      <c r="F1008" s="55">
        <f>Orders!F1008</f>
        <v/>
      </c>
      <c r="G1008" s="55">
        <f>Orders!G1008</f>
        <v/>
      </c>
      <c r="H1008" s="55">
        <f>Orders!H1008</f>
        <v/>
      </c>
      <c r="I1008" s="55">
        <f>Orders!I1008</f>
        <v/>
      </c>
      <c r="J1008" s="55">
        <f>Orders!J1008</f>
        <v/>
      </c>
      <c r="K1008" s="55">
        <f>Orders!K1008</f>
        <v/>
      </c>
      <c r="L1008" s="55">
        <f>VLOOKUP(D1008,Products!$A$2:$F$61,3,FALSE())</f>
        <v/>
      </c>
      <c r="M1008" s="55">
        <f>VLOOKUP(C1008,Customers!$A$2:$F$301,5,FALSE())</f>
        <v/>
      </c>
      <c r="N1008" s="55">
        <f>VLOOKUP(E1008,Sales_Reps!$A$2:$E$31,3,FALSE())</f>
        <v/>
      </c>
      <c r="O1008" s="55">
        <f>VLOOKUP(D1008,Products!$A$2:$F$61,4,FALSE())</f>
        <v/>
      </c>
      <c r="P1008" s="55">
        <f>VLOOKUP(C1008,Customers!$A$2:$F$301,3,FALSE())</f>
        <v/>
      </c>
      <c r="Q1008" s="55">
        <f>UPPER(TRIM(K1008))</f>
        <v/>
      </c>
      <c r="R1008" s="55">
        <f>(G1008-O1008)/G1008</f>
        <v/>
      </c>
      <c r="S1008" s="55">
        <f>VLOOKUP(D1008,Products!$A$2:$F$61,6,FALSE())</f>
        <v/>
      </c>
    </row>
    <row r="1009" ht="15" customHeight="1" s="56">
      <c r="A1009" s="55">
        <f>Orders!A1009</f>
        <v/>
      </c>
      <c r="B1009" s="103">
        <f>Orders!B1009</f>
        <v/>
      </c>
      <c r="C1009" s="55">
        <f>Orders!C1009</f>
        <v/>
      </c>
      <c r="D1009" s="55">
        <f>Orders!D1009</f>
        <v/>
      </c>
      <c r="E1009" s="55">
        <f>Orders!E1009</f>
        <v/>
      </c>
      <c r="F1009" s="55">
        <f>Orders!F1009</f>
        <v/>
      </c>
      <c r="G1009" s="55">
        <f>Orders!G1009</f>
        <v/>
      </c>
      <c r="H1009" s="55">
        <f>Orders!H1009</f>
        <v/>
      </c>
      <c r="I1009" s="55">
        <f>Orders!I1009</f>
        <v/>
      </c>
      <c r="J1009" s="55">
        <f>Orders!J1009</f>
        <v/>
      </c>
      <c r="K1009" s="55">
        <f>Orders!K1009</f>
        <v/>
      </c>
      <c r="L1009" s="55">
        <f>VLOOKUP(D1009,Products!$A$2:$F$61,3,FALSE())</f>
        <v/>
      </c>
      <c r="M1009" s="55">
        <f>VLOOKUP(C1009,Customers!$A$2:$F$301,5,FALSE())</f>
        <v/>
      </c>
      <c r="N1009" s="55">
        <f>VLOOKUP(E1009,Sales_Reps!$A$2:$E$31,3,FALSE())</f>
        <v/>
      </c>
      <c r="O1009" s="55">
        <f>VLOOKUP(D1009,Products!$A$2:$F$61,4,FALSE())</f>
        <v/>
      </c>
      <c r="P1009" s="55">
        <f>VLOOKUP(C1009,Customers!$A$2:$F$301,3,FALSE())</f>
        <v/>
      </c>
      <c r="Q1009" s="55">
        <f>UPPER(TRIM(K1009))</f>
        <v/>
      </c>
      <c r="R1009" s="55">
        <f>(G1009-O1009)/G1009</f>
        <v/>
      </c>
      <c r="S1009" s="55">
        <f>VLOOKUP(D1009,Products!$A$2:$F$61,6,FALSE())</f>
        <v/>
      </c>
    </row>
    <row r="1010" ht="15" customHeight="1" s="56">
      <c r="A1010" s="55">
        <f>Orders!A1010</f>
        <v/>
      </c>
      <c r="B1010" s="103">
        <f>Orders!B1010</f>
        <v/>
      </c>
      <c r="C1010" s="55">
        <f>Orders!C1010</f>
        <v/>
      </c>
      <c r="D1010" s="55">
        <f>Orders!D1010</f>
        <v/>
      </c>
      <c r="E1010" s="55">
        <f>Orders!E1010</f>
        <v/>
      </c>
      <c r="F1010" s="55">
        <f>Orders!F1010</f>
        <v/>
      </c>
      <c r="G1010" s="55">
        <f>Orders!G1010</f>
        <v/>
      </c>
      <c r="H1010" s="55">
        <f>Orders!H1010</f>
        <v/>
      </c>
      <c r="I1010" s="55">
        <f>Orders!I1010</f>
        <v/>
      </c>
      <c r="J1010" s="55">
        <f>Orders!J1010</f>
        <v/>
      </c>
      <c r="K1010" s="55">
        <f>Orders!K1010</f>
        <v/>
      </c>
      <c r="L1010" s="55">
        <f>VLOOKUP(D1010,Products!$A$2:$F$61,3,FALSE())</f>
        <v/>
      </c>
      <c r="M1010" s="55">
        <f>VLOOKUP(C1010,Customers!$A$2:$F$301,5,FALSE())</f>
        <v/>
      </c>
      <c r="N1010" s="55">
        <f>VLOOKUP(E1010,Sales_Reps!$A$2:$E$31,3,FALSE())</f>
        <v/>
      </c>
      <c r="O1010" s="55">
        <f>VLOOKUP(D1010,Products!$A$2:$F$61,4,FALSE())</f>
        <v/>
      </c>
      <c r="P1010" s="55">
        <f>VLOOKUP(C1010,Customers!$A$2:$F$301,3,FALSE())</f>
        <v/>
      </c>
      <c r="Q1010" s="55">
        <f>UPPER(TRIM(K1010))</f>
        <v/>
      </c>
      <c r="R1010" s="55">
        <f>(G1010-O1010)/G1010</f>
        <v/>
      </c>
      <c r="S1010" s="55">
        <f>VLOOKUP(D1010,Products!$A$2:$F$61,6,FALSE())</f>
        <v/>
      </c>
    </row>
    <row r="1011" ht="15" customHeight="1" s="56">
      <c r="A1011" s="55">
        <f>Orders!A1011</f>
        <v/>
      </c>
      <c r="B1011" s="103">
        <f>Orders!B1011</f>
        <v/>
      </c>
      <c r="C1011" s="55">
        <f>Orders!C1011</f>
        <v/>
      </c>
      <c r="D1011" s="55">
        <f>Orders!D1011</f>
        <v/>
      </c>
      <c r="E1011" s="55">
        <f>Orders!E1011</f>
        <v/>
      </c>
      <c r="F1011" s="55">
        <f>Orders!F1011</f>
        <v/>
      </c>
      <c r="G1011" s="55">
        <f>Orders!G1011</f>
        <v/>
      </c>
      <c r="H1011" s="55">
        <f>Orders!H1011</f>
        <v/>
      </c>
      <c r="I1011" s="55">
        <f>Orders!I1011</f>
        <v/>
      </c>
      <c r="J1011" s="55">
        <f>Orders!J1011</f>
        <v/>
      </c>
      <c r="K1011" s="55">
        <f>Orders!K1011</f>
        <v/>
      </c>
      <c r="L1011" s="55">
        <f>VLOOKUP(D1011,Products!$A$2:$F$61,3,FALSE())</f>
        <v/>
      </c>
      <c r="M1011" s="55">
        <f>VLOOKUP(C1011,Customers!$A$2:$F$301,5,FALSE())</f>
        <v/>
      </c>
      <c r="N1011" s="55">
        <f>VLOOKUP(E1011,Sales_Reps!$A$2:$E$31,3,FALSE())</f>
        <v/>
      </c>
      <c r="O1011" s="55">
        <f>VLOOKUP(D1011,Products!$A$2:$F$61,4,FALSE())</f>
        <v/>
      </c>
      <c r="P1011" s="55">
        <f>VLOOKUP(C1011,Customers!$A$2:$F$301,3,FALSE())</f>
        <v/>
      </c>
      <c r="Q1011" s="55">
        <f>UPPER(TRIM(K1011))</f>
        <v/>
      </c>
      <c r="R1011" s="55">
        <f>(G1011-O1011)/G1011</f>
        <v/>
      </c>
      <c r="S1011" s="55">
        <f>VLOOKUP(D1011,Products!$A$2:$F$61,6,FALSE())</f>
        <v/>
      </c>
    </row>
    <row r="1012" ht="15" customHeight="1" s="56">
      <c r="A1012" s="55">
        <f>Orders!A1012</f>
        <v/>
      </c>
      <c r="B1012" s="103">
        <f>Orders!B1012</f>
        <v/>
      </c>
      <c r="C1012" s="55">
        <f>Orders!C1012</f>
        <v/>
      </c>
      <c r="D1012" s="55">
        <f>Orders!D1012</f>
        <v/>
      </c>
      <c r="E1012" s="55">
        <f>Orders!E1012</f>
        <v/>
      </c>
      <c r="F1012" s="55">
        <f>Orders!F1012</f>
        <v/>
      </c>
      <c r="G1012" s="55">
        <f>Orders!G1012</f>
        <v/>
      </c>
      <c r="H1012" s="55">
        <f>Orders!H1012</f>
        <v/>
      </c>
      <c r="I1012" s="55">
        <f>Orders!I1012</f>
        <v/>
      </c>
      <c r="J1012" s="55">
        <f>Orders!J1012</f>
        <v/>
      </c>
      <c r="K1012" s="55">
        <f>Orders!K1012</f>
        <v/>
      </c>
      <c r="L1012" s="55">
        <f>VLOOKUP(D1012,Products!$A$2:$F$61,3,FALSE())</f>
        <v/>
      </c>
      <c r="M1012" s="55">
        <f>VLOOKUP(C1012,Customers!$A$2:$F$301,5,FALSE())</f>
        <v/>
      </c>
      <c r="N1012" s="55">
        <f>VLOOKUP(E1012,Sales_Reps!$A$2:$E$31,3,FALSE())</f>
        <v/>
      </c>
      <c r="O1012" s="55">
        <f>VLOOKUP(D1012,Products!$A$2:$F$61,4,FALSE())</f>
        <v/>
      </c>
      <c r="P1012" s="55">
        <f>VLOOKUP(C1012,Customers!$A$2:$F$301,3,FALSE())</f>
        <v/>
      </c>
      <c r="Q1012" s="55">
        <f>UPPER(TRIM(K1012))</f>
        <v/>
      </c>
      <c r="R1012" s="55">
        <f>(G1012-O1012)/G1012</f>
        <v/>
      </c>
      <c r="S1012" s="55">
        <f>VLOOKUP(D1012,Products!$A$2:$F$61,6,FALSE())</f>
        <v/>
      </c>
    </row>
    <row r="1013" ht="15" customHeight="1" s="56">
      <c r="A1013" s="55">
        <f>Orders!A1013</f>
        <v/>
      </c>
      <c r="B1013" s="103">
        <f>Orders!B1013</f>
        <v/>
      </c>
      <c r="C1013" s="55">
        <f>Orders!C1013</f>
        <v/>
      </c>
      <c r="D1013" s="55">
        <f>Orders!D1013</f>
        <v/>
      </c>
      <c r="E1013" s="55">
        <f>Orders!E1013</f>
        <v/>
      </c>
      <c r="F1013" s="55">
        <f>Orders!F1013</f>
        <v/>
      </c>
      <c r="G1013" s="55">
        <f>Orders!G1013</f>
        <v/>
      </c>
      <c r="H1013" s="55">
        <f>Orders!H1013</f>
        <v/>
      </c>
      <c r="I1013" s="55">
        <f>Orders!I1013</f>
        <v/>
      </c>
      <c r="J1013" s="55">
        <f>Orders!J1013</f>
        <v/>
      </c>
      <c r="K1013" s="55">
        <f>Orders!K1013</f>
        <v/>
      </c>
      <c r="L1013" s="55">
        <f>VLOOKUP(D1013,Products!$A$2:$F$61,3,FALSE())</f>
        <v/>
      </c>
      <c r="M1013" s="55">
        <f>VLOOKUP(C1013,Customers!$A$2:$F$301,5,FALSE())</f>
        <v/>
      </c>
      <c r="N1013" s="55">
        <f>VLOOKUP(E1013,Sales_Reps!$A$2:$E$31,3,FALSE())</f>
        <v/>
      </c>
      <c r="O1013" s="55">
        <f>VLOOKUP(D1013,Products!$A$2:$F$61,4,FALSE())</f>
        <v/>
      </c>
      <c r="P1013" s="55">
        <f>VLOOKUP(C1013,Customers!$A$2:$F$301,3,FALSE())</f>
        <v/>
      </c>
      <c r="Q1013" s="55">
        <f>UPPER(TRIM(K1013))</f>
        <v/>
      </c>
      <c r="R1013" s="55">
        <f>(G1013-O1013)/G1013</f>
        <v/>
      </c>
      <c r="S1013" s="55">
        <f>VLOOKUP(D1013,Products!$A$2:$F$61,6,FALSE())</f>
        <v/>
      </c>
    </row>
    <row r="1014" ht="15" customHeight="1" s="56">
      <c r="A1014" s="55">
        <f>Orders!A1014</f>
        <v/>
      </c>
      <c r="B1014" s="103">
        <f>Orders!B1014</f>
        <v/>
      </c>
      <c r="C1014" s="55">
        <f>Orders!C1014</f>
        <v/>
      </c>
      <c r="D1014" s="55">
        <f>Orders!D1014</f>
        <v/>
      </c>
      <c r="E1014" s="55">
        <f>Orders!E1014</f>
        <v/>
      </c>
      <c r="F1014" s="55">
        <f>Orders!F1014</f>
        <v/>
      </c>
      <c r="G1014" s="55">
        <f>Orders!G1014</f>
        <v/>
      </c>
      <c r="H1014" s="55">
        <f>Orders!H1014</f>
        <v/>
      </c>
      <c r="I1014" s="55">
        <f>Orders!I1014</f>
        <v/>
      </c>
      <c r="J1014" s="55">
        <f>Orders!J1014</f>
        <v/>
      </c>
      <c r="K1014" s="55">
        <f>Orders!K1014</f>
        <v/>
      </c>
      <c r="L1014" s="55">
        <f>VLOOKUP(D1014,Products!$A$2:$F$61,3,FALSE())</f>
        <v/>
      </c>
      <c r="M1014" s="55">
        <f>VLOOKUP(C1014,Customers!$A$2:$F$301,5,FALSE())</f>
        <v/>
      </c>
      <c r="N1014" s="55">
        <f>VLOOKUP(E1014,Sales_Reps!$A$2:$E$31,3,FALSE())</f>
        <v/>
      </c>
      <c r="O1014" s="55">
        <f>VLOOKUP(D1014,Products!$A$2:$F$61,4,FALSE())</f>
        <v/>
      </c>
      <c r="P1014" s="55">
        <f>VLOOKUP(C1014,Customers!$A$2:$F$301,3,FALSE())</f>
        <v/>
      </c>
      <c r="Q1014" s="55">
        <f>UPPER(TRIM(K1014))</f>
        <v/>
      </c>
      <c r="R1014" s="55">
        <f>(G1014-O1014)/G1014</f>
        <v/>
      </c>
      <c r="S1014" s="55">
        <f>VLOOKUP(D1014,Products!$A$2:$F$61,6,FALSE())</f>
        <v/>
      </c>
    </row>
    <row r="1015" ht="15" customHeight="1" s="56">
      <c r="A1015" s="55">
        <f>Orders!A1015</f>
        <v/>
      </c>
      <c r="B1015" s="103">
        <f>Orders!B1015</f>
        <v/>
      </c>
      <c r="C1015" s="55">
        <f>Orders!C1015</f>
        <v/>
      </c>
      <c r="D1015" s="55">
        <f>Orders!D1015</f>
        <v/>
      </c>
      <c r="E1015" s="55">
        <f>Orders!E1015</f>
        <v/>
      </c>
      <c r="F1015" s="55">
        <f>Orders!F1015</f>
        <v/>
      </c>
      <c r="G1015" s="55">
        <f>Orders!G1015</f>
        <v/>
      </c>
      <c r="H1015" s="55">
        <f>Orders!H1015</f>
        <v/>
      </c>
      <c r="I1015" s="55">
        <f>Orders!I1015</f>
        <v/>
      </c>
      <c r="J1015" s="55">
        <f>Orders!J1015</f>
        <v/>
      </c>
      <c r="K1015" s="55">
        <f>Orders!K1015</f>
        <v/>
      </c>
      <c r="L1015" s="55">
        <f>VLOOKUP(D1015,Products!$A$2:$F$61,3,FALSE())</f>
        <v/>
      </c>
      <c r="M1015" s="55">
        <f>VLOOKUP(C1015,Customers!$A$2:$F$301,5,FALSE())</f>
        <v/>
      </c>
      <c r="N1015" s="55">
        <f>VLOOKUP(E1015,Sales_Reps!$A$2:$E$31,3,FALSE())</f>
        <v/>
      </c>
      <c r="O1015" s="55">
        <f>VLOOKUP(D1015,Products!$A$2:$F$61,4,FALSE())</f>
        <v/>
      </c>
      <c r="P1015" s="55">
        <f>VLOOKUP(C1015,Customers!$A$2:$F$301,3,FALSE())</f>
        <v/>
      </c>
      <c r="Q1015" s="55">
        <f>UPPER(TRIM(K1015))</f>
        <v/>
      </c>
      <c r="R1015" s="55">
        <f>(G1015-O1015)/G1015</f>
        <v/>
      </c>
      <c r="S1015" s="55">
        <f>VLOOKUP(D1015,Products!$A$2:$F$61,6,FALSE())</f>
        <v/>
      </c>
    </row>
    <row r="1016" ht="15" customHeight="1" s="56">
      <c r="A1016" s="55">
        <f>Orders!A1016</f>
        <v/>
      </c>
      <c r="B1016" s="103">
        <f>Orders!B1016</f>
        <v/>
      </c>
      <c r="C1016" s="55">
        <f>Orders!C1016</f>
        <v/>
      </c>
      <c r="D1016" s="55">
        <f>Orders!D1016</f>
        <v/>
      </c>
      <c r="E1016" s="55">
        <f>Orders!E1016</f>
        <v/>
      </c>
      <c r="F1016" s="55">
        <f>Orders!F1016</f>
        <v/>
      </c>
      <c r="G1016" s="55">
        <f>Orders!G1016</f>
        <v/>
      </c>
      <c r="H1016" s="55">
        <f>Orders!H1016</f>
        <v/>
      </c>
      <c r="I1016" s="55">
        <f>Orders!I1016</f>
        <v/>
      </c>
      <c r="J1016" s="55">
        <f>Orders!J1016</f>
        <v/>
      </c>
      <c r="K1016" s="55">
        <f>Orders!K1016</f>
        <v/>
      </c>
      <c r="L1016" s="55">
        <f>VLOOKUP(D1016,Products!$A$2:$F$61,3,FALSE())</f>
        <v/>
      </c>
      <c r="M1016" s="55">
        <f>VLOOKUP(C1016,Customers!$A$2:$F$301,5,FALSE())</f>
        <v/>
      </c>
      <c r="N1016" s="55">
        <f>VLOOKUP(E1016,Sales_Reps!$A$2:$E$31,3,FALSE())</f>
        <v/>
      </c>
      <c r="O1016" s="55">
        <f>VLOOKUP(D1016,Products!$A$2:$F$61,4,FALSE())</f>
        <v/>
      </c>
      <c r="P1016" s="55">
        <f>VLOOKUP(C1016,Customers!$A$2:$F$301,3,FALSE())</f>
        <v/>
      </c>
      <c r="Q1016" s="55">
        <f>UPPER(TRIM(K1016))</f>
        <v/>
      </c>
      <c r="R1016" s="55">
        <f>(G1016-O1016)/G1016</f>
        <v/>
      </c>
      <c r="S1016" s="55">
        <f>VLOOKUP(D1016,Products!$A$2:$F$61,6,FALSE())</f>
        <v/>
      </c>
    </row>
    <row r="1017" ht="15" customHeight="1" s="56">
      <c r="A1017" s="55">
        <f>Orders!A1017</f>
        <v/>
      </c>
      <c r="B1017" s="103">
        <f>Orders!B1017</f>
        <v/>
      </c>
      <c r="C1017" s="55">
        <f>Orders!C1017</f>
        <v/>
      </c>
      <c r="D1017" s="55">
        <f>Orders!D1017</f>
        <v/>
      </c>
      <c r="E1017" s="55">
        <f>Orders!E1017</f>
        <v/>
      </c>
      <c r="F1017" s="55">
        <f>Orders!F1017</f>
        <v/>
      </c>
      <c r="G1017" s="55">
        <f>Orders!G1017</f>
        <v/>
      </c>
      <c r="H1017" s="55">
        <f>Orders!H1017</f>
        <v/>
      </c>
      <c r="I1017" s="55">
        <f>Orders!I1017</f>
        <v/>
      </c>
      <c r="J1017" s="55">
        <f>Orders!J1017</f>
        <v/>
      </c>
      <c r="K1017" s="55">
        <f>Orders!K1017</f>
        <v/>
      </c>
      <c r="L1017" s="55">
        <f>VLOOKUP(D1017,Products!$A$2:$F$61,3,FALSE())</f>
        <v/>
      </c>
      <c r="M1017" s="55">
        <f>VLOOKUP(C1017,Customers!$A$2:$F$301,5,FALSE())</f>
        <v/>
      </c>
      <c r="N1017" s="55">
        <f>VLOOKUP(E1017,Sales_Reps!$A$2:$E$31,3,FALSE())</f>
        <v/>
      </c>
      <c r="O1017" s="55">
        <f>VLOOKUP(D1017,Products!$A$2:$F$61,4,FALSE())</f>
        <v/>
      </c>
      <c r="P1017" s="55">
        <f>VLOOKUP(C1017,Customers!$A$2:$F$301,3,FALSE())</f>
        <v/>
      </c>
      <c r="Q1017" s="55">
        <f>UPPER(TRIM(K1017))</f>
        <v/>
      </c>
      <c r="R1017" s="55">
        <f>(G1017-O1017)/G1017</f>
        <v/>
      </c>
      <c r="S1017" s="55">
        <f>VLOOKUP(D1017,Products!$A$2:$F$61,6,FALSE())</f>
        <v/>
      </c>
    </row>
    <row r="1018" ht="15" customHeight="1" s="56">
      <c r="A1018" s="55">
        <f>Orders!A1018</f>
        <v/>
      </c>
      <c r="B1018" s="103">
        <f>Orders!B1018</f>
        <v/>
      </c>
      <c r="C1018" s="55">
        <f>Orders!C1018</f>
        <v/>
      </c>
      <c r="D1018" s="55">
        <f>Orders!D1018</f>
        <v/>
      </c>
      <c r="E1018" s="55">
        <f>Orders!E1018</f>
        <v/>
      </c>
      <c r="F1018" s="55">
        <f>Orders!F1018</f>
        <v/>
      </c>
      <c r="G1018" s="55">
        <f>Orders!G1018</f>
        <v/>
      </c>
      <c r="H1018" s="55">
        <f>Orders!H1018</f>
        <v/>
      </c>
      <c r="I1018" s="55">
        <f>Orders!I1018</f>
        <v/>
      </c>
      <c r="J1018" s="55">
        <f>Orders!J1018</f>
        <v/>
      </c>
      <c r="K1018" s="55">
        <f>Orders!K1018</f>
        <v/>
      </c>
      <c r="L1018" s="55">
        <f>VLOOKUP(D1018,Products!$A$2:$F$61,3,FALSE())</f>
        <v/>
      </c>
      <c r="M1018" s="55">
        <f>VLOOKUP(C1018,Customers!$A$2:$F$301,5,FALSE())</f>
        <v/>
      </c>
      <c r="N1018" s="55">
        <f>VLOOKUP(E1018,Sales_Reps!$A$2:$E$31,3,FALSE())</f>
        <v/>
      </c>
      <c r="O1018" s="55">
        <f>VLOOKUP(D1018,Products!$A$2:$F$61,4,FALSE())</f>
        <v/>
      </c>
      <c r="P1018" s="55">
        <f>VLOOKUP(C1018,Customers!$A$2:$F$301,3,FALSE())</f>
        <v/>
      </c>
      <c r="Q1018" s="55">
        <f>UPPER(TRIM(K1018))</f>
        <v/>
      </c>
      <c r="R1018" s="55">
        <f>(G1018-O1018)/G1018</f>
        <v/>
      </c>
      <c r="S1018" s="55">
        <f>VLOOKUP(D1018,Products!$A$2:$F$61,6,FALSE())</f>
        <v/>
      </c>
    </row>
    <row r="1019" ht="15" customHeight="1" s="56">
      <c r="A1019" s="55">
        <f>Orders!A1019</f>
        <v/>
      </c>
      <c r="B1019" s="103">
        <f>Orders!B1019</f>
        <v/>
      </c>
      <c r="C1019" s="55">
        <f>Orders!C1019</f>
        <v/>
      </c>
      <c r="D1019" s="55">
        <f>Orders!D1019</f>
        <v/>
      </c>
      <c r="E1019" s="55">
        <f>Orders!E1019</f>
        <v/>
      </c>
      <c r="F1019" s="55">
        <f>Orders!F1019</f>
        <v/>
      </c>
      <c r="G1019" s="55">
        <f>Orders!G1019</f>
        <v/>
      </c>
      <c r="H1019" s="55">
        <f>Orders!H1019</f>
        <v/>
      </c>
      <c r="I1019" s="55">
        <f>Orders!I1019</f>
        <v/>
      </c>
      <c r="J1019" s="55">
        <f>Orders!J1019</f>
        <v/>
      </c>
      <c r="K1019" s="55">
        <f>Orders!K1019</f>
        <v/>
      </c>
      <c r="L1019" s="55">
        <f>VLOOKUP(D1019,Products!$A$2:$F$61,3,FALSE())</f>
        <v/>
      </c>
      <c r="M1019" s="55">
        <f>VLOOKUP(C1019,Customers!$A$2:$F$301,5,FALSE())</f>
        <v/>
      </c>
      <c r="N1019" s="55">
        <f>VLOOKUP(E1019,Sales_Reps!$A$2:$E$31,3,FALSE())</f>
        <v/>
      </c>
      <c r="O1019" s="55">
        <f>VLOOKUP(D1019,Products!$A$2:$F$61,4,FALSE())</f>
        <v/>
      </c>
      <c r="P1019" s="55">
        <f>VLOOKUP(C1019,Customers!$A$2:$F$301,3,FALSE())</f>
        <v/>
      </c>
      <c r="Q1019" s="55">
        <f>UPPER(TRIM(K1019))</f>
        <v/>
      </c>
      <c r="R1019" s="55">
        <f>(G1019-O1019)/G1019</f>
        <v/>
      </c>
      <c r="S1019" s="55">
        <f>VLOOKUP(D1019,Products!$A$2:$F$61,6,FALSE())</f>
        <v/>
      </c>
    </row>
    <row r="1020" ht="15" customHeight="1" s="56">
      <c r="A1020" s="55">
        <f>Orders!A1020</f>
        <v/>
      </c>
      <c r="B1020" s="103">
        <f>Orders!B1020</f>
        <v/>
      </c>
      <c r="C1020" s="55">
        <f>Orders!C1020</f>
        <v/>
      </c>
      <c r="D1020" s="55">
        <f>Orders!D1020</f>
        <v/>
      </c>
      <c r="E1020" s="55">
        <f>Orders!E1020</f>
        <v/>
      </c>
      <c r="F1020" s="55">
        <f>Orders!F1020</f>
        <v/>
      </c>
      <c r="G1020" s="55">
        <f>Orders!G1020</f>
        <v/>
      </c>
      <c r="H1020" s="55">
        <f>Orders!H1020</f>
        <v/>
      </c>
      <c r="I1020" s="55">
        <f>Orders!I1020</f>
        <v/>
      </c>
      <c r="J1020" s="55">
        <f>Orders!J1020</f>
        <v/>
      </c>
      <c r="K1020" s="55">
        <f>Orders!K1020</f>
        <v/>
      </c>
      <c r="L1020" s="55">
        <f>VLOOKUP(D1020,Products!$A$2:$F$61,3,FALSE())</f>
        <v/>
      </c>
      <c r="M1020" s="55">
        <f>VLOOKUP(C1020,Customers!$A$2:$F$301,5,FALSE())</f>
        <v/>
      </c>
      <c r="N1020" s="55">
        <f>VLOOKUP(E1020,Sales_Reps!$A$2:$E$31,3,FALSE())</f>
        <v/>
      </c>
      <c r="O1020" s="55">
        <f>VLOOKUP(D1020,Products!$A$2:$F$61,4,FALSE())</f>
        <v/>
      </c>
      <c r="P1020" s="55">
        <f>VLOOKUP(C1020,Customers!$A$2:$F$301,3,FALSE())</f>
        <v/>
      </c>
      <c r="Q1020" s="55">
        <f>UPPER(TRIM(K1020))</f>
        <v/>
      </c>
      <c r="R1020" s="55">
        <f>(G1020-O1020)/G1020</f>
        <v/>
      </c>
      <c r="S1020" s="55">
        <f>VLOOKUP(D1020,Products!$A$2:$F$61,6,FALSE())</f>
        <v/>
      </c>
    </row>
    <row r="1021" ht="15" customHeight="1" s="56">
      <c r="A1021" s="55">
        <f>Orders!A1021</f>
        <v/>
      </c>
      <c r="B1021" s="103">
        <f>Orders!B1021</f>
        <v/>
      </c>
      <c r="C1021" s="55">
        <f>Orders!C1021</f>
        <v/>
      </c>
      <c r="D1021" s="55">
        <f>Orders!D1021</f>
        <v/>
      </c>
      <c r="E1021" s="55">
        <f>Orders!E1021</f>
        <v/>
      </c>
      <c r="F1021" s="55">
        <f>Orders!F1021</f>
        <v/>
      </c>
      <c r="G1021" s="55">
        <f>Orders!G1021</f>
        <v/>
      </c>
      <c r="H1021" s="55">
        <f>Orders!H1021</f>
        <v/>
      </c>
      <c r="I1021" s="55">
        <f>Orders!I1021</f>
        <v/>
      </c>
      <c r="J1021" s="55">
        <f>Orders!J1021</f>
        <v/>
      </c>
      <c r="K1021" s="55">
        <f>Orders!K1021</f>
        <v/>
      </c>
      <c r="L1021" s="55">
        <f>VLOOKUP(D1021,Products!$A$2:$F$61,3,FALSE())</f>
        <v/>
      </c>
      <c r="M1021" s="55">
        <f>VLOOKUP(C1021,Customers!$A$2:$F$301,5,FALSE())</f>
        <v/>
      </c>
      <c r="N1021" s="55">
        <f>VLOOKUP(E1021,Sales_Reps!$A$2:$E$31,3,FALSE())</f>
        <v/>
      </c>
      <c r="O1021" s="55">
        <f>VLOOKUP(D1021,Products!$A$2:$F$61,4,FALSE())</f>
        <v/>
      </c>
      <c r="P1021" s="55">
        <f>VLOOKUP(C1021,Customers!$A$2:$F$301,3,FALSE())</f>
        <v/>
      </c>
      <c r="Q1021" s="55">
        <f>UPPER(TRIM(K1021))</f>
        <v/>
      </c>
      <c r="R1021" s="55">
        <f>(G1021-O1021)/G1021</f>
        <v/>
      </c>
      <c r="S1021" s="55">
        <f>VLOOKUP(D1021,Products!$A$2:$F$61,6,FALSE())</f>
        <v/>
      </c>
    </row>
    <row r="1022" ht="15" customHeight="1" s="56">
      <c r="A1022" s="55">
        <f>Orders!A1022</f>
        <v/>
      </c>
      <c r="B1022" s="103">
        <f>Orders!B1022</f>
        <v/>
      </c>
      <c r="C1022" s="55">
        <f>Orders!C1022</f>
        <v/>
      </c>
      <c r="D1022" s="55">
        <f>Orders!D1022</f>
        <v/>
      </c>
      <c r="E1022" s="55">
        <f>Orders!E1022</f>
        <v/>
      </c>
      <c r="F1022" s="55">
        <f>Orders!F1022</f>
        <v/>
      </c>
      <c r="G1022" s="55">
        <f>Orders!G1022</f>
        <v/>
      </c>
      <c r="H1022" s="55">
        <f>Orders!H1022</f>
        <v/>
      </c>
      <c r="I1022" s="55">
        <f>Orders!I1022</f>
        <v/>
      </c>
      <c r="J1022" s="55">
        <f>Orders!J1022</f>
        <v/>
      </c>
      <c r="K1022" s="55">
        <f>Orders!K1022</f>
        <v/>
      </c>
      <c r="L1022" s="55">
        <f>VLOOKUP(D1022,Products!$A$2:$F$61,3,FALSE())</f>
        <v/>
      </c>
      <c r="M1022" s="55">
        <f>VLOOKUP(C1022,Customers!$A$2:$F$301,5,FALSE())</f>
        <v/>
      </c>
      <c r="N1022" s="55">
        <f>VLOOKUP(E1022,Sales_Reps!$A$2:$E$31,3,FALSE())</f>
        <v/>
      </c>
      <c r="O1022" s="55">
        <f>VLOOKUP(D1022,Products!$A$2:$F$61,4,FALSE())</f>
        <v/>
      </c>
      <c r="P1022" s="55">
        <f>VLOOKUP(C1022,Customers!$A$2:$F$301,3,FALSE())</f>
        <v/>
      </c>
      <c r="Q1022" s="55">
        <f>UPPER(TRIM(K1022))</f>
        <v/>
      </c>
      <c r="R1022" s="55">
        <f>(G1022-O1022)/G1022</f>
        <v/>
      </c>
      <c r="S1022" s="55">
        <f>VLOOKUP(D1022,Products!$A$2:$F$61,6,FALSE())</f>
        <v/>
      </c>
    </row>
    <row r="1023" ht="15" customHeight="1" s="56">
      <c r="A1023" s="55">
        <f>Orders!A1023</f>
        <v/>
      </c>
      <c r="B1023" s="103">
        <f>Orders!B1023</f>
        <v/>
      </c>
      <c r="C1023" s="55">
        <f>Orders!C1023</f>
        <v/>
      </c>
      <c r="D1023" s="55">
        <f>Orders!D1023</f>
        <v/>
      </c>
      <c r="E1023" s="55">
        <f>Orders!E1023</f>
        <v/>
      </c>
      <c r="F1023" s="55">
        <f>Orders!F1023</f>
        <v/>
      </c>
      <c r="G1023" s="55">
        <f>Orders!G1023</f>
        <v/>
      </c>
      <c r="H1023" s="55">
        <f>Orders!H1023</f>
        <v/>
      </c>
      <c r="I1023" s="55">
        <f>Orders!I1023</f>
        <v/>
      </c>
      <c r="J1023" s="55">
        <f>Orders!J1023</f>
        <v/>
      </c>
      <c r="K1023" s="55">
        <f>Orders!K1023</f>
        <v/>
      </c>
      <c r="L1023" s="55">
        <f>VLOOKUP(D1023,Products!$A$2:$F$61,3,FALSE())</f>
        <v/>
      </c>
      <c r="M1023" s="55">
        <f>VLOOKUP(C1023,Customers!$A$2:$F$301,5,FALSE())</f>
        <v/>
      </c>
      <c r="N1023" s="55">
        <f>VLOOKUP(E1023,Sales_Reps!$A$2:$E$31,3,FALSE())</f>
        <v/>
      </c>
      <c r="O1023" s="55">
        <f>VLOOKUP(D1023,Products!$A$2:$F$61,4,FALSE())</f>
        <v/>
      </c>
      <c r="P1023" s="55">
        <f>VLOOKUP(C1023,Customers!$A$2:$F$301,3,FALSE())</f>
        <v/>
      </c>
      <c r="Q1023" s="55">
        <f>UPPER(TRIM(K1023))</f>
        <v/>
      </c>
      <c r="R1023" s="55">
        <f>(G1023-O1023)/G1023</f>
        <v/>
      </c>
      <c r="S1023" s="55">
        <f>VLOOKUP(D1023,Products!$A$2:$F$61,6,FALSE())</f>
        <v/>
      </c>
    </row>
    <row r="1024" ht="15" customHeight="1" s="56">
      <c r="A1024" s="55">
        <f>Orders!A1024</f>
        <v/>
      </c>
      <c r="B1024" s="103">
        <f>Orders!B1024</f>
        <v/>
      </c>
      <c r="C1024" s="55">
        <f>Orders!C1024</f>
        <v/>
      </c>
      <c r="D1024" s="55">
        <f>Orders!D1024</f>
        <v/>
      </c>
      <c r="E1024" s="55">
        <f>Orders!E1024</f>
        <v/>
      </c>
      <c r="F1024" s="55">
        <f>Orders!F1024</f>
        <v/>
      </c>
      <c r="G1024" s="55">
        <f>Orders!G1024</f>
        <v/>
      </c>
      <c r="H1024" s="55">
        <f>Orders!H1024</f>
        <v/>
      </c>
      <c r="I1024" s="55">
        <f>Orders!I1024</f>
        <v/>
      </c>
      <c r="J1024" s="55">
        <f>Orders!J1024</f>
        <v/>
      </c>
      <c r="K1024" s="55">
        <f>Orders!K1024</f>
        <v/>
      </c>
      <c r="L1024" s="55">
        <f>VLOOKUP(D1024,Products!$A$2:$F$61,3,FALSE())</f>
        <v/>
      </c>
      <c r="M1024" s="55">
        <f>VLOOKUP(C1024,Customers!$A$2:$F$301,5,FALSE())</f>
        <v/>
      </c>
      <c r="N1024" s="55">
        <f>VLOOKUP(E1024,Sales_Reps!$A$2:$E$31,3,FALSE())</f>
        <v/>
      </c>
      <c r="O1024" s="55">
        <f>VLOOKUP(D1024,Products!$A$2:$F$61,4,FALSE())</f>
        <v/>
      </c>
      <c r="P1024" s="55">
        <f>VLOOKUP(C1024,Customers!$A$2:$F$301,3,FALSE())</f>
        <v/>
      </c>
      <c r="Q1024" s="55">
        <f>UPPER(TRIM(K1024))</f>
        <v/>
      </c>
      <c r="R1024" s="55">
        <f>(G1024-O1024)/G1024</f>
        <v/>
      </c>
      <c r="S1024" s="55">
        <f>VLOOKUP(D1024,Products!$A$2:$F$61,6,FALSE())</f>
        <v/>
      </c>
    </row>
    <row r="1025" ht="15" customHeight="1" s="56">
      <c r="A1025" s="55">
        <f>Orders!A1025</f>
        <v/>
      </c>
      <c r="B1025" s="103">
        <f>Orders!B1025</f>
        <v/>
      </c>
      <c r="C1025" s="55">
        <f>Orders!C1025</f>
        <v/>
      </c>
      <c r="D1025" s="55">
        <f>Orders!D1025</f>
        <v/>
      </c>
      <c r="E1025" s="55">
        <f>Orders!E1025</f>
        <v/>
      </c>
      <c r="F1025" s="55">
        <f>Orders!F1025</f>
        <v/>
      </c>
      <c r="G1025" s="55">
        <f>Orders!G1025</f>
        <v/>
      </c>
      <c r="H1025" s="55">
        <f>Orders!H1025</f>
        <v/>
      </c>
      <c r="I1025" s="55">
        <f>Orders!I1025</f>
        <v/>
      </c>
      <c r="J1025" s="55">
        <f>Orders!J1025</f>
        <v/>
      </c>
      <c r="K1025" s="55">
        <f>Orders!K1025</f>
        <v/>
      </c>
      <c r="L1025" s="55">
        <f>VLOOKUP(D1025,Products!$A$2:$F$61,3,FALSE())</f>
        <v/>
      </c>
      <c r="M1025" s="55">
        <f>VLOOKUP(C1025,Customers!$A$2:$F$301,5,FALSE())</f>
        <v/>
      </c>
      <c r="N1025" s="55">
        <f>VLOOKUP(E1025,Sales_Reps!$A$2:$E$31,3,FALSE())</f>
        <v/>
      </c>
      <c r="O1025" s="55">
        <f>VLOOKUP(D1025,Products!$A$2:$F$61,4,FALSE())</f>
        <v/>
      </c>
      <c r="P1025" s="55">
        <f>VLOOKUP(C1025,Customers!$A$2:$F$301,3,FALSE())</f>
        <v/>
      </c>
      <c r="Q1025" s="55">
        <f>UPPER(TRIM(K1025))</f>
        <v/>
      </c>
      <c r="R1025" s="55">
        <f>(G1025-O1025)/G1025</f>
        <v/>
      </c>
      <c r="S1025" s="55">
        <f>VLOOKUP(D1025,Products!$A$2:$F$61,6,FALSE())</f>
        <v/>
      </c>
    </row>
    <row r="1026" ht="15" customHeight="1" s="56">
      <c r="A1026" s="55">
        <f>Orders!A1026</f>
        <v/>
      </c>
      <c r="B1026" s="103">
        <f>Orders!B1026</f>
        <v/>
      </c>
      <c r="C1026" s="55">
        <f>Orders!C1026</f>
        <v/>
      </c>
      <c r="D1026" s="55">
        <f>Orders!D1026</f>
        <v/>
      </c>
      <c r="E1026" s="55">
        <f>Orders!E1026</f>
        <v/>
      </c>
      <c r="F1026" s="55">
        <f>Orders!F1026</f>
        <v/>
      </c>
      <c r="G1026" s="55">
        <f>Orders!G1026</f>
        <v/>
      </c>
      <c r="H1026" s="55">
        <f>Orders!H1026</f>
        <v/>
      </c>
      <c r="I1026" s="55">
        <f>Orders!I1026</f>
        <v/>
      </c>
      <c r="J1026" s="55">
        <f>Orders!J1026</f>
        <v/>
      </c>
      <c r="K1026" s="55">
        <f>Orders!K1026</f>
        <v/>
      </c>
      <c r="L1026" s="55">
        <f>VLOOKUP(D1026,Products!$A$2:$F$61,3,FALSE())</f>
        <v/>
      </c>
      <c r="M1026" s="55">
        <f>VLOOKUP(C1026,Customers!$A$2:$F$301,5,FALSE())</f>
        <v/>
      </c>
      <c r="N1026" s="55">
        <f>VLOOKUP(E1026,Sales_Reps!$A$2:$E$31,3,FALSE())</f>
        <v/>
      </c>
      <c r="O1026" s="55">
        <f>VLOOKUP(D1026,Products!$A$2:$F$61,4,FALSE())</f>
        <v/>
      </c>
      <c r="P1026" s="55">
        <f>VLOOKUP(C1026,Customers!$A$2:$F$301,3,FALSE())</f>
        <v/>
      </c>
      <c r="Q1026" s="55">
        <f>UPPER(TRIM(K1026))</f>
        <v/>
      </c>
      <c r="R1026" s="55">
        <f>(G1026-O1026)/G1026</f>
        <v/>
      </c>
      <c r="S1026" s="55">
        <f>VLOOKUP(D1026,Products!$A$2:$F$61,6,FALSE())</f>
        <v/>
      </c>
    </row>
    <row r="1027" ht="15" customHeight="1" s="56">
      <c r="A1027" s="55">
        <f>Orders!A1027</f>
        <v/>
      </c>
      <c r="B1027" s="103">
        <f>Orders!B1027</f>
        <v/>
      </c>
      <c r="C1027" s="55">
        <f>Orders!C1027</f>
        <v/>
      </c>
      <c r="D1027" s="55">
        <f>Orders!D1027</f>
        <v/>
      </c>
      <c r="E1027" s="55">
        <f>Orders!E1027</f>
        <v/>
      </c>
      <c r="F1027" s="55">
        <f>Orders!F1027</f>
        <v/>
      </c>
      <c r="G1027" s="55">
        <f>Orders!G1027</f>
        <v/>
      </c>
      <c r="H1027" s="55">
        <f>Orders!H1027</f>
        <v/>
      </c>
      <c r="I1027" s="55">
        <f>Orders!I1027</f>
        <v/>
      </c>
      <c r="J1027" s="55">
        <f>Orders!J1027</f>
        <v/>
      </c>
      <c r="K1027" s="55">
        <f>Orders!K1027</f>
        <v/>
      </c>
      <c r="L1027" s="55">
        <f>VLOOKUP(D1027,Products!$A$2:$F$61,3,FALSE())</f>
        <v/>
      </c>
      <c r="M1027" s="55">
        <f>VLOOKUP(C1027,Customers!$A$2:$F$301,5,FALSE())</f>
        <v/>
      </c>
      <c r="N1027" s="55">
        <f>VLOOKUP(E1027,Sales_Reps!$A$2:$E$31,3,FALSE())</f>
        <v/>
      </c>
      <c r="O1027" s="55">
        <f>VLOOKUP(D1027,Products!$A$2:$F$61,4,FALSE())</f>
        <v/>
      </c>
      <c r="P1027" s="55">
        <f>VLOOKUP(C1027,Customers!$A$2:$F$301,3,FALSE())</f>
        <v/>
      </c>
      <c r="Q1027" s="55">
        <f>UPPER(TRIM(K1027))</f>
        <v/>
      </c>
      <c r="R1027" s="55">
        <f>(G1027-O1027)/G1027</f>
        <v/>
      </c>
      <c r="S1027" s="55">
        <f>VLOOKUP(D1027,Products!$A$2:$F$61,6,FALSE())</f>
        <v/>
      </c>
    </row>
    <row r="1028" ht="15" customHeight="1" s="56">
      <c r="A1028" s="55">
        <f>Orders!A1028</f>
        <v/>
      </c>
      <c r="B1028" s="103">
        <f>Orders!B1028</f>
        <v/>
      </c>
      <c r="C1028" s="55">
        <f>Orders!C1028</f>
        <v/>
      </c>
      <c r="D1028" s="55">
        <f>Orders!D1028</f>
        <v/>
      </c>
      <c r="E1028" s="55">
        <f>Orders!E1028</f>
        <v/>
      </c>
      <c r="F1028" s="55">
        <f>Orders!F1028</f>
        <v/>
      </c>
      <c r="G1028" s="55">
        <f>Orders!G1028</f>
        <v/>
      </c>
      <c r="H1028" s="55">
        <f>Orders!H1028</f>
        <v/>
      </c>
      <c r="I1028" s="55">
        <f>Orders!I1028</f>
        <v/>
      </c>
      <c r="J1028" s="55">
        <f>Orders!J1028</f>
        <v/>
      </c>
      <c r="K1028" s="55">
        <f>Orders!K1028</f>
        <v/>
      </c>
      <c r="L1028" s="55">
        <f>VLOOKUP(D1028,Products!$A$2:$F$61,3,FALSE())</f>
        <v/>
      </c>
      <c r="M1028" s="55">
        <f>VLOOKUP(C1028,Customers!$A$2:$F$301,5,FALSE())</f>
        <v/>
      </c>
      <c r="N1028" s="55">
        <f>VLOOKUP(E1028,Sales_Reps!$A$2:$E$31,3,FALSE())</f>
        <v/>
      </c>
      <c r="O1028" s="55">
        <f>VLOOKUP(D1028,Products!$A$2:$F$61,4,FALSE())</f>
        <v/>
      </c>
      <c r="P1028" s="55">
        <f>VLOOKUP(C1028,Customers!$A$2:$F$301,3,FALSE())</f>
        <v/>
      </c>
      <c r="Q1028" s="55">
        <f>UPPER(TRIM(K1028))</f>
        <v/>
      </c>
      <c r="R1028" s="55">
        <f>(G1028-O1028)/G1028</f>
        <v/>
      </c>
      <c r="S1028" s="55">
        <f>VLOOKUP(D1028,Products!$A$2:$F$61,6,FALSE())</f>
        <v/>
      </c>
    </row>
    <row r="1029" ht="15" customHeight="1" s="56">
      <c r="A1029" s="55">
        <f>Orders!A1029</f>
        <v/>
      </c>
      <c r="B1029" s="103">
        <f>Orders!B1029</f>
        <v/>
      </c>
      <c r="C1029" s="55">
        <f>Orders!C1029</f>
        <v/>
      </c>
      <c r="D1029" s="55">
        <f>Orders!D1029</f>
        <v/>
      </c>
      <c r="E1029" s="55">
        <f>Orders!E1029</f>
        <v/>
      </c>
      <c r="F1029" s="55">
        <f>Orders!F1029</f>
        <v/>
      </c>
      <c r="G1029" s="55">
        <f>Orders!G1029</f>
        <v/>
      </c>
      <c r="H1029" s="55">
        <f>Orders!H1029</f>
        <v/>
      </c>
      <c r="I1029" s="55">
        <f>Orders!I1029</f>
        <v/>
      </c>
      <c r="J1029" s="55">
        <f>Orders!J1029</f>
        <v/>
      </c>
      <c r="K1029" s="55">
        <f>Orders!K1029</f>
        <v/>
      </c>
      <c r="L1029" s="55">
        <f>VLOOKUP(D1029,Products!$A$2:$F$61,3,FALSE())</f>
        <v/>
      </c>
      <c r="M1029" s="55">
        <f>VLOOKUP(C1029,Customers!$A$2:$F$301,5,FALSE())</f>
        <v/>
      </c>
      <c r="N1029" s="55">
        <f>VLOOKUP(E1029,Sales_Reps!$A$2:$E$31,3,FALSE())</f>
        <v/>
      </c>
      <c r="O1029" s="55">
        <f>VLOOKUP(D1029,Products!$A$2:$F$61,4,FALSE())</f>
        <v/>
      </c>
      <c r="P1029" s="55">
        <f>VLOOKUP(C1029,Customers!$A$2:$F$301,3,FALSE())</f>
        <v/>
      </c>
      <c r="Q1029" s="55">
        <f>UPPER(TRIM(K1029))</f>
        <v/>
      </c>
      <c r="R1029" s="55">
        <f>(G1029-O1029)/G1029</f>
        <v/>
      </c>
      <c r="S1029" s="55">
        <f>VLOOKUP(D1029,Products!$A$2:$F$61,6,FALSE())</f>
        <v/>
      </c>
    </row>
    <row r="1030" ht="15" customHeight="1" s="56">
      <c r="A1030" s="55">
        <f>Orders!A1030</f>
        <v/>
      </c>
      <c r="B1030" s="103">
        <f>Orders!B1030</f>
        <v/>
      </c>
      <c r="C1030" s="55">
        <f>Orders!C1030</f>
        <v/>
      </c>
      <c r="D1030" s="55">
        <f>Orders!D1030</f>
        <v/>
      </c>
      <c r="E1030" s="55">
        <f>Orders!E1030</f>
        <v/>
      </c>
      <c r="F1030" s="55">
        <f>Orders!F1030</f>
        <v/>
      </c>
      <c r="G1030" s="55">
        <f>Orders!G1030</f>
        <v/>
      </c>
      <c r="H1030" s="55">
        <f>Orders!H1030</f>
        <v/>
      </c>
      <c r="I1030" s="55">
        <f>Orders!I1030</f>
        <v/>
      </c>
      <c r="J1030" s="55">
        <f>Orders!J1030</f>
        <v/>
      </c>
      <c r="K1030" s="55">
        <f>Orders!K1030</f>
        <v/>
      </c>
      <c r="L1030" s="55">
        <f>VLOOKUP(D1030,Products!$A$2:$F$61,3,FALSE())</f>
        <v/>
      </c>
      <c r="M1030" s="55">
        <f>VLOOKUP(C1030,Customers!$A$2:$F$301,5,FALSE())</f>
        <v/>
      </c>
      <c r="N1030" s="55">
        <f>VLOOKUP(E1030,Sales_Reps!$A$2:$E$31,3,FALSE())</f>
        <v/>
      </c>
      <c r="O1030" s="55">
        <f>VLOOKUP(D1030,Products!$A$2:$F$61,4,FALSE())</f>
        <v/>
      </c>
      <c r="P1030" s="55">
        <f>VLOOKUP(C1030,Customers!$A$2:$F$301,3,FALSE())</f>
        <v/>
      </c>
      <c r="Q1030" s="55">
        <f>UPPER(TRIM(K1030))</f>
        <v/>
      </c>
      <c r="R1030" s="55">
        <f>(G1030-O1030)/G1030</f>
        <v/>
      </c>
      <c r="S1030" s="55">
        <f>VLOOKUP(D1030,Products!$A$2:$F$61,6,FALSE())</f>
        <v/>
      </c>
    </row>
    <row r="1031" ht="15" customHeight="1" s="56">
      <c r="A1031" s="55">
        <f>Orders!A1031</f>
        <v/>
      </c>
      <c r="B1031" s="103">
        <f>Orders!B1031</f>
        <v/>
      </c>
      <c r="C1031" s="55">
        <f>Orders!C1031</f>
        <v/>
      </c>
      <c r="D1031" s="55">
        <f>Orders!D1031</f>
        <v/>
      </c>
      <c r="E1031" s="55">
        <f>Orders!E1031</f>
        <v/>
      </c>
      <c r="F1031" s="55">
        <f>Orders!F1031</f>
        <v/>
      </c>
      <c r="G1031" s="55">
        <f>Orders!G1031</f>
        <v/>
      </c>
      <c r="H1031" s="55">
        <f>Orders!H1031</f>
        <v/>
      </c>
      <c r="I1031" s="55">
        <f>Orders!I1031</f>
        <v/>
      </c>
      <c r="J1031" s="55">
        <f>Orders!J1031</f>
        <v/>
      </c>
      <c r="K1031" s="55">
        <f>Orders!K1031</f>
        <v/>
      </c>
      <c r="L1031" s="55">
        <f>VLOOKUP(D1031,Products!$A$2:$F$61,3,FALSE())</f>
        <v/>
      </c>
      <c r="M1031" s="55">
        <f>VLOOKUP(C1031,Customers!$A$2:$F$301,5,FALSE())</f>
        <v/>
      </c>
      <c r="N1031" s="55">
        <f>VLOOKUP(E1031,Sales_Reps!$A$2:$E$31,3,FALSE())</f>
        <v/>
      </c>
      <c r="O1031" s="55">
        <f>VLOOKUP(D1031,Products!$A$2:$F$61,4,FALSE())</f>
        <v/>
      </c>
      <c r="P1031" s="55">
        <f>VLOOKUP(C1031,Customers!$A$2:$F$301,3,FALSE())</f>
        <v/>
      </c>
      <c r="Q1031" s="55">
        <f>UPPER(TRIM(K1031))</f>
        <v/>
      </c>
      <c r="R1031" s="55">
        <f>(G1031-O1031)/G1031</f>
        <v/>
      </c>
      <c r="S1031" s="55">
        <f>VLOOKUP(D1031,Products!$A$2:$F$61,6,FALSE())</f>
        <v/>
      </c>
    </row>
    <row r="1032" ht="15" customHeight="1" s="56">
      <c r="A1032" s="55">
        <f>Orders!A1032</f>
        <v/>
      </c>
      <c r="B1032" s="103">
        <f>Orders!B1032</f>
        <v/>
      </c>
      <c r="C1032" s="55">
        <f>Orders!C1032</f>
        <v/>
      </c>
      <c r="D1032" s="55">
        <f>Orders!D1032</f>
        <v/>
      </c>
      <c r="E1032" s="55">
        <f>Orders!E1032</f>
        <v/>
      </c>
      <c r="F1032" s="55">
        <f>Orders!F1032</f>
        <v/>
      </c>
      <c r="G1032" s="55">
        <f>Orders!G1032</f>
        <v/>
      </c>
      <c r="H1032" s="55">
        <f>Orders!H1032</f>
        <v/>
      </c>
      <c r="I1032" s="55">
        <f>Orders!I1032</f>
        <v/>
      </c>
      <c r="J1032" s="55">
        <f>Orders!J1032</f>
        <v/>
      </c>
      <c r="K1032" s="55">
        <f>Orders!K1032</f>
        <v/>
      </c>
      <c r="L1032" s="55">
        <f>VLOOKUP(D1032,Products!$A$2:$F$61,3,FALSE())</f>
        <v/>
      </c>
      <c r="M1032" s="55">
        <f>VLOOKUP(C1032,Customers!$A$2:$F$301,5,FALSE())</f>
        <v/>
      </c>
      <c r="N1032" s="55">
        <f>VLOOKUP(E1032,Sales_Reps!$A$2:$E$31,3,FALSE())</f>
        <v/>
      </c>
      <c r="O1032" s="55">
        <f>VLOOKUP(D1032,Products!$A$2:$F$61,4,FALSE())</f>
        <v/>
      </c>
      <c r="P1032" s="55">
        <f>VLOOKUP(C1032,Customers!$A$2:$F$301,3,FALSE())</f>
        <v/>
      </c>
      <c r="Q1032" s="55">
        <f>UPPER(TRIM(K1032))</f>
        <v/>
      </c>
      <c r="R1032" s="55">
        <f>(G1032-O1032)/G1032</f>
        <v/>
      </c>
      <c r="S1032" s="55">
        <f>VLOOKUP(D1032,Products!$A$2:$F$61,6,FALSE())</f>
        <v/>
      </c>
    </row>
    <row r="1033" ht="15" customHeight="1" s="56">
      <c r="A1033" s="55">
        <f>Orders!A1033</f>
        <v/>
      </c>
      <c r="B1033" s="103">
        <f>Orders!B1033</f>
        <v/>
      </c>
      <c r="C1033" s="55">
        <f>Orders!C1033</f>
        <v/>
      </c>
      <c r="D1033" s="55">
        <f>Orders!D1033</f>
        <v/>
      </c>
      <c r="E1033" s="55">
        <f>Orders!E1033</f>
        <v/>
      </c>
      <c r="F1033" s="55">
        <f>Orders!F1033</f>
        <v/>
      </c>
      <c r="G1033" s="55">
        <f>Orders!G1033</f>
        <v/>
      </c>
      <c r="H1033" s="55">
        <f>Orders!H1033</f>
        <v/>
      </c>
      <c r="I1033" s="55">
        <f>Orders!I1033</f>
        <v/>
      </c>
      <c r="J1033" s="55">
        <f>Orders!J1033</f>
        <v/>
      </c>
      <c r="K1033" s="55">
        <f>Orders!K1033</f>
        <v/>
      </c>
      <c r="L1033" s="55">
        <f>VLOOKUP(D1033,Products!$A$2:$F$61,3,FALSE())</f>
        <v/>
      </c>
      <c r="M1033" s="55">
        <f>VLOOKUP(C1033,Customers!$A$2:$F$301,5,FALSE())</f>
        <v/>
      </c>
      <c r="N1033" s="55">
        <f>VLOOKUP(E1033,Sales_Reps!$A$2:$E$31,3,FALSE())</f>
        <v/>
      </c>
      <c r="O1033" s="55">
        <f>VLOOKUP(D1033,Products!$A$2:$F$61,4,FALSE())</f>
        <v/>
      </c>
      <c r="P1033" s="55">
        <f>VLOOKUP(C1033,Customers!$A$2:$F$301,3,FALSE())</f>
        <v/>
      </c>
      <c r="Q1033" s="55">
        <f>UPPER(TRIM(K1033))</f>
        <v/>
      </c>
      <c r="R1033" s="55">
        <f>(G1033-O1033)/G1033</f>
        <v/>
      </c>
      <c r="S1033" s="55">
        <f>VLOOKUP(D1033,Products!$A$2:$F$61,6,FALSE())</f>
        <v/>
      </c>
    </row>
    <row r="1034" ht="15" customHeight="1" s="56">
      <c r="A1034" s="55">
        <f>Orders!A1034</f>
        <v/>
      </c>
      <c r="B1034" s="103">
        <f>Orders!B1034</f>
        <v/>
      </c>
      <c r="C1034" s="55">
        <f>Orders!C1034</f>
        <v/>
      </c>
      <c r="D1034" s="55">
        <f>Orders!D1034</f>
        <v/>
      </c>
      <c r="E1034" s="55">
        <f>Orders!E1034</f>
        <v/>
      </c>
      <c r="F1034" s="55">
        <f>Orders!F1034</f>
        <v/>
      </c>
      <c r="G1034" s="55">
        <f>Orders!G1034</f>
        <v/>
      </c>
      <c r="H1034" s="55">
        <f>Orders!H1034</f>
        <v/>
      </c>
      <c r="I1034" s="55">
        <f>Orders!I1034</f>
        <v/>
      </c>
      <c r="J1034" s="55">
        <f>Orders!J1034</f>
        <v/>
      </c>
      <c r="K1034" s="55">
        <f>Orders!K1034</f>
        <v/>
      </c>
      <c r="L1034" s="55">
        <f>VLOOKUP(D1034,Products!$A$2:$F$61,3,FALSE())</f>
        <v/>
      </c>
      <c r="M1034" s="55">
        <f>VLOOKUP(C1034,Customers!$A$2:$F$301,5,FALSE())</f>
        <v/>
      </c>
      <c r="N1034" s="55">
        <f>VLOOKUP(E1034,Sales_Reps!$A$2:$E$31,3,FALSE())</f>
        <v/>
      </c>
      <c r="O1034" s="55">
        <f>VLOOKUP(D1034,Products!$A$2:$F$61,4,FALSE())</f>
        <v/>
      </c>
      <c r="P1034" s="55">
        <f>VLOOKUP(C1034,Customers!$A$2:$F$301,3,FALSE())</f>
        <v/>
      </c>
      <c r="Q1034" s="55">
        <f>UPPER(TRIM(K1034))</f>
        <v/>
      </c>
      <c r="R1034" s="55">
        <f>(G1034-O1034)/G1034</f>
        <v/>
      </c>
      <c r="S1034" s="55">
        <f>VLOOKUP(D1034,Products!$A$2:$F$61,6,FALSE())</f>
        <v/>
      </c>
    </row>
    <row r="1035" ht="15" customHeight="1" s="56">
      <c r="A1035" s="55">
        <f>Orders!A1035</f>
        <v/>
      </c>
      <c r="B1035" s="103">
        <f>Orders!B1035</f>
        <v/>
      </c>
      <c r="C1035" s="55">
        <f>Orders!C1035</f>
        <v/>
      </c>
      <c r="D1035" s="55">
        <f>Orders!D1035</f>
        <v/>
      </c>
      <c r="E1035" s="55">
        <f>Orders!E1035</f>
        <v/>
      </c>
      <c r="F1035" s="55">
        <f>Orders!F1035</f>
        <v/>
      </c>
      <c r="G1035" s="55">
        <f>Orders!G1035</f>
        <v/>
      </c>
      <c r="H1035" s="55">
        <f>Orders!H1035</f>
        <v/>
      </c>
      <c r="I1035" s="55">
        <f>Orders!I1035</f>
        <v/>
      </c>
      <c r="J1035" s="55">
        <f>Orders!J1035</f>
        <v/>
      </c>
      <c r="K1035" s="55">
        <f>Orders!K1035</f>
        <v/>
      </c>
      <c r="L1035" s="55">
        <f>VLOOKUP(D1035,Products!$A$2:$F$61,3,FALSE())</f>
        <v/>
      </c>
      <c r="M1035" s="55">
        <f>VLOOKUP(C1035,Customers!$A$2:$F$301,5,FALSE())</f>
        <v/>
      </c>
      <c r="N1035" s="55">
        <f>VLOOKUP(E1035,Sales_Reps!$A$2:$E$31,3,FALSE())</f>
        <v/>
      </c>
      <c r="O1035" s="55">
        <f>VLOOKUP(D1035,Products!$A$2:$F$61,4,FALSE())</f>
        <v/>
      </c>
      <c r="P1035" s="55">
        <f>VLOOKUP(C1035,Customers!$A$2:$F$301,3,FALSE())</f>
        <v/>
      </c>
      <c r="Q1035" s="55">
        <f>UPPER(TRIM(K1035))</f>
        <v/>
      </c>
      <c r="R1035" s="55">
        <f>(G1035-O1035)/G1035</f>
        <v/>
      </c>
      <c r="S1035" s="55">
        <f>VLOOKUP(D1035,Products!$A$2:$F$61,6,FALSE())</f>
        <v/>
      </c>
    </row>
    <row r="1036" ht="15" customHeight="1" s="56">
      <c r="A1036" s="55">
        <f>Orders!A1036</f>
        <v/>
      </c>
      <c r="B1036" s="103">
        <f>Orders!B1036</f>
        <v/>
      </c>
      <c r="C1036" s="55">
        <f>Orders!C1036</f>
        <v/>
      </c>
      <c r="D1036" s="55">
        <f>Orders!D1036</f>
        <v/>
      </c>
      <c r="E1036" s="55">
        <f>Orders!E1036</f>
        <v/>
      </c>
      <c r="F1036" s="55">
        <f>Orders!F1036</f>
        <v/>
      </c>
      <c r="G1036" s="55">
        <f>Orders!G1036</f>
        <v/>
      </c>
      <c r="H1036" s="55">
        <f>Orders!H1036</f>
        <v/>
      </c>
      <c r="I1036" s="55">
        <f>Orders!I1036</f>
        <v/>
      </c>
      <c r="J1036" s="55">
        <f>Orders!J1036</f>
        <v/>
      </c>
      <c r="K1036" s="55">
        <f>Orders!K1036</f>
        <v/>
      </c>
      <c r="L1036" s="55">
        <f>VLOOKUP(D1036,Products!$A$2:$F$61,3,FALSE())</f>
        <v/>
      </c>
      <c r="M1036" s="55">
        <f>VLOOKUP(C1036,Customers!$A$2:$F$301,5,FALSE())</f>
        <v/>
      </c>
      <c r="N1036" s="55">
        <f>VLOOKUP(E1036,Sales_Reps!$A$2:$E$31,3,FALSE())</f>
        <v/>
      </c>
      <c r="O1036" s="55">
        <f>VLOOKUP(D1036,Products!$A$2:$F$61,4,FALSE())</f>
        <v/>
      </c>
      <c r="P1036" s="55">
        <f>VLOOKUP(C1036,Customers!$A$2:$F$301,3,FALSE())</f>
        <v/>
      </c>
      <c r="Q1036" s="55">
        <f>UPPER(TRIM(K1036))</f>
        <v/>
      </c>
      <c r="R1036" s="55">
        <f>(G1036-O1036)/G1036</f>
        <v/>
      </c>
      <c r="S1036" s="55">
        <f>VLOOKUP(D1036,Products!$A$2:$F$61,6,FALSE())</f>
        <v/>
      </c>
    </row>
    <row r="1037" ht="15" customHeight="1" s="56">
      <c r="A1037" s="55">
        <f>Orders!A1037</f>
        <v/>
      </c>
      <c r="B1037" s="103">
        <f>Orders!B1037</f>
        <v/>
      </c>
      <c r="C1037" s="55">
        <f>Orders!C1037</f>
        <v/>
      </c>
      <c r="D1037" s="55">
        <f>Orders!D1037</f>
        <v/>
      </c>
      <c r="E1037" s="55">
        <f>Orders!E1037</f>
        <v/>
      </c>
      <c r="F1037" s="55">
        <f>Orders!F1037</f>
        <v/>
      </c>
      <c r="G1037" s="55">
        <f>Orders!G1037</f>
        <v/>
      </c>
      <c r="H1037" s="55">
        <f>Orders!H1037</f>
        <v/>
      </c>
      <c r="I1037" s="55">
        <f>Orders!I1037</f>
        <v/>
      </c>
      <c r="J1037" s="55">
        <f>Orders!J1037</f>
        <v/>
      </c>
      <c r="K1037" s="55">
        <f>Orders!K1037</f>
        <v/>
      </c>
      <c r="L1037" s="55">
        <f>VLOOKUP(D1037,Products!$A$2:$F$61,3,FALSE())</f>
        <v/>
      </c>
      <c r="M1037" s="55">
        <f>VLOOKUP(C1037,Customers!$A$2:$F$301,5,FALSE())</f>
        <v/>
      </c>
      <c r="N1037" s="55">
        <f>VLOOKUP(E1037,Sales_Reps!$A$2:$E$31,3,FALSE())</f>
        <v/>
      </c>
      <c r="O1037" s="55">
        <f>VLOOKUP(D1037,Products!$A$2:$F$61,4,FALSE())</f>
        <v/>
      </c>
      <c r="P1037" s="55">
        <f>VLOOKUP(C1037,Customers!$A$2:$F$301,3,FALSE())</f>
        <v/>
      </c>
      <c r="Q1037" s="55">
        <f>UPPER(TRIM(K1037))</f>
        <v/>
      </c>
      <c r="R1037" s="55">
        <f>(G1037-O1037)/G1037</f>
        <v/>
      </c>
      <c r="S1037" s="55">
        <f>VLOOKUP(D1037,Products!$A$2:$F$61,6,FALSE())</f>
        <v/>
      </c>
    </row>
    <row r="1038" ht="15" customHeight="1" s="56">
      <c r="A1038" s="55">
        <f>Orders!A1038</f>
        <v/>
      </c>
      <c r="B1038" s="103">
        <f>Orders!B1038</f>
        <v/>
      </c>
      <c r="C1038" s="55">
        <f>Orders!C1038</f>
        <v/>
      </c>
      <c r="D1038" s="55">
        <f>Orders!D1038</f>
        <v/>
      </c>
      <c r="E1038" s="55">
        <f>Orders!E1038</f>
        <v/>
      </c>
      <c r="F1038" s="55">
        <f>Orders!F1038</f>
        <v/>
      </c>
      <c r="G1038" s="55">
        <f>Orders!G1038</f>
        <v/>
      </c>
      <c r="H1038" s="55">
        <f>Orders!H1038</f>
        <v/>
      </c>
      <c r="I1038" s="55">
        <f>Orders!I1038</f>
        <v/>
      </c>
      <c r="J1038" s="55">
        <f>Orders!J1038</f>
        <v/>
      </c>
      <c r="K1038" s="55">
        <f>Orders!K1038</f>
        <v/>
      </c>
      <c r="L1038" s="55">
        <f>VLOOKUP(D1038,Products!$A$2:$F$61,3,FALSE())</f>
        <v/>
      </c>
      <c r="M1038" s="55">
        <f>VLOOKUP(C1038,Customers!$A$2:$F$301,5,FALSE())</f>
        <v/>
      </c>
      <c r="N1038" s="55">
        <f>VLOOKUP(E1038,Sales_Reps!$A$2:$E$31,3,FALSE())</f>
        <v/>
      </c>
      <c r="O1038" s="55">
        <f>VLOOKUP(D1038,Products!$A$2:$F$61,4,FALSE())</f>
        <v/>
      </c>
      <c r="P1038" s="55">
        <f>VLOOKUP(C1038,Customers!$A$2:$F$301,3,FALSE())</f>
        <v/>
      </c>
      <c r="Q1038" s="55">
        <f>UPPER(TRIM(K1038))</f>
        <v/>
      </c>
      <c r="R1038" s="55">
        <f>(G1038-O1038)/G1038</f>
        <v/>
      </c>
      <c r="S1038" s="55">
        <f>VLOOKUP(D1038,Products!$A$2:$F$61,6,FALSE())</f>
        <v/>
      </c>
    </row>
    <row r="1039" ht="15" customHeight="1" s="56">
      <c r="A1039" s="55">
        <f>Orders!A1039</f>
        <v/>
      </c>
      <c r="B1039" s="103">
        <f>Orders!B1039</f>
        <v/>
      </c>
      <c r="C1039" s="55">
        <f>Orders!C1039</f>
        <v/>
      </c>
      <c r="D1039" s="55">
        <f>Orders!D1039</f>
        <v/>
      </c>
      <c r="E1039" s="55">
        <f>Orders!E1039</f>
        <v/>
      </c>
      <c r="F1039" s="55">
        <f>Orders!F1039</f>
        <v/>
      </c>
      <c r="G1039" s="55">
        <f>Orders!G1039</f>
        <v/>
      </c>
      <c r="H1039" s="55">
        <f>Orders!H1039</f>
        <v/>
      </c>
      <c r="I1039" s="55">
        <f>Orders!I1039</f>
        <v/>
      </c>
      <c r="J1039" s="55">
        <f>Orders!J1039</f>
        <v/>
      </c>
      <c r="K1039" s="55">
        <f>Orders!K1039</f>
        <v/>
      </c>
      <c r="L1039" s="55">
        <f>VLOOKUP(D1039,Products!$A$2:$F$61,3,FALSE())</f>
        <v/>
      </c>
      <c r="M1039" s="55">
        <f>VLOOKUP(C1039,Customers!$A$2:$F$301,5,FALSE())</f>
        <v/>
      </c>
      <c r="N1039" s="55">
        <f>VLOOKUP(E1039,Sales_Reps!$A$2:$E$31,3,FALSE())</f>
        <v/>
      </c>
      <c r="O1039" s="55">
        <f>VLOOKUP(D1039,Products!$A$2:$F$61,4,FALSE())</f>
        <v/>
      </c>
      <c r="P1039" s="55">
        <f>VLOOKUP(C1039,Customers!$A$2:$F$301,3,FALSE())</f>
        <v/>
      </c>
      <c r="Q1039" s="55">
        <f>UPPER(TRIM(K1039))</f>
        <v/>
      </c>
      <c r="R1039" s="55">
        <f>(G1039-O1039)/G1039</f>
        <v/>
      </c>
      <c r="S1039" s="55">
        <f>VLOOKUP(D1039,Products!$A$2:$F$61,6,FALSE())</f>
        <v/>
      </c>
    </row>
    <row r="1040" ht="15" customHeight="1" s="56">
      <c r="A1040" s="55">
        <f>Orders!A1040</f>
        <v/>
      </c>
      <c r="B1040" s="103">
        <f>Orders!B1040</f>
        <v/>
      </c>
      <c r="C1040" s="55">
        <f>Orders!C1040</f>
        <v/>
      </c>
      <c r="D1040" s="55">
        <f>Orders!D1040</f>
        <v/>
      </c>
      <c r="E1040" s="55">
        <f>Orders!E1040</f>
        <v/>
      </c>
      <c r="F1040" s="55">
        <f>Orders!F1040</f>
        <v/>
      </c>
      <c r="G1040" s="55">
        <f>Orders!G1040</f>
        <v/>
      </c>
      <c r="H1040" s="55">
        <f>Orders!H1040</f>
        <v/>
      </c>
      <c r="I1040" s="55">
        <f>Orders!I1040</f>
        <v/>
      </c>
      <c r="J1040" s="55">
        <f>Orders!J1040</f>
        <v/>
      </c>
      <c r="K1040" s="55">
        <f>Orders!K1040</f>
        <v/>
      </c>
      <c r="L1040" s="55">
        <f>VLOOKUP(D1040,Products!$A$2:$F$61,3,FALSE())</f>
        <v/>
      </c>
      <c r="M1040" s="55">
        <f>VLOOKUP(C1040,Customers!$A$2:$F$301,5,FALSE())</f>
        <v/>
      </c>
      <c r="N1040" s="55">
        <f>VLOOKUP(E1040,Sales_Reps!$A$2:$E$31,3,FALSE())</f>
        <v/>
      </c>
      <c r="O1040" s="55">
        <f>VLOOKUP(D1040,Products!$A$2:$F$61,4,FALSE())</f>
        <v/>
      </c>
      <c r="P1040" s="55">
        <f>VLOOKUP(C1040,Customers!$A$2:$F$301,3,FALSE())</f>
        <v/>
      </c>
      <c r="Q1040" s="55">
        <f>UPPER(TRIM(K1040))</f>
        <v/>
      </c>
      <c r="R1040" s="55">
        <f>(G1040-O1040)/G1040</f>
        <v/>
      </c>
      <c r="S1040" s="55">
        <f>VLOOKUP(D1040,Products!$A$2:$F$61,6,FALSE())</f>
        <v/>
      </c>
    </row>
    <row r="1041" ht="15" customHeight="1" s="56">
      <c r="A1041" s="55">
        <f>Orders!A1041</f>
        <v/>
      </c>
      <c r="B1041" s="103">
        <f>Orders!B1041</f>
        <v/>
      </c>
      <c r="C1041" s="55">
        <f>Orders!C1041</f>
        <v/>
      </c>
      <c r="D1041" s="55">
        <f>Orders!D1041</f>
        <v/>
      </c>
      <c r="E1041" s="55">
        <f>Orders!E1041</f>
        <v/>
      </c>
      <c r="F1041" s="55">
        <f>Orders!F1041</f>
        <v/>
      </c>
      <c r="G1041" s="55">
        <f>Orders!G1041</f>
        <v/>
      </c>
      <c r="H1041" s="55">
        <f>Orders!H1041</f>
        <v/>
      </c>
      <c r="I1041" s="55">
        <f>Orders!I1041</f>
        <v/>
      </c>
      <c r="J1041" s="55">
        <f>Orders!J1041</f>
        <v/>
      </c>
      <c r="K1041" s="55">
        <f>Orders!K1041</f>
        <v/>
      </c>
      <c r="L1041" s="55">
        <f>VLOOKUP(D1041,Products!$A$2:$F$61,3,FALSE())</f>
        <v/>
      </c>
      <c r="M1041" s="55">
        <f>VLOOKUP(C1041,Customers!$A$2:$F$301,5,FALSE())</f>
        <v/>
      </c>
      <c r="N1041" s="55">
        <f>VLOOKUP(E1041,Sales_Reps!$A$2:$E$31,3,FALSE())</f>
        <v/>
      </c>
      <c r="O1041" s="55">
        <f>VLOOKUP(D1041,Products!$A$2:$F$61,4,FALSE())</f>
        <v/>
      </c>
      <c r="P1041" s="55">
        <f>VLOOKUP(C1041,Customers!$A$2:$F$301,3,FALSE())</f>
        <v/>
      </c>
      <c r="Q1041" s="55">
        <f>UPPER(TRIM(K1041))</f>
        <v/>
      </c>
      <c r="R1041" s="55">
        <f>(G1041-O1041)/G1041</f>
        <v/>
      </c>
      <c r="S1041" s="55">
        <f>VLOOKUP(D1041,Products!$A$2:$F$61,6,FALSE())</f>
        <v/>
      </c>
    </row>
    <row r="1042" ht="15" customHeight="1" s="56">
      <c r="A1042" s="55">
        <f>Orders!A1042</f>
        <v/>
      </c>
      <c r="B1042" s="103">
        <f>Orders!B1042</f>
        <v/>
      </c>
      <c r="C1042" s="55">
        <f>Orders!C1042</f>
        <v/>
      </c>
      <c r="D1042" s="55">
        <f>Orders!D1042</f>
        <v/>
      </c>
      <c r="E1042" s="55">
        <f>Orders!E1042</f>
        <v/>
      </c>
      <c r="F1042" s="55">
        <f>Orders!F1042</f>
        <v/>
      </c>
      <c r="G1042" s="55">
        <f>Orders!G1042</f>
        <v/>
      </c>
      <c r="H1042" s="55">
        <f>Orders!H1042</f>
        <v/>
      </c>
      <c r="I1042" s="55">
        <f>Orders!I1042</f>
        <v/>
      </c>
      <c r="J1042" s="55">
        <f>Orders!J1042</f>
        <v/>
      </c>
      <c r="K1042" s="55">
        <f>Orders!K1042</f>
        <v/>
      </c>
      <c r="L1042" s="55">
        <f>VLOOKUP(D1042,Products!$A$2:$F$61,3,FALSE())</f>
        <v/>
      </c>
      <c r="M1042" s="55">
        <f>VLOOKUP(C1042,Customers!$A$2:$F$301,5,FALSE())</f>
        <v/>
      </c>
      <c r="N1042" s="55">
        <f>VLOOKUP(E1042,Sales_Reps!$A$2:$E$31,3,FALSE())</f>
        <v/>
      </c>
      <c r="O1042" s="55">
        <f>VLOOKUP(D1042,Products!$A$2:$F$61,4,FALSE())</f>
        <v/>
      </c>
      <c r="P1042" s="55">
        <f>VLOOKUP(C1042,Customers!$A$2:$F$301,3,FALSE())</f>
        <v/>
      </c>
      <c r="Q1042" s="55">
        <f>UPPER(TRIM(K1042))</f>
        <v/>
      </c>
      <c r="R1042" s="55">
        <f>(G1042-O1042)/G1042</f>
        <v/>
      </c>
      <c r="S1042" s="55">
        <f>VLOOKUP(D1042,Products!$A$2:$F$61,6,FALSE())</f>
        <v/>
      </c>
    </row>
    <row r="1043" ht="15" customHeight="1" s="56">
      <c r="A1043" s="55">
        <f>Orders!A1043</f>
        <v/>
      </c>
      <c r="B1043" s="103">
        <f>Orders!B1043</f>
        <v/>
      </c>
      <c r="C1043" s="55">
        <f>Orders!C1043</f>
        <v/>
      </c>
      <c r="D1043" s="55">
        <f>Orders!D1043</f>
        <v/>
      </c>
      <c r="E1043" s="55">
        <f>Orders!E1043</f>
        <v/>
      </c>
      <c r="F1043" s="55">
        <f>Orders!F1043</f>
        <v/>
      </c>
      <c r="G1043" s="55">
        <f>Orders!G1043</f>
        <v/>
      </c>
      <c r="H1043" s="55">
        <f>Orders!H1043</f>
        <v/>
      </c>
      <c r="I1043" s="55">
        <f>Orders!I1043</f>
        <v/>
      </c>
      <c r="J1043" s="55">
        <f>Orders!J1043</f>
        <v/>
      </c>
      <c r="K1043" s="55">
        <f>Orders!K1043</f>
        <v/>
      </c>
      <c r="L1043" s="55">
        <f>VLOOKUP(D1043,Products!$A$2:$F$61,3,FALSE())</f>
        <v/>
      </c>
      <c r="M1043" s="55">
        <f>VLOOKUP(C1043,Customers!$A$2:$F$301,5,FALSE())</f>
        <v/>
      </c>
      <c r="N1043" s="55">
        <f>VLOOKUP(E1043,Sales_Reps!$A$2:$E$31,3,FALSE())</f>
        <v/>
      </c>
      <c r="O1043" s="55">
        <f>VLOOKUP(D1043,Products!$A$2:$F$61,4,FALSE())</f>
        <v/>
      </c>
      <c r="P1043" s="55">
        <f>VLOOKUP(C1043,Customers!$A$2:$F$301,3,FALSE())</f>
        <v/>
      </c>
      <c r="Q1043" s="55">
        <f>UPPER(TRIM(K1043))</f>
        <v/>
      </c>
      <c r="R1043" s="55">
        <f>(G1043-O1043)/G1043</f>
        <v/>
      </c>
      <c r="S1043" s="55">
        <f>VLOOKUP(D1043,Products!$A$2:$F$61,6,FALSE())</f>
        <v/>
      </c>
    </row>
    <row r="1044" ht="15" customHeight="1" s="56">
      <c r="A1044" s="55">
        <f>Orders!A1044</f>
        <v/>
      </c>
      <c r="B1044" s="103">
        <f>Orders!B1044</f>
        <v/>
      </c>
      <c r="C1044" s="55">
        <f>Orders!C1044</f>
        <v/>
      </c>
      <c r="D1044" s="55">
        <f>Orders!D1044</f>
        <v/>
      </c>
      <c r="E1044" s="55">
        <f>Orders!E1044</f>
        <v/>
      </c>
      <c r="F1044" s="55">
        <f>Orders!F1044</f>
        <v/>
      </c>
      <c r="G1044" s="55">
        <f>Orders!G1044</f>
        <v/>
      </c>
      <c r="H1044" s="55">
        <f>Orders!H1044</f>
        <v/>
      </c>
      <c r="I1044" s="55">
        <f>Orders!I1044</f>
        <v/>
      </c>
      <c r="J1044" s="55">
        <f>Orders!J1044</f>
        <v/>
      </c>
      <c r="K1044" s="55">
        <f>Orders!K1044</f>
        <v/>
      </c>
      <c r="L1044" s="55">
        <f>VLOOKUP(D1044,Products!$A$2:$F$61,3,FALSE())</f>
        <v/>
      </c>
      <c r="M1044" s="55">
        <f>VLOOKUP(C1044,Customers!$A$2:$F$301,5,FALSE())</f>
        <v/>
      </c>
      <c r="N1044" s="55">
        <f>VLOOKUP(E1044,Sales_Reps!$A$2:$E$31,3,FALSE())</f>
        <v/>
      </c>
      <c r="O1044" s="55">
        <f>VLOOKUP(D1044,Products!$A$2:$F$61,4,FALSE())</f>
        <v/>
      </c>
      <c r="P1044" s="55">
        <f>VLOOKUP(C1044,Customers!$A$2:$F$301,3,FALSE())</f>
        <v/>
      </c>
      <c r="Q1044" s="55">
        <f>UPPER(TRIM(K1044))</f>
        <v/>
      </c>
      <c r="R1044" s="55">
        <f>(G1044-O1044)/G1044</f>
        <v/>
      </c>
      <c r="S1044" s="55">
        <f>VLOOKUP(D1044,Products!$A$2:$F$61,6,FALSE())</f>
        <v/>
      </c>
    </row>
    <row r="1045" ht="15" customHeight="1" s="56">
      <c r="A1045" s="55">
        <f>Orders!A1045</f>
        <v/>
      </c>
      <c r="B1045" s="103">
        <f>Orders!B1045</f>
        <v/>
      </c>
      <c r="C1045" s="55">
        <f>Orders!C1045</f>
        <v/>
      </c>
      <c r="D1045" s="55">
        <f>Orders!D1045</f>
        <v/>
      </c>
      <c r="E1045" s="55">
        <f>Orders!E1045</f>
        <v/>
      </c>
      <c r="F1045" s="55">
        <f>Orders!F1045</f>
        <v/>
      </c>
      <c r="G1045" s="55">
        <f>Orders!G1045</f>
        <v/>
      </c>
      <c r="H1045" s="55">
        <f>Orders!H1045</f>
        <v/>
      </c>
      <c r="I1045" s="55">
        <f>Orders!I1045</f>
        <v/>
      </c>
      <c r="J1045" s="55">
        <f>Orders!J1045</f>
        <v/>
      </c>
      <c r="K1045" s="55">
        <f>Orders!K1045</f>
        <v/>
      </c>
      <c r="L1045" s="55">
        <f>VLOOKUP(D1045,Products!$A$2:$F$61,3,FALSE())</f>
        <v/>
      </c>
      <c r="M1045" s="55">
        <f>VLOOKUP(C1045,Customers!$A$2:$F$301,5,FALSE())</f>
        <v/>
      </c>
      <c r="N1045" s="55">
        <f>VLOOKUP(E1045,Sales_Reps!$A$2:$E$31,3,FALSE())</f>
        <v/>
      </c>
      <c r="O1045" s="55">
        <f>VLOOKUP(D1045,Products!$A$2:$F$61,4,FALSE())</f>
        <v/>
      </c>
      <c r="P1045" s="55">
        <f>VLOOKUP(C1045,Customers!$A$2:$F$301,3,FALSE())</f>
        <v/>
      </c>
      <c r="Q1045" s="55">
        <f>UPPER(TRIM(K1045))</f>
        <v/>
      </c>
      <c r="R1045" s="55">
        <f>(G1045-O1045)/G1045</f>
        <v/>
      </c>
      <c r="S1045" s="55">
        <f>VLOOKUP(D1045,Products!$A$2:$F$61,6,FALSE())</f>
        <v/>
      </c>
    </row>
    <row r="1046" ht="15" customHeight="1" s="56">
      <c r="A1046" s="55">
        <f>Orders!A1046</f>
        <v/>
      </c>
      <c r="B1046" s="103">
        <f>Orders!B1046</f>
        <v/>
      </c>
      <c r="C1046" s="55">
        <f>Orders!C1046</f>
        <v/>
      </c>
      <c r="D1046" s="55">
        <f>Orders!D1046</f>
        <v/>
      </c>
      <c r="E1046" s="55">
        <f>Orders!E1046</f>
        <v/>
      </c>
      <c r="F1046" s="55">
        <f>Orders!F1046</f>
        <v/>
      </c>
      <c r="G1046" s="55">
        <f>Orders!G1046</f>
        <v/>
      </c>
      <c r="H1046" s="55">
        <f>Orders!H1046</f>
        <v/>
      </c>
      <c r="I1046" s="55">
        <f>Orders!I1046</f>
        <v/>
      </c>
      <c r="J1046" s="55">
        <f>Orders!J1046</f>
        <v/>
      </c>
      <c r="K1046" s="55">
        <f>Orders!K1046</f>
        <v/>
      </c>
      <c r="L1046" s="55">
        <f>VLOOKUP(D1046,Products!$A$2:$F$61,3,FALSE())</f>
        <v/>
      </c>
      <c r="M1046" s="55">
        <f>VLOOKUP(C1046,Customers!$A$2:$F$301,5,FALSE())</f>
        <v/>
      </c>
      <c r="N1046" s="55">
        <f>VLOOKUP(E1046,Sales_Reps!$A$2:$E$31,3,FALSE())</f>
        <v/>
      </c>
      <c r="O1046" s="55">
        <f>VLOOKUP(D1046,Products!$A$2:$F$61,4,FALSE())</f>
        <v/>
      </c>
      <c r="P1046" s="55">
        <f>VLOOKUP(C1046,Customers!$A$2:$F$301,3,FALSE())</f>
        <v/>
      </c>
      <c r="Q1046" s="55">
        <f>UPPER(TRIM(K1046))</f>
        <v/>
      </c>
      <c r="R1046" s="55">
        <f>(G1046-O1046)/G1046</f>
        <v/>
      </c>
      <c r="S1046" s="55">
        <f>VLOOKUP(D1046,Products!$A$2:$F$61,6,FALSE())</f>
        <v/>
      </c>
    </row>
    <row r="1047" ht="15" customHeight="1" s="56">
      <c r="A1047" s="55">
        <f>Orders!A1047</f>
        <v/>
      </c>
      <c r="B1047" s="103">
        <f>Orders!B1047</f>
        <v/>
      </c>
      <c r="C1047" s="55">
        <f>Orders!C1047</f>
        <v/>
      </c>
      <c r="D1047" s="55">
        <f>Orders!D1047</f>
        <v/>
      </c>
      <c r="E1047" s="55">
        <f>Orders!E1047</f>
        <v/>
      </c>
      <c r="F1047" s="55">
        <f>Orders!F1047</f>
        <v/>
      </c>
      <c r="G1047" s="55">
        <f>Orders!G1047</f>
        <v/>
      </c>
      <c r="H1047" s="55">
        <f>Orders!H1047</f>
        <v/>
      </c>
      <c r="I1047" s="55">
        <f>Orders!I1047</f>
        <v/>
      </c>
      <c r="J1047" s="55">
        <f>Orders!J1047</f>
        <v/>
      </c>
      <c r="K1047" s="55">
        <f>Orders!K1047</f>
        <v/>
      </c>
      <c r="L1047" s="55">
        <f>VLOOKUP(D1047,Products!$A$2:$F$61,3,FALSE())</f>
        <v/>
      </c>
      <c r="M1047" s="55">
        <f>VLOOKUP(C1047,Customers!$A$2:$F$301,5,FALSE())</f>
        <v/>
      </c>
      <c r="N1047" s="55">
        <f>VLOOKUP(E1047,Sales_Reps!$A$2:$E$31,3,FALSE())</f>
        <v/>
      </c>
      <c r="O1047" s="55">
        <f>VLOOKUP(D1047,Products!$A$2:$F$61,4,FALSE())</f>
        <v/>
      </c>
      <c r="P1047" s="55">
        <f>VLOOKUP(C1047,Customers!$A$2:$F$301,3,FALSE())</f>
        <v/>
      </c>
      <c r="Q1047" s="55">
        <f>UPPER(TRIM(K1047))</f>
        <v/>
      </c>
      <c r="R1047" s="55">
        <f>(G1047-O1047)/G1047</f>
        <v/>
      </c>
      <c r="S1047" s="55">
        <f>VLOOKUP(D1047,Products!$A$2:$F$61,6,FALSE())</f>
        <v/>
      </c>
    </row>
    <row r="1048" ht="15" customHeight="1" s="56">
      <c r="A1048" s="55">
        <f>Orders!A1048</f>
        <v/>
      </c>
      <c r="B1048" s="103">
        <f>Orders!B1048</f>
        <v/>
      </c>
      <c r="C1048" s="55">
        <f>Orders!C1048</f>
        <v/>
      </c>
      <c r="D1048" s="55">
        <f>Orders!D1048</f>
        <v/>
      </c>
      <c r="E1048" s="55">
        <f>Orders!E1048</f>
        <v/>
      </c>
      <c r="F1048" s="55">
        <f>Orders!F1048</f>
        <v/>
      </c>
      <c r="G1048" s="55">
        <f>Orders!G1048</f>
        <v/>
      </c>
      <c r="H1048" s="55">
        <f>Orders!H1048</f>
        <v/>
      </c>
      <c r="I1048" s="55">
        <f>Orders!I1048</f>
        <v/>
      </c>
      <c r="J1048" s="55">
        <f>Orders!J1048</f>
        <v/>
      </c>
      <c r="K1048" s="55">
        <f>Orders!K1048</f>
        <v/>
      </c>
      <c r="L1048" s="55">
        <f>VLOOKUP(D1048,Products!$A$2:$F$61,3,FALSE())</f>
        <v/>
      </c>
      <c r="M1048" s="55">
        <f>VLOOKUP(C1048,Customers!$A$2:$F$301,5,FALSE())</f>
        <v/>
      </c>
      <c r="N1048" s="55">
        <f>VLOOKUP(E1048,Sales_Reps!$A$2:$E$31,3,FALSE())</f>
        <v/>
      </c>
      <c r="O1048" s="55">
        <f>VLOOKUP(D1048,Products!$A$2:$F$61,4,FALSE())</f>
        <v/>
      </c>
      <c r="P1048" s="55">
        <f>VLOOKUP(C1048,Customers!$A$2:$F$301,3,FALSE())</f>
        <v/>
      </c>
      <c r="Q1048" s="55">
        <f>UPPER(TRIM(K1048))</f>
        <v/>
      </c>
      <c r="R1048" s="55">
        <f>(G1048-O1048)/G1048</f>
        <v/>
      </c>
      <c r="S1048" s="55">
        <f>VLOOKUP(D1048,Products!$A$2:$F$61,6,FALSE())</f>
        <v/>
      </c>
    </row>
    <row r="1049" ht="15" customHeight="1" s="56">
      <c r="A1049" s="55">
        <f>Orders!A1049</f>
        <v/>
      </c>
      <c r="B1049" s="103">
        <f>Orders!B1049</f>
        <v/>
      </c>
      <c r="C1049" s="55">
        <f>Orders!C1049</f>
        <v/>
      </c>
      <c r="D1049" s="55">
        <f>Orders!D1049</f>
        <v/>
      </c>
      <c r="E1049" s="55">
        <f>Orders!E1049</f>
        <v/>
      </c>
      <c r="F1049" s="55">
        <f>Orders!F1049</f>
        <v/>
      </c>
      <c r="G1049" s="55">
        <f>Orders!G1049</f>
        <v/>
      </c>
      <c r="H1049" s="55">
        <f>Orders!H1049</f>
        <v/>
      </c>
      <c r="I1049" s="55">
        <f>Orders!I1049</f>
        <v/>
      </c>
      <c r="J1049" s="55">
        <f>Orders!J1049</f>
        <v/>
      </c>
      <c r="K1049" s="55">
        <f>Orders!K1049</f>
        <v/>
      </c>
      <c r="L1049" s="55">
        <f>VLOOKUP(D1049,Products!$A$2:$F$61,3,FALSE())</f>
        <v/>
      </c>
      <c r="M1049" s="55">
        <f>VLOOKUP(C1049,Customers!$A$2:$F$301,5,FALSE())</f>
        <v/>
      </c>
      <c r="N1049" s="55">
        <f>VLOOKUP(E1049,Sales_Reps!$A$2:$E$31,3,FALSE())</f>
        <v/>
      </c>
      <c r="O1049" s="55">
        <f>VLOOKUP(D1049,Products!$A$2:$F$61,4,FALSE())</f>
        <v/>
      </c>
      <c r="P1049" s="55">
        <f>VLOOKUP(C1049,Customers!$A$2:$F$301,3,FALSE())</f>
        <v/>
      </c>
      <c r="Q1049" s="55">
        <f>UPPER(TRIM(K1049))</f>
        <v/>
      </c>
      <c r="R1049" s="55">
        <f>(G1049-O1049)/G1049</f>
        <v/>
      </c>
      <c r="S1049" s="55">
        <f>VLOOKUP(D1049,Products!$A$2:$F$61,6,FALSE())</f>
        <v/>
      </c>
    </row>
    <row r="1050" ht="15" customHeight="1" s="56">
      <c r="A1050" s="55">
        <f>Orders!A1050</f>
        <v/>
      </c>
      <c r="B1050" s="103">
        <f>Orders!B1050</f>
        <v/>
      </c>
      <c r="C1050" s="55">
        <f>Orders!C1050</f>
        <v/>
      </c>
      <c r="D1050" s="55">
        <f>Orders!D1050</f>
        <v/>
      </c>
      <c r="E1050" s="55">
        <f>Orders!E1050</f>
        <v/>
      </c>
      <c r="F1050" s="55">
        <f>Orders!F1050</f>
        <v/>
      </c>
      <c r="G1050" s="55">
        <f>Orders!G1050</f>
        <v/>
      </c>
      <c r="H1050" s="55">
        <f>Orders!H1050</f>
        <v/>
      </c>
      <c r="I1050" s="55">
        <f>Orders!I1050</f>
        <v/>
      </c>
      <c r="J1050" s="55">
        <f>Orders!J1050</f>
        <v/>
      </c>
      <c r="K1050" s="55">
        <f>Orders!K1050</f>
        <v/>
      </c>
      <c r="L1050" s="55">
        <f>VLOOKUP(D1050,Products!$A$2:$F$61,3,FALSE())</f>
        <v/>
      </c>
      <c r="M1050" s="55">
        <f>VLOOKUP(C1050,Customers!$A$2:$F$301,5,FALSE())</f>
        <v/>
      </c>
      <c r="N1050" s="55">
        <f>VLOOKUP(E1050,Sales_Reps!$A$2:$E$31,3,FALSE())</f>
        <v/>
      </c>
      <c r="O1050" s="55">
        <f>VLOOKUP(D1050,Products!$A$2:$F$61,4,FALSE())</f>
        <v/>
      </c>
      <c r="P1050" s="55">
        <f>VLOOKUP(C1050,Customers!$A$2:$F$301,3,FALSE())</f>
        <v/>
      </c>
      <c r="Q1050" s="55">
        <f>UPPER(TRIM(K1050))</f>
        <v/>
      </c>
      <c r="R1050" s="55">
        <f>(G1050-O1050)/G1050</f>
        <v/>
      </c>
      <c r="S1050" s="55">
        <f>VLOOKUP(D1050,Products!$A$2:$F$61,6,FALSE())</f>
        <v/>
      </c>
    </row>
    <row r="1051" ht="15" customHeight="1" s="56">
      <c r="A1051" s="55">
        <f>Orders!A1051</f>
        <v/>
      </c>
      <c r="B1051" s="103">
        <f>Orders!B1051</f>
        <v/>
      </c>
      <c r="C1051" s="55">
        <f>Orders!C1051</f>
        <v/>
      </c>
      <c r="D1051" s="55">
        <f>Orders!D1051</f>
        <v/>
      </c>
      <c r="E1051" s="55">
        <f>Orders!E1051</f>
        <v/>
      </c>
      <c r="F1051" s="55">
        <f>Orders!F1051</f>
        <v/>
      </c>
      <c r="G1051" s="55">
        <f>Orders!G1051</f>
        <v/>
      </c>
      <c r="H1051" s="55">
        <f>Orders!H1051</f>
        <v/>
      </c>
      <c r="I1051" s="55">
        <f>Orders!I1051</f>
        <v/>
      </c>
      <c r="J1051" s="55">
        <f>Orders!J1051</f>
        <v/>
      </c>
      <c r="K1051" s="55">
        <f>Orders!K1051</f>
        <v/>
      </c>
      <c r="L1051" s="55">
        <f>VLOOKUP(D1051,Products!$A$2:$F$61,3,FALSE())</f>
        <v/>
      </c>
      <c r="M1051" s="55">
        <f>VLOOKUP(C1051,Customers!$A$2:$F$301,5,FALSE())</f>
        <v/>
      </c>
      <c r="N1051" s="55">
        <f>VLOOKUP(E1051,Sales_Reps!$A$2:$E$31,3,FALSE())</f>
        <v/>
      </c>
      <c r="O1051" s="55">
        <f>VLOOKUP(D1051,Products!$A$2:$F$61,4,FALSE())</f>
        <v/>
      </c>
      <c r="P1051" s="55">
        <f>VLOOKUP(C1051,Customers!$A$2:$F$301,3,FALSE())</f>
        <v/>
      </c>
      <c r="Q1051" s="55">
        <f>UPPER(TRIM(K1051))</f>
        <v/>
      </c>
      <c r="R1051" s="55">
        <f>(G1051-O1051)/G1051</f>
        <v/>
      </c>
      <c r="S1051" s="55">
        <f>VLOOKUP(D1051,Products!$A$2:$F$61,6,FALSE())</f>
        <v/>
      </c>
    </row>
    <row r="1052" ht="15" customHeight="1" s="56">
      <c r="A1052" s="55">
        <f>Orders!A1052</f>
        <v/>
      </c>
      <c r="B1052" s="103">
        <f>Orders!B1052</f>
        <v/>
      </c>
      <c r="C1052" s="55">
        <f>Orders!C1052</f>
        <v/>
      </c>
      <c r="D1052" s="55">
        <f>Orders!D1052</f>
        <v/>
      </c>
      <c r="E1052" s="55">
        <f>Orders!E1052</f>
        <v/>
      </c>
      <c r="F1052" s="55">
        <f>Orders!F1052</f>
        <v/>
      </c>
      <c r="G1052" s="55">
        <f>Orders!G1052</f>
        <v/>
      </c>
      <c r="H1052" s="55">
        <f>Orders!H1052</f>
        <v/>
      </c>
      <c r="I1052" s="55">
        <f>Orders!I1052</f>
        <v/>
      </c>
      <c r="J1052" s="55">
        <f>Orders!J1052</f>
        <v/>
      </c>
      <c r="K1052" s="55">
        <f>Orders!K1052</f>
        <v/>
      </c>
      <c r="L1052" s="55">
        <f>VLOOKUP(D1052,Products!$A$2:$F$61,3,FALSE())</f>
        <v/>
      </c>
      <c r="M1052" s="55">
        <f>VLOOKUP(C1052,Customers!$A$2:$F$301,5,FALSE())</f>
        <v/>
      </c>
      <c r="N1052" s="55">
        <f>VLOOKUP(E1052,Sales_Reps!$A$2:$E$31,3,FALSE())</f>
        <v/>
      </c>
      <c r="O1052" s="55">
        <f>VLOOKUP(D1052,Products!$A$2:$F$61,4,FALSE())</f>
        <v/>
      </c>
      <c r="P1052" s="55">
        <f>VLOOKUP(C1052,Customers!$A$2:$F$301,3,FALSE())</f>
        <v/>
      </c>
      <c r="Q1052" s="55">
        <f>UPPER(TRIM(K1052))</f>
        <v/>
      </c>
      <c r="R1052" s="55">
        <f>(G1052-O1052)/G1052</f>
        <v/>
      </c>
      <c r="S1052" s="55">
        <f>VLOOKUP(D1052,Products!$A$2:$F$61,6,FALSE())</f>
        <v/>
      </c>
    </row>
    <row r="1053" ht="15" customHeight="1" s="56">
      <c r="A1053" s="55">
        <f>Orders!A1053</f>
        <v/>
      </c>
      <c r="B1053" s="103">
        <f>Orders!B1053</f>
        <v/>
      </c>
      <c r="C1053" s="55">
        <f>Orders!C1053</f>
        <v/>
      </c>
      <c r="D1053" s="55">
        <f>Orders!D1053</f>
        <v/>
      </c>
      <c r="E1053" s="55">
        <f>Orders!E1053</f>
        <v/>
      </c>
      <c r="F1053" s="55">
        <f>Orders!F1053</f>
        <v/>
      </c>
      <c r="G1053" s="55">
        <f>Orders!G1053</f>
        <v/>
      </c>
      <c r="H1053" s="55">
        <f>Orders!H1053</f>
        <v/>
      </c>
      <c r="I1053" s="55">
        <f>Orders!I1053</f>
        <v/>
      </c>
      <c r="J1053" s="55">
        <f>Orders!J1053</f>
        <v/>
      </c>
      <c r="K1053" s="55">
        <f>Orders!K1053</f>
        <v/>
      </c>
      <c r="L1053" s="55">
        <f>VLOOKUP(D1053,Products!$A$2:$F$61,3,FALSE())</f>
        <v/>
      </c>
      <c r="M1053" s="55">
        <f>VLOOKUP(C1053,Customers!$A$2:$F$301,5,FALSE())</f>
        <v/>
      </c>
      <c r="N1053" s="55">
        <f>VLOOKUP(E1053,Sales_Reps!$A$2:$E$31,3,FALSE())</f>
        <v/>
      </c>
      <c r="O1053" s="55">
        <f>VLOOKUP(D1053,Products!$A$2:$F$61,4,FALSE())</f>
        <v/>
      </c>
      <c r="P1053" s="55">
        <f>VLOOKUP(C1053,Customers!$A$2:$F$301,3,FALSE())</f>
        <v/>
      </c>
      <c r="Q1053" s="55">
        <f>UPPER(TRIM(K1053))</f>
        <v/>
      </c>
      <c r="R1053" s="55">
        <f>(G1053-O1053)/G1053</f>
        <v/>
      </c>
      <c r="S1053" s="55">
        <f>VLOOKUP(D1053,Products!$A$2:$F$61,6,FALSE())</f>
        <v/>
      </c>
    </row>
    <row r="1054" ht="15" customHeight="1" s="56">
      <c r="A1054" s="55">
        <f>Orders!A1054</f>
        <v/>
      </c>
      <c r="B1054" s="103">
        <f>Orders!B1054</f>
        <v/>
      </c>
      <c r="C1054" s="55">
        <f>Orders!C1054</f>
        <v/>
      </c>
      <c r="D1054" s="55">
        <f>Orders!D1054</f>
        <v/>
      </c>
      <c r="E1054" s="55">
        <f>Orders!E1054</f>
        <v/>
      </c>
      <c r="F1054" s="55">
        <f>Orders!F1054</f>
        <v/>
      </c>
      <c r="G1054" s="55">
        <f>Orders!G1054</f>
        <v/>
      </c>
      <c r="H1054" s="55">
        <f>Orders!H1054</f>
        <v/>
      </c>
      <c r="I1054" s="55">
        <f>Orders!I1054</f>
        <v/>
      </c>
      <c r="J1054" s="55">
        <f>Orders!J1054</f>
        <v/>
      </c>
      <c r="K1054" s="55">
        <f>Orders!K1054</f>
        <v/>
      </c>
      <c r="L1054" s="55">
        <f>VLOOKUP(D1054,Products!$A$2:$F$61,3,FALSE())</f>
        <v/>
      </c>
      <c r="M1054" s="55">
        <f>VLOOKUP(C1054,Customers!$A$2:$F$301,5,FALSE())</f>
        <v/>
      </c>
      <c r="N1054" s="55">
        <f>VLOOKUP(E1054,Sales_Reps!$A$2:$E$31,3,FALSE())</f>
        <v/>
      </c>
      <c r="O1054" s="55">
        <f>VLOOKUP(D1054,Products!$A$2:$F$61,4,FALSE())</f>
        <v/>
      </c>
      <c r="P1054" s="55">
        <f>VLOOKUP(C1054,Customers!$A$2:$F$301,3,FALSE())</f>
        <v/>
      </c>
      <c r="Q1054" s="55">
        <f>UPPER(TRIM(K1054))</f>
        <v/>
      </c>
      <c r="R1054" s="55">
        <f>(G1054-O1054)/G1054</f>
        <v/>
      </c>
      <c r="S1054" s="55">
        <f>VLOOKUP(D1054,Products!$A$2:$F$61,6,FALSE())</f>
        <v/>
      </c>
    </row>
    <row r="1055" ht="15" customHeight="1" s="56">
      <c r="A1055" s="55">
        <f>Orders!A1055</f>
        <v/>
      </c>
      <c r="B1055" s="103">
        <f>Orders!B1055</f>
        <v/>
      </c>
      <c r="C1055" s="55">
        <f>Orders!C1055</f>
        <v/>
      </c>
      <c r="D1055" s="55">
        <f>Orders!D1055</f>
        <v/>
      </c>
      <c r="E1055" s="55">
        <f>Orders!E1055</f>
        <v/>
      </c>
      <c r="F1055" s="55">
        <f>Orders!F1055</f>
        <v/>
      </c>
      <c r="G1055" s="55">
        <f>Orders!G1055</f>
        <v/>
      </c>
      <c r="H1055" s="55">
        <f>Orders!H1055</f>
        <v/>
      </c>
      <c r="I1055" s="55">
        <f>Orders!I1055</f>
        <v/>
      </c>
      <c r="J1055" s="55">
        <f>Orders!J1055</f>
        <v/>
      </c>
      <c r="K1055" s="55">
        <f>Orders!K1055</f>
        <v/>
      </c>
      <c r="L1055" s="55">
        <f>VLOOKUP(D1055,Products!$A$2:$F$61,3,FALSE())</f>
        <v/>
      </c>
      <c r="M1055" s="55">
        <f>VLOOKUP(C1055,Customers!$A$2:$F$301,5,FALSE())</f>
        <v/>
      </c>
      <c r="N1055" s="55">
        <f>VLOOKUP(E1055,Sales_Reps!$A$2:$E$31,3,FALSE())</f>
        <v/>
      </c>
      <c r="O1055" s="55">
        <f>VLOOKUP(D1055,Products!$A$2:$F$61,4,FALSE())</f>
        <v/>
      </c>
      <c r="P1055" s="55">
        <f>VLOOKUP(C1055,Customers!$A$2:$F$301,3,FALSE())</f>
        <v/>
      </c>
      <c r="Q1055" s="55">
        <f>UPPER(TRIM(K1055))</f>
        <v/>
      </c>
      <c r="R1055" s="55">
        <f>(G1055-O1055)/G1055</f>
        <v/>
      </c>
      <c r="S1055" s="55">
        <f>VLOOKUP(D1055,Products!$A$2:$F$61,6,FALSE())</f>
        <v/>
      </c>
    </row>
    <row r="1056" ht="15" customHeight="1" s="56">
      <c r="A1056" s="55">
        <f>Orders!A1056</f>
        <v/>
      </c>
      <c r="B1056" s="103">
        <f>Orders!B1056</f>
        <v/>
      </c>
      <c r="C1056" s="55">
        <f>Orders!C1056</f>
        <v/>
      </c>
      <c r="D1056" s="55">
        <f>Orders!D1056</f>
        <v/>
      </c>
      <c r="E1056" s="55">
        <f>Orders!E1056</f>
        <v/>
      </c>
      <c r="F1056" s="55">
        <f>Orders!F1056</f>
        <v/>
      </c>
      <c r="G1056" s="55">
        <f>Orders!G1056</f>
        <v/>
      </c>
      <c r="H1056" s="55">
        <f>Orders!H1056</f>
        <v/>
      </c>
      <c r="I1056" s="55">
        <f>Orders!I1056</f>
        <v/>
      </c>
      <c r="J1056" s="55">
        <f>Orders!J1056</f>
        <v/>
      </c>
      <c r="K1056" s="55">
        <f>Orders!K1056</f>
        <v/>
      </c>
      <c r="L1056" s="55">
        <f>VLOOKUP(D1056,Products!$A$2:$F$61,3,FALSE())</f>
        <v/>
      </c>
      <c r="M1056" s="55">
        <f>VLOOKUP(C1056,Customers!$A$2:$F$301,5,FALSE())</f>
        <v/>
      </c>
      <c r="N1056" s="55">
        <f>VLOOKUP(E1056,Sales_Reps!$A$2:$E$31,3,FALSE())</f>
        <v/>
      </c>
      <c r="O1056" s="55">
        <f>VLOOKUP(D1056,Products!$A$2:$F$61,4,FALSE())</f>
        <v/>
      </c>
      <c r="P1056" s="55">
        <f>VLOOKUP(C1056,Customers!$A$2:$F$301,3,FALSE())</f>
        <v/>
      </c>
      <c r="Q1056" s="55">
        <f>UPPER(TRIM(K1056))</f>
        <v/>
      </c>
      <c r="R1056" s="55">
        <f>(G1056-O1056)/G1056</f>
        <v/>
      </c>
      <c r="S1056" s="55">
        <f>VLOOKUP(D1056,Products!$A$2:$F$61,6,FALSE())</f>
        <v/>
      </c>
    </row>
    <row r="1057" ht="15" customHeight="1" s="56">
      <c r="A1057" s="55">
        <f>Orders!A1057</f>
        <v/>
      </c>
      <c r="B1057" s="103">
        <f>Orders!B1057</f>
        <v/>
      </c>
      <c r="C1057" s="55">
        <f>Orders!C1057</f>
        <v/>
      </c>
      <c r="D1057" s="55">
        <f>Orders!D1057</f>
        <v/>
      </c>
      <c r="E1057" s="55">
        <f>Orders!E1057</f>
        <v/>
      </c>
      <c r="F1057" s="55">
        <f>Orders!F1057</f>
        <v/>
      </c>
      <c r="G1057" s="55">
        <f>Orders!G1057</f>
        <v/>
      </c>
      <c r="H1057" s="55">
        <f>Orders!H1057</f>
        <v/>
      </c>
      <c r="I1057" s="55">
        <f>Orders!I1057</f>
        <v/>
      </c>
      <c r="J1057" s="55">
        <f>Orders!J1057</f>
        <v/>
      </c>
      <c r="K1057" s="55">
        <f>Orders!K1057</f>
        <v/>
      </c>
      <c r="L1057" s="55">
        <f>VLOOKUP(D1057,Products!$A$2:$F$61,3,FALSE())</f>
        <v/>
      </c>
      <c r="M1057" s="55">
        <f>VLOOKUP(C1057,Customers!$A$2:$F$301,5,FALSE())</f>
        <v/>
      </c>
      <c r="N1057" s="55">
        <f>VLOOKUP(E1057,Sales_Reps!$A$2:$E$31,3,FALSE())</f>
        <v/>
      </c>
      <c r="O1057" s="55">
        <f>VLOOKUP(D1057,Products!$A$2:$F$61,4,FALSE())</f>
        <v/>
      </c>
      <c r="P1057" s="55">
        <f>VLOOKUP(C1057,Customers!$A$2:$F$301,3,FALSE())</f>
        <v/>
      </c>
      <c r="Q1057" s="55">
        <f>UPPER(TRIM(K1057))</f>
        <v/>
      </c>
      <c r="R1057" s="55">
        <f>(G1057-O1057)/G1057</f>
        <v/>
      </c>
      <c r="S1057" s="55">
        <f>VLOOKUP(D1057,Products!$A$2:$F$61,6,FALSE())</f>
        <v/>
      </c>
    </row>
    <row r="1058" ht="15" customHeight="1" s="56">
      <c r="A1058" s="55">
        <f>Orders!A1058</f>
        <v/>
      </c>
      <c r="B1058" s="103">
        <f>Orders!B1058</f>
        <v/>
      </c>
      <c r="C1058" s="55">
        <f>Orders!C1058</f>
        <v/>
      </c>
      <c r="D1058" s="55">
        <f>Orders!D1058</f>
        <v/>
      </c>
      <c r="E1058" s="55">
        <f>Orders!E1058</f>
        <v/>
      </c>
      <c r="F1058" s="55">
        <f>Orders!F1058</f>
        <v/>
      </c>
      <c r="G1058" s="55">
        <f>Orders!G1058</f>
        <v/>
      </c>
      <c r="H1058" s="55">
        <f>Orders!H1058</f>
        <v/>
      </c>
      <c r="I1058" s="55">
        <f>Orders!I1058</f>
        <v/>
      </c>
      <c r="J1058" s="55">
        <f>Orders!J1058</f>
        <v/>
      </c>
      <c r="K1058" s="55">
        <f>Orders!K1058</f>
        <v/>
      </c>
      <c r="L1058" s="55">
        <f>VLOOKUP(D1058,Products!$A$2:$F$61,3,FALSE())</f>
        <v/>
      </c>
      <c r="M1058" s="55">
        <f>VLOOKUP(C1058,Customers!$A$2:$F$301,5,FALSE())</f>
        <v/>
      </c>
      <c r="N1058" s="55">
        <f>VLOOKUP(E1058,Sales_Reps!$A$2:$E$31,3,FALSE())</f>
        <v/>
      </c>
      <c r="O1058" s="55">
        <f>VLOOKUP(D1058,Products!$A$2:$F$61,4,FALSE())</f>
        <v/>
      </c>
      <c r="P1058" s="55">
        <f>VLOOKUP(C1058,Customers!$A$2:$F$301,3,FALSE())</f>
        <v/>
      </c>
      <c r="Q1058" s="55">
        <f>UPPER(TRIM(K1058))</f>
        <v/>
      </c>
      <c r="R1058" s="55">
        <f>(G1058-O1058)/G1058</f>
        <v/>
      </c>
      <c r="S1058" s="55">
        <f>VLOOKUP(D1058,Products!$A$2:$F$61,6,FALSE())</f>
        <v/>
      </c>
    </row>
    <row r="1059" ht="15" customHeight="1" s="56">
      <c r="A1059" s="55">
        <f>Orders!A1059</f>
        <v/>
      </c>
      <c r="B1059" s="103">
        <f>Orders!B1059</f>
        <v/>
      </c>
      <c r="C1059" s="55">
        <f>Orders!C1059</f>
        <v/>
      </c>
      <c r="D1059" s="55">
        <f>Orders!D1059</f>
        <v/>
      </c>
      <c r="E1059" s="55">
        <f>Orders!E1059</f>
        <v/>
      </c>
      <c r="F1059" s="55">
        <f>Orders!F1059</f>
        <v/>
      </c>
      <c r="G1059" s="55">
        <f>Orders!G1059</f>
        <v/>
      </c>
      <c r="H1059" s="55">
        <f>Orders!H1059</f>
        <v/>
      </c>
      <c r="I1059" s="55">
        <f>Orders!I1059</f>
        <v/>
      </c>
      <c r="J1059" s="55">
        <f>Orders!J1059</f>
        <v/>
      </c>
      <c r="K1059" s="55">
        <f>Orders!K1059</f>
        <v/>
      </c>
      <c r="L1059" s="55">
        <f>VLOOKUP(D1059,Products!$A$2:$F$61,3,FALSE())</f>
        <v/>
      </c>
      <c r="M1059" s="55">
        <f>VLOOKUP(C1059,Customers!$A$2:$F$301,5,FALSE())</f>
        <v/>
      </c>
      <c r="N1059" s="55">
        <f>VLOOKUP(E1059,Sales_Reps!$A$2:$E$31,3,FALSE())</f>
        <v/>
      </c>
      <c r="O1059" s="55">
        <f>VLOOKUP(D1059,Products!$A$2:$F$61,4,FALSE())</f>
        <v/>
      </c>
      <c r="P1059" s="55">
        <f>VLOOKUP(C1059,Customers!$A$2:$F$301,3,FALSE())</f>
        <v/>
      </c>
      <c r="Q1059" s="55">
        <f>UPPER(TRIM(K1059))</f>
        <v/>
      </c>
      <c r="R1059" s="55">
        <f>(G1059-O1059)/G1059</f>
        <v/>
      </c>
      <c r="S1059" s="55">
        <f>VLOOKUP(D1059,Products!$A$2:$F$61,6,FALSE())</f>
        <v/>
      </c>
    </row>
    <row r="1060" ht="15" customHeight="1" s="56">
      <c r="A1060" s="55">
        <f>Orders!A1060</f>
        <v/>
      </c>
      <c r="B1060" s="103">
        <f>Orders!B1060</f>
        <v/>
      </c>
      <c r="C1060" s="55">
        <f>Orders!C1060</f>
        <v/>
      </c>
      <c r="D1060" s="55">
        <f>Orders!D1060</f>
        <v/>
      </c>
      <c r="E1060" s="55">
        <f>Orders!E1060</f>
        <v/>
      </c>
      <c r="F1060" s="55">
        <f>Orders!F1060</f>
        <v/>
      </c>
      <c r="G1060" s="55">
        <f>Orders!G1060</f>
        <v/>
      </c>
      <c r="H1060" s="55">
        <f>Orders!H1060</f>
        <v/>
      </c>
      <c r="I1060" s="55">
        <f>Orders!I1060</f>
        <v/>
      </c>
      <c r="J1060" s="55">
        <f>Orders!J1060</f>
        <v/>
      </c>
      <c r="K1060" s="55">
        <f>Orders!K1060</f>
        <v/>
      </c>
      <c r="L1060" s="55">
        <f>VLOOKUP(D1060,Products!$A$2:$F$61,3,FALSE())</f>
        <v/>
      </c>
      <c r="M1060" s="55">
        <f>VLOOKUP(C1060,Customers!$A$2:$F$301,5,FALSE())</f>
        <v/>
      </c>
      <c r="N1060" s="55">
        <f>VLOOKUP(E1060,Sales_Reps!$A$2:$E$31,3,FALSE())</f>
        <v/>
      </c>
      <c r="O1060" s="55">
        <f>VLOOKUP(D1060,Products!$A$2:$F$61,4,FALSE())</f>
        <v/>
      </c>
      <c r="P1060" s="55">
        <f>VLOOKUP(C1060,Customers!$A$2:$F$301,3,FALSE())</f>
        <v/>
      </c>
      <c r="Q1060" s="55">
        <f>UPPER(TRIM(K1060))</f>
        <v/>
      </c>
      <c r="R1060" s="55">
        <f>(G1060-O1060)/G1060</f>
        <v/>
      </c>
      <c r="S1060" s="55">
        <f>VLOOKUP(D1060,Products!$A$2:$F$61,6,FALSE())</f>
        <v/>
      </c>
    </row>
    <row r="1061" ht="15" customHeight="1" s="56">
      <c r="A1061" s="55">
        <f>Orders!A1061</f>
        <v/>
      </c>
      <c r="B1061" s="103">
        <f>Orders!B1061</f>
        <v/>
      </c>
      <c r="C1061" s="55">
        <f>Orders!C1061</f>
        <v/>
      </c>
      <c r="D1061" s="55">
        <f>Orders!D1061</f>
        <v/>
      </c>
      <c r="E1061" s="55">
        <f>Orders!E1061</f>
        <v/>
      </c>
      <c r="F1061" s="55">
        <f>Orders!F1061</f>
        <v/>
      </c>
      <c r="G1061" s="55">
        <f>Orders!G1061</f>
        <v/>
      </c>
      <c r="H1061" s="55">
        <f>Orders!H1061</f>
        <v/>
      </c>
      <c r="I1061" s="55">
        <f>Orders!I1061</f>
        <v/>
      </c>
      <c r="J1061" s="55">
        <f>Orders!J1061</f>
        <v/>
      </c>
      <c r="K1061" s="55">
        <f>Orders!K1061</f>
        <v/>
      </c>
      <c r="L1061" s="55">
        <f>VLOOKUP(D1061,Products!$A$2:$F$61,3,FALSE())</f>
        <v/>
      </c>
      <c r="M1061" s="55">
        <f>VLOOKUP(C1061,Customers!$A$2:$F$301,5,FALSE())</f>
        <v/>
      </c>
      <c r="N1061" s="55">
        <f>VLOOKUP(E1061,Sales_Reps!$A$2:$E$31,3,FALSE())</f>
        <v/>
      </c>
      <c r="O1061" s="55">
        <f>VLOOKUP(D1061,Products!$A$2:$F$61,4,FALSE())</f>
        <v/>
      </c>
      <c r="P1061" s="55">
        <f>VLOOKUP(C1061,Customers!$A$2:$F$301,3,FALSE())</f>
        <v/>
      </c>
      <c r="Q1061" s="55">
        <f>UPPER(TRIM(K1061))</f>
        <v/>
      </c>
      <c r="R1061" s="55">
        <f>(G1061-O1061)/G1061</f>
        <v/>
      </c>
      <c r="S1061" s="55">
        <f>VLOOKUP(D1061,Products!$A$2:$F$61,6,FALSE())</f>
        <v/>
      </c>
    </row>
    <row r="1062" ht="15" customHeight="1" s="56">
      <c r="A1062" s="55">
        <f>Orders!A1062</f>
        <v/>
      </c>
      <c r="B1062" s="103">
        <f>Orders!B1062</f>
        <v/>
      </c>
      <c r="C1062" s="55">
        <f>Orders!C1062</f>
        <v/>
      </c>
      <c r="D1062" s="55">
        <f>Orders!D1062</f>
        <v/>
      </c>
      <c r="E1062" s="55">
        <f>Orders!E1062</f>
        <v/>
      </c>
      <c r="F1062" s="55">
        <f>Orders!F1062</f>
        <v/>
      </c>
      <c r="G1062" s="55">
        <f>Orders!G1062</f>
        <v/>
      </c>
      <c r="H1062" s="55">
        <f>Orders!H1062</f>
        <v/>
      </c>
      <c r="I1062" s="55">
        <f>Orders!I1062</f>
        <v/>
      </c>
      <c r="J1062" s="55">
        <f>Orders!J1062</f>
        <v/>
      </c>
      <c r="K1062" s="55">
        <f>Orders!K1062</f>
        <v/>
      </c>
      <c r="L1062" s="55">
        <f>VLOOKUP(D1062,Products!$A$2:$F$61,3,FALSE())</f>
        <v/>
      </c>
      <c r="M1062" s="55">
        <f>VLOOKUP(C1062,Customers!$A$2:$F$301,5,FALSE())</f>
        <v/>
      </c>
      <c r="N1062" s="55">
        <f>VLOOKUP(E1062,Sales_Reps!$A$2:$E$31,3,FALSE())</f>
        <v/>
      </c>
      <c r="O1062" s="55">
        <f>VLOOKUP(D1062,Products!$A$2:$F$61,4,FALSE())</f>
        <v/>
      </c>
      <c r="P1062" s="55">
        <f>VLOOKUP(C1062,Customers!$A$2:$F$301,3,FALSE())</f>
        <v/>
      </c>
      <c r="Q1062" s="55">
        <f>UPPER(TRIM(K1062))</f>
        <v/>
      </c>
      <c r="R1062" s="55">
        <f>(G1062-O1062)/G1062</f>
        <v/>
      </c>
      <c r="S1062" s="55">
        <f>VLOOKUP(D1062,Products!$A$2:$F$61,6,FALSE())</f>
        <v/>
      </c>
    </row>
    <row r="1063" ht="15" customHeight="1" s="56">
      <c r="A1063" s="55">
        <f>Orders!A1063</f>
        <v/>
      </c>
      <c r="B1063" s="103">
        <f>Orders!B1063</f>
        <v/>
      </c>
      <c r="C1063" s="55">
        <f>Orders!C1063</f>
        <v/>
      </c>
      <c r="D1063" s="55">
        <f>Orders!D1063</f>
        <v/>
      </c>
      <c r="E1063" s="55">
        <f>Orders!E1063</f>
        <v/>
      </c>
      <c r="F1063" s="55">
        <f>Orders!F1063</f>
        <v/>
      </c>
      <c r="G1063" s="55">
        <f>Orders!G1063</f>
        <v/>
      </c>
      <c r="H1063" s="55">
        <f>Orders!H1063</f>
        <v/>
      </c>
      <c r="I1063" s="55">
        <f>Orders!I1063</f>
        <v/>
      </c>
      <c r="J1063" s="55">
        <f>Orders!J1063</f>
        <v/>
      </c>
      <c r="K1063" s="55">
        <f>Orders!K1063</f>
        <v/>
      </c>
      <c r="L1063" s="55">
        <f>VLOOKUP(D1063,Products!$A$2:$F$61,3,FALSE())</f>
        <v/>
      </c>
      <c r="M1063" s="55">
        <f>VLOOKUP(C1063,Customers!$A$2:$F$301,5,FALSE())</f>
        <v/>
      </c>
      <c r="N1063" s="55">
        <f>VLOOKUP(E1063,Sales_Reps!$A$2:$E$31,3,FALSE())</f>
        <v/>
      </c>
      <c r="O1063" s="55">
        <f>VLOOKUP(D1063,Products!$A$2:$F$61,4,FALSE())</f>
        <v/>
      </c>
      <c r="P1063" s="55">
        <f>VLOOKUP(C1063,Customers!$A$2:$F$301,3,FALSE())</f>
        <v/>
      </c>
      <c r="Q1063" s="55">
        <f>UPPER(TRIM(K1063))</f>
        <v/>
      </c>
      <c r="R1063" s="55">
        <f>(G1063-O1063)/G1063</f>
        <v/>
      </c>
      <c r="S1063" s="55">
        <f>VLOOKUP(D1063,Products!$A$2:$F$61,6,FALSE())</f>
        <v/>
      </c>
    </row>
    <row r="1064" ht="15" customHeight="1" s="56">
      <c r="A1064" s="55">
        <f>Orders!A1064</f>
        <v/>
      </c>
      <c r="B1064" s="103">
        <f>Orders!B1064</f>
        <v/>
      </c>
      <c r="C1064" s="55">
        <f>Orders!C1064</f>
        <v/>
      </c>
      <c r="D1064" s="55">
        <f>Orders!D1064</f>
        <v/>
      </c>
      <c r="E1064" s="55">
        <f>Orders!E1064</f>
        <v/>
      </c>
      <c r="F1064" s="55">
        <f>Orders!F1064</f>
        <v/>
      </c>
      <c r="G1064" s="55">
        <f>Orders!G1064</f>
        <v/>
      </c>
      <c r="H1064" s="55">
        <f>Orders!H1064</f>
        <v/>
      </c>
      <c r="I1064" s="55">
        <f>Orders!I1064</f>
        <v/>
      </c>
      <c r="J1064" s="55">
        <f>Orders!J1064</f>
        <v/>
      </c>
      <c r="K1064" s="55">
        <f>Orders!K1064</f>
        <v/>
      </c>
      <c r="L1064" s="55">
        <f>VLOOKUP(D1064,Products!$A$2:$F$61,3,FALSE())</f>
        <v/>
      </c>
      <c r="M1064" s="55">
        <f>VLOOKUP(C1064,Customers!$A$2:$F$301,5,FALSE())</f>
        <v/>
      </c>
      <c r="N1064" s="55">
        <f>VLOOKUP(E1064,Sales_Reps!$A$2:$E$31,3,FALSE())</f>
        <v/>
      </c>
      <c r="O1064" s="55">
        <f>VLOOKUP(D1064,Products!$A$2:$F$61,4,FALSE())</f>
        <v/>
      </c>
      <c r="P1064" s="55">
        <f>VLOOKUP(C1064,Customers!$A$2:$F$301,3,FALSE())</f>
        <v/>
      </c>
      <c r="Q1064" s="55">
        <f>UPPER(TRIM(K1064))</f>
        <v/>
      </c>
      <c r="R1064" s="55">
        <f>(G1064-O1064)/G1064</f>
        <v/>
      </c>
      <c r="S1064" s="55">
        <f>VLOOKUP(D1064,Products!$A$2:$F$61,6,FALSE())</f>
        <v/>
      </c>
    </row>
    <row r="1065" ht="15" customHeight="1" s="56">
      <c r="A1065" s="55">
        <f>Orders!A1065</f>
        <v/>
      </c>
      <c r="B1065" s="103">
        <f>Orders!B1065</f>
        <v/>
      </c>
      <c r="C1065" s="55">
        <f>Orders!C1065</f>
        <v/>
      </c>
      <c r="D1065" s="55">
        <f>Orders!D1065</f>
        <v/>
      </c>
      <c r="E1065" s="55">
        <f>Orders!E1065</f>
        <v/>
      </c>
      <c r="F1065" s="55">
        <f>Orders!F1065</f>
        <v/>
      </c>
      <c r="G1065" s="55">
        <f>Orders!G1065</f>
        <v/>
      </c>
      <c r="H1065" s="55">
        <f>Orders!H1065</f>
        <v/>
      </c>
      <c r="I1065" s="55">
        <f>Orders!I1065</f>
        <v/>
      </c>
      <c r="J1065" s="55">
        <f>Orders!J1065</f>
        <v/>
      </c>
      <c r="K1065" s="55">
        <f>Orders!K1065</f>
        <v/>
      </c>
      <c r="L1065" s="55">
        <f>VLOOKUP(D1065,Products!$A$2:$F$61,3,FALSE())</f>
        <v/>
      </c>
      <c r="M1065" s="55">
        <f>VLOOKUP(C1065,Customers!$A$2:$F$301,5,FALSE())</f>
        <v/>
      </c>
      <c r="N1065" s="55">
        <f>VLOOKUP(E1065,Sales_Reps!$A$2:$E$31,3,FALSE())</f>
        <v/>
      </c>
      <c r="O1065" s="55">
        <f>VLOOKUP(D1065,Products!$A$2:$F$61,4,FALSE())</f>
        <v/>
      </c>
      <c r="P1065" s="55">
        <f>VLOOKUP(C1065,Customers!$A$2:$F$301,3,FALSE())</f>
        <v/>
      </c>
      <c r="Q1065" s="55">
        <f>UPPER(TRIM(K1065))</f>
        <v/>
      </c>
      <c r="R1065" s="55">
        <f>(G1065-O1065)/G1065</f>
        <v/>
      </c>
      <c r="S1065" s="55">
        <f>VLOOKUP(D1065,Products!$A$2:$F$61,6,FALSE())</f>
        <v/>
      </c>
    </row>
    <row r="1066" ht="15" customHeight="1" s="56">
      <c r="A1066" s="55">
        <f>Orders!A1066</f>
        <v/>
      </c>
      <c r="B1066" s="103">
        <f>Orders!B1066</f>
        <v/>
      </c>
      <c r="C1066" s="55">
        <f>Orders!C1066</f>
        <v/>
      </c>
      <c r="D1066" s="55">
        <f>Orders!D1066</f>
        <v/>
      </c>
      <c r="E1066" s="55">
        <f>Orders!E1066</f>
        <v/>
      </c>
      <c r="F1066" s="55">
        <f>Orders!F1066</f>
        <v/>
      </c>
      <c r="G1066" s="55">
        <f>Orders!G1066</f>
        <v/>
      </c>
      <c r="H1066" s="55">
        <f>Orders!H1066</f>
        <v/>
      </c>
      <c r="I1066" s="55">
        <f>Orders!I1066</f>
        <v/>
      </c>
      <c r="J1066" s="55">
        <f>Orders!J1066</f>
        <v/>
      </c>
      <c r="K1066" s="55">
        <f>Orders!K1066</f>
        <v/>
      </c>
      <c r="L1066" s="55">
        <f>VLOOKUP(D1066,Products!$A$2:$F$61,3,FALSE())</f>
        <v/>
      </c>
      <c r="M1066" s="55">
        <f>VLOOKUP(C1066,Customers!$A$2:$F$301,5,FALSE())</f>
        <v/>
      </c>
      <c r="N1066" s="55">
        <f>VLOOKUP(E1066,Sales_Reps!$A$2:$E$31,3,FALSE())</f>
        <v/>
      </c>
      <c r="O1066" s="55">
        <f>VLOOKUP(D1066,Products!$A$2:$F$61,4,FALSE())</f>
        <v/>
      </c>
      <c r="P1066" s="55">
        <f>VLOOKUP(C1066,Customers!$A$2:$F$301,3,FALSE())</f>
        <v/>
      </c>
      <c r="Q1066" s="55">
        <f>UPPER(TRIM(K1066))</f>
        <v/>
      </c>
      <c r="R1066" s="55">
        <f>(G1066-O1066)/G1066</f>
        <v/>
      </c>
      <c r="S1066" s="55">
        <f>VLOOKUP(D1066,Products!$A$2:$F$61,6,FALSE())</f>
        <v/>
      </c>
    </row>
    <row r="1067" ht="15" customHeight="1" s="56">
      <c r="A1067" s="55">
        <f>Orders!A1067</f>
        <v/>
      </c>
      <c r="B1067" s="103">
        <f>Orders!B1067</f>
        <v/>
      </c>
      <c r="C1067" s="55">
        <f>Orders!C1067</f>
        <v/>
      </c>
      <c r="D1067" s="55">
        <f>Orders!D1067</f>
        <v/>
      </c>
      <c r="E1067" s="55">
        <f>Orders!E1067</f>
        <v/>
      </c>
      <c r="F1067" s="55">
        <f>Orders!F1067</f>
        <v/>
      </c>
      <c r="G1067" s="55">
        <f>Orders!G1067</f>
        <v/>
      </c>
      <c r="H1067" s="55">
        <f>Orders!H1067</f>
        <v/>
      </c>
      <c r="I1067" s="55">
        <f>Orders!I1067</f>
        <v/>
      </c>
      <c r="J1067" s="55">
        <f>Orders!J1067</f>
        <v/>
      </c>
      <c r="K1067" s="55">
        <f>Orders!K1067</f>
        <v/>
      </c>
      <c r="L1067" s="55">
        <f>VLOOKUP(D1067,Products!$A$2:$F$61,3,FALSE())</f>
        <v/>
      </c>
      <c r="M1067" s="55">
        <f>VLOOKUP(C1067,Customers!$A$2:$F$301,5,FALSE())</f>
        <v/>
      </c>
      <c r="N1067" s="55">
        <f>VLOOKUP(E1067,Sales_Reps!$A$2:$E$31,3,FALSE())</f>
        <v/>
      </c>
      <c r="O1067" s="55">
        <f>VLOOKUP(D1067,Products!$A$2:$F$61,4,FALSE())</f>
        <v/>
      </c>
      <c r="P1067" s="55">
        <f>VLOOKUP(C1067,Customers!$A$2:$F$301,3,FALSE())</f>
        <v/>
      </c>
      <c r="Q1067" s="55">
        <f>UPPER(TRIM(K1067))</f>
        <v/>
      </c>
      <c r="R1067" s="55">
        <f>(G1067-O1067)/G1067</f>
        <v/>
      </c>
      <c r="S1067" s="55">
        <f>VLOOKUP(D1067,Products!$A$2:$F$61,6,FALSE())</f>
        <v/>
      </c>
    </row>
    <row r="1068" ht="15" customHeight="1" s="56">
      <c r="A1068" s="55">
        <f>Orders!A1068</f>
        <v/>
      </c>
      <c r="B1068" s="103">
        <f>Orders!B1068</f>
        <v/>
      </c>
      <c r="C1068" s="55">
        <f>Orders!C1068</f>
        <v/>
      </c>
      <c r="D1068" s="55">
        <f>Orders!D1068</f>
        <v/>
      </c>
      <c r="E1068" s="55">
        <f>Orders!E1068</f>
        <v/>
      </c>
      <c r="F1068" s="55">
        <f>Orders!F1068</f>
        <v/>
      </c>
      <c r="G1068" s="55">
        <f>Orders!G1068</f>
        <v/>
      </c>
      <c r="H1068" s="55">
        <f>Orders!H1068</f>
        <v/>
      </c>
      <c r="I1068" s="55">
        <f>Orders!I1068</f>
        <v/>
      </c>
      <c r="J1068" s="55">
        <f>Orders!J1068</f>
        <v/>
      </c>
      <c r="K1068" s="55">
        <f>Orders!K1068</f>
        <v/>
      </c>
      <c r="L1068" s="55">
        <f>VLOOKUP(D1068,Products!$A$2:$F$61,3,FALSE())</f>
        <v/>
      </c>
      <c r="M1068" s="55">
        <f>VLOOKUP(C1068,Customers!$A$2:$F$301,5,FALSE())</f>
        <v/>
      </c>
      <c r="N1068" s="55">
        <f>VLOOKUP(E1068,Sales_Reps!$A$2:$E$31,3,FALSE())</f>
        <v/>
      </c>
      <c r="O1068" s="55">
        <f>VLOOKUP(D1068,Products!$A$2:$F$61,4,FALSE())</f>
        <v/>
      </c>
      <c r="P1068" s="55">
        <f>VLOOKUP(C1068,Customers!$A$2:$F$301,3,FALSE())</f>
        <v/>
      </c>
      <c r="Q1068" s="55">
        <f>UPPER(TRIM(K1068))</f>
        <v/>
      </c>
      <c r="R1068" s="55">
        <f>(G1068-O1068)/G1068</f>
        <v/>
      </c>
      <c r="S1068" s="55">
        <f>VLOOKUP(D1068,Products!$A$2:$F$61,6,FALSE())</f>
        <v/>
      </c>
    </row>
    <row r="1069" ht="15" customHeight="1" s="56">
      <c r="A1069" s="55">
        <f>Orders!A1069</f>
        <v/>
      </c>
      <c r="B1069" s="103">
        <f>Orders!B1069</f>
        <v/>
      </c>
      <c r="C1069" s="55">
        <f>Orders!C1069</f>
        <v/>
      </c>
      <c r="D1069" s="55">
        <f>Orders!D1069</f>
        <v/>
      </c>
      <c r="E1069" s="55">
        <f>Orders!E1069</f>
        <v/>
      </c>
      <c r="F1069" s="55">
        <f>Orders!F1069</f>
        <v/>
      </c>
      <c r="G1069" s="55">
        <f>Orders!G1069</f>
        <v/>
      </c>
      <c r="H1069" s="55">
        <f>Orders!H1069</f>
        <v/>
      </c>
      <c r="I1069" s="55">
        <f>Orders!I1069</f>
        <v/>
      </c>
      <c r="J1069" s="55">
        <f>Orders!J1069</f>
        <v/>
      </c>
      <c r="K1069" s="55">
        <f>Orders!K1069</f>
        <v/>
      </c>
      <c r="L1069" s="55">
        <f>VLOOKUP(D1069,Products!$A$2:$F$61,3,FALSE())</f>
        <v/>
      </c>
      <c r="M1069" s="55">
        <f>VLOOKUP(C1069,Customers!$A$2:$F$301,5,FALSE())</f>
        <v/>
      </c>
      <c r="N1069" s="55">
        <f>VLOOKUP(E1069,Sales_Reps!$A$2:$E$31,3,FALSE())</f>
        <v/>
      </c>
      <c r="O1069" s="55">
        <f>VLOOKUP(D1069,Products!$A$2:$F$61,4,FALSE())</f>
        <v/>
      </c>
      <c r="P1069" s="55">
        <f>VLOOKUP(C1069,Customers!$A$2:$F$301,3,FALSE())</f>
        <v/>
      </c>
      <c r="Q1069" s="55">
        <f>UPPER(TRIM(K1069))</f>
        <v/>
      </c>
      <c r="R1069" s="55">
        <f>(G1069-O1069)/G1069</f>
        <v/>
      </c>
      <c r="S1069" s="55">
        <f>VLOOKUP(D1069,Products!$A$2:$F$61,6,FALSE())</f>
        <v/>
      </c>
    </row>
    <row r="1070" ht="15" customHeight="1" s="56">
      <c r="A1070" s="55">
        <f>Orders!A1070</f>
        <v/>
      </c>
      <c r="B1070" s="103">
        <f>Orders!B1070</f>
        <v/>
      </c>
      <c r="C1070" s="55">
        <f>Orders!C1070</f>
        <v/>
      </c>
      <c r="D1070" s="55">
        <f>Orders!D1070</f>
        <v/>
      </c>
      <c r="E1070" s="55">
        <f>Orders!E1070</f>
        <v/>
      </c>
      <c r="F1070" s="55">
        <f>Orders!F1070</f>
        <v/>
      </c>
      <c r="G1070" s="55">
        <f>Orders!G1070</f>
        <v/>
      </c>
      <c r="H1070" s="55">
        <f>Orders!H1070</f>
        <v/>
      </c>
      <c r="I1070" s="55">
        <f>Orders!I1070</f>
        <v/>
      </c>
      <c r="J1070" s="55">
        <f>Orders!J1070</f>
        <v/>
      </c>
      <c r="K1070" s="55">
        <f>Orders!K1070</f>
        <v/>
      </c>
      <c r="L1070" s="55">
        <f>VLOOKUP(D1070,Products!$A$2:$F$61,3,FALSE())</f>
        <v/>
      </c>
      <c r="M1070" s="55">
        <f>VLOOKUP(C1070,Customers!$A$2:$F$301,5,FALSE())</f>
        <v/>
      </c>
      <c r="N1070" s="55">
        <f>VLOOKUP(E1070,Sales_Reps!$A$2:$E$31,3,FALSE())</f>
        <v/>
      </c>
      <c r="O1070" s="55">
        <f>VLOOKUP(D1070,Products!$A$2:$F$61,4,FALSE())</f>
        <v/>
      </c>
      <c r="P1070" s="55">
        <f>VLOOKUP(C1070,Customers!$A$2:$F$301,3,FALSE())</f>
        <v/>
      </c>
      <c r="Q1070" s="55">
        <f>UPPER(TRIM(K1070))</f>
        <v/>
      </c>
      <c r="R1070" s="55">
        <f>(G1070-O1070)/G1070</f>
        <v/>
      </c>
      <c r="S1070" s="55">
        <f>VLOOKUP(D1070,Products!$A$2:$F$61,6,FALSE())</f>
        <v/>
      </c>
    </row>
    <row r="1071" ht="15" customHeight="1" s="56">
      <c r="A1071" s="55">
        <f>Orders!A1071</f>
        <v/>
      </c>
      <c r="B1071" s="103">
        <f>Orders!B1071</f>
        <v/>
      </c>
      <c r="C1071" s="55">
        <f>Orders!C1071</f>
        <v/>
      </c>
      <c r="D1071" s="55">
        <f>Orders!D1071</f>
        <v/>
      </c>
      <c r="E1071" s="55">
        <f>Orders!E1071</f>
        <v/>
      </c>
      <c r="F1071" s="55">
        <f>Orders!F1071</f>
        <v/>
      </c>
      <c r="G1071" s="55">
        <f>Orders!G1071</f>
        <v/>
      </c>
      <c r="H1071" s="55">
        <f>Orders!H1071</f>
        <v/>
      </c>
      <c r="I1071" s="55">
        <f>Orders!I1071</f>
        <v/>
      </c>
      <c r="J1071" s="55">
        <f>Orders!J1071</f>
        <v/>
      </c>
      <c r="K1071" s="55">
        <f>Orders!K1071</f>
        <v/>
      </c>
      <c r="L1071" s="55">
        <f>VLOOKUP(D1071,Products!$A$2:$F$61,3,FALSE())</f>
        <v/>
      </c>
      <c r="M1071" s="55">
        <f>VLOOKUP(C1071,Customers!$A$2:$F$301,5,FALSE())</f>
        <v/>
      </c>
      <c r="N1071" s="55">
        <f>VLOOKUP(E1071,Sales_Reps!$A$2:$E$31,3,FALSE())</f>
        <v/>
      </c>
      <c r="O1071" s="55">
        <f>VLOOKUP(D1071,Products!$A$2:$F$61,4,FALSE())</f>
        <v/>
      </c>
      <c r="P1071" s="55">
        <f>VLOOKUP(C1071,Customers!$A$2:$F$301,3,FALSE())</f>
        <v/>
      </c>
      <c r="Q1071" s="55">
        <f>UPPER(TRIM(K1071))</f>
        <v/>
      </c>
      <c r="R1071" s="55">
        <f>(G1071-O1071)/G1071</f>
        <v/>
      </c>
      <c r="S1071" s="55">
        <f>VLOOKUP(D1071,Products!$A$2:$F$61,6,FALSE())</f>
        <v/>
      </c>
    </row>
    <row r="1072" ht="15" customHeight="1" s="56">
      <c r="A1072" s="55">
        <f>Orders!A1072</f>
        <v/>
      </c>
      <c r="B1072" s="103">
        <f>Orders!B1072</f>
        <v/>
      </c>
      <c r="C1072" s="55">
        <f>Orders!C1072</f>
        <v/>
      </c>
      <c r="D1072" s="55">
        <f>Orders!D1072</f>
        <v/>
      </c>
      <c r="E1072" s="55">
        <f>Orders!E1072</f>
        <v/>
      </c>
      <c r="F1072" s="55">
        <f>Orders!F1072</f>
        <v/>
      </c>
      <c r="G1072" s="55">
        <f>Orders!G1072</f>
        <v/>
      </c>
      <c r="H1072" s="55">
        <f>Orders!H1072</f>
        <v/>
      </c>
      <c r="I1072" s="55">
        <f>Orders!I1072</f>
        <v/>
      </c>
      <c r="J1072" s="55">
        <f>Orders!J1072</f>
        <v/>
      </c>
      <c r="K1072" s="55">
        <f>Orders!K1072</f>
        <v/>
      </c>
      <c r="L1072" s="55">
        <f>VLOOKUP(D1072,Products!$A$2:$F$61,3,FALSE())</f>
        <v/>
      </c>
      <c r="M1072" s="55">
        <f>VLOOKUP(C1072,Customers!$A$2:$F$301,5,FALSE())</f>
        <v/>
      </c>
      <c r="N1072" s="55">
        <f>VLOOKUP(E1072,Sales_Reps!$A$2:$E$31,3,FALSE())</f>
        <v/>
      </c>
      <c r="O1072" s="55">
        <f>VLOOKUP(D1072,Products!$A$2:$F$61,4,FALSE())</f>
        <v/>
      </c>
      <c r="P1072" s="55">
        <f>VLOOKUP(C1072,Customers!$A$2:$F$301,3,FALSE())</f>
        <v/>
      </c>
      <c r="Q1072" s="55">
        <f>UPPER(TRIM(K1072))</f>
        <v/>
      </c>
      <c r="R1072" s="55">
        <f>(G1072-O1072)/G1072</f>
        <v/>
      </c>
      <c r="S1072" s="55">
        <f>VLOOKUP(D1072,Products!$A$2:$F$61,6,FALSE())</f>
        <v/>
      </c>
    </row>
    <row r="1073" ht="15" customHeight="1" s="56">
      <c r="A1073" s="55">
        <f>Orders!A1073</f>
        <v/>
      </c>
      <c r="B1073" s="103">
        <f>Orders!B1073</f>
        <v/>
      </c>
      <c r="C1073" s="55">
        <f>Orders!C1073</f>
        <v/>
      </c>
      <c r="D1073" s="55">
        <f>Orders!D1073</f>
        <v/>
      </c>
      <c r="E1073" s="55">
        <f>Orders!E1073</f>
        <v/>
      </c>
      <c r="F1073" s="55">
        <f>Orders!F1073</f>
        <v/>
      </c>
      <c r="G1073" s="55">
        <f>Orders!G1073</f>
        <v/>
      </c>
      <c r="H1073" s="55">
        <f>Orders!H1073</f>
        <v/>
      </c>
      <c r="I1073" s="55">
        <f>Orders!I1073</f>
        <v/>
      </c>
      <c r="J1073" s="55">
        <f>Orders!J1073</f>
        <v/>
      </c>
      <c r="K1073" s="55">
        <f>Orders!K1073</f>
        <v/>
      </c>
      <c r="L1073" s="55">
        <f>VLOOKUP(D1073,Products!$A$2:$F$61,3,FALSE())</f>
        <v/>
      </c>
      <c r="M1073" s="55">
        <f>VLOOKUP(C1073,Customers!$A$2:$F$301,5,FALSE())</f>
        <v/>
      </c>
      <c r="N1073" s="55">
        <f>VLOOKUP(E1073,Sales_Reps!$A$2:$E$31,3,FALSE())</f>
        <v/>
      </c>
      <c r="O1073" s="55">
        <f>VLOOKUP(D1073,Products!$A$2:$F$61,4,FALSE())</f>
        <v/>
      </c>
      <c r="P1073" s="55">
        <f>VLOOKUP(C1073,Customers!$A$2:$F$301,3,FALSE())</f>
        <v/>
      </c>
      <c r="Q1073" s="55">
        <f>UPPER(TRIM(K1073))</f>
        <v/>
      </c>
      <c r="R1073" s="55">
        <f>(G1073-O1073)/G1073</f>
        <v/>
      </c>
      <c r="S1073" s="55">
        <f>VLOOKUP(D1073,Products!$A$2:$F$61,6,FALSE())</f>
        <v/>
      </c>
    </row>
    <row r="1074" ht="15" customHeight="1" s="56">
      <c r="A1074" s="55">
        <f>Orders!A1074</f>
        <v/>
      </c>
      <c r="B1074" s="103">
        <f>Orders!B1074</f>
        <v/>
      </c>
      <c r="C1074" s="55">
        <f>Orders!C1074</f>
        <v/>
      </c>
      <c r="D1074" s="55">
        <f>Orders!D1074</f>
        <v/>
      </c>
      <c r="E1074" s="55">
        <f>Orders!E1074</f>
        <v/>
      </c>
      <c r="F1074" s="55">
        <f>Orders!F1074</f>
        <v/>
      </c>
      <c r="G1074" s="55">
        <f>Orders!G1074</f>
        <v/>
      </c>
      <c r="H1074" s="55">
        <f>Orders!H1074</f>
        <v/>
      </c>
      <c r="I1074" s="55">
        <f>Orders!I1074</f>
        <v/>
      </c>
      <c r="J1074" s="55">
        <f>Orders!J1074</f>
        <v/>
      </c>
      <c r="K1074" s="55">
        <f>Orders!K1074</f>
        <v/>
      </c>
      <c r="L1074" s="55">
        <f>VLOOKUP(D1074,Products!$A$2:$F$61,3,FALSE())</f>
        <v/>
      </c>
      <c r="M1074" s="55">
        <f>VLOOKUP(C1074,Customers!$A$2:$F$301,5,FALSE())</f>
        <v/>
      </c>
      <c r="N1074" s="55">
        <f>VLOOKUP(E1074,Sales_Reps!$A$2:$E$31,3,FALSE())</f>
        <v/>
      </c>
      <c r="O1074" s="55">
        <f>VLOOKUP(D1074,Products!$A$2:$F$61,4,FALSE())</f>
        <v/>
      </c>
      <c r="P1074" s="55">
        <f>VLOOKUP(C1074,Customers!$A$2:$F$301,3,FALSE())</f>
        <v/>
      </c>
      <c r="Q1074" s="55">
        <f>UPPER(TRIM(K1074))</f>
        <v/>
      </c>
      <c r="R1074" s="55">
        <f>(G1074-O1074)/G1074</f>
        <v/>
      </c>
      <c r="S1074" s="55">
        <f>VLOOKUP(D1074,Products!$A$2:$F$61,6,FALSE())</f>
        <v/>
      </c>
    </row>
    <row r="1075" ht="15" customHeight="1" s="56">
      <c r="A1075" s="55">
        <f>Orders!A1075</f>
        <v/>
      </c>
      <c r="B1075" s="103">
        <f>Orders!B1075</f>
        <v/>
      </c>
      <c r="C1075" s="55">
        <f>Orders!C1075</f>
        <v/>
      </c>
      <c r="D1075" s="55">
        <f>Orders!D1075</f>
        <v/>
      </c>
      <c r="E1075" s="55">
        <f>Orders!E1075</f>
        <v/>
      </c>
      <c r="F1075" s="55">
        <f>Orders!F1075</f>
        <v/>
      </c>
      <c r="G1075" s="55">
        <f>Orders!G1075</f>
        <v/>
      </c>
      <c r="H1075" s="55">
        <f>Orders!H1075</f>
        <v/>
      </c>
      <c r="I1075" s="55">
        <f>Orders!I1075</f>
        <v/>
      </c>
      <c r="J1075" s="55">
        <f>Orders!J1075</f>
        <v/>
      </c>
      <c r="K1075" s="55">
        <f>Orders!K1075</f>
        <v/>
      </c>
      <c r="L1075" s="55">
        <f>VLOOKUP(D1075,Products!$A$2:$F$61,3,FALSE())</f>
        <v/>
      </c>
      <c r="M1075" s="55">
        <f>VLOOKUP(C1075,Customers!$A$2:$F$301,5,FALSE())</f>
        <v/>
      </c>
      <c r="N1075" s="55">
        <f>VLOOKUP(E1075,Sales_Reps!$A$2:$E$31,3,FALSE())</f>
        <v/>
      </c>
      <c r="O1075" s="55">
        <f>VLOOKUP(D1075,Products!$A$2:$F$61,4,FALSE())</f>
        <v/>
      </c>
      <c r="P1075" s="55">
        <f>VLOOKUP(C1075,Customers!$A$2:$F$301,3,FALSE())</f>
        <v/>
      </c>
      <c r="Q1075" s="55">
        <f>UPPER(TRIM(K1075))</f>
        <v/>
      </c>
      <c r="R1075" s="55">
        <f>(G1075-O1075)/G1075</f>
        <v/>
      </c>
      <c r="S1075" s="55">
        <f>VLOOKUP(D1075,Products!$A$2:$F$61,6,FALSE())</f>
        <v/>
      </c>
    </row>
    <row r="1076" ht="15" customHeight="1" s="56">
      <c r="A1076" s="55">
        <f>Orders!A1076</f>
        <v/>
      </c>
      <c r="B1076" s="103">
        <f>Orders!B1076</f>
        <v/>
      </c>
      <c r="C1076" s="55">
        <f>Orders!C1076</f>
        <v/>
      </c>
      <c r="D1076" s="55">
        <f>Orders!D1076</f>
        <v/>
      </c>
      <c r="E1076" s="55">
        <f>Orders!E1076</f>
        <v/>
      </c>
      <c r="F1076" s="55">
        <f>Orders!F1076</f>
        <v/>
      </c>
      <c r="G1076" s="55">
        <f>Orders!G1076</f>
        <v/>
      </c>
      <c r="H1076" s="55">
        <f>Orders!H1076</f>
        <v/>
      </c>
      <c r="I1076" s="55">
        <f>Orders!I1076</f>
        <v/>
      </c>
      <c r="J1076" s="55">
        <f>Orders!J1076</f>
        <v/>
      </c>
      <c r="K1076" s="55">
        <f>Orders!K1076</f>
        <v/>
      </c>
      <c r="L1076" s="55">
        <f>VLOOKUP(D1076,Products!$A$2:$F$61,3,FALSE())</f>
        <v/>
      </c>
      <c r="M1076" s="55">
        <f>VLOOKUP(C1076,Customers!$A$2:$F$301,5,FALSE())</f>
        <v/>
      </c>
      <c r="N1076" s="55">
        <f>VLOOKUP(E1076,Sales_Reps!$A$2:$E$31,3,FALSE())</f>
        <v/>
      </c>
      <c r="O1076" s="55">
        <f>VLOOKUP(D1076,Products!$A$2:$F$61,4,FALSE())</f>
        <v/>
      </c>
      <c r="P1076" s="55">
        <f>VLOOKUP(C1076,Customers!$A$2:$F$301,3,FALSE())</f>
        <v/>
      </c>
      <c r="Q1076" s="55">
        <f>UPPER(TRIM(K1076))</f>
        <v/>
      </c>
      <c r="R1076" s="55">
        <f>(G1076-O1076)/G1076</f>
        <v/>
      </c>
      <c r="S1076" s="55">
        <f>VLOOKUP(D1076,Products!$A$2:$F$61,6,FALSE())</f>
        <v/>
      </c>
    </row>
    <row r="1077" ht="15" customHeight="1" s="56">
      <c r="A1077" s="55">
        <f>Orders!A1077</f>
        <v/>
      </c>
      <c r="B1077" s="103">
        <f>Orders!B1077</f>
        <v/>
      </c>
      <c r="C1077" s="55">
        <f>Orders!C1077</f>
        <v/>
      </c>
      <c r="D1077" s="55">
        <f>Orders!D1077</f>
        <v/>
      </c>
      <c r="E1077" s="55">
        <f>Orders!E1077</f>
        <v/>
      </c>
      <c r="F1077" s="55">
        <f>Orders!F1077</f>
        <v/>
      </c>
      <c r="G1077" s="55">
        <f>Orders!G1077</f>
        <v/>
      </c>
      <c r="H1077" s="55">
        <f>Orders!H1077</f>
        <v/>
      </c>
      <c r="I1077" s="55">
        <f>Orders!I1077</f>
        <v/>
      </c>
      <c r="J1077" s="55">
        <f>Orders!J1077</f>
        <v/>
      </c>
      <c r="K1077" s="55">
        <f>Orders!K1077</f>
        <v/>
      </c>
      <c r="L1077" s="55">
        <f>VLOOKUP(D1077,Products!$A$2:$F$61,3,FALSE())</f>
        <v/>
      </c>
      <c r="M1077" s="55">
        <f>VLOOKUP(C1077,Customers!$A$2:$F$301,5,FALSE())</f>
        <v/>
      </c>
      <c r="N1077" s="55">
        <f>VLOOKUP(E1077,Sales_Reps!$A$2:$E$31,3,FALSE())</f>
        <v/>
      </c>
      <c r="O1077" s="55">
        <f>VLOOKUP(D1077,Products!$A$2:$F$61,4,FALSE())</f>
        <v/>
      </c>
      <c r="P1077" s="55">
        <f>VLOOKUP(C1077,Customers!$A$2:$F$301,3,FALSE())</f>
        <v/>
      </c>
      <c r="Q1077" s="55">
        <f>UPPER(TRIM(K1077))</f>
        <v/>
      </c>
      <c r="R1077" s="55">
        <f>(G1077-O1077)/G1077</f>
        <v/>
      </c>
      <c r="S1077" s="55">
        <f>VLOOKUP(D1077,Products!$A$2:$F$61,6,FALSE())</f>
        <v/>
      </c>
    </row>
    <row r="1078" ht="15" customHeight="1" s="56">
      <c r="A1078" s="55">
        <f>Orders!A1078</f>
        <v/>
      </c>
      <c r="B1078" s="103">
        <f>Orders!B1078</f>
        <v/>
      </c>
      <c r="C1078" s="55">
        <f>Orders!C1078</f>
        <v/>
      </c>
      <c r="D1078" s="55">
        <f>Orders!D1078</f>
        <v/>
      </c>
      <c r="E1078" s="55">
        <f>Orders!E1078</f>
        <v/>
      </c>
      <c r="F1078" s="55">
        <f>Orders!F1078</f>
        <v/>
      </c>
      <c r="G1078" s="55">
        <f>Orders!G1078</f>
        <v/>
      </c>
      <c r="H1078" s="55">
        <f>Orders!H1078</f>
        <v/>
      </c>
      <c r="I1078" s="55">
        <f>Orders!I1078</f>
        <v/>
      </c>
      <c r="J1078" s="55">
        <f>Orders!J1078</f>
        <v/>
      </c>
      <c r="K1078" s="55">
        <f>Orders!K1078</f>
        <v/>
      </c>
      <c r="L1078" s="55">
        <f>VLOOKUP(D1078,Products!$A$2:$F$61,3,FALSE())</f>
        <v/>
      </c>
      <c r="M1078" s="55">
        <f>VLOOKUP(C1078,Customers!$A$2:$F$301,5,FALSE())</f>
        <v/>
      </c>
      <c r="N1078" s="55">
        <f>VLOOKUP(E1078,Sales_Reps!$A$2:$E$31,3,FALSE())</f>
        <v/>
      </c>
      <c r="O1078" s="55">
        <f>VLOOKUP(D1078,Products!$A$2:$F$61,4,FALSE())</f>
        <v/>
      </c>
      <c r="P1078" s="55">
        <f>VLOOKUP(C1078,Customers!$A$2:$F$301,3,FALSE())</f>
        <v/>
      </c>
      <c r="Q1078" s="55">
        <f>UPPER(TRIM(K1078))</f>
        <v/>
      </c>
      <c r="R1078" s="55">
        <f>(G1078-O1078)/G1078</f>
        <v/>
      </c>
      <c r="S1078" s="55">
        <f>VLOOKUP(D1078,Products!$A$2:$F$61,6,FALSE())</f>
        <v/>
      </c>
    </row>
    <row r="1079" ht="15" customHeight="1" s="56">
      <c r="A1079" s="55">
        <f>Orders!A1079</f>
        <v/>
      </c>
      <c r="B1079" s="103">
        <f>Orders!B1079</f>
        <v/>
      </c>
      <c r="C1079" s="55">
        <f>Orders!C1079</f>
        <v/>
      </c>
      <c r="D1079" s="55">
        <f>Orders!D1079</f>
        <v/>
      </c>
      <c r="E1079" s="55">
        <f>Orders!E1079</f>
        <v/>
      </c>
      <c r="F1079" s="55">
        <f>Orders!F1079</f>
        <v/>
      </c>
      <c r="G1079" s="55">
        <f>Orders!G1079</f>
        <v/>
      </c>
      <c r="H1079" s="55">
        <f>Orders!H1079</f>
        <v/>
      </c>
      <c r="I1079" s="55">
        <f>Orders!I1079</f>
        <v/>
      </c>
      <c r="J1079" s="55">
        <f>Orders!J1079</f>
        <v/>
      </c>
      <c r="K1079" s="55">
        <f>Orders!K1079</f>
        <v/>
      </c>
      <c r="L1079" s="55">
        <f>VLOOKUP(D1079,Products!$A$2:$F$61,3,FALSE())</f>
        <v/>
      </c>
      <c r="M1079" s="55">
        <f>VLOOKUP(C1079,Customers!$A$2:$F$301,5,FALSE())</f>
        <v/>
      </c>
      <c r="N1079" s="55">
        <f>VLOOKUP(E1079,Sales_Reps!$A$2:$E$31,3,FALSE())</f>
        <v/>
      </c>
      <c r="O1079" s="55">
        <f>VLOOKUP(D1079,Products!$A$2:$F$61,4,FALSE())</f>
        <v/>
      </c>
      <c r="P1079" s="55">
        <f>VLOOKUP(C1079,Customers!$A$2:$F$301,3,FALSE())</f>
        <v/>
      </c>
      <c r="Q1079" s="55">
        <f>UPPER(TRIM(K1079))</f>
        <v/>
      </c>
      <c r="R1079" s="55">
        <f>(G1079-O1079)/G1079</f>
        <v/>
      </c>
      <c r="S1079" s="55">
        <f>VLOOKUP(D1079,Products!$A$2:$F$61,6,FALSE())</f>
        <v/>
      </c>
    </row>
    <row r="1080" ht="15" customHeight="1" s="56">
      <c r="A1080" s="55">
        <f>Orders!A1080</f>
        <v/>
      </c>
      <c r="B1080" s="103">
        <f>Orders!B1080</f>
        <v/>
      </c>
      <c r="C1080" s="55">
        <f>Orders!C1080</f>
        <v/>
      </c>
      <c r="D1080" s="55">
        <f>Orders!D1080</f>
        <v/>
      </c>
      <c r="E1080" s="55">
        <f>Orders!E1080</f>
        <v/>
      </c>
      <c r="F1080" s="55">
        <f>Orders!F1080</f>
        <v/>
      </c>
      <c r="G1080" s="55">
        <f>Orders!G1080</f>
        <v/>
      </c>
      <c r="H1080" s="55">
        <f>Orders!H1080</f>
        <v/>
      </c>
      <c r="I1080" s="55">
        <f>Orders!I1080</f>
        <v/>
      </c>
      <c r="J1080" s="55">
        <f>Orders!J1080</f>
        <v/>
      </c>
      <c r="K1080" s="55">
        <f>Orders!K1080</f>
        <v/>
      </c>
      <c r="L1080" s="55">
        <f>VLOOKUP(D1080,Products!$A$2:$F$61,3,FALSE())</f>
        <v/>
      </c>
      <c r="M1080" s="55">
        <f>VLOOKUP(C1080,Customers!$A$2:$F$301,5,FALSE())</f>
        <v/>
      </c>
      <c r="N1080" s="55">
        <f>VLOOKUP(E1080,Sales_Reps!$A$2:$E$31,3,FALSE())</f>
        <v/>
      </c>
      <c r="O1080" s="55">
        <f>VLOOKUP(D1080,Products!$A$2:$F$61,4,FALSE())</f>
        <v/>
      </c>
      <c r="P1080" s="55">
        <f>VLOOKUP(C1080,Customers!$A$2:$F$301,3,FALSE())</f>
        <v/>
      </c>
      <c r="Q1080" s="55">
        <f>UPPER(TRIM(K1080))</f>
        <v/>
      </c>
      <c r="R1080" s="55">
        <f>(G1080-O1080)/G1080</f>
        <v/>
      </c>
      <c r="S1080" s="55">
        <f>VLOOKUP(D1080,Products!$A$2:$F$61,6,FALSE())</f>
        <v/>
      </c>
    </row>
    <row r="1081" ht="15" customHeight="1" s="56">
      <c r="A1081" s="55">
        <f>Orders!A1081</f>
        <v/>
      </c>
      <c r="B1081" s="103">
        <f>Orders!B1081</f>
        <v/>
      </c>
      <c r="C1081" s="55">
        <f>Orders!C1081</f>
        <v/>
      </c>
      <c r="D1081" s="55">
        <f>Orders!D1081</f>
        <v/>
      </c>
      <c r="E1081" s="55">
        <f>Orders!E1081</f>
        <v/>
      </c>
      <c r="F1081" s="55">
        <f>Orders!F1081</f>
        <v/>
      </c>
      <c r="G1081" s="55">
        <f>Orders!G1081</f>
        <v/>
      </c>
      <c r="H1081" s="55">
        <f>Orders!H1081</f>
        <v/>
      </c>
      <c r="I1081" s="55">
        <f>Orders!I1081</f>
        <v/>
      </c>
      <c r="J1081" s="55">
        <f>Orders!J1081</f>
        <v/>
      </c>
      <c r="K1081" s="55">
        <f>Orders!K1081</f>
        <v/>
      </c>
      <c r="L1081" s="55">
        <f>VLOOKUP(D1081,Products!$A$2:$F$61,3,FALSE())</f>
        <v/>
      </c>
      <c r="M1081" s="55">
        <f>VLOOKUP(C1081,Customers!$A$2:$F$301,5,FALSE())</f>
        <v/>
      </c>
      <c r="N1081" s="55">
        <f>VLOOKUP(E1081,Sales_Reps!$A$2:$E$31,3,FALSE())</f>
        <v/>
      </c>
      <c r="O1081" s="55">
        <f>VLOOKUP(D1081,Products!$A$2:$F$61,4,FALSE())</f>
        <v/>
      </c>
      <c r="P1081" s="55">
        <f>VLOOKUP(C1081,Customers!$A$2:$F$301,3,FALSE())</f>
        <v/>
      </c>
      <c r="Q1081" s="55">
        <f>UPPER(TRIM(K1081))</f>
        <v/>
      </c>
      <c r="R1081" s="55">
        <f>(G1081-O1081)/G1081</f>
        <v/>
      </c>
      <c r="S1081" s="55">
        <f>VLOOKUP(D1081,Products!$A$2:$F$61,6,FALSE())</f>
        <v/>
      </c>
    </row>
    <row r="1082" ht="15" customHeight="1" s="56">
      <c r="A1082" s="55">
        <f>Orders!A1082</f>
        <v/>
      </c>
      <c r="B1082" s="103">
        <f>Orders!B1082</f>
        <v/>
      </c>
      <c r="C1082" s="55">
        <f>Orders!C1082</f>
        <v/>
      </c>
      <c r="D1082" s="55">
        <f>Orders!D1082</f>
        <v/>
      </c>
      <c r="E1082" s="55">
        <f>Orders!E1082</f>
        <v/>
      </c>
      <c r="F1082" s="55">
        <f>Orders!F1082</f>
        <v/>
      </c>
      <c r="G1082" s="55">
        <f>Orders!G1082</f>
        <v/>
      </c>
      <c r="H1082" s="55">
        <f>Orders!H1082</f>
        <v/>
      </c>
      <c r="I1082" s="55">
        <f>Orders!I1082</f>
        <v/>
      </c>
      <c r="J1082" s="55">
        <f>Orders!J1082</f>
        <v/>
      </c>
      <c r="K1082" s="55">
        <f>Orders!K1082</f>
        <v/>
      </c>
      <c r="L1082" s="55">
        <f>VLOOKUP(D1082,Products!$A$2:$F$61,3,FALSE())</f>
        <v/>
      </c>
      <c r="M1082" s="55">
        <f>VLOOKUP(C1082,Customers!$A$2:$F$301,5,FALSE())</f>
        <v/>
      </c>
      <c r="N1082" s="55">
        <f>VLOOKUP(E1082,Sales_Reps!$A$2:$E$31,3,FALSE())</f>
        <v/>
      </c>
      <c r="O1082" s="55">
        <f>VLOOKUP(D1082,Products!$A$2:$F$61,4,FALSE())</f>
        <v/>
      </c>
      <c r="P1082" s="55">
        <f>VLOOKUP(C1082,Customers!$A$2:$F$301,3,FALSE())</f>
        <v/>
      </c>
      <c r="Q1082" s="55">
        <f>UPPER(TRIM(K1082))</f>
        <v/>
      </c>
      <c r="R1082" s="55">
        <f>(G1082-O1082)/G1082</f>
        <v/>
      </c>
      <c r="S1082" s="55">
        <f>VLOOKUP(D1082,Products!$A$2:$F$61,6,FALSE())</f>
        <v/>
      </c>
    </row>
    <row r="1083" ht="15" customHeight="1" s="56">
      <c r="A1083" s="55">
        <f>Orders!A1083</f>
        <v/>
      </c>
      <c r="B1083" s="103">
        <f>Orders!B1083</f>
        <v/>
      </c>
      <c r="C1083" s="55">
        <f>Orders!C1083</f>
        <v/>
      </c>
      <c r="D1083" s="55">
        <f>Orders!D1083</f>
        <v/>
      </c>
      <c r="E1083" s="55">
        <f>Orders!E1083</f>
        <v/>
      </c>
      <c r="F1083" s="55">
        <f>Orders!F1083</f>
        <v/>
      </c>
      <c r="G1083" s="55">
        <f>Orders!G1083</f>
        <v/>
      </c>
      <c r="H1083" s="55">
        <f>Orders!H1083</f>
        <v/>
      </c>
      <c r="I1083" s="55">
        <f>Orders!I1083</f>
        <v/>
      </c>
      <c r="J1083" s="55">
        <f>Orders!J1083</f>
        <v/>
      </c>
      <c r="K1083" s="55">
        <f>Orders!K1083</f>
        <v/>
      </c>
      <c r="L1083" s="55">
        <f>VLOOKUP(D1083,Products!$A$2:$F$61,3,FALSE())</f>
        <v/>
      </c>
      <c r="M1083" s="55">
        <f>VLOOKUP(C1083,Customers!$A$2:$F$301,5,FALSE())</f>
        <v/>
      </c>
      <c r="N1083" s="55">
        <f>VLOOKUP(E1083,Sales_Reps!$A$2:$E$31,3,FALSE())</f>
        <v/>
      </c>
      <c r="O1083" s="55">
        <f>VLOOKUP(D1083,Products!$A$2:$F$61,4,FALSE())</f>
        <v/>
      </c>
      <c r="P1083" s="55">
        <f>VLOOKUP(C1083,Customers!$A$2:$F$301,3,FALSE())</f>
        <v/>
      </c>
      <c r="Q1083" s="55">
        <f>UPPER(TRIM(K1083))</f>
        <v/>
      </c>
      <c r="R1083" s="55">
        <f>(G1083-O1083)/G1083</f>
        <v/>
      </c>
      <c r="S1083" s="55">
        <f>VLOOKUP(D1083,Products!$A$2:$F$61,6,FALSE())</f>
        <v/>
      </c>
    </row>
    <row r="1084" ht="15" customHeight="1" s="56">
      <c r="A1084" s="55">
        <f>Orders!A1084</f>
        <v/>
      </c>
      <c r="B1084" s="103">
        <f>Orders!B1084</f>
        <v/>
      </c>
      <c r="C1084" s="55">
        <f>Orders!C1084</f>
        <v/>
      </c>
      <c r="D1084" s="55">
        <f>Orders!D1084</f>
        <v/>
      </c>
      <c r="E1084" s="55">
        <f>Orders!E1084</f>
        <v/>
      </c>
      <c r="F1084" s="55">
        <f>Orders!F1084</f>
        <v/>
      </c>
      <c r="G1084" s="55">
        <f>Orders!G1084</f>
        <v/>
      </c>
      <c r="H1084" s="55">
        <f>Orders!H1084</f>
        <v/>
      </c>
      <c r="I1084" s="55">
        <f>Orders!I1084</f>
        <v/>
      </c>
      <c r="J1084" s="55">
        <f>Orders!J1084</f>
        <v/>
      </c>
      <c r="K1084" s="55">
        <f>Orders!K1084</f>
        <v/>
      </c>
      <c r="L1084" s="55">
        <f>VLOOKUP(D1084,Products!$A$2:$F$61,3,FALSE())</f>
        <v/>
      </c>
      <c r="M1084" s="55">
        <f>VLOOKUP(C1084,Customers!$A$2:$F$301,5,FALSE())</f>
        <v/>
      </c>
      <c r="N1084" s="55">
        <f>VLOOKUP(E1084,Sales_Reps!$A$2:$E$31,3,FALSE())</f>
        <v/>
      </c>
      <c r="O1084" s="55">
        <f>VLOOKUP(D1084,Products!$A$2:$F$61,4,FALSE())</f>
        <v/>
      </c>
      <c r="P1084" s="55">
        <f>VLOOKUP(C1084,Customers!$A$2:$F$301,3,FALSE())</f>
        <v/>
      </c>
      <c r="Q1084" s="55">
        <f>UPPER(TRIM(K1084))</f>
        <v/>
      </c>
      <c r="R1084" s="55">
        <f>(G1084-O1084)/G1084</f>
        <v/>
      </c>
      <c r="S1084" s="55">
        <f>VLOOKUP(D1084,Products!$A$2:$F$61,6,FALSE())</f>
        <v/>
      </c>
    </row>
    <row r="1085" ht="15" customHeight="1" s="56">
      <c r="A1085" s="55">
        <f>Orders!A1085</f>
        <v/>
      </c>
      <c r="B1085" s="103">
        <f>Orders!B1085</f>
        <v/>
      </c>
      <c r="C1085" s="55">
        <f>Orders!C1085</f>
        <v/>
      </c>
      <c r="D1085" s="55">
        <f>Orders!D1085</f>
        <v/>
      </c>
      <c r="E1085" s="55">
        <f>Orders!E1085</f>
        <v/>
      </c>
      <c r="F1085" s="55">
        <f>Orders!F1085</f>
        <v/>
      </c>
      <c r="G1085" s="55">
        <f>Orders!G1085</f>
        <v/>
      </c>
      <c r="H1085" s="55">
        <f>Orders!H1085</f>
        <v/>
      </c>
      <c r="I1085" s="55">
        <f>Orders!I1085</f>
        <v/>
      </c>
      <c r="J1085" s="55">
        <f>Orders!J1085</f>
        <v/>
      </c>
      <c r="K1085" s="55">
        <f>Orders!K1085</f>
        <v/>
      </c>
      <c r="L1085" s="55">
        <f>VLOOKUP(D1085,Products!$A$2:$F$61,3,FALSE())</f>
        <v/>
      </c>
      <c r="M1085" s="55">
        <f>VLOOKUP(C1085,Customers!$A$2:$F$301,5,FALSE())</f>
        <v/>
      </c>
      <c r="N1085" s="55">
        <f>VLOOKUP(E1085,Sales_Reps!$A$2:$E$31,3,FALSE())</f>
        <v/>
      </c>
      <c r="O1085" s="55">
        <f>VLOOKUP(D1085,Products!$A$2:$F$61,4,FALSE())</f>
        <v/>
      </c>
      <c r="P1085" s="55">
        <f>VLOOKUP(C1085,Customers!$A$2:$F$301,3,FALSE())</f>
        <v/>
      </c>
      <c r="Q1085" s="55">
        <f>UPPER(TRIM(K1085))</f>
        <v/>
      </c>
      <c r="R1085" s="55">
        <f>(G1085-O1085)/G1085</f>
        <v/>
      </c>
      <c r="S1085" s="55">
        <f>VLOOKUP(D1085,Products!$A$2:$F$61,6,FALSE())</f>
        <v/>
      </c>
    </row>
    <row r="1086" ht="15" customHeight="1" s="56">
      <c r="A1086" s="55">
        <f>Orders!A1086</f>
        <v/>
      </c>
      <c r="B1086" s="103">
        <f>Orders!B1086</f>
        <v/>
      </c>
      <c r="C1086" s="55">
        <f>Orders!C1086</f>
        <v/>
      </c>
      <c r="D1086" s="55">
        <f>Orders!D1086</f>
        <v/>
      </c>
      <c r="E1086" s="55">
        <f>Orders!E1086</f>
        <v/>
      </c>
      <c r="F1086" s="55">
        <f>Orders!F1086</f>
        <v/>
      </c>
      <c r="G1086" s="55">
        <f>Orders!G1086</f>
        <v/>
      </c>
      <c r="H1086" s="55">
        <f>Orders!H1086</f>
        <v/>
      </c>
      <c r="I1086" s="55">
        <f>Orders!I1086</f>
        <v/>
      </c>
      <c r="J1086" s="55">
        <f>Orders!J1086</f>
        <v/>
      </c>
      <c r="K1086" s="55">
        <f>Orders!K1086</f>
        <v/>
      </c>
      <c r="L1086" s="55">
        <f>VLOOKUP(D1086,Products!$A$2:$F$61,3,FALSE())</f>
        <v/>
      </c>
      <c r="M1086" s="55">
        <f>VLOOKUP(C1086,Customers!$A$2:$F$301,5,FALSE())</f>
        <v/>
      </c>
      <c r="N1086" s="55">
        <f>VLOOKUP(E1086,Sales_Reps!$A$2:$E$31,3,FALSE())</f>
        <v/>
      </c>
      <c r="O1086" s="55">
        <f>VLOOKUP(D1086,Products!$A$2:$F$61,4,FALSE())</f>
        <v/>
      </c>
      <c r="P1086" s="55">
        <f>VLOOKUP(C1086,Customers!$A$2:$F$301,3,FALSE())</f>
        <v/>
      </c>
      <c r="Q1086" s="55">
        <f>UPPER(TRIM(K1086))</f>
        <v/>
      </c>
      <c r="R1086" s="55">
        <f>(G1086-O1086)/G1086</f>
        <v/>
      </c>
      <c r="S1086" s="55">
        <f>VLOOKUP(D1086,Products!$A$2:$F$61,6,FALSE())</f>
        <v/>
      </c>
    </row>
    <row r="1087" ht="15" customHeight="1" s="56">
      <c r="A1087" s="55">
        <f>Orders!A1087</f>
        <v/>
      </c>
      <c r="B1087" s="103">
        <f>Orders!B1087</f>
        <v/>
      </c>
      <c r="C1087" s="55">
        <f>Orders!C1087</f>
        <v/>
      </c>
      <c r="D1087" s="55">
        <f>Orders!D1087</f>
        <v/>
      </c>
      <c r="E1087" s="55">
        <f>Orders!E1087</f>
        <v/>
      </c>
      <c r="F1087" s="55">
        <f>Orders!F1087</f>
        <v/>
      </c>
      <c r="G1087" s="55">
        <f>Orders!G1087</f>
        <v/>
      </c>
      <c r="H1087" s="55">
        <f>Orders!H1087</f>
        <v/>
      </c>
      <c r="I1087" s="55">
        <f>Orders!I1087</f>
        <v/>
      </c>
      <c r="J1087" s="55">
        <f>Orders!J1087</f>
        <v/>
      </c>
      <c r="K1087" s="55">
        <f>Orders!K1087</f>
        <v/>
      </c>
      <c r="L1087" s="55">
        <f>VLOOKUP(D1087,Products!$A$2:$F$61,3,FALSE())</f>
        <v/>
      </c>
      <c r="M1087" s="55">
        <f>VLOOKUP(C1087,Customers!$A$2:$F$301,5,FALSE())</f>
        <v/>
      </c>
      <c r="N1087" s="55">
        <f>VLOOKUP(E1087,Sales_Reps!$A$2:$E$31,3,FALSE())</f>
        <v/>
      </c>
      <c r="O1087" s="55">
        <f>VLOOKUP(D1087,Products!$A$2:$F$61,4,FALSE())</f>
        <v/>
      </c>
      <c r="P1087" s="55">
        <f>VLOOKUP(C1087,Customers!$A$2:$F$301,3,FALSE())</f>
        <v/>
      </c>
      <c r="Q1087" s="55">
        <f>UPPER(TRIM(K1087))</f>
        <v/>
      </c>
      <c r="R1087" s="55">
        <f>(G1087-O1087)/G1087</f>
        <v/>
      </c>
      <c r="S1087" s="55">
        <f>VLOOKUP(D1087,Products!$A$2:$F$61,6,FALSE())</f>
        <v/>
      </c>
    </row>
    <row r="1088" ht="15" customHeight="1" s="56">
      <c r="A1088" s="55">
        <f>Orders!A1088</f>
        <v/>
      </c>
      <c r="B1088" s="103">
        <f>Orders!B1088</f>
        <v/>
      </c>
      <c r="C1088" s="55">
        <f>Orders!C1088</f>
        <v/>
      </c>
      <c r="D1088" s="55">
        <f>Orders!D1088</f>
        <v/>
      </c>
      <c r="E1088" s="55">
        <f>Orders!E1088</f>
        <v/>
      </c>
      <c r="F1088" s="55">
        <f>Orders!F1088</f>
        <v/>
      </c>
      <c r="G1088" s="55">
        <f>Orders!G1088</f>
        <v/>
      </c>
      <c r="H1088" s="55">
        <f>Orders!H1088</f>
        <v/>
      </c>
      <c r="I1088" s="55">
        <f>Orders!I1088</f>
        <v/>
      </c>
      <c r="J1088" s="55">
        <f>Orders!J1088</f>
        <v/>
      </c>
      <c r="K1088" s="55">
        <f>Orders!K1088</f>
        <v/>
      </c>
      <c r="L1088" s="55">
        <f>VLOOKUP(D1088,Products!$A$2:$F$61,3,FALSE())</f>
        <v/>
      </c>
      <c r="M1088" s="55">
        <f>VLOOKUP(C1088,Customers!$A$2:$F$301,5,FALSE())</f>
        <v/>
      </c>
      <c r="N1088" s="55">
        <f>VLOOKUP(E1088,Sales_Reps!$A$2:$E$31,3,FALSE())</f>
        <v/>
      </c>
      <c r="O1088" s="55">
        <f>VLOOKUP(D1088,Products!$A$2:$F$61,4,FALSE())</f>
        <v/>
      </c>
      <c r="P1088" s="55">
        <f>VLOOKUP(C1088,Customers!$A$2:$F$301,3,FALSE())</f>
        <v/>
      </c>
      <c r="Q1088" s="55">
        <f>UPPER(TRIM(K1088))</f>
        <v/>
      </c>
      <c r="R1088" s="55">
        <f>(G1088-O1088)/G1088</f>
        <v/>
      </c>
      <c r="S1088" s="55">
        <f>VLOOKUP(D1088,Products!$A$2:$F$61,6,FALSE())</f>
        <v/>
      </c>
    </row>
    <row r="1089" ht="15" customHeight="1" s="56">
      <c r="A1089" s="55">
        <f>Orders!A1089</f>
        <v/>
      </c>
      <c r="B1089" s="103">
        <f>Orders!B1089</f>
        <v/>
      </c>
      <c r="C1089" s="55">
        <f>Orders!C1089</f>
        <v/>
      </c>
      <c r="D1089" s="55">
        <f>Orders!D1089</f>
        <v/>
      </c>
      <c r="E1089" s="55">
        <f>Orders!E1089</f>
        <v/>
      </c>
      <c r="F1089" s="55">
        <f>Orders!F1089</f>
        <v/>
      </c>
      <c r="G1089" s="55">
        <f>Orders!G1089</f>
        <v/>
      </c>
      <c r="H1089" s="55">
        <f>Orders!H1089</f>
        <v/>
      </c>
      <c r="I1089" s="55">
        <f>Orders!I1089</f>
        <v/>
      </c>
      <c r="J1089" s="55">
        <f>Orders!J1089</f>
        <v/>
      </c>
      <c r="K1089" s="55">
        <f>Orders!K1089</f>
        <v/>
      </c>
      <c r="L1089" s="55">
        <f>VLOOKUP(D1089,Products!$A$2:$F$61,3,FALSE())</f>
        <v/>
      </c>
      <c r="M1089" s="55">
        <f>VLOOKUP(C1089,Customers!$A$2:$F$301,5,FALSE())</f>
        <v/>
      </c>
      <c r="N1089" s="55">
        <f>VLOOKUP(E1089,Sales_Reps!$A$2:$E$31,3,FALSE())</f>
        <v/>
      </c>
      <c r="O1089" s="55">
        <f>VLOOKUP(D1089,Products!$A$2:$F$61,4,FALSE())</f>
        <v/>
      </c>
      <c r="P1089" s="55">
        <f>VLOOKUP(C1089,Customers!$A$2:$F$301,3,FALSE())</f>
        <v/>
      </c>
      <c r="Q1089" s="55">
        <f>UPPER(TRIM(K1089))</f>
        <v/>
      </c>
      <c r="R1089" s="55">
        <f>(G1089-O1089)/G1089</f>
        <v/>
      </c>
      <c r="S1089" s="55">
        <f>VLOOKUP(D1089,Products!$A$2:$F$61,6,FALSE())</f>
        <v/>
      </c>
    </row>
    <row r="1090" ht="15" customHeight="1" s="56">
      <c r="A1090" s="55">
        <f>Orders!A1090</f>
        <v/>
      </c>
      <c r="B1090" s="103">
        <f>Orders!B1090</f>
        <v/>
      </c>
      <c r="C1090" s="55">
        <f>Orders!C1090</f>
        <v/>
      </c>
      <c r="D1090" s="55">
        <f>Orders!D1090</f>
        <v/>
      </c>
      <c r="E1090" s="55">
        <f>Orders!E1090</f>
        <v/>
      </c>
      <c r="F1090" s="55">
        <f>Orders!F1090</f>
        <v/>
      </c>
      <c r="G1090" s="55">
        <f>Orders!G1090</f>
        <v/>
      </c>
      <c r="H1090" s="55">
        <f>Orders!H1090</f>
        <v/>
      </c>
      <c r="I1090" s="55">
        <f>Orders!I1090</f>
        <v/>
      </c>
      <c r="J1090" s="55">
        <f>Orders!J1090</f>
        <v/>
      </c>
      <c r="K1090" s="55">
        <f>Orders!K1090</f>
        <v/>
      </c>
      <c r="L1090" s="55">
        <f>VLOOKUP(D1090,Products!$A$2:$F$61,3,FALSE())</f>
        <v/>
      </c>
      <c r="M1090" s="55">
        <f>VLOOKUP(C1090,Customers!$A$2:$F$301,5,FALSE())</f>
        <v/>
      </c>
      <c r="N1090" s="55">
        <f>VLOOKUP(E1090,Sales_Reps!$A$2:$E$31,3,FALSE())</f>
        <v/>
      </c>
      <c r="O1090" s="55">
        <f>VLOOKUP(D1090,Products!$A$2:$F$61,4,FALSE())</f>
        <v/>
      </c>
      <c r="P1090" s="55">
        <f>VLOOKUP(C1090,Customers!$A$2:$F$301,3,FALSE())</f>
        <v/>
      </c>
      <c r="Q1090" s="55">
        <f>UPPER(TRIM(K1090))</f>
        <v/>
      </c>
      <c r="R1090" s="55">
        <f>(G1090-O1090)/G1090</f>
        <v/>
      </c>
      <c r="S1090" s="55">
        <f>VLOOKUP(D1090,Products!$A$2:$F$61,6,FALSE())</f>
        <v/>
      </c>
    </row>
    <row r="1091" ht="15" customHeight="1" s="56">
      <c r="A1091" s="55">
        <f>Orders!A1091</f>
        <v/>
      </c>
      <c r="B1091" s="103">
        <f>Orders!B1091</f>
        <v/>
      </c>
      <c r="C1091" s="55">
        <f>Orders!C1091</f>
        <v/>
      </c>
      <c r="D1091" s="55">
        <f>Orders!D1091</f>
        <v/>
      </c>
      <c r="E1091" s="55">
        <f>Orders!E1091</f>
        <v/>
      </c>
      <c r="F1091" s="55">
        <f>Orders!F1091</f>
        <v/>
      </c>
      <c r="G1091" s="55">
        <f>Orders!G1091</f>
        <v/>
      </c>
      <c r="H1091" s="55">
        <f>Orders!H1091</f>
        <v/>
      </c>
      <c r="I1091" s="55">
        <f>Orders!I1091</f>
        <v/>
      </c>
      <c r="J1091" s="55">
        <f>Orders!J1091</f>
        <v/>
      </c>
      <c r="K1091" s="55">
        <f>Orders!K1091</f>
        <v/>
      </c>
      <c r="L1091" s="55">
        <f>VLOOKUP(D1091,Products!$A$2:$F$61,3,FALSE())</f>
        <v/>
      </c>
      <c r="M1091" s="55">
        <f>VLOOKUP(C1091,Customers!$A$2:$F$301,5,FALSE())</f>
        <v/>
      </c>
      <c r="N1091" s="55">
        <f>VLOOKUP(E1091,Sales_Reps!$A$2:$E$31,3,FALSE())</f>
        <v/>
      </c>
      <c r="O1091" s="55">
        <f>VLOOKUP(D1091,Products!$A$2:$F$61,4,FALSE())</f>
        <v/>
      </c>
      <c r="P1091" s="55">
        <f>VLOOKUP(C1091,Customers!$A$2:$F$301,3,FALSE())</f>
        <v/>
      </c>
      <c r="Q1091" s="55">
        <f>UPPER(TRIM(K1091))</f>
        <v/>
      </c>
      <c r="R1091" s="55">
        <f>(G1091-O1091)/G1091</f>
        <v/>
      </c>
      <c r="S1091" s="55">
        <f>VLOOKUP(D1091,Products!$A$2:$F$61,6,FALSE())</f>
        <v/>
      </c>
    </row>
    <row r="1092" ht="15" customHeight="1" s="56">
      <c r="A1092" s="55">
        <f>Orders!A1092</f>
        <v/>
      </c>
      <c r="B1092" s="103">
        <f>Orders!B1092</f>
        <v/>
      </c>
      <c r="C1092" s="55">
        <f>Orders!C1092</f>
        <v/>
      </c>
      <c r="D1092" s="55">
        <f>Orders!D1092</f>
        <v/>
      </c>
      <c r="E1092" s="55">
        <f>Orders!E1092</f>
        <v/>
      </c>
      <c r="F1092" s="55">
        <f>Orders!F1092</f>
        <v/>
      </c>
      <c r="G1092" s="55">
        <f>Orders!G1092</f>
        <v/>
      </c>
      <c r="H1092" s="55">
        <f>Orders!H1092</f>
        <v/>
      </c>
      <c r="I1092" s="55">
        <f>Orders!I1092</f>
        <v/>
      </c>
      <c r="J1092" s="55">
        <f>Orders!J1092</f>
        <v/>
      </c>
      <c r="K1092" s="55">
        <f>Orders!K1092</f>
        <v/>
      </c>
      <c r="L1092" s="55">
        <f>VLOOKUP(D1092,Products!$A$2:$F$61,3,FALSE())</f>
        <v/>
      </c>
      <c r="M1092" s="55">
        <f>VLOOKUP(C1092,Customers!$A$2:$F$301,5,FALSE())</f>
        <v/>
      </c>
      <c r="N1092" s="55">
        <f>VLOOKUP(E1092,Sales_Reps!$A$2:$E$31,3,FALSE())</f>
        <v/>
      </c>
      <c r="O1092" s="55">
        <f>VLOOKUP(D1092,Products!$A$2:$F$61,4,FALSE())</f>
        <v/>
      </c>
      <c r="P1092" s="55">
        <f>VLOOKUP(C1092,Customers!$A$2:$F$301,3,FALSE())</f>
        <v/>
      </c>
      <c r="Q1092" s="55">
        <f>UPPER(TRIM(K1092))</f>
        <v/>
      </c>
      <c r="R1092" s="55">
        <f>(G1092-O1092)/G1092</f>
        <v/>
      </c>
      <c r="S1092" s="55">
        <f>VLOOKUP(D1092,Products!$A$2:$F$61,6,FALSE())</f>
        <v/>
      </c>
    </row>
    <row r="1093" ht="15" customHeight="1" s="56">
      <c r="A1093" s="55">
        <f>Orders!A1093</f>
        <v/>
      </c>
      <c r="B1093" s="103">
        <f>Orders!B1093</f>
        <v/>
      </c>
      <c r="C1093" s="55">
        <f>Orders!C1093</f>
        <v/>
      </c>
      <c r="D1093" s="55">
        <f>Orders!D1093</f>
        <v/>
      </c>
      <c r="E1093" s="55">
        <f>Orders!E1093</f>
        <v/>
      </c>
      <c r="F1093" s="55">
        <f>Orders!F1093</f>
        <v/>
      </c>
      <c r="G1093" s="55">
        <f>Orders!G1093</f>
        <v/>
      </c>
      <c r="H1093" s="55">
        <f>Orders!H1093</f>
        <v/>
      </c>
      <c r="I1093" s="55">
        <f>Orders!I1093</f>
        <v/>
      </c>
      <c r="J1093" s="55">
        <f>Orders!J1093</f>
        <v/>
      </c>
      <c r="K1093" s="55">
        <f>Orders!K1093</f>
        <v/>
      </c>
      <c r="L1093" s="55">
        <f>VLOOKUP(D1093,Products!$A$2:$F$61,3,FALSE())</f>
        <v/>
      </c>
      <c r="M1093" s="55">
        <f>VLOOKUP(C1093,Customers!$A$2:$F$301,5,FALSE())</f>
        <v/>
      </c>
      <c r="N1093" s="55">
        <f>VLOOKUP(E1093,Sales_Reps!$A$2:$E$31,3,FALSE())</f>
        <v/>
      </c>
      <c r="O1093" s="55">
        <f>VLOOKUP(D1093,Products!$A$2:$F$61,4,FALSE())</f>
        <v/>
      </c>
      <c r="P1093" s="55">
        <f>VLOOKUP(C1093,Customers!$A$2:$F$301,3,FALSE())</f>
        <v/>
      </c>
      <c r="Q1093" s="55">
        <f>UPPER(TRIM(K1093))</f>
        <v/>
      </c>
      <c r="R1093" s="55">
        <f>(G1093-O1093)/G1093</f>
        <v/>
      </c>
      <c r="S1093" s="55">
        <f>VLOOKUP(D1093,Products!$A$2:$F$61,6,FALSE())</f>
        <v/>
      </c>
    </row>
    <row r="1094" ht="15" customHeight="1" s="56">
      <c r="A1094" s="55">
        <f>Orders!A1094</f>
        <v/>
      </c>
      <c r="B1094" s="103">
        <f>Orders!B1094</f>
        <v/>
      </c>
      <c r="C1094" s="55">
        <f>Orders!C1094</f>
        <v/>
      </c>
      <c r="D1094" s="55">
        <f>Orders!D1094</f>
        <v/>
      </c>
      <c r="E1094" s="55">
        <f>Orders!E1094</f>
        <v/>
      </c>
      <c r="F1094" s="55">
        <f>Orders!F1094</f>
        <v/>
      </c>
      <c r="G1094" s="55">
        <f>Orders!G1094</f>
        <v/>
      </c>
      <c r="H1094" s="55">
        <f>Orders!H1094</f>
        <v/>
      </c>
      <c r="I1094" s="55">
        <f>Orders!I1094</f>
        <v/>
      </c>
      <c r="J1094" s="55">
        <f>Orders!J1094</f>
        <v/>
      </c>
      <c r="K1094" s="55">
        <f>Orders!K1094</f>
        <v/>
      </c>
      <c r="L1094" s="55">
        <f>VLOOKUP(D1094,Products!$A$2:$F$61,3,FALSE())</f>
        <v/>
      </c>
      <c r="M1094" s="55">
        <f>VLOOKUP(C1094,Customers!$A$2:$F$301,5,FALSE())</f>
        <v/>
      </c>
      <c r="N1094" s="55">
        <f>VLOOKUP(E1094,Sales_Reps!$A$2:$E$31,3,FALSE())</f>
        <v/>
      </c>
      <c r="O1094" s="55">
        <f>VLOOKUP(D1094,Products!$A$2:$F$61,4,FALSE())</f>
        <v/>
      </c>
      <c r="P1094" s="55">
        <f>VLOOKUP(C1094,Customers!$A$2:$F$301,3,FALSE())</f>
        <v/>
      </c>
      <c r="Q1094" s="55">
        <f>UPPER(TRIM(K1094))</f>
        <v/>
      </c>
      <c r="R1094" s="55">
        <f>(G1094-O1094)/G1094</f>
        <v/>
      </c>
      <c r="S1094" s="55">
        <f>VLOOKUP(D1094,Products!$A$2:$F$61,6,FALSE())</f>
        <v/>
      </c>
    </row>
    <row r="1095" ht="15" customHeight="1" s="56">
      <c r="A1095" s="55">
        <f>Orders!A1095</f>
        <v/>
      </c>
      <c r="B1095" s="103">
        <f>Orders!B1095</f>
        <v/>
      </c>
      <c r="C1095" s="55">
        <f>Orders!C1095</f>
        <v/>
      </c>
      <c r="D1095" s="55">
        <f>Orders!D1095</f>
        <v/>
      </c>
      <c r="E1095" s="55">
        <f>Orders!E1095</f>
        <v/>
      </c>
      <c r="F1095" s="55">
        <f>Orders!F1095</f>
        <v/>
      </c>
      <c r="G1095" s="55">
        <f>Orders!G1095</f>
        <v/>
      </c>
      <c r="H1095" s="55">
        <f>Orders!H1095</f>
        <v/>
      </c>
      <c r="I1095" s="55">
        <f>Orders!I1095</f>
        <v/>
      </c>
      <c r="J1095" s="55">
        <f>Orders!J1095</f>
        <v/>
      </c>
      <c r="K1095" s="55">
        <f>Orders!K1095</f>
        <v/>
      </c>
      <c r="L1095" s="55">
        <f>VLOOKUP(D1095,Products!$A$2:$F$61,3,FALSE())</f>
        <v/>
      </c>
      <c r="M1095" s="55">
        <f>VLOOKUP(C1095,Customers!$A$2:$F$301,5,FALSE())</f>
        <v/>
      </c>
      <c r="N1095" s="55">
        <f>VLOOKUP(E1095,Sales_Reps!$A$2:$E$31,3,FALSE())</f>
        <v/>
      </c>
      <c r="O1095" s="55">
        <f>VLOOKUP(D1095,Products!$A$2:$F$61,4,FALSE())</f>
        <v/>
      </c>
      <c r="P1095" s="55">
        <f>VLOOKUP(C1095,Customers!$A$2:$F$301,3,FALSE())</f>
        <v/>
      </c>
      <c r="Q1095" s="55">
        <f>UPPER(TRIM(K1095))</f>
        <v/>
      </c>
      <c r="R1095" s="55">
        <f>(G1095-O1095)/G1095</f>
        <v/>
      </c>
      <c r="S1095" s="55">
        <f>VLOOKUP(D1095,Products!$A$2:$F$61,6,FALSE())</f>
        <v/>
      </c>
    </row>
    <row r="1096" ht="15" customHeight="1" s="56">
      <c r="A1096" s="55">
        <f>Orders!A1096</f>
        <v/>
      </c>
      <c r="B1096" s="103">
        <f>Orders!B1096</f>
        <v/>
      </c>
      <c r="C1096" s="55">
        <f>Orders!C1096</f>
        <v/>
      </c>
      <c r="D1096" s="55">
        <f>Orders!D1096</f>
        <v/>
      </c>
      <c r="E1096" s="55">
        <f>Orders!E1096</f>
        <v/>
      </c>
      <c r="F1096" s="55">
        <f>Orders!F1096</f>
        <v/>
      </c>
      <c r="G1096" s="55">
        <f>Orders!G1096</f>
        <v/>
      </c>
      <c r="H1096" s="55">
        <f>Orders!H1096</f>
        <v/>
      </c>
      <c r="I1096" s="55">
        <f>Orders!I1096</f>
        <v/>
      </c>
      <c r="J1096" s="55">
        <f>Orders!J1096</f>
        <v/>
      </c>
      <c r="K1096" s="55">
        <f>Orders!K1096</f>
        <v/>
      </c>
      <c r="L1096" s="55">
        <f>VLOOKUP(D1096,Products!$A$2:$F$61,3,FALSE())</f>
        <v/>
      </c>
      <c r="M1096" s="55">
        <f>VLOOKUP(C1096,Customers!$A$2:$F$301,5,FALSE())</f>
        <v/>
      </c>
      <c r="N1096" s="55">
        <f>VLOOKUP(E1096,Sales_Reps!$A$2:$E$31,3,FALSE())</f>
        <v/>
      </c>
      <c r="O1096" s="55">
        <f>VLOOKUP(D1096,Products!$A$2:$F$61,4,FALSE())</f>
        <v/>
      </c>
      <c r="P1096" s="55">
        <f>VLOOKUP(C1096,Customers!$A$2:$F$301,3,FALSE())</f>
        <v/>
      </c>
      <c r="Q1096" s="55">
        <f>UPPER(TRIM(K1096))</f>
        <v/>
      </c>
      <c r="R1096" s="55">
        <f>(G1096-O1096)/G1096</f>
        <v/>
      </c>
      <c r="S1096" s="55">
        <f>VLOOKUP(D1096,Products!$A$2:$F$61,6,FALSE())</f>
        <v/>
      </c>
    </row>
    <row r="1097" ht="15" customHeight="1" s="56">
      <c r="A1097" s="55">
        <f>Orders!A1097</f>
        <v/>
      </c>
      <c r="B1097" s="103">
        <f>Orders!B1097</f>
        <v/>
      </c>
      <c r="C1097" s="55">
        <f>Orders!C1097</f>
        <v/>
      </c>
      <c r="D1097" s="55">
        <f>Orders!D1097</f>
        <v/>
      </c>
      <c r="E1097" s="55">
        <f>Orders!E1097</f>
        <v/>
      </c>
      <c r="F1097" s="55">
        <f>Orders!F1097</f>
        <v/>
      </c>
      <c r="G1097" s="55">
        <f>Orders!G1097</f>
        <v/>
      </c>
      <c r="H1097" s="55">
        <f>Orders!H1097</f>
        <v/>
      </c>
      <c r="I1097" s="55">
        <f>Orders!I1097</f>
        <v/>
      </c>
      <c r="J1097" s="55">
        <f>Orders!J1097</f>
        <v/>
      </c>
      <c r="K1097" s="55">
        <f>Orders!K1097</f>
        <v/>
      </c>
      <c r="L1097" s="55">
        <f>VLOOKUP(D1097,Products!$A$2:$F$61,3,FALSE())</f>
        <v/>
      </c>
      <c r="M1097" s="55">
        <f>VLOOKUP(C1097,Customers!$A$2:$F$301,5,FALSE())</f>
        <v/>
      </c>
      <c r="N1097" s="55">
        <f>VLOOKUP(E1097,Sales_Reps!$A$2:$E$31,3,FALSE())</f>
        <v/>
      </c>
      <c r="O1097" s="55">
        <f>VLOOKUP(D1097,Products!$A$2:$F$61,4,FALSE())</f>
        <v/>
      </c>
      <c r="P1097" s="55">
        <f>VLOOKUP(C1097,Customers!$A$2:$F$301,3,FALSE())</f>
        <v/>
      </c>
      <c r="Q1097" s="55">
        <f>UPPER(TRIM(K1097))</f>
        <v/>
      </c>
      <c r="R1097" s="55">
        <f>(G1097-O1097)/G1097</f>
        <v/>
      </c>
      <c r="S1097" s="55">
        <f>VLOOKUP(D1097,Products!$A$2:$F$61,6,FALSE())</f>
        <v/>
      </c>
    </row>
    <row r="1098" ht="15" customHeight="1" s="56">
      <c r="A1098" s="55">
        <f>Orders!A1098</f>
        <v/>
      </c>
      <c r="B1098" s="103">
        <f>Orders!B1098</f>
        <v/>
      </c>
      <c r="C1098" s="55">
        <f>Orders!C1098</f>
        <v/>
      </c>
      <c r="D1098" s="55">
        <f>Orders!D1098</f>
        <v/>
      </c>
      <c r="E1098" s="55">
        <f>Orders!E1098</f>
        <v/>
      </c>
      <c r="F1098" s="55">
        <f>Orders!F1098</f>
        <v/>
      </c>
      <c r="G1098" s="55">
        <f>Orders!G1098</f>
        <v/>
      </c>
      <c r="H1098" s="55">
        <f>Orders!H1098</f>
        <v/>
      </c>
      <c r="I1098" s="55">
        <f>Orders!I1098</f>
        <v/>
      </c>
      <c r="J1098" s="55">
        <f>Orders!J1098</f>
        <v/>
      </c>
      <c r="K1098" s="55">
        <f>Orders!K1098</f>
        <v/>
      </c>
      <c r="L1098" s="55">
        <f>VLOOKUP(D1098,Products!$A$2:$F$61,3,FALSE())</f>
        <v/>
      </c>
      <c r="M1098" s="55">
        <f>VLOOKUP(C1098,Customers!$A$2:$F$301,5,FALSE())</f>
        <v/>
      </c>
      <c r="N1098" s="55">
        <f>VLOOKUP(E1098,Sales_Reps!$A$2:$E$31,3,FALSE())</f>
        <v/>
      </c>
      <c r="O1098" s="55">
        <f>VLOOKUP(D1098,Products!$A$2:$F$61,4,FALSE())</f>
        <v/>
      </c>
      <c r="P1098" s="55">
        <f>VLOOKUP(C1098,Customers!$A$2:$F$301,3,FALSE())</f>
        <v/>
      </c>
      <c r="Q1098" s="55">
        <f>UPPER(TRIM(K1098))</f>
        <v/>
      </c>
      <c r="R1098" s="55">
        <f>(G1098-O1098)/G1098</f>
        <v/>
      </c>
      <c r="S1098" s="55">
        <f>VLOOKUP(D1098,Products!$A$2:$F$61,6,FALSE())</f>
        <v/>
      </c>
    </row>
    <row r="1099" ht="15" customHeight="1" s="56">
      <c r="A1099" s="55">
        <f>Orders!A1099</f>
        <v/>
      </c>
      <c r="B1099" s="103">
        <f>Orders!B1099</f>
        <v/>
      </c>
      <c r="C1099" s="55">
        <f>Orders!C1099</f>
        <v/>
      </c>
      <c r="D1099" s="55">
        <f>Orders!D1099</f>
        <v/>
      </c>
      <c r="E1099" s="55">
        <f>Orders!E1099</f>
        <v/>
      </c>
      <c r="F1099" s="55">
        <f>Orders!F1099</f>
        <v/>
      </c>
      <c r="G1099" s="55">
        <f>Orders!G1099</f>
        <v/>
      </c>
      <c r="H1099" s="55">
        <f>Orders!H1099</f>
        <v/>
      </c>
      <c r="I1099" s="55">
        <f>Orders!I1099</f>
        <v/>
      </c>
      <c r="J1099" s="55">
        <f>Orders!J1099</f>
        <v/>
      </c>
      <c r="K1099" s="55">
        <f>Orders!K1099</f>
        <v/>
      </c>
      <c r="L1099" s="55">
        <f>VLOOKUP(D1099,Products!$A$2:$F$61,3,FALSE())</f>
        <v/>
      </c>
      <c r="M1099" s="55">
        <f>VLOOKUP(C1099,Customers!$A$2:$F$301,5,FALSE())</f>
        <v/>
      </c>
      <c r="N1099" s="55">
        <f>VLOOKUP(E1099,Sales_Reps!$A$2:$E$31,3,FALSE())</f>
        <v/>
      </c>
      <c r="O1099" s="55">
        <f>VLOOKUP(D1099,Products!$A$2:$F$61,4,FALSE())</f>
        <v/>
      </c>
      <c r="P1099" s="55">
        <f>VLOOKUP(C1099,Customers!$A$2:$F$301,3,FALSE())</f>
        <v/>
      </c>
      <c r="Q1099" s="55">
        <f>UPPER(TRIM(K1099))</f>
        <v/>
      </c>
      <c r="R1099" s="55">
        <f>(G1099-O1099)/G1099</f>
        <v/>
      </c>
      <c r="S1099" s="55">
        <f>VLOOKUP(D1099,Products!$A$2:$F$61,6,FALSE())</f>
        <v/>
      </c>
    </row>
    <row r="1100" ht="15" customHeight="1" s="56">
      <c r="A1100" s="55">
        <f>Orders!A1100</f>
        <v/>
      </c>
      <c r="B1100" s="103">
        <f>Orders!B1100</f>
        <v/>
      </c>
      <c r="C1100" s="55">
        <f>Orders!C1100</f>
        <v/>
      </c>
      <c r="D1100" s="55">
        <f>Orders!D1100</f>
        <v/>
      </c>
      <c r="E1100" s="55">
        <f>Orders!E1100</f>
        <v/>
      </c>
      <c r="F1100" s="55">
        <f>Orders!F1100</f>
        <v/>
      </c>
      <c r="G1100" s="55">
        <f>Orders!G1100</f>
        <v/>
      </c>
      <c r="H1100" s="55">
        <f>Orders!H1100</f>
        <v/>
      </c>
      <c r="I1100" s="55">
        <f>Orders!I1100</f>
        <v/>
      </c>
      <c r="J1100" s="55">
        <f>Orders!J1100</f>
        <v/>
      </c>
      <c r="K1100" s="55">
        <f>Orders!K1100</f>
        <v/>
      </c>
      <c r="L1100" s="55">
        <f>VLOOKUP(D1100,Products!$A$2:$F$61,3,FALSE())</f>
        <v/>
      </c>
      <c r="M1100" s="55">
        <f>VLOOKUP(C1100,Customers!$A$2:$F$301,5,FALSE())</f>
        <v/>
      </c>
      <c r="N1100" s="55">
        <f>VLOOKUP(E1100,Sales_Reps!$A$2:$E$31,3,FALSE())</f>
        <v/>
      </c>
      <c r="O1100" s="55">
        <f>VLOOKUP(D1100,Products!$A$2:$F$61,4,FALSE())</f>
        <v/>
      </c>
      <c r="P1100" s="55">
        <f>VLOOKUP(C1100,Customers!$A$2:$F$301,3,FALSE())</f>
        <v/>
      </c>
      <c r="Q1100" s="55">
        <f>UPPER(TRIM(K1100))</f>
        <v/>
      </c>
      <c r="R1100" s="55">
        <f>(G1100-O1100)/G1100</f>
        <v/>
      </c>
      <c r="S1100" s="55">
        <f>VLOOKUP(D1100,Products!$A$2:$F$61,6,FALSE())</f>
        <v/>
      </c>
    </row>
    <row r="1101" ht="15" customHeight="1" s="56">
      <c r="A1101" s="55">
        <f>Orders!A1101</f>
        <v/>
      </c>
      <c r="B1101" s="103">
        <f>Orders!B1101</f>
        <v/>
      </c>
      <c r="C1101" s="55">
        <f>Orders!C1101</f>
        <v/>
      </c>
      <c r="D1101" s="55">
        <f>Orders!D1101</f>
        <v/>
      </c>
      <c r="E1101" s="55">
        <f>Orders!E1101</f>
        <v/>
      </c>
      <c r="F1101" s="55">
        <f>Orders!F1101</f>
        <v/>
      </c>
      <c r="G1101" s="55">
        <f>Orders!G1101</f>
        <v/>
      </c>
      <c r="H1101" s="55">
        <f>Orders!H1101</f>
        <v/>
      </c>
      <c r="I1101" s="55">
        <f>Orders!I1101</f>
        <v/>
      </c>
      <c r="J1101" s="55">
        <f>Orders!J1101</f>
        <v/>
      </c>
      <c r="K1101" s="55">
        <f>Orders!K1101</f>
        <v/>
      </c>
      <c r="L1101" s="55">
        <f>VLOOKUP(D1101,Products!$A$2:$F$61,3,FALSE())</f>
        <v/>
      </c>
      <c r="M1101" s="55">
        <f>VLOOKUP(C1101,Customers!$A$2:$F$301,5,FALSE())</f>
        <v/>
      </c>
      <c r="N1101" s="55">
        <f>VLOOKUP(E1101,Sales_Reps!$A$2:$E$31,3,FALSE())</f>
        <v/>
      </c>
      <c r="O1101" s="55">
        <f>VLOOKUP(D1101,Products!$A$2:$F$61,4,FALSE())</f>
        <v/>
      </c>
      <c r="P1101" s="55">
        <f>VLOOKUP(C1101,Customers!$A$2:$F$301,3,FALSE())</f>
        <v/>
      </c>
      <c r="Q1101" s="55">
        <f>UPPER(TRIM(K1101))</f>
        <v/>
      </c>
      <c r="R1101" s="55">
        <f>(G1101-O1101)/G1101</f>
        <v/>
      </c>
      <c r="S1101" s="55">
        <f>VLOOKUP(D1101,Products!$A$2:$F$61,6,FALSE())</f>
        <v/>
      </c>
    </row>
    <row r="1102" ht="15" customHeight="1" s="56">
      <c r="A1102" s="55">
        <f>Orders!A1102</f>
        <v/>
      </c>
      <c r="B1102" s="103">
        <f>Orders!B1102</f>
        <v/>
      </c>
      <c r="C1102" s="55">
        <f>Orders!C1102</f>
        <v/>
      </c>
      <c r="D1102" s="55">
        <f>Orders!D1102</f>
        <v/>
      </c>
      <c r="E1102" s="55">
        <f>Orders!E1102</f>
        <v/>
      </c>
      <c r="F1102" s="55">
        <f>Orders!F1102</f>
        <v/>
      </c>
      <c r="G1102" s="55">
        <f>Orders!G1102</f>
        <v/>
      </c>
      <c r="H1102" s="55">
        <f>Orders!H1102</f>
        <v/>
      </c>
      <c r="I1102" s="55">
        <f>Orders!I1102</f>
        <v/>
      </c>
      <c r="J1102" s="55">
        <f>Orders!J1102</f>
        <v/>
      </c>
      <c r="K1102" s="55">
        <f>Orders!K1102</f>
        <v/>
      </c>
      <c r="L1102" s="55">
        <f>VLOOKUP(D1102,Products!$A$2:$F$61,3,FALSE())</f>
        <v/>
      </c>
      <c r="M1102" s="55">
        <f>VLOOKUP(C1102,Customers!$A$2:$F$301,5,FALSE())</f>
        <v/>
      </c>
      <c r="N1102" s="55">
        <f>VLOOKUP(E1102,Sales_Reps!$A$2:$E$31,3,FALSE())</f>
        <v/>
      </c>
      <c r="O1102" s="55">
        <f>VLOOKUP(D1102,Products!$A$2:$F$61,4,FALSE())</f>
        <v/>
      </c>
      <c r="P1102" s="55">
        <f>VLOOKUP(C1102,Customers!$A$2:$F$301,3,FALSE())</f>
        <v/>
      </c>
      <c r="Q1102" s="55">
        <f>UPPER(TRIM(K1102))</f>
        <v/>
      </c>
      <c r="R1102" s="55">
        <f>(G1102-O1102)/G1102</f>
        <v/>
      </c>
      <c r="S1102" s="55">
        <f>VLOOKUP(D1102,Products!$A$2:$F$61,6,FALSE())</f>
        <v/>
      </c>
    </row>
    <row r="1103" ht="15" customHeight="1" s="56">
      <c r="A1103" s="55">
        <f>Orders!A1103</f>
        <v/>
      </c>
      <c r="B1103" s="103">
        <f>Orders!B1103</f>
        <v/>
      </c>
      <c r="C1103" s="55">
        <f>Orders!C1103</f>
        <v/>
      </c>
      <c r="D1103" s="55">
        <f>Orders!D1103</f>
        <v/>
      </c>
      <c r="E1103" s="55">
        <f>Orders!E1103</f>
        <v/>
      </c>
      <c r="F1103" s="55">
        <f>Orders!F1103</f>
        <v/>
      </c>
      <c r="G1103" s="55">
        <f>Orders!G1103</f>
        <v/>
      </c>
      <c r="H1103" s="55">
        <f>Orders!H1103</f>
        <v/>
      </c>
      <c r="I1103" s="55">
        <f>Orders!I1103</f>
        <v/>
      </c>
      <c r="J1103" s="55">
        <f>Orders!J1103</f>
        <v/>
      </c>
      <c r="K1103" s="55">
        <f>Orders!K1103</f>
        <v/>
      </c>
      <c r="L1103" s="55">
        <f>VLOOKUP(D1103,Products!$A$2:$F$61,3,FALSE())</f>
        <v/>
      </c>
      <c r="M1103" s="55">
        <f>VLOOKUP(C1103,Customers!$A$2:$F$301,5,FALSE())</f>
        <v/>
      </c>
      <c r="N1103" s="55">
        <f>VLOOKUP(E1103,Sales_Reps!$A$2:$E$31,3,FALSE())</f>
        <v/>
      </c>
      <c r="O1103" s="55">
        <f>VLOOKUP(D1103,Products!$A$2:$F$61,4,FALSE())</f>
        <v/>
      </c>
      <c r="P1103" s="55">
        <f>VLOOKUP(C1103,Customers!$A$2:$F$301,3,FALSE())</f>
        <v/>
      </c>
      <c r="Q1103" s="55">
        <f>UPPER(TRIM(K1103))</f>
        <v/>
      </c>
      <c r="R1103" s="55">
        <f>(G1103-O1103)/G1103</f>
        <v/>
      </c>
      <c r="S1103" s="55">
        <f>VLOOKUP(D1103,Products!$A$2:$F$61,6,FALSE())</f>
        <v/>
      </c>
    </row>
    <row r="1104" ht="15" customHeight="1" s="56">
      <c r="A1104" s="55">
        <f>Orders!A1104</f>
        <v/>
      </c>
      <c r="B1104" s="103">
        <f>Orders!B1104</f>
        <v/>
      </c>
      <c r="C1104" s="55">
        <f>Orders!C1104</f>
        <v/>
      </c>
      <c r="D1104" s="55">
        <f>Orders!D1104</f>
        <v/>
      </c>
      <c r="E1104" s="55">
        <f>Orders!E1104</f>
        <v/>
      </c>
      <c r="F1104" s="55">
        <f>Orders!F1104</f>
        <v/>
      </c>
      <c r="G1104" s="55">
        <f>Orders!G1104</f>
        <v/>
      </c>
      <c r="H1104" s="55">
        <f>Orders!H1104</f>
        <v/>
      </c>
      <c r="I1104" s="55">
        <f>Orders!I1104</f>
        <v/>
      </c>
      <c r="J1104" s="55">
        <f>Orders!J1104</f>
        <v/>
      </c>
      <c r="K1104" s="55">
        <f>Orders!K1104</f>
        <v/>
      </c>
      <c r="L1104" s="55">
        <f>VLOOKUP(D1104,Products!$A$2:$F$61,3,FALSE())</f>
        <v/>
      </c>
      <c r="M1104" s="55">
        <f>VLOOKUP(C1104,Customers!$A$2:$F$301,5,FALSE())</f>
        <v/>
      </c>
      <c r="N1104" s="55">
        <f>VLOOKUP(E1104,Sales_Reps!$A$2:$E$31,3,FALSE())</f>
        <v/>
      </c>
      <c r="O1104" s="55">
        <f>VLOOKUP(D1104,Products!$A$2:$F$61,4,FALSE())</f>
        <v/>
      </c>
      <c r="P1104" s="55">
        <f>VLOOKUP(C1104,Customers!$A$2:$F$301,3,FALSE())</f>
        <v/>
      </c>
      <c r="Q1104" s="55">
        <f>UPPER(TRIM(K1104))</f>
        <v/>
      </c>
      <c r="R1104" s="55">
        <f>(G1104-O1104)/G1104</f>
        <v/>
      </c>
      <c r="S1104" s="55">
        <f>VLOOKUP(D1104,Products!$A$2:$F$61,6,FALSE())</f>
        <v/>
      </c>
    </row>
    <row r="1105" ht="15" customHeight="1" s="56">
      <c r="A1105" s="55">
        <f>Orders!A1105</f>
        <v/>
      </c>
      <c r="B1105" s="103">
        <f>Orders!B1105</f>
        <v/>
      </c>
      <c r="C1105" s="55">
        <f>Orders!C1105</f>
        <v/>
      </c>
      <c r="D1105" s="55">
        <f>Orders!D1105</f>
        <v/>
      </c>
      <c r="E1105" s="55">
        <f>Orders!E1105</f>
        <v/>
      </c>
      <c r="F1105" s="55">
        <f>Orders!F1105</f>
        <v/>
      </c>
      <c r="G1105" s="55">
        <f>Orders!G1105</f>
        <v/>
      </c>
      <c r="H1105" s="55">
        <f>Orders!H1105</f>
        <v/>
      </c>
      <c r="I1105" s="55">
        <f>Orders!I1105</f>
        <v/>
      </c>
      <c r="J1105" s="55">
        <f>Orders!J1105</f>
        <v/>
      </c>
      <c r="K1105" s="55">
        <f>Orders!K1105</f>
        <v/>
      </c>
      <c r="L1105" s="55">
        <f>VLOOKUP(D1105,Products!$A$2:$F$61,3,FALSE())</f>
        <v/>
      </c>
      <c r="M1105" s="55">
        <f>VLOOKUP(C1105,Customers!$A$2:$F$301,5,FALSE())</f>
        <v/>
      </c>
      <c r="N1105" s="55">
        <f>VLOOKUP(E1105,Sales_Reps!$A$2:$E$31,3,FALSE())</f>
        <v/>
      </c>
      <c r="O1105" s="55">
        <f>VLOOKUP(D1105,Products!$A$2:$F$61,4,FALSE())</f>
        <v/>
      </c>
      <c r="P1105" s="55">
        <f>VLOOKUP(C1105,Customers!$A$2:$F$301,3,FALSE())</f>
        <v/>
      </c>
      <c r="Q1105" s="55">
        <f>UPPER(TRIM(K1105))</f>
        <v/>
      </c>
      <c r="R1105" s="55">
        <f>(G1105-O1105)/G1105</f>
        <v/>
      </c>
      <c r="S1105" s="55">
        <f>VLOOKUP(D1105,Products!$A$2:$F$61,6,FALSE())</f>
        <v/>
      </c>
    </row>
    <row r="1106" ht="15" customHeight="1" s="56">
      <c r="A1106" s="55">
        <f>Orders!A1106</f>
        <v/>
      </c>
      <c r="B1106" s="103">
        <f>Orders!B1106</f>
        <v/>
      </c>
      <c r="C1106" s="55">
        <f>Orders!C1106</f>
        <v/>
      </c>
      <c r="D1106" s="55">
        <f>Orders!D1106</f>
        <v/>
      </c>
      <c r="E1106" s="55">
        <f>Orders!E1106</f>
        <v/>
      </c>
      <c r="F1106" s="55">
        <f>Orders!F1106</f>
        <v/>
      </c>
      <c r="G1106" s="55">
        <f>Orders!G1106</f>
        <v/>
      </c>
      <c r="H1106" s="55">
        <f>Orders!H1106</f>
        <v/>
      </c>
      <c r="I1106" s="55">
        <f>Orders!I1106</f>
        <v/>
      </c>
      <c r="J1106" s="55">
        <f>Orders!J1106</f>
        <v/>
      </c>
      <c r="K1106" s="55">
        <f>Orders!K1106</f>
        <v/>
      </c>
      <c r="L1106" s="55">
        <f>VLOOKUP(D1106,Products!$A$2:$F$61,3,FALSE())</f>
        <v/>
      </c>
      <c r="M1106" s="55">
        <f>VLOOKUP(C1106,Customers!$A$2:$F$301,5,FALSE())</f>
        <v/>
      </c>
      <c r="N1106" s="55">
        <f>VLOOKUP(E1106,Sales_Reps!$A$2:$E$31,3,FALSE())</f>
        <v/>
      </c>
      <c r="O1106" s="55">
        <f>VLOOKUP(D1106,Products!$A$2:$F$61,4,FALSE())</f>
        <v/>
      </c>
      <c r="P1106" s="55">
        <f>VLOOKUP(C1106,Customers!$A$2:$F$301,3,FALSE())</f>
        <v/>
      </c>
      <c r="Q1106" s="55">
        <f>UPPER(TRIM(K1106))</f>
        <v/>
      </c>
      <c r="R1106" s="55">
        <f>(G1106-O1106)/G1106</f>
        <v/>
      </c>
      <c r="S1106" s="55">
        <f>VLOOKUP(D1106,Products!$A$2:$F$61,6,FALSE())</f>
        <v/>
      </c>
    </row>
    <row r="1107" ht="15" customHeight="1" s="56">
      <c r="A1107" s="55">
        <f>Orders!A1107</f>
        <v/>
      </c>
      <c r="B1107" s="103">
        <f>Orders!B1107</f>
        <v/>
      </c>
      <c r="C1107" s="55">
        <f>Orders!C1107</f>
        <v/>
      </c>
      <c r="D1107" s="55">
        <f>Orders!D1107</f>
        <v/>
      </c>
      <c r="E1107" s="55">
        <f>Orders!E1107</f>
        <v/>
      </c>
      <c r="F1107" s="55">
        <f>Orders!F1107</f>
        <v/>
      </c>
      <c r="G1107" s="55">
        <f>Orders!G1107</f>
        <v/>
      </c>
      <c r="H1107" s="55">
        <f>Orders!H1107</f>
        <v/>
      </c>
      <c r="I1107" s="55">
        <f>Orders!I1107</f>
        <v/>
      </c>
      <c r="J1107" s="55">
        <f>Orders!J1107</f>
        <v/>
      </c>
      <c r="K1107" s="55">
        <f>Orders!K1107</f>
        <v/>
      </c>
      <c r="L1107" s="55">
        <f>VLOOKUP(D1107,Products!$A$2:$F$61,3,FALSE())</f>
        <v/>
      </c>
      <c r="M1107" s="55">
        <f>VLOOKUP(C1107,Customers!$A$2:$F$301,5,FALSE())</f>
        <v/>
      </c>
      <c r="N1107" s="55">
        <f>VLOOKUP(E1107,Sales_Reps!$A$2:$E$31,3,FALSE())</f>
        <v/>
      </c>
      <c r="O1107" s="55">
        <f>VLOOKUP(D1107,Products!$A$2:$F$61,4,FALSE())</f>
        <v/>
      </c>
      <c r="P1107" s="55">
        <f>VLOOKUP(C1107,Customers!$A$2:$F$301,3,FALSE())</f>
        <v/>
      </c>
      <c r="Q1107" s="55">
        <f>UPPER(TRIM(K1107))</f>
        <v/>
      </c>
      <c r="R1107" s="55">
        <f>(G1107-O1107)/G1107</f>
        <v/>
      </c>
      <c r="S1107" s="55">
        <f>VLOOKUP(D1107,Products!$A$2:$F$61,6,FALSE())</f>
        <v/>
      </c>
    </row>
    <row r="1108" ht="15" customHeight="1" s="56">
      <c r="A1108" s="55">
        <f>Orders!A1108</f>
        <v/>
      </c>
      <c r="B1108" s="103">
        <f>Orders!B1108</f>
        <v/>
      </c>
      <c r="C1108" s="55">
        <f>Orders!C1108</f>
        <v/>
      </c>
      <c r="D1108" s="55">
        <f>Orders!D1108</f>
        <v/>
      </c>
      <c r="E1108" s="55">
        <f>Orders!E1108</f>
        <v/>
      </c>
      <c r="F1108" s="55">
        <f>Orders!F1108</f>
        <v/>
      </c>
      <c r="G1108" s="55">
        <f>Orders!G1108</f>
        <v/>
      </c>
      <c r="H1108" s="55">
        <f>Orders!H1108</f>
        <v/>
      </c>
      <c r="I1108" s="55">
        <f>Orders!I1108</f>
        <v/>
      </c>
      <c r="J1108" s="55">
        <f>Orders!J1108</f>
        <v/>
      </c>
      <c r="K1108" s="55">
        <f>Orders!K1108</f>
        <v/>
      </c>
      <c r="L1108" s="55">
        <f>VLOOKUP(D1108,Products!$A$2:$F$61,3,FALSE())</f>
        <v/>
      </c>
      <c r="M1108" s="55">
        <f>VLOOKUP(C1108,Customers!$A$2:$F$301,5,FALSE())</f>
        <v/>
      </c>
      <c r="N1108" s="55">
        <f>VLOOKUP(E1108,Sales_Reps!$A$2:$E$31,3,FALSE())</f>
        <v/>
      </c>
      <c r="O1108" s="55">
        <f>VLOOKUP(D1108,Products!$A$2:$F$61,4,FALSE())</f>
        <v/>
      </c>
      <c r="P1108" s="55">
        <f>VLOOKUP(C1108,Customers!$A$2:$F$301,3,FALSE())</f>
        <v/>
      </c>
      <c r="Q1108" s="55">
        <f>UPPER(TRIM(K1108))</f>
        <v/>
      </c>
      <c r="R1108" s="55">
        <f>(G1108-O1108)/G1108</f>
        <v/>
      </c>
      <c r="S1108" s="55">
        <f>VLOOKUP(D1108,Products!$A$2:$F$61,6,FALSE())</f>
        <v/>
      </c>
    </row>
    <row r="1109" ht="15" customHeight="1" s="56">
      <c r="A1109" s="55">
        <f>Orders!A1109</f>
        <v/>
      </c>
      <c r="B1109" s="103">
        <f>Orders!B1109</f>
        <v/>
      </c>
      <c r="C1109" s="55">
        <f>Orders!C1109</f>
        <v/>
      </c>
      <c r="D1109" s="55">
        <f>Orders!D1109</f>
        <v/>
      </c>
      <c r="E1109" s="55">
        <f>Orders!E1109</f>
        <v/>
      </c>
      <c r="F1109" s="55">
        <f>Orders!F1109</f>
        <v/>
      </c>
      <c r="G1109" s="55">
        <f>Orders!G1109</f>
        <v/>
      </c>
      <c r="H1109" s="55">
        <f>Orders!H1109</f>
        <v/>
      </c>
      <c r="I1109" s="55">
        <f>Orders!I1109</f>
        <v/>
      </c>
      <c r="J1109" s="55">
        <f>Orders!J1109</f>
        <v/>
      </c>
      <c r="K1109" s="55">
        <f>Orders!K1109</f>
        <v/>
      </c>
      <c r="L1109" s="55">
        <f>VLOOKUP(D1109,Products!$A$2:$F$61,3,FALSE())</f>
        <v/>
      </c>
      <c r="M1109" s="55">
        <f>VLOOKUP(C1109,Customers!$A$2:$F$301,5,FALSE())</f>
        <v/>
      </c>
      <c r="N1109" s="55">
        <f>VLOOKUP(E1109,Sales_Reps!$A$2:$E$31,3,FALSE())</f>
        <v/>
      </c>
      <c r="O1109" s="55">
        <f>VLOOKUP(D1109,Products!$A$2:$F$61,4,FALSE())</f>
        <v/>
      </c>
      <c r="P1109" s="55">
        <f>VLOOKUP(C1109,Customers!$A$2:$F$301,3,FALSE())</f>
        <v/>
      </c>
      <c r="Q1109" s="55">
        <f>UPPER(TRIM(K1109))</f>
        <v/>
      </c>
      <c r="R1109" s="55">
        <f>(G1109-O1109)/G1109</f>
        <v/>
      </c>
      <c r="S1109" s="55">
        <f>VLOOKUP(D1109,Products!$A$2:$F$61,6,FALSE())</f>
        <v/>
      </c>
    </row>
    <row r="1110" ht="15" customHeight="1" s="56">
      <c r="A1110" s="55">
        <f>Orders!A1110</f>
        <v/>
      </c>
      <c r="B1110" s="103">
        <f>Orders!B1110</f>
        <v/>
      </c>
      <c r="C1110" s="55">
        <f>Orders!C1110</f>
        <v/>
      </c>
      <c r="D1110" s="55">
        <f>Orders!D1110</f>
        <v/>
      </c>
      <c r="E1110" s="55">
        <f>Orders!E1110</f>
        <v/>
      </c>
      <c r="F1110" s="55">
        <f>Orders!F1110</f>
        <v/>
      </c>
      <c r="G1110" s="55">
        <f>Orders!G1110</f>
        <v/>
      </c>
      <c r="H1110" s="55">
        <f>Orders!H1110</f>
        <v/>
      </c>
      <c r="I1110" s="55">
        <f>Orders!I1110</f>
        <v/>
      </c>
      <c r="J1110" s="55">
        <f>Orders!J1110</f>
        <v/>
      </c>
      <c r="K1110" s="55">
        <f>Orders!K1110</f>
        <v/>
      </c>
      <c r="L1110" s="55">
        <f>VLOOKUP(D1110,Products!$A$2:$F$61,3,FALSE())</f>
        <v/>
      </c>
      <c r="M1110" s="55">
        <f>VLOOKUP(C1110,Customers!$A$2:$F$301,5,FALSE())</f>
        <v/>
      </c>
      <c r="N1110" s="55">
        <f>VLOOKUP(E1110,Sales_Reps!$A$2:$E$31,3,FALSE())</f>
        <v/>
      </c>
      <c r="O1110" s="55">
        <f>VLOOKUP(D1110,Products!$A$2:$F$61,4,FALSE())</f>
        <v/>
      </c>
      <c r="P1110" s="55">
        <f>VLOOKUP(C1110,Customers!$A$2:$F$301,3,FALSE())</f>
        <v/>
      </c>
      <c r="Q1110" s="55">
        <f>UPPER(TRIM(K1110))</f>
        <v/>
      </c>
      <c r="R1110" s="55">
        <f>(G1110-O1110)/G1110</f>
        <v/>
      </c>
      <c r="S1110" s="55">
        <f>VLOOKUP(D1110,Products!$A$2:$F$61,6,FALSE())</f>
        <v/>
      </c>
    </row>
    <row r="1111" ht="15" customHeight="1" s="56">
      <c r="A1111" s="55">
        <f>Orders!A1111</f>
        <v/>
      </c>
      <c r="B1111" s="103">
        <f>Orders!B1111</f>
        <v/>
      </c>
      <c r="C1111" s="55">
        <f>Orders!C1111</f>
        <v/>
      </c>
      <c r="D1111" s="55">
        <f>Orders!D1111</f>
        <v/>
      </c>
      <c r="E1111" s="55">
        <f>Orders!E1111</f>
        <v/>
      </c>
      <c r="F1111" s="55">
        <f>Orders!F1111</f>
        <v/>
      </c>
      <c r="G1111" s="55">
        <f>Orders!G1111</f>
        <v/>
      </c>
      <c r="H1111" s="55">
        <f>Orders!H1111</f>
        <v/>
      </c>
      <c r="I1111" s="55">
        <f>Orders!I1111</f>
        <v/>
      </c>
      <c r="J1111" s="55">
        <f>Orders!J1111</f>
        <v/>
      </c>
      <c r="K1111" s="55">
        <f>Orders!K1111</f>
        <v/>
      </c>
      <c r="L1111" s="55">
        <f>VLOOKUP(D1111,Products!$A$2:$F$61,3,FALSE())</f>
        <v/>
      </c>
      <c r="M1111" s="55">
        <f>VLOOKUP(C1111,Customers!$A$2:$F$301,5,FALSE())</f>
        <v/>
      </c>
      <c r="N1111" s="55">
        <f>VLOOKUP(E1111,Sales_Reps!$A$2:$E$31,3,FALSE())</f>
        <v/>
      </c>
      <c r="O1111" s="55">
        <f>VLOOKUP(D1111,Products!$A$2:$F$61,4,FALSE())</f>
        <v/>
      </c>
      <c r="P1111" s="55">
        <f>VLOOKUP(C1111,Customers!$A$2:$F$301,3,FALSE())</f>
        <v/>
      </c>
      <c r="Q1111" s="55">
        <f>UPPER(TRIM(K1111))</f>
        <v/>
      </c>
      <c r="R1111" s="55">
        <f>(G1111-O1111)/G1111</f>
        <v/>
      </c>
      <c r="S1111" s="55">
        <f>VLOOKUP(D1111,Products!$A$2:$F$61,6,FALSE())</f>
        <v/>
      </c>
    </row>
    <row r="1112" ht="15" customHeight="1" s="56">
      <c r="A1112" s="55">
        <f>Orders!A1112</f>
        <v/>
      </c>
      <c r="B1112" s="103">
        <f>Orders!B1112</f>
        <v/>
      </c>
      <c r="C1112" s="55">
        <f>Orders!C1112</f>
        <v/>
      </c>
      <c r="D1112" s="55">
        <f>Orders!D1112</f>
        <v/>
      </c>
      <c r="E1112" s="55">
        <f>Orders!E1112</f>
        <v/>
      </c>
      <c r="F1112" s="55">
        <f>Orders!F1112</f>
        <v/>
      </c>
      <c r="G1112" s="55">
        <f>Orders!G1112</f>
        <v/>
      </c>
      <c r="H1112" s="55">
        <f>Orders!H1112</f>
        <v/>
      </c>
      <c r="I1112" s="55">
        <f>Orders!I1112</f>
        <v/>
      </c>
      <c r="J1112" s="55">
        <f>Orders!J1112</f>
        <v/>
      </c>
      <c r="K1112" s="55">
        <f>Orders!K1112</f>
        <v/>
      </c>
      <c r="L1112" s="55">
        <f>VLOOKUP(D1112,Products!$A$2:$F$61,3,FALSE())</f>
        <v/>
      </c>
      <c r="M1112" s="55">
        <f>VLOOKUP(C1112,Customers!$A$2:$F$301,5,FALSE())</f>
        <v/>
      </c>
      <c r="N1112" s="55">
        <f>VLOOKUP(E1112,Sales_Reps!$A$2:$E$31,3,FALSE())</f>
        <v/>
      </c>
      <c r="O1112" s="55">
        <f>VLOOKUP(D1112,Products!$A$2:$F$61,4,FALSE())</f>
        <v/>
      </c>
      <c r="P1112" s="55">
        <f>VLOOKUP(C1112,Customers!$A$2:$F$301,3,FALSE())</f>
        <v/>
      </c>
      <c r="Q1112" s="55">
        <f>UPPER(TRIM(K1112))</f>
        <v/>
      </c>
      <c r="R1112" s="55">
        <f>(G1112-O1112)/G1112</f>
        <v/>
      </c>
      <c r="S1112" s="55">
        <f>VLOOKUP(D1112,Products!$A$2:$F$61,6,FALSE())</f>
        <v/>
      </c>
    </row>
    <row r="1113" ht="15" customHeight="1" s="56">
      <c r="A1113" s="55">
        <f>Orders!A1113</f>
        <v/>
      </c>
      <c r="B1113" s="103">
        <f>Orders!B1113</f>
        <v/>
      </c>
      <c r="C1113" s="55">
        <f>Orders!C1113</f>
        <v/>
      </c>
      <c r="D1113" s="55">
        <f>Orders!D1113</f>
        <v/>
      </c>
      <c r="E1113" s="55">
        <f>Orders!E1113</f>
        <v/>
      </c>
      <c r="F1113" s="55">
        <f>Orders!F1113</f>
        <v/>
      </c>
      <c r="G1113" s="55">
        <f>Orders!G1113</f>
        <v/>
      </c>
      <c r="H1113" s="55">
        <f>Orders!H1113</f>
        <v/>
      </c>
      <c r="I1113" s="55">
        <f>Orders!I1113</f>
        <v/>
      </c>
      <c r="J1113" s="55">
        <f>Orders!J1113</f>
        <v/>
      </c>
      <c r="K1113" s="55">
        <f>Orders!K1113</f>
        <v/>
      </c>
      <c r="L1113" s="55">
        <f>VLOOKUP(D1113,Products!$A$2:$F$61,3,FALSE())</f>
        <v/>
      </c>
      <c r="M1113" s="55">
        <f>VLOOKUP(C1113,Customers!$A$2:$F$301,5,FALSE())</f>
        <v/>
      </c>
      <c r="N1113" s="55">
        <f>VLOOKUP(E1113,Sales_Reps!$A$2:$E$31,3,FALSE())</f>
        <v/>
      </c>
      <c r="O1113" s="55">
        <f>VLOOKUP(D1113,Products!$A$2:$F$61,4,FALSE())</f>
        <v/>
      </c>
      <c r="P1113" s="55">
        <f>VLOOKUP(C1113,Customers!$A$2:$F$301,3,FALSE())</f>
        <v/>
      </c>
      <c r="Q1113" s="55">
        <f>UPPER(TRIM(K1113))</f>
        <v/>
      </c>
      <c r="R1113" s="55">
        <f>(G1113-O1113)/G1113</f>
        <v/>
      </c>
      <c r="S1113" s="55">
        <f>VLOOKUP(D1113,Products!$A$2:$F$61,6,FALSE())</f>
        <v/>
      </c>
    </row>
    <row r="1114" ht="15" customHeight="1" s="56">
      <c r="A1114" s="55">
        <f>Orders!A1114</f>
        <v/>
      </c>
      <c r="B1114" s="103">
        <f>Orders!B1114</f>
        <v/>
      </c>
      <c r="C1114" s="55">
        <f>Orders!C1114</f>
        <v/>
      </c>
      <c r="D1114" s="55">
        <f>Orders!D1114</f>
        <v/>
      </c>
      <c r="E1114" s="55">
        <f>Orders!E1114</f>
        <v/>
      </c>
      <c r="F1114" s="55">
        <f>Orders!F1114</f>
        <v/>
      </c>
      <c r="G1114" s="55">
        <f>Orders!G1114</f>
        <v/>
      </c>
      <c r="H1114" s="55">
        <f>Orders!H1114</f>
        <v/>
      </c>
      <c r="I1114" s="55">
        <f>Orders!I1114</f>
        <v/>
      </c>
      <c r="J1114" s="55">
        <f>Orders!J1114</f>
        <v/>
      </c>
      <c r="K1114" s="55">
        <f>Orders!K1114</f>
        <v/>
      </c>
      <c r="L1114" s="55">
        <f>VLOOKUP(D1114,Products!$A$2:$F$61,3,FALSE())</f>
        <v/>
      </c>
      <c r="M1114" s="55">
        <f>VLOOKUP(C1114,Customers!$A$2:$F$301,5,FALSE())</f>
        <v/>
      </c>
      <c r="N1114" s="55">
        <f>VLOOKUP(E1114,Sales_Reps!$A$2:$E$31,3,FALSE())</f>
        <v/>
      </c>
      <c r="O1114" s="55">
        <f>VLOOKUP(D1114,Products!$A$2:$F$61,4,FALSE())</f>
        <v/>
      </c>
      <c r="P1114" s="55">
        <f>VLOOKUP(C1114,Customers!$A$2:$F$301,3,FALSE())</f>
        <v/>
      </c>
      <c r="Q1114" s="55">
        <f>UPPER(TRIM(K1114))</f>
        <v/>
      </c>
      <c r="R1114" s="55">
        <f>(G1114-O1114)/G1114</f>
        <v/>
      </c>
      <c r="S1114" s="55">
        <f>VLOOKUP(D1114,Products!$A$2:$F$61,6,FALSE())</f>
        <v/>
      </c>
    </row>
    <row r="1115" ht="15" customHeight="1" s="56">
      <c r="A1115" s="55">
        <f>Orders!A1115</f>
        <v/>
      </c>
      <c r="B1115" s="103">
        <f>Orders!B1115</f>
        <v/>
      </c>
      <c r="C1115" s="55">
        <f>Orders!C1115</f>
        <v/>
      </c>
      <c r="D1115" s="55">
        <f>Orders!D1115</f>
        <v/>
      </c>
      <c r="E1115" s="55">
        <f>Orders!E1115</f>
        <v/>
      </c>
      <c r="F1115" s="55">
        <f>Orders!F1115</f>
        <v/>
      </c>
      <c r="G1115" s="55">
        <f>Orders!G1115</f>
        <v/>
      </c>
      <c r="H1115" s="55">
        <f>Orders!H1115</f>
        <v/>
      </c>
      <c r="I1115" s="55">
        <f>Orders!I1115</f>
        <v/>
      </c>
      <c r="J1115" s="55">
        <f>Orders!J1115</f>
        <v/>
      </c>
      <c r="K1115" s="55">
        <f>Orders!K1115</f>
        <v/>
      </c>
      <c r="L1115" s="55">
        <f>VLOOKUP(D1115,Products!$A$2:$F$61,3,FALSE())</f>
        <v/>
      </c>
      <c r="M1115" s="55">
        <f>VLOOKUP(C1115,Customers!$A$2:$F$301,5,FALSE())</f>
        <v/>
      </c>
      <c r="N1115" s="55">
        <f>VLOOKUP(E1115,Sales_Reps!$A$2:$E$31,3,FALSE())</f>
        <v/>
      </c>
      <c r="O1115" s="55">
        <f>VLOOKUP(D1115,Products!$A$2:$F$61,4,FALSE())</f>
        <v/>
      </c>
      <c r="P1115" s="55">
        <f>VLOOKUP(C1115,Customers!$A$2:$F$301,3,FALSE())</f>
        <v/>
      </c>
      <c r="Q1115" s="55">
        <f>UPPER(TRIM(K1115))</f>
        <v/>
      </c>
      <c r="R1115" s="55">
        <f>(G1115-O1115)/G1115</f>
        <v/>
      </c>
      <c r="S1115" s="55">
        <f>VLOOKUP(D1115,Products!$A$2:$F$61,6,FALSE())</f>
        <v/>
      </c>
    </row>
    <row r="1116" ht="15" customHeight="1" s="56">
      <c r="A1116" s="55">
        <f>Orders!A1116</f>
        <v/>
      </c>
      <c r="B1116" s="103">
        <f>Orders!B1116</f>
        <v/>
      </c>
      <c r="C1116" s="55">
        <f>Orders!C1116</f>
        <v/>
      </c>
      <c r="D1116" s="55">
        <f>Orders!D1116</f>
        <v/>
      </c>
      <c r="E1116" s="55">
        <f>Orders!E1116</f>
        <v/>
      </c>
      <c r="F1116" s="55">
        <f>Orders!F1116</f>
        <v/>
      </c>
      <c r="G1116" s="55">
        <f>Orders!G1116</f>
        <v/>
      </c>
      <c r="H1116" s="55">
        <f>Orders!H1116</f>
        <v/>
      </c>
      <c r="I1116" s="55">
        <f>Orders!I1116</f>
        <v/>
      </c>
      <c r="J1116" s="55">
        <f>Orders!J1116</f>
        <v/>
      </c>
      <c r="K1116" s="55">
        <f>Orders!K1116</f>
        <v/>
      </c>
      <c r="L1116" s="55">
        <f>VLOOKUP(D1116,Products!$A$2:$F$61,3,FALSE())</f>
        <v/>
      </c>
      <c r="M1116" s="55">
        <f>VLOOKUP(C1116,Customers!$A$2:$F$301,5,FALSE())</f>
        <v/>
      </c>
      <c r="N1116" s="55">
        <f>VLOOKUP(E1116,Sales_Reps!$A$2:$E$31,3,FALSE())</f>
        <v/>
      </c>
      <c r="O1116" s="55">
        <f>VLOOKUP(D1116,Products!$A$2:$F$61,4,FALSE())</f>
        <v/>
      </c>
      <c r="P1116" s="55">
        <f>VLOOKUP(C1116,Customers!$A$2:$F$301,3,FALSE())</f>
        <v/>
      </c>
      <c r="Q1116" s="55">
        <f>UPPER(TRIM(K1116))</f>
        <v/>
      </c>
      <c r="R1116" s="55">
        <f>(G1116-O1116)/G1116</f>
        <v/>
      </c>
      <c r="S1116" s="55">
        <f>VLOOKUP(D1116,Products!$A$2:$F$61,6,FALSE())</f>
        <v/>
      </c>
    </row>
    <row r="1117" ht="15" customHeight="1" s="56">
      <c r="A1117" s="55">
        <f>Orders!A1117</f>
        <v/>
      </c>
      <c r="B1117" s="103">
        <f>Orders!B1117</f>
        <v/>
      </c>
      <c r="C1117" s="55">
        <f>Orders!C1117</f>
        <v/>
      </c>
      <c r="D1117" s="55">
        <f>Orders!D1117</f>
        <v/>
      </c>
      <c r="E1117" s="55">
        <f>Orders!E1117</f>
        <v/>
      </c>
      <c r="F1117" s="55">
        <f>Orders!F1117</f>
        <v/>
      </c>
      <c r="G1117" s="55">
        <f>Orders!G1117</f>
        <v/>
      </c>
      <c r="H1117" s="55">
        <f>Orders!H1117</f>
        <v/>
      </c>
      <c r="I1117" s="55">
        <f>Orders!I1117</f>
        <v/>
      </c>
      <c r="J1117" s="55">
        <f>Orders!J1117</f>
        <v/>
      </c>
      <c r="K1117" s="55">
        <f>Orders!K1117</f>
        <v/>
      </c>
      <c r="L1117" s="55">
        <f>VLOOKUP(D1117,Products!$A$2:$F$61,3,FALSE())</f>
        <v/>
      </c>
      <c r="M1117" s="55">
        <f>VLOOKUP(C1117,Customers!$A$2:$F$301,5,FALSE())</f>
        <v/>
      </c>
      <c r="N1117" s="55">
        <f>VLOOKUP(E1117,Sales_Reps!$A$2:$E$31,3,FALSE())</f>
        <v/>
      </c>
      <c r="O1117" s="55">
        <f>VLOOKUP(D1117,Products!$A$2:$F$61,4,FALSE())</f>
        <v/>
      </c>
      <c r="P1117" s="55">
        <f>VLOOKUP(C1117,Customers!$A$2:$F$301,3,FALSE())</f>
        <v/>
      </c>
      <c r="Q1117" s="55">
        <f>UPPER(TRIM(K1117))</f>
        <v/>
      </c>
      <c r="R1117" s="55">
        <f>(G1117-O1117)/G1117</f>
        <v/>
      </c>
      <c r="S1117" s="55">
        <f>VLOOKUP(D1117,Products!$A$2:$F$61,6,FALSE())</f>
        <v/>
      </c>
    </row>
    <row r="1118" ht="15" customHeight="1" s="56">
      <c r="A1118" s="55">
        <f>Orders!A1118</f>
        <v/>
      </c>
      <c r="B1118" s="103">
        <f>Orders!B1118</f>
        <v/>
      </c>
      <c r="C1118" s="55">
        <f>Orders!C1118</f>
        <v/>
      </c>
      <c r="D1118" s="55">
        <f>Orders!D1118</f>
        <v/>
      </c>
      <c r="E1118" s="55">
        <f>Orders!E1118</f>
        <v/>
      </c>
      <c r="F1118" s="55">
        <f>Orders!F1118</f>
        <v/>
      </c>
      <c r="G1118" s="55">
        <f>Orders!G1118</f>
        <v/>
      </c>
      <c r="H1118" s="55">
        <f>Orders!H1118</f>
        <v/>
      </c>
      <c r="I1118" s="55">
        <f>Orders!I1118</f>
        <v/>
      </c>
      <c r="J1118" s="55">
        <f>Orders!J1118</f>
        <v/>
      </c>
      <c r="K1118" s="55">
        <f>Orders!K1118</f>
        <v/>
      </c>
      <c r="L1118" s="55">
        <f>VLOOKUP(D1118,Products!$A$2:$F$61,3,FALSE())</f>
        <v/>
      </c>
      <c r="M1118" s="55">
        <f>VLOOKUP(C1118,Customers!$A$2:$F$301,5,FALSE())</f>
        <v/>
      </c>
      <c r="N1118" s="55">
        <f>VLOOKUP(E1118,Sales_Reps!$A$2:$E$31,3,FALSE())</f>
        <v/>
      </c>
      <c r="O1118" s="55">
        <f>VLOOKUP(D1118,Products!$A$2:$F$61,4,FALSE())</f>
        <v/>
      </c>
      <c r="P1118" s="55">
        <f>VLOOKUP(C1118,Customers!$A$2:$F$301,3,FALSE())</f>
        <v/>
      </c>
      <c r="Q1118" s="55">
        <f>UPPER(TRIM(K1118))</f>
        <v/>
      </c>
      <c r="R1118" s="55">
        <f>(G1118-O1118)/G1118</f>
        <v/>
      </c>
      <c r="S1118" s="55">
        <f>VLOOKUP(D1118,Products!$A$2:$F$61,6,FALSE())</f>
        <v/>
      </c>
    </row>
    <row r="1119" ht="15" customHeight="1" s="56">
      <c r="A1119" s="55">
        <f>Orders!A1119</f>
        <v/>
      </c>
      <c r="B1119" s="103">
        <f>Orders!B1119</f>
        <v/>
      </c>
      <c r="C1119" s="55">
        <f>Orders!C1119</f>
        <v/>
      </c>
      <c r="D1119" s="55">
        <f>Orders!D1119</f>
        <v/>
      </c>
      <c r="E1119" s="55">
        <f>Orders!E1119</f>
        <v/>
      </c>
      <c r="F1119" s="55">
        <f>Orders!F1119</f>
        <v/>
      </c>
      <c r="G1119" s="55">
        <f>Orders!G1119</f>
        <v/>
      </c>
      <c r="H1119" s="55">
        <f>Orders!H1119</f>
        <v/>
      </c>
      <c r="I1119" s="55">
        <f>Orders!I1119</f>
        <v/>
      </c>
      <c r="J1119" s="55">
        <f>Orders!J1119</f>
        <v/>
      </c>
      <c r="K1119" s="55">
        <f>Orders!K1119</f>
        <v/>
      </c>
      <c r="L1119" s="55">
        <f>VLOOKUP(D1119,Products!$A$2:$F$61,3,FALSE())</f>
        <v/>
      </c>
      <c r="M1119" s="55">
        <f>VLOOKUP(C1119,Customers!$A$2:$F$301,5,FALSE())</f>
        <v/>
      </c>
      <c r="N1119" s="55">
        <f>VLOOKUP(E1119,Sales_Reps!$A$2:$E$31,3,FALSE())</f>
        <v/>
      </c>
      <c r="O1119" s="55">
        <f>VLOOKUP(D1119,Products!$A$2:$F$61,4,FALSE())</f>
        <v/>
      </c>
      <c r="P1119" s="55">
        <f>VLOOKUP(C1119,Customers!$A$2:$F$301,3,FALSE())</f>
        <v/>
      </c>
      <c r="Q1119" s="55">
        <f>UPPER(TRIM(K1119))</f>
        <v/>
      </c>
      <c r="R1119" s="55">
        <f>(G1119-O1119)/G1119</f>
        <v/>
      </c>
      <c r="S1119" s="55">
        <f>VLOOKUP(D1119,Products!$A$2:$F$61,6,FALSE())</f>
        <v/>
      </c>
    </row>
    <row r="1120" ht="15" customHeight="1" s="56">
      <c r="A1120" s="55">
        <f>Orders!A1120</f>
        <v/>
      </c>
      <c r="B1120" s="103">
        <f>Orders!B1120</f>
        <v/>
      </c>
      <c r="C1120" s="55">
        <f>Orders!C1120</f>
        <v/>
      </c>
      <c r="D1120" s="55">
        <f>Orders!D1120</f>
        <v/>
      </c>
      <c r="E1120" s="55">
        <f>Orders!E1120</f>
        <v/>
      </c>
      <c r="F1120" s="55">
        <f>Orders!F1120</f>
        <v/>
      </c>
      <c r="G1120" s="55">
        <f>Orders!G1120</f>
        <v/>
      </c>
      <c r="H1120" s="55">
        <f>Orders!H1120</f>
        <v/>
      </c>
      <c r="I1120" s="55">
        <f>Orders!I1120</f>
        <v/>
      </c>
      <c r="J1120" s="55">
        <f>Orders!J1120</f>
        <v/>
      </c>
      <c r="K1120" s="55">
        <f>Orders!K1120</f>
        <v/>
      </c>
      <c r="L1120" s="55">
        <f>VLOOKUP(D1120,Products!$A$2:$F$61,3,FALSE())</f>
        <v/>
      </c>
      <c r="M1120" s="55">
        <f>VLOOKUP(C1120,Customers!$A$2:$F$301,5,FALSE())</f>
        <v/>
      </c>
      <c r="N1120" s="55">
        <f>VLOOKUP(E1120,Sales_Reps!$A$2:$E$31,3,FALSE())</f>
        <v/>
      </c>
      <c r="O1120" s="55">
        <f>VLOOKUP(D1120,Products!$A$2:$F$61,4,FALSE())</f>
        <v/>
      </c>
      <c r="P1120" s="55">
        <f>VLOOKUP(C1120,Customers!$A$2:$F$301,3,FALSE())</f>
        <v/>
      </c>
      <c r="Q1120" s="55">
        <f>UPPER(TRIM(K1120))</f>
        <v/>
      </c>
      <c r="R1120" s="55">
        <f>(G1120-O1120)/G1120</f>
        <v/>
      </c>
      <c r="S1120" s="55">
        <f>VLOOKUP(D1120,Products!$A$2:$F$61,6,FALSE())</f>
        <v/>
      </c>
    </row>
    <row r="1121" ht="15" customHeight="1" s="56">
      <c r="A1121" s="55">
        <f>Orders!A1121</f>
        <v/>
      </c>
      <c r="B1121" s="103">
        <f>Orders!B1121</f>
        <v/>
      </c>
      <c r="C1121" s="55">
        <f>Orders!C1121</f>
        <v/>
      </c>
      <c r="D1121" s="55">
        <f>Orders!D1121</f>
        <v/>
      </c>
      <c r="E1121" s="55">
        <f>Orders!E1121</f>
        <v/>
      </c>
      <c r="F1121" s="55">
        <f>Orders!F1121</f>
        <v/>
      </c>
      <c r="G1121" s="55">
        <f>Orders!G1121</f>
        <v/>
      </c>
      <c r="H1121" s="55">
        <f>Orders!H1121</f>
        <v/>
      </c>
      <c r="I1121" s="55">
        <f>Orders!I1121</f>
        <v/>
      </c>
      <c r="J1121" s="55">
        <f>Orders!J1121</f>
        <v/>
      </c>
      <c r="K1121" s="55">
        <f>Orders!K1121</f>
        <v/>
      </c>
      <c r="L1121" s="55">
        <f>VLOOKUP(D1121,Products!$A$2:$F$61,3,FALSE())</f>
        <v/>
      </c>
      <c r="M1121" s="55">
        <f>VLOOKUP(C1121,Customers!$A$2:$F$301,5,FALSE())</f>
        <v/>
      </c>
      <c r="N1121" s="55">
        <f>VLOOKUP(E1121,Sales_Reps!$A$2:$E$31,3,FALSE())</f>
        <v/>
      </c>
      <c r="O1121" s="55">
        <f>VLOOKUP(D1121,Products!$A$2:$F$61,4,FALSE())</f>
        <v/>
      </c>
      <c r="P1121" s="55">
        <f>VLOOKUP(C1121,Customers!$A$2:$F$301,3,FALSE())</f>
        <v/>
      </c>
      <c r="Q1121" s="55">
        <f>UPPER(TRIM(K1121))</f>
        <v/>
      </c>
      <c r="R1121" s="55">
        <f>(G1121-O1121)/G1121</f>
        <v/>
      </c>
      <c r="S1121" s="55">
        <f>VLOOKUP(D1121,Products!$A$2:$F$61,6,FALSE())</f>
        <v/>
      </c>
    </row>
    <row r="1122" ht="15" customHeight="1" s="56">
      <c r="A1122" s="55">
        <f>Orders!A1122</f>
        <v/>
      </c>
      <c r="B1122" s="103">
        <f>Orders!B1122</f>
        <v/>
      </c>
      <c r="C1122" s="55">
        <f>Orders!C1122</f>
        <v/>
      </c>
      <c r="D1122" s="55">
        <f>Orders!D1122</f>
        <v/>
      </c>
      <c r="E1122" s="55">
        <f>Orders!E1122</f>
        <v/>
      </c>
      <c r="F1122" s="55">
        <f>Orders!F1122</f>
        <v/>
      </c>
      <c r="G1122" s="55">
        <f>Orders!G1122</f>
        <v/>
      </c>
      <c r="H1122" s="55">
        <f>Orders!H1122</f>
        <v/>
      </c>
      <c r="I1122" s="55">
        <f>Orders!I1122</f>
        <v/>
      </c>
      <c r="J1122" s="55">
        <f>Orders!J1122</f>
        <v/>
      </c>
      <c r="K1122" s="55">
        <f>Orders!K1122</f>
        <v/>
      </c>
      <c r="L1122" s="55">
        <f>VLOOKUP(D1122,Products!$A$2:$F$61,3,FALSE())</f>
        <v/>
      </c>
      <c r="M1122" s="55">
        <f>VLOOKUP(C1122,Customers!$A$2:$F$301,5,FALSE())</f>
        <v/>
      </c>
      <c r="N1122" s="55">
        <f>VLOOKUP(E1122,Sales_Reps!$A$2:$E$31,3,FALSE())</f>
        <v/>
      </c>
      <c r="O1122" s="55">
        <f>VLOOKUP(D1122,Products!$A$2:$F$61,4,FALSE())</f>
        <v/>
      </c>
      <c r="P1122" s="55">
        <f>VLOOKUP(C1122,Customers!$A$2:$F$301,3,FALSE())</f>
        <v/>
      </c>
      <c r="Q1122" s="55">
        <f>UPPER(TRIM(K1122))</f>
        <v/>
      </c>
      <c r="R1122" s="55">
        <f>(G1122-O1122)/G1122</f>
        <v/>
      </c>
      <c r="S1122" s="55">
        <f>VLOOKUP(D1122,Products!$A$2:$F$61,6,FALSE())</f>
        <v/>
      </c>
    </row>
    <row r="1123" ht="15" customHeight="1" s="56">
      <c r="A1123" s="55">
        <f>Orders!A1123</f>
        <v/>
      </c>
      <c r="B1123" s="103">
        <f>Orders!B1123</f>
        <v/>
      </c>
      <c r="C1123" s="55">
        <f>Orders!C1123</f>
        <v/>
      </c>
      <c r="D1123" s="55">
        <f>Orders!D1123</f>
        <v/>
      </c>
      <c r="E1123" s="55">
        <f>Orders!E1123</f>
        <v/>
      </c>
      <c r="F1123" s="55">
        <f>Orders!F1123</f>
        <v/>
      </c>
      <c r="G1123" s="55">
        <f>Orders!G1123</f>
        <v/>
      </c>
      <c r="H1123" s="55">
        <f>Orders!H1123</f>
        <v/>
      </c>
      <c r="I1123" s="55">
        <f>Orders!I1123</f>
        <v/>
      </c>
      <c r="J1123" s="55">
        <f>Orders!J1123</f>
        <v/>
      </c>
      <c r="K1123" s="55">
        <f>Orders!K1123</f>
        <v/>
      </c>
      <c r="L1123" s="55">
        <f>VLOOKUP(D1123,Products!$A$2:$F$61,3,FALSE())</f>
        <v/>
      </c>
      <c r="M1123" s="55">
        <f>VLOOKUP(C1123,Customers!$A$2:$F$301,5,FALSE())</f>
        <v/>
      </c>
      <c r="N1123" s="55">
        <f>VLOOKUP(E1123,Sales_Reps!$A$2:$E$31,3,FALSE())</f>
        <v/>
      </c>
      <c r="O1123" s="55">
        <f>VLOOKUP(D1123,Products!$A$2:$F$61,4,FALSE())</f>
        <v/>
      </c>
      <c r="P1123" s="55">
        <f>VLOOKUP(C1123,Customers!$A$2:$F$301,3,FALSE())</f>
        <v/>
      </c>
      <c r="Q1123" s="55">
        <f>UPPER(TRIM(K1123))</f>
        <v/>
      </c>
      <c r="R1123" s="55">
        <f>(G1123-O1123)/G1123</f>
        <v/>
      </c>
      <c r="S1123" s="55">
        <f>VLOOKUP(D1123,Products!$A$2:$F$61,6,FALSE())</f>
        <v/>
      </c>
    </row>
    <row r="1124" ht="15" customHeight="1" s="56">
      <c r="A1124" s="55">
        <f>Orders!A1124</f>
        <v/>
      </c>
      <c r="B1124" s="103">
        <f>Orders!B1124</f>
        <v/>
      </c>
      <c r="C1124" s="55">
        <f>Orders!C1124</f>
        <v/>
      </c>
      <c r="D1124" s="55">
        <f>Orders!D1124</f>
        <v/>
      </c>
      <c r="E1124" s="55">
        <f>Orders!E1124</f>
        <v/>
      </c>
      <c r="F1124" s="55">
        <f>Orders!F1124</f>
        <v/>
      </c>
      <c r="G1124" s="55">
        <f>Orders!G1124</f>
        <v/>
      </c>
      <c r="H1124" s="55">
        <f>Orders!H1124</f>
        <v/>
      </c>
      <c r="I1124" s="55">
        <f>Orders!I1124</f>
        <v/>
      </c>
      <c r="J1124" s="55">
        <f>Orders!J1124</f>
        <v/>
      </c>
      <c r="K1124" s="55">
        <f>Orders!K1124</f>
        <v/>
      </c>
      <c r="L1124" s="55">
        <f>VLOOKUP(D1124,Products!$A$2:$F$61,3,FALSE())</f>
        <v/>
      </c>
      <c r="M1124" s="55">
        <f>VLOOKUP(C1124,Customers!$A$2:$F$301,5,FALSE())</f>
        <v/>
      </c>
      <c r="N1124" s="55">
        <f>VLOOKUP(E1124,Sales_Reps!$A$2:$E$31,3,FALSE())</f>
        <v/>
      </c>
      <c r="O1124" s="55">
        <f>VLOOKUP(D1124,Products!$A$2:$F$61,4,FALSE())</f>
        <v/>
      </c>
      <c r="P1124" s="55">
        <f>VLOOKUP(C1124,Customers!$A$2:$F$301,3,FALSE())</f>
        <v/>
      </c>
      <c r="Q1124" s="55">
        <f>UPPER(TRIM(K1124))</f>
        <v/>
      </c>
      <c r="R1124" s="55">
        <f>(G1124-O1124)/G1124</f>
        <v/>
      </c>
      <c r="S1124" s="55">
        <f>VLOOKUP(D1124,Products!$A$2:$F$61,6,FALSE())</f>
        <v/>
      </c>
    </row>
    <row r="1125" ht="15" customHeight="1" s="56">
      <c r="A1125" s="55">
        <f>Orders!A1125</f>
        <v/>
      </c>
      <c r="B1125" s="103">
        <f>Orders!B1125</f>
        <v/>
      </c>
      <c r="C1125" s="55">
        <f>Orders!C1125</f>
        <v/>
      </c>
      <c r="D1125" s="55">
        <f>Orders!D1125</f>
        <v/>
      </c>
      <c r="E1125" s="55">
        <f>Orders!E1125</f>
        <v/>
      </c>
      <c r="F1125" s="55">
        <f>Orders!F1125</f>
        <v/>
      </c>
      <c r="G1125" s="55">
        <f>Orders!G1125</f>
        <v/>
      </c>
      <c r="H1125" s="55">
        <f>Orders!H1125</f>
        <v/>
      </c>
      <c r="I1125" s="55">
        <f>Orders!I1125</f>
        <v/>
      </c>
      <c r="J1125" s="55">
        <f>Orders!J1125</f>
        <v/>
      </c>
      <c r="K1125" s="55">
        <f>Orders!K1125</f>
        <v/>
      </c>
      <c r="L1125" s="55">
        <f>VLOOKUP(D1125,Products!$A$2:$F$61,3,FALSE())</f>
        <v/>
      </c>
      <c r="M1125" s="55">
        <f>VLOOKUP(C1125,Customers!$A$2:$F$301,5,FALSE())</f>
        <v/>
      </c>
      <c r="N1125" s="55">
        <f>VLOOKUP(E1125,Sales_Reps!$A$2:$E$31,3,FALSE())</f>
        <v/>
      </c>
      <c r="O1125" s="55">
        <f>VLOOKUP(D1125,Products!$A$2:$F$61,4,FALSE())</f>
        <v/>
      </c>
      <c r="P1125" s="55">
        <f>VLOOKUP(C1125,Customers!$A$2:$F$301,3,FALSE())</f>
        <v/>
      </c>
      <c r="Q1125" s="55">
        <f>UPPER(TRIM(K1125))</f>
        <v/>
      </c>
      <c r="R1125" s="55">
        <f>(G1125-O1125)/G1125</f>
        <v/>
      </c>
      <c r="S1125" s="55">
        <f>VLOOKUP(D1125,Products!$A$2:$F$61,6,FALSE())</f>
        <v/>
      </c>
    </row>
    <row r="1126" ht="15" customHeight="1" s="56">
      <c r="A1126" s="55">
        <f>Orders!A1126</f>
        <v/>
      </c>
      <c r="B1126" s="103">
        <f>Orders!B1126</f>
        <v/>
      </c>
      <c r="C1126" s="55">
        <f>Orders!C1126</f>
        <v/>
      </c>
      <c r="D1126" s="55">
        <f>Orders!D1126</f>
        <v/>
      </c>
      <c r="E1126" s="55">
        <f>Orders!E1126</f>
        <v/>
      </c>
      <c r="F1126" s="55">
        <f>Orders!F1126</f>
        <v/>
      </c>
      <c r="G1126" s="55">
        <f>Orders!G1126</f>
        <v/>
      </c>
      <c r="H1126" s="55">
        <f>Orders!H1126</f>
        <v/>
      </c>
      <c r="I1126" s="55">
        <f>Orders!I1126</f>
        <v/>
      </c>
      <c r="J1126" s="55">
        <f>Orders!J1126</f>
        <v/>
      </c>
      <c r="K1126" s="55">
        <f>Orders!K1126</f>
        <v/>
      </c>
      <c r="L1126" s="55">
        <f>VLOOKUP(D1126,Products!$A$2:$F$61,3,FALSE())</f>
        <v/>
      </c>
      <c r="M1126" s="55">
        <f>VLOOKUP(C1126,Customers!$A$2:$F$301,5,FALSE())</f>
        <v/>
      </c>
      <c r="N1126" s="55">
        <f>VLOOKUP(E1126,Sales_Reps!$A$2:$E$31,3,FALSE())</f>
        <v/>
      </c>
      <c r="O1126" s="55">
        <f>VLOOKUP(D1126,Products!$A$2:$F$61,4,FALSE())</f>
        <v/>
      </c>
      <c r="P1126" s="55">
        <f>VLOOKUP(C1126,Customers!$A$2:$F$301,3,FALSE())</f>
        <v/>
      </c>
      <c r="Q1126" s="55">
        <f>UPPER(TRIM(K1126))</f>
        <v/>
      </c>
      <c r="R1126" s="55">
        <f>(G1126-O1126)/G1126</f>
        <v/>
      </c>
      <c r="S1126" s="55">
        <f>VLOOKUP(D1126,Products!$A$2:$F$61,6,FALSE())</f>
        <v/>
      </c>
    </row>
    <row r="1127" ht="15" customHeight="1" s="56">
      <c r="A1127" s="55">
        <f>Orders!A1127</f>
        <v/>
      </c>
      <c r="B1127" s="103">
        <f>Orders!B1127</f>
        <v/>
      </c>
      <c r="C1127" s="55">
        <f>Orders!C1127</f>
        <v/>
      </c>
      <c r="D1127" s="55">
        <f>Orders!D1127</f>
        <v/>
      </c>
      <c r="E1127" s="55">
        <f>Orders!E1127</f>
        <v/>
      </c>
      <c r="F1127" s="55">
        <f>Orders!F1127</f>
        <v/>
      </c>
      <c r="G1127" s="55">
        <f>Orders!G1127</f>
        <v/>
      </c>
      <c r="H1127" s="55">
        <f>Orders!H1127</f>
        <v/>
      </c>
      <c r="I1127" s="55">
        <f>Orders!I1127</f>
        <v/>
      </c>
      <c r="J1127" s="55">
        <f>Orders!J1127</f>
        <v/>
      </c>
      <c r="K1127" s="55">
        <f>Orders!K1127</f>
        <v/>
      </c>
      <c r="L1127" s="55">
        <f>VLOOKUP(D1127,Products!$A$2:$F$61,3,FALSE())</f>
        <v/>
      </c>
      <c r="M1127" s="55">
        <f>VLOOKUP(C1127,Customers!$A$2:$F$301,5,FALSE())</f>
        <v/>
      </c>
      <c r="N1127" s="55">
        <f>VLOOKUP(E1127,Sales_Reps!$A$2:$E$31,3,FALSE())</f>
        <v/>
      </c>
      <c r="O1127" s="55">
        <f>VLOOKUP(D1127,Products!$A$2:$F$61,4,FALSE())</f>
        <v/>
      </c>
      <c r="P1127" s="55">
        <f>VLOOKUP(C1127,Customers!$A$2:$F$301,3,FALSE())</f>
        <v/>
      </c>
      <c r="Q1127" s="55">
        <f>UPPER(TRIM(K1127))</f>
        <v/>
      </c>
      <c r="R1127" s="55">
        <f>(G1127-O1127)/G1127</f>
        <v/>
      </c>
      <c r="S1127" s="55">
        <f>VLOOKUP(D1127,Products!$A$2:$F$61,6,FALSE())</f>
        <v/>
      </c>
    </row>
    <row r="1128" ht="15" customHeight="1" s="56">
      <c r="A1128" s="55">
        <f>Orders!A1128</f>
        <v/>
      </c>
      <c r="B1128" s="103">
        <f>Orders!B1128</f>
        <v/>
      </c>
      <c r="C1128" s="55">
        <f>Orders!C1128</f>
        <v/>
      </c>
      <c r="D1128" s="55">
        <f>Orders!D1128</f>
        <v/>
      </c>
      <c r="E1128" s="55">
        <f>Orders!E1128</f>
        <v/>
      </c>
      <c r="F1128" s="55">
        <f>Orders!F1128</f>
        <v/>
      </c>
      <c r="G1128" s="55">
        <f>Orders!G1128</f>
        <v/>
      </c>
      <c r="H1128" s="55">
        <f>Orders!H1128</f>
        <v/>
      </c>
      <c r="I1128" s="55">
        <f>Orders!I1128</f>
        <v/>
      </c>
      <c r="J1128" s="55">
        <f>Orders!J1128</f>
        <v/>
      </c>
      <c r="K1128" s="55">
        <f>Orders!K1128</f>
        <v/>
      </c>
      <c r="L1128" s="55">
        <f>VLOOKUP(D1128,Products!$A$2:$F$61,3,FALSE())</f>
        <v/>
      </c>
      <c r="M1128" s="55">
        <f>VLOOKUP(C1128,Customers!$A$2:$F$301,5,FALSE())</f>
        <v/>
      </c>
      <c r="N1128" s="55">
        <f>VLOOKUP(E1128,Sales_Reps!$A$2:$E$31,3,FALSE())</f>
        <v/>
      </c>
      <c r="O1128" s="55">
        <f>VLOOKUP(D1128,Products!$A$2:$F$61,4,FALSE())</f>
        <v/>
      </c>
      <c r="P1128" s="55">
        <f>VLOOKUP(C1128,Customers!$A$2:$F$301,3,FALSE())</f>
        <v/>
      </c>
      <c r="Q1128" s="55">
        <f>UPPER(TRIM(K1128))</f>
        <v/>
      </c>
      <c r="R1128" s="55">
        <f>(G1128-O1128)/G1128</f>
        <v/>
      </c>
      <c r="S1128" s="55">
        <f>VLOOKUP(D1128,Products!$A$2:$F$61,6,FALSE())</f>
        <v/>
      </c>
    </row>
    <row r="1129" ht="15" customHeight="1" s="56">
      <c r="A1129" s="55">
        <f>Orders!A1129</f>
        <v/>
      </c>
      <c r="B1129" s="103">
        <f>Orders!B1129</f>
        <v/>
      </c>
      <c r="C1129" s="55">
        <f>Orders!C1129</f>
        <v/>
      </c>
      <c r="D1129" s="55">
        <f>Orders!D1129</f>
        <v/>
      </c>
      <c r="E1129" s="55">
        <f>Orders!E1129</f>
        <v/>
      </c>
      <c r="F1129" s="55">
        <f>Orders!F1129</f>
        <v/>
      </c>
      <c r="G1129" s="55">
        <f>Orders!G1129</f>
        <v/>
      </c>
      <c r="H1129" s="55">
        <f>Orders!H1129</f>
        <v/>
      </c>
      <c r="I1129" s="55">
        <f>Orders!I1129</f>
        <v/>
      </c>
      <c r="J1129" s="55">
        <f>Orders!J1129</f>
        <v/>
      </c>
      <c r="K1129" s="55">
        <f>Orders!K1129</f>
        <v/>
      </c>
      <c r="L1129" s="55">
        <f>VLOOKUP(D1129,Products!$A$2:$F$61,3,FALSE())</f>
        <v/>
      </c>
      <c r="M1129" s="55">
        <f>VLOOKUP(C1129,Customers!$A$2:$F$301,5,FALSE())</f>
        <v/>
      </c>
      <c r="N1129" s="55">
        <f>VLOOKUP(E1129,Sales_Reps!$A$2:$E$31,3,FALSE())</f>
        <v/>
      </c>
      <c r="O1129" s="55">
        <f>VLOOKUP(D1129,Products!$A$2:$F$61,4,FALSE())</f>
        <v/>
      </c>
      <c r="P1129" s="55">
        <f>VLOOKUP(C1129,Customers!$A$2:$F$301,3,FALSE())</f>
        <v/>
      </c>
      <c r="Q1129" s="55">
        <f>UPPER(TRIM(K1129))</f>
        <v/>
      </c>
      <c r="R1129" s="55">
        <f>(G1129-O1129)/G1129</f>
        <v/>
      </c>
      <c r="S1129" s="55">
        <f>VLOOKUP(D1129,Products!$A$2:$F$61,6,FALSE())</f>
        <v/>
      </c>
    </row>
    <row r="1130" ht="15" customHeight="1" s="56">
      <c r="A1130" s="55">
        <f>Orders!A1130</f>
        <v/>
      </c>
      <c r="B1130" s="103">
        <f>Orders!B1130</f>
        <v/>
      </c>
      <c r="C1130" s="55">
        <f>Orders!C1130</f>
        <v/>
      </c>
      <c r="D1130" s="55">
        <f>Orders!D1130</f>
        <v/>
      </c>
      <c r="E1130" s="55">
        <f>Orders!E1130</f>
        <v/>
      </c>
      <c r="F1130" s="55">
        <f>Orders!F1130</f>
        <v/>
      </c>
      <c r="G1130" s="55">
        <f>Orders!G1130</f>
        <v/>
      </c>
      <c r="H1130" s="55">
        <f>Orders!H1130</f>
        <v/>
      </c>
      <c r="I1130" s="55">
        <f>Orders!I1130</f>
        <v/>
      </c>
      <c r="J1130" s="55">
        <f>Orders!J1130</f>
        <v/>
      </c>
      <c r="K1130" s="55">
        <f>Orders!K1130</f>
        <v/>
      </c>
      <c r="L1130" s="55">
        <f>VLOOKUP(D1130,Products!$A$2:$F$61,3,FALSE())</f>
        <v/>
      </c>
      <c r="M1130" s="55">
        <f>VLOOKUP(C1130,Customers!$A$2:$F$301,5,FALSE())</f>
        <v/>
      </c>
      <c r="N1130" s="55">
        <f>VLOOKUP(E1130,Sales_Reps!$A$2:$E$31,3,FALSE())</f>
        <v/>
      </c>
      <c r="O1130" s="55">
        <f>VLOOKUP(D1130,Products!$A$2:$F$61,4,FALSE())</f>
        <v/>
      </c>
      <c r="P1130" s="55">
        <f>VLOOKUP(C1130,Customers!$A$2:$F$301,3,FALSE())</f>
        <v/>
      </c>
      <c r="Q1130" s="55">
        <f>UPPER(TRIM(K1130))</f>
        <v/>
      </c>
      <c r="R1130" s="55">
        <f>(G1130-O1130)/G1130</f>
        <v/>
      </c>
      <c r="S1130" s="55">
        <f>VLOOKUP(D1130,Products!$A$2:$F$61,6,FALSE())</f>
        <v/>
      </c>
    </row>
    <row r="1131" ht="15" customHeight="1" s="56">
      <c r="A1131" s="55">
        <f>Orders!A1131</f>
        <v/>
      </c>
      <c r="B1131" s="103">
        <f>Orders!B1131</f>
        <v/>
      </c>
      <c r="C1131" s="55">
        <f>Orders!C1131</f>
        <v/>
      </c>
      <c r="D1131" s="55">
        <f>Orders!D1131</f>
        <v/>
      </c>
      <c r="E1131" s="55">
        <f>Orders!E1131</f>
        <v/>
      </c>
      <c r="F1131" s="55">
        <f>Orders!F1131</f>
        <v/>
      </c>
      <c r="G1131" s="55">
        <f>Orders!G1131</f>
        <v/>
      </c>
      <c r="H1131" s="55">
        <f>Orders!H1131</f>
        <v/>
      </c>
      <c r="I1131" s="55">
        <f>Orders!I1131</f>
        <v/>
      </c>
      <c r="J1131" s="55">
        <f>Orders!J1131</f>
        <v/>
      </c>
      <c r="K1131" s="55">
        <f>Orders!K1131</f>
        <v/>
      </c>
      <c r="L1131" s="55">
        <f>VLOOKUP(D1131,Products!$A$2:$F$61,3,FALSE())</f>
        <v/>
      </c>
      <c r="M1131" s="55">
        <f>VLOOKUP(C1131,Customers!$A$2:$F$301,5,FALSE())</f>
        <v/>
      </c>
      <c r="N1131" s="55">
        <f>VLOOKUP(E1131,Sales_Reps!$A$2:$E$31,3,FALSE())</f>
        <v/>
      </c>
      <c r="O1131" s="55">
        <f>VLOOKUP(D1131,Products!$A$2:$F$61,4,FALSE())</f>
        <v/>
      </c>
      <c r="P1131" s="55">
        <f>VLOOKUP(C1131,Customers!$A$2:$F$301,3,FALSE())</f>
        <v/>
      </c>
      <c r="Q1131" s="55">
        <f>UPPER(TRIM(K1131))</f>
        <v/>
      </c>
      <c r="R1131" s="55">
        <f>(G1131-O1131)/G1131</f>
        <v/>
      </c>
      <c r="S1131" s="55">
        <f>VLOOKUP(D1131,Products!$A$2:$F$61,6,FALSE())</f>
        <v/>
      </c>
    </row>
    <row r="1132" ht="15" customHeight="1" s="56">
      <c r="A1132" s="55">
        <f>Orders!A1132</f>
        <v/>
      </c>
      <c r="B1132" s="103">
        <f>Orders!B1132</f>
        <v/>
      </c>
      <c r="C1132" s="55">
        <f>Orders!C1132</f>
        <v/>
      </c>
      <c r="D1132" s="55">
        <f>Orders!D1132</f>
        <v/>
      </c>
      <c r="E1132" s="55">
        <f>Orders!E1132</f>
        <v/>
      </c>
      <c r="F1132" s="55">
        <f>Orders!F1132</f>
        <v/>
      </c>
      <c r="G1132" s="55">
        <f>Orders!G1132</f>
        <v/>
      </c>
      <c r="H1132" s="55">
        <f>Orders!H1132</f>
        <v/>
      </c>
      <c r="I1132" s="55">
        <f>Orders!I1132</f>
        <v/>
      </c>
      <c r="J1132" s="55">
        <f>Orders!J1132</f>
        <v/>
      </c>
      <c r="K1132" s="55">
        <f>Orders!K1132</f>
        <v/>
      </c>
      <c r="L1132" s="55">
        <f>VLOOKUP(D1132,Products!$A$2:$F$61,3,FALSE())</f>
        <v/>
      </c>
      <c r="M1132" s="55">
        <f>VLOOKUP(C1132,Customers!$A$2:$F$301,5,FALSE())</f>
        <v/>
      </c>
      <c r="N1132" s="55">
        <f>VLOOKUP(E1132,Sales_Reps!$A$2:$E$31,3,FALSE())</f>
        <v/>
      </c>
      <c r="O1132" s="55">
        <f>VLOOKUP(D1132,Products!$A$2:$F$61,4,FALSE())</f>
        <v/>
      </c>
      <c r="P1132" s="55">
        <f>VLOOKUP(C1132,Customers!$A$2:$F$301,3,FALSE())</f>
        <v/>
      </c>
      <c r="Q1132" s="55">
        <f>UPPER(TRIM(K1132))</f>
        <v/>
      </c>
      <c r="R1132" s="55">
        <f>(G1132-O1132)/G1132</f>
        <v/>
      </c>
      <c r="S1132" s="55">
        <f>VLOOKUP(D1132,Products!$A$2:$F$61,6,FALSE())</f>
        <v/>
      </c>
    </row>
    <row r="1133" ht="15" customHeight="1" s="56">
      <c r="A1133" s="55">
        <f>Orders!A1133</f>
        <v/>
      </c>
      <c r="B1133" s="103">
        <f>Orders!B1133</f>
        <v/>
      </c>
      <c r="C1133" s="55">
        <f>Orders!C1133</f>
        <v/>
      </c>
      <c r="D1133" s="55">
        <f>Orders!D1133</f>
        <v/>
      </c>
      <c r="E1133" s="55">
        <f>Orders!E1133</f>
        <v/>
      </c>
      <c r="F1133" s="55">
        <f>Orders!F1133</f>
        <v/>
      </c>
      <c r="G1133" s="55">
        <f>Orders!G1133</f>
        <v/>
      </c>
      <c r="H1133" s="55">
        <f>Orders!H1133</f>
        <v/>
      </c>
      <c r="I1133" s="55">
        <f>Orders!I1133</f>
        <v/>
      </c>
      <c r="J1133" s="55">
        <f>Orders!J1133</f>
        <v/>
      </c>
      <c r="K1133" s="55">
        <f>Orders!K1133</f>
        <v/>
      </c>
      <c r="L1133" s="55">
        <f>VLOOKUP(D1133,Products!$A$2:$F$61,3,FALSE())</f>
        <v/>
      </c>
      <c r="M1133" s="55">
        <f>VLOOKUP(C1133,Customers!$A$2:$F$301,5,FALSE())</f>
        <v/>
      </c>
      <c r="N1133" s="55">
        <f>VLOOKUP(E1133,Sales_Reps!$A$2:$E$31,3,FALSE())</f>
        <v/>
      </c>
      <c r="O1133" s="55">
        <f>VLOOKUP(D1133,Products!$A$2:$F$61,4,FALSE())</f>
        <v/>
      </c>
      <c r="P1133" s="55">
        <f>VLOOKUP(C1133,Customers!$A$2:$F$301,3,FALSE())</f>
        <v/>
      </c>
      <c r="Q1133" s="55">
        <f>UPPER(TRIM(K1133))</f>
        <v/>
      </c>
      <c r="R1133" s="55">
        <f>(G1133-O1133)/G1133</f>
        <v/>
      </c>
      <c r="S1133" s="55">
        <f>VLOOKUP(D1133,Products!$A$2:$F$61,6,FALSE())</f>
        <v/>
      </c>
    </row>
    <row r="1134" ht="15" customHeight="1" s="56">
      <c r="A1134" s="55">
        <f>Orders!A1134</f>
        <v/>
      </c>
      <c r="B1134" s="103">
        <f>Orders!B1134</f>
        <v/>
      </c>
      <c r="C1134" s="55">
        <f>Orders!C1134</f>
        <v/>
      </c>
      <c r="D1134" s="55">
        <f>Orders!D1134</f>
        <v/>
      </c>
      <c r="E1134" s="55">
        <f>Orders!E1134</f>
        <v/>
      </c>
      <c r="F1134" s="55">
        <f>Orders!F1134</f>
        <v/>
      </c>
      <c r="G1134" s="55">
        <f>Orders!G1134</f>
        <v/>
      </c>
      <c r="H1134" s="55">
        <f>Orders!H1134</f>
        <v/>
      </c>
      <c r="I1134" s="55">
        <f>Orders!I1134</f>
        <v/>
      </c>
      <c r="J1134" s="55">
        <f>Orders!J1134</f>
        <v/>
      </c>
      <c r="K1134" s="55">
        <f>Orders!K1134</f>
        <v/>
      </c>
      <c r="L1134" s="55">
        <f>VLOOKUP(D1134,Products!$A$2:$F$61,3,FALSE())</f>
        <v/>
      </c>
      <c r="M1134" s="55">
        <f>VLOOKUP(C1134,Customers!$A$2:$F$301,5,FALSE())</f>
        <v/>
      </c>
      <c r="N1134" s="55">
        <f>VLOOKUP(E1134,Sales_Reps!$A$2:$E$31,3,FALSE())</f>
        <v/>
      </c>
      <c r="O1134" s="55">
        <f>VLOOKUP(D1134,Products!$A$2:$F$61,4,FALSE())</f>
        <v/>
      </c>
      <c r="P1134" s="55">
        <f>VLOOKUP(C1134,Customers!$A$2:$F$301,3,FALSE())</f>
        <v/>
      </c>
      <c r="Q1134" s="55">
        <f>UPPER(TRIM(K1134))</f>
        <v/>
      </c>
      <c r="R1134" s="55">
        <f>(G1134-O1134)/G1134</f>
        <v/>
      </c>
      <c r="S1134" s="55">
        <f>VLOOKUP(D1134,Products!$A$2:$F$61,6,FALSE())</f>
        <v/>
      </c>
    </row>
    <row r="1135" ht="15" customHeight="1" s="56">
      <c r="A1135" s="55">
        <f>Orders!A1135</f>
        <v/>
      </c>
      <c r="B1135" s="103">
        <f>Orders!B1135</f>
        <v/>
      </c>
      <c r="C1135" s="55">
        <f>Orders!C1135</f>
        <v/>
      </c>
      <c r="D1135" s="55">
        <f>Orders!D1135</f>
        <v/>
      </c>
      <c r="E1135" s="55">
        <f>Orders!E1135</f>
        <v/>
      </c>
      <c r="F1135" s="55">
        <f>Orders!F1135</f>
        <v/>
      </c>
      <c r="G1135" s="55">
        <f>Orders!G1135</f>
        <v/>
      </c>
      <c r="H1135" s="55">
        <f>Orders!H1135</f>
        <v/>
      </c>
      <c r="I1135" s="55">
        <f>Orders!I1135</f>
        <v/>
      </c>
      <c r="J1135" s="55">
        <f>Orders!J1135</f>
        <v/>
      </c>
      <c r="K1135" s="55">
        <f>Orders!K1135</f>
        <v/>
      </c>
      <c r="L1135" s="55">
        <f>VLOOKUP(D1135,Products!$A$2:$F$61,3,FALSE())</f>
        <v/>
      </c>
      <c r="M1135" s="55">
        <f>VLOOKUP(C1135,Customers!$A$2:$F$301,5,FALSE())</f>
        <v/>
      </c>
      <c r="N1135" s="55">
        <f>VLOOKUP(E1135,Sales_Reps!$A$2:$E$31,3,FALSE())</f>
        <v/>
      </c>
      <c r="O1135" s="55">
        <f>VLOOKUP(D1135,Products!$A$2:$F$61,4,FALSE())</f>
        <v/>
      </c>
      <c r="P1135" s="55">
        <f>VLOOKUP(C1135,Customers!$A$2:$F$301,3,FALSE())</f>
        <v/>
      </c>
      <c r="Q1135" s="55">
        <f>UPPER(TRIM(K1135))</f>
        <v/>
      </c>
      <c r="R1135" s="55">
        <f>(G1135-O1135)/G1135</f>
        <v/>
      </c>
      <c r="S1135" s="55">
        <f>VLOOKUP(D1135,Products!$A$2:$F$61,6,FALSE())</f>
        <v/>
      </c>
    </row>
    <row r="1136" ht="15" customHeight="1" s="56">
      <c r="A1136" s="55">
        <f>Orders!A1136</f>
        <v/>
      </c>
      <c r="B1136" s="103">
        <f>Orders!B1136</f>
        <v/>
      </c>
      <c r="C1136" s="55">
        <f>Orders!C1136</f>
        <v/>
      </c>
      <c r="D1136" s="55">
        <f>Orders!D1136</f>
        <v/>
      </c>
      <c r="E1136" s="55">
        <f>Orders!E1136</f>
        <v/>
      </c>
      <c r="F1136" s="55">
        <f>Orders!F1136</f>
        <v/>
      </c>
      <c r="G1136" s="55">
        <f>Orders!G1136</f>
        <v/>
      </c>
      <c r="H1136" s="55">
        <f>Orders!H1136</f>
        <v/>
      </c>
      <c r="I1136" s="55">
        <f>Orders!I1136</f>
        <v/>
      </c>
      <c r="J1136" s="55">
        <f>Orders!J1136</f>
        <v/>
      </c>
      <c r="K1136" s="55">
        <f>Orders!K1136</f>
        <v/>
      </c>
      <c r="L1136" s="55">
        <f>VLOOKUP(D1136,Products!$A$2:$F$61,3,FALSE())</f>
        <v/>
      </c>
      <c r="M1136" s="55">
        <f>VLOOKUP(C1136,Customers!$A$2:$F$301,5,FALSE())</f>
        <v/>
      </c>
      <c r="N1136" s="55">
        <f>VLOOKUP(E1136,Sales_Reps!$A$2:$E$31,3,FALSE())</f>
        <v/>
      </c>
      <c r="O1136" s="55">
        <f>VLOOKUP(D1136,Products!$A$2:$F$61,4,FALSE())</f>
        <v/>
      </c>
      <c r="P1136" s="55">
        <f>VLOOKUP(C1136,Customers!$A$2:$F$301,3,FALSE())</f>
        <v/>
      </c>
      <c r="Q1136" s="55">
        <f>UPPER(TRIM(K1136))</f>
        <v/>
      </c>
      <c r="R1136" s="55">
        <f>(G1136-O1136)/G1136</f>
        <v/>
      </c>
      <c r="S1136" s="55">
        <f>VLOOKUP(D1136,Products!$A$2:$F$61,6,FALSE())</f>
        <v/>
      </c>
    </row>
    <row r="1137" ht="15" customHeight="1" s="56">
      <c r="A1137" s="55">
        <f>Orders!A1137</f>
        <v/>
      </c>
      <c r="B1137" s="103">
        <f>Orders!B1137</f>
        <v/>
      </c>
      <c r="C1137" s="55">
        <f>Orders!C1137</f>
        <v/>
      </c>
      <c r="D1137" s="55">
        <f>Orders!D1137</f>
        <v/>
      </c>
      <c r="E1137" s="55">
        <f>Orders!E1137</f>
        <v/>
      </c>
      <c r="F1137" s="55">
        <f>Orders!F1137</f>
        <v/>
      </c>
      <c r="G1137" s="55">
        <f>Orders!G1137</f>
        <v/>
      </c>
      <c r="H1137" s="55">
        <f>Orders!H1137</f>
        <v/>
      </c>
      <c r="I1137" s="55">
        <f>Orders!I1137</f>
        <v/>
      </c>
      <c r="J1137" s="55">
        <f>Orders!J1137</f>
        <v/>
      </c>
      <c r="K1137" s="55">
        <f>Orders!K1137</f>
        <v/>
      </c>
      <c r="L1137" s="55">
        <f>VLOOKUP(D1137,Products!$A$2:$F$61,3,FALSE())</f>
        <v/>
      </c>
      <c r="M1137" s="55">
        <f>VLOOKUP(C1137,Customers!$A$2:$F$301,5,FALSE())</f>
        <v/>
      </c>
      <c r="N1137" s="55">
        <f>VLOOKUP(E1137,Sales_Reps!$A$2:$E$31,3,FALSE())</f>
        <v/>
      </c>
      <c r="O1137" s="55">
        <f>VLOOKUP(D1137,Products!$A$2:$F$61,4,FALSE())</f>
        <v/>
      </c>
      <c r="P1137" s="55">
        <f>VLOOKUP(C1137,Customers!$A$2:$F$301,3,FALSE())</f>
        <v/>
      </c>
      <c r="Q1137" s="55">
        <f>UPPER(TRIM(K1137))</f>
        <v/>
      </c>
      <c r="R1137" s="55">
        <f>(G1137-O1137)/G1137</f>
        <v/>
      </c>
      <c r="S1137" s="55">
        <f>VLOOKUP(D1137,Products!$A$2:$F$61,6,FALSE())</f>
        <v/>
      </c>
    </row>
    <row r="1138" ht="15" customHeight="1" s="56">
      <c r="A1138" s="55">
        <f>Orders!A1138</f>
        <v/>
      </c>
      <c r="B1138" s="103">
        <f>Orders!B1138</f>
        <v/>
      </c>
      <c r="C1138" s="55">
        <f>Orders!C1138</f>
        <v/>
      </c>
      <c r="D1138" s="55">
        <f>Orders!D1138</f>
        <v/>
      </c>
      <c r="E1138" s="55">
        <f>Orders!E1138</f>
        <v/>
      </c>
      <c r="F1138" s="55">
        <f>Orders!F1138</f>
        <v/>
      </c>
      <c r="G1138" s="55">
        <f>Orders!G1138</f>
        <v/>
      </c>
      <c r="H1138" s="55">
        <f>Orders!H1138</f>
        <v/>
      </c>
      <c r="I1138" s="55">
        <f>Orders!I1138</f>
        <v/>
      </c>
      <c r="J1138" s="55">
        <f>Orders!J1138</f>
        <v/>
      </c>
      <c r="K1138" s="55">
        <f>Orders!K1138</f>
        <v/>
      </c>
      <c r="L1138" s="55">
        <f>VLOOKUP(D1138,Products!$A$2:$F$61,3,FALSE())</f>
        <v/>
      </c>
      <c r="M1138" s="55">
        <f>VLOOKUP(C1138,Customers!$A$2:$F$301,5,FALSE())</f>
        <v/>
      </c>
      <c r="N1138" s="55">
        <f>VLOOKUP(E1138,Sales_Reps!$A$2:$E$31,3,FALSE())</f>
        <v/>
      </c>
      <c r="O1138" s="55">
        <f>VLOOKUP(D1138,Products!$A$2:$F$61,4,FALSE())</f>
        <v/>
      </c>
      <c r="P1138" s="55">
        <f>VLOOKUP(C1138,Customers!$A$2:$F$301,3,FALSE())</f>
        <v/>
      </c>
      <c r="Q1138" s="55">
        <f>UPPER(TRIM(K1138))</f>
        <v/>
      </c>
      <c r="R1138" s="55">
        <f>(G1138-O1138)/G1138</f>
        <v/>
      </c>
      <c r="S1138" s="55">
        <f>VLOOKUP(D1138,Products!$A$2:$F$61,6,FALSE())</f>
        <v/>
      </c>
    </row>
    <row r="1139" ht="15" customHeight="1" s="56">
      <c r="A1139" s="55">
        <f>Orders!A1139</f>
        <v/>
      </c>
      <c r="B1139" s="103">
        <f>Orders!B1139</f>
        <v/>
      </c>
      <c r="C1139" s="55">
        <f>Orders!C1139</f>
        <v/>
      </c>
      <c r="D1139" s="55">
        <f>Orders!D1139</f>
        <v/>
      </c>
      <c r="E1139" s="55">
        <f>Orders!E1139</f>
        <v/>
      </c>
      <c r="F1139" s="55">
        <f>Orders!F1139</f>
        <v/>
      </c>
      <c r="G1139" s="55">
        <f>Orders!G1139</f>
        <v/>
      </c>
      <c r="H1139" s="55">
        <f>Orders!H1139</f>
        <v/>
      </c>
      <c r="I1139" s="55">
        <f>Orders!I1139</f>
        <v/>
      </c>
      <c r="J1139" s="55">
        <f>Orders!J1139</f>
        <v/>
      </c>
      <c r="K1139" s="55">
        <f>Orders!K1139</f>
        <v/>
      </c>
      <c r="L1139" s="55">
        <f>VLOOKUP(D1139,Products!$A$2:$F$61,3,FALSE())</f>
        <v/>
      </c>
      <c r="M1139" s="55">
        <f>VLOOKUP(C1139,Customers!$A$2:$F$301,5,FALSE())</f>
        <v/>
      </c>
      <c r="N1139" s="55">
        <f>VLOOKUP(E1139,Sales_Reps!$A$2:$E$31,3,FALSE())</f>
        <v/>
      </c>
      <c r="O1139" s="55">
        <f>VLOOKUP(D1139,Products!$A$2:$F$61,4,FALSE())</f>
        <v/>
      </c>
      <c r="P1139" s="55">
        <f>VLOOKUP(C1139,Customers!$A$2:$F$301,3,FALSE())</f>
        <v/>
      </c>
      <c r="Q1139" s="55">
        <f>UPPER(TRIM(K1139))</f>
        <v/>
      </c>
      <c r="R1139" s="55">
        <f>(G1139-O1139)/G1139</f>
        <v/>
      </c>
      <c r="S1139" s="55">
        <f>VLOOKUP(D1139,Products!$A$2:$F$61,6,FALSE())</f>
        <v/>
      </c>
    </row>
    <row r="1140" ht="15" customHeight="1" s="56">
      <c r="A1140" s="55">
        <f>Orders!A1140</f>
        <v/>
      </c>
      <c r="B1140" s="103">
        <f>Orders!B1140</f>
        <v/>
      </c>
      <c r="C1140" s="55">
        <f>Orders!C1140</f>
        <v/>
      </c>
      <c r="D1140" s="55">
        <f>Orders!D1140</f>
        <v/>
      </c>
      <c r="E1140" s="55">
        <f>Orders!E1140</f>
        <v/>
      </c>
      <c r="F1140" s="55">
        <f>Orders!F1140</f>
        <v/>
      </c>
      <c r="G1140" s="55">
        <f>Orders!G1140</f>
        <v/>
      </c>
      <c r="H1140" s="55">
        <f>Orders!H1140</f>
        <v/>
      </c>
      <c r="I1140" s="55">
        <f>Orders!I1140</f>
        <v/>
      </c>
      <c r="J1140" s="55">
        <f>Orders!J1140</f>
        <v/>
      </c>
      <c r="K1140" s="55">
        <f>Orders!K1140</f>
        <v/>
      </c>
      <c r="L1140" s="55">
        <f>VLOOKUP(D1140,Products!$A$2:$F$61,3,FALSE())</f>
        <v/>
      </c>
      <c r="M1140" s="55">
        <f>VLOOKUP(C1140,Customers!$A$2:$F$301,5,FALSE())</f>
        <v/>
      </c>
      <c r="N1140" s="55">
        <f>VLOOKUP(E1140,Sales_Reps!$A$2:$E$31,3,FALSE())</f>
        <v/>
      </c>
      <c r="O1140" s="55">
        <f>VLOOKUP(D1140,Products!$A$2:$F$61,4,FALSE())</f>
        <v/>
      </c>
      <c r="P1140" s="55">
        <f>VLOOKUP(C1140,Customers!$A$2:$F$301,3,FALSE())</f>
        <v/>
      </c>
      <c r="Q1140" s="55">
        <f>UPPER(TRIM(K1140))</f>
        <v/>
      </c>
      <c r="R1140" s="55">
        <f>(G1140-O1140)/G1140</f>
        <v/>
      </c>
      <c r="S1140" s="55">
        <f>VLOOKUP(D1140,Products!$A$2:$F$61,6,FALSE())</f>
        <v/>
      </c>
    </row>
    <row r="1141" ht="15" customHeight="1" s="56">
      <c r="A1141" s="55">
        <f>Orders!A1141</f>
        <v/>
      </c>
      <c r="B1141" s="103">
        <f>Orders!B1141</f>
        <v/>
      </c>
      <c r="C1141" s="55">
        <f>Orders!C1141</f>
        <v/>
      </c>
      <c r="D1141" s="55">
        <f>Orders!D1141</f>
        <v/>
      </c>
      <c r="E1141" s="55">
        <f>Orders!E1141</f>
        <v/>
      </c>
      <c r="F1141" s="55">
        <f>Orders!F1141</f>
        <v/>
      </c>
      <c r="G1141" s="55">
        <f>Orders!G1141</f>
        <v/>
      </c>
      <c r="H1141" s="55">
        <f>Orders!H1141</f>
        <v/>
      </c>
      <c r="I1141" s="55">
        <f>Orders!I1141</f>
        <v/>
      </c>
      <c r="J1141" s="55">
        <f>Orders!J1141</f>
        <v/>
      </c>
      <c r="K1141" s="55">
        <f>Orders!K1141</f>
        <v/>
      </c>
      <c r="L1141" s="55">
        <f>VLOOKUP(D1141,Products!$A$2:$F$61,3,FALSE())</f>
        <v/>
      </c>
      <c r="M1141" s="55">
        <f>VLOOKUP(C1141,Customers!$A$2:$F$301,5,FALSE())</f>
        <v/>
      </c>
      <c r="N1141" s="55">
        <f>VLOOKUP(E1141,Sales_Reps!$A$2:$E$31,3,FALSE())</f>
        <v/>
      </c>
      <c r="O1141" s="55">
        <f>VLOOKUP(D1141,Products!$A$2:$F$61,4,FALSE())</f>
        <v/>
      </c>
      <c r="P1141" s="55">
        <f>VLOOKUP(C1141,Customers!$A$2:$F$301,3,FALSE())</f>
        <v/>
      </c>
      <c r="Q1141" s="55">
        <f>UPPER(TRIM(K1141))</f>
        <v/>
      </c>
      <c r="R1141" s="55">
        <f>(G1141-O1141)/G1141</f>
        <v/>
      </c>
      <c r="S1141" s="55">
        <f>VLOOKUP(D1141,Products!$A$2:$F$61,6,FALSE())</f>
        <v/>
      </c>
    </row>
    <row r="1142" ht="15" customHeight="1" s="56">
      <c r="A1142" s="55">
        <f>Orders!A1142</f>
        <v/>
      </c>
      <c r="B1142" s="103">
        <f>Orders!B1142</f>
        <v/>
      </c>
      <c r="C1142" s="55">
        <f>Orders!C1142</f>
        <v/>
      </c>
      <c r="D1142" s="55">
        <f>Orders!D1142</f>
        <v/>
      </c>
      <c r="E1142" s="55">
        <f>Orders!E1142</f>
        <v/>
      </c>
      <c r="F1142" s="55">
        <f>Orders!F1142</f>
        <v/>
      </c>
      <c r="G1142" s="55">
        <f>Orders!G1142</f>
        <v/>
      </c>
      <c r="H1142" s="55">
        <f>Orders!H1142</f>
        <v/>
      </c>
      <c r="I1142" s="55">
        <f>Orders!I1142</f>
        <v/>
      </c>
      <c r="J1142" s="55">
        <f>Orders!J1142</f>
        <v/>
      </c>
      <c r="K1142" s="55">
        <f>Orders!K1142</f>
        <v/>
      </c>
      <c r="L1142" s="55">
        <f>VLOOKUP(D1142,Products!$A$2:$F$61,3,FALSE())</f>
        <v/>
      </c>
      <c r="M1142" s="55">
        <f>VLOOKUP(C1142,Customers!$A$2:$F$301,5,FALSE())</f>
        <v/>
      </c>
      <c r="N1142" s="55">
        <f>VLOOKUP(E1142,Sales_Reps!$A$2:$E$31,3,FALSE())</f>
        <v/>
      </c>
      <c r="O1142" s="55">
        <f>VLOOKUP(D1142,Products!$A$2:$F$61,4,FALSE())</f>
        <v/>
      </c>
      <c r="P1142" s="55">
        <f>VLOOKUP(C1142,Customers!$A$2:$F$301,3,FALSE())</f>
        <v/>
      </c>
      <c r="Q1142" s="55">
        <f>UPPER(TRIM(K1142))</f>
        <v/>
      </c>
      <c r="R1142" s="55">
        <f>(G1142-O1142)/G1142</f>
        <v/>
      </c>
      <c r="S1142" s="55">
        <f>VLOOKUP(D1142,Products!$A$2:$F$61,6,FALSE())</f>
        <v/>
      </c>
    </row>
    <row r="1143" ht="15" customHeight="1" s="56">
      <c r="A1143" s="55">
        <f>Orders!A1143</f>
        <v/>
      </c>
      <c r="B1143" s="103">
        <f>Orders!B1143</f>
        <v/>
      </c>
      <c r="C1143" s="55">
        <f>Orders!C1143</f>
        <v/>
      </c>
      <c r="D1143" s="55">
        <f>Orders!D1143</f>
        <v/>
      </c>
      <c r="E1143" s="55">
        <f>Orders!E1143</f>
        <v/>
      </c>
      <c r="F1143" s="55">
        <f>Orders!F1143</f>
        <v/>
      </c>
      <c r="G1143" s="55">
        <f>Orders!G1143</f>
        <v/>
      </c>
      <c r="H1143" s="55">
        <f>Orders!H1143</f>
        <v/>
      </c>
      <c r="I1143" s="55">
        <f>Orders!I1143</f>
        <v/>
      </c>
      <c r="J1143" s="55">
        <f>Orders!J1143</f>
        <v/>
      </c>
      <c r="K1143" s="55">
        <f>Orders!K1143</f>
        <v/>
      </c>
      <c r="L1143" s="55">
        <f>VLOOKUP(D1143,Products!$A$2:$F$61,3,FALSE())</f>
        <v/>
      </c>
      <c r="M1143" s="55">
        <f>VLOOKUP(C1143,Customers!$A$2:$F$301,5,FALSE())</f>
        <v/>
      </c>
      <c r="N1143" s="55">
        <f>VLOOKUP(E1143,Sales_Reps!$A$2:$E$31,3,FALSE())</f>
        <v/>
      </c>
      <c r="O1143" s="55">
        <f>VLOOKUP(D1143,Products!$A$2:$F$61,4,FALSE())</f>
        <v/>
      </c>
      <c r="P1143" s="55">
        <f>VLOOKUP(C1143,Customers!$A$2:$F$301,3,FALSE())</f>
        <v/>
      </c>
      <c r="Q1143" s="55">
        <f>UPPER(TRIM(K1143))</f>
        <v/>
      </c>
      <c r="R1143" s="55">
        <f>(G1143-O1143)/G1143</f>
        <v/>
      </c>
      <c r="S1143" s="55">
        <f>VLOOKUP(D1143,Products!$A$2:$F$61,6,FALSE())</f>
        <v/>
      </c>
    </row>
    <row r="1144" ht="15" customHeight="1" s="56">
      <c r="A1144" s="55">
        <f>Orders!A1144</f>
        <v/>
      </c>
      <c r="B1144" s="103">
        <f>Orders!B1144</f>
        <v/>
      </c>
      <c r="C1144" s="55">
        <f>Orders!C1144</f>
        <v/>
      </c>
      <c r="D1144" s="55">
        <f>Orders!D1144</f>
        <v/>
      </c>
      <c r="E1144" s="55">
        <f>Orders!E1144</f>
        <v/>
      </c>
      <c r="F1144" s="55">
        <f>Orders!F1144</f>
        <v/>
      </c>
      <c r="G1144" s="55">
        <f>Orders!G1144</f>
        <v/>
      </c>
      <c r="H1144" s="55">
        <f>Orders!H1144</f>
        <v/>
      </c>
      <c r="I1144" s="55">
        <f>Orders!I1144</f>
        <v/>
      </c>
      <c r="J1144" s="55">
        <f>Orders!J1144</f>
        <v/>
      </c>
      <c r="K1144" s="55">
        <f>Orders!K1144</f>
        <v/>
      </c>
      <c r="L1144" s="55">
        <f>VLOOKUP(D1144,Products!$A$2:$F$61,3,FALSE())</f>
        <v/>
      </c>
      <c r="M1144" s="55">
        <f>VLOOKUP(C1144,Customers!$A$2:$F$301,5,FALSE())</f>
        <v/>
      </c>
      <c r="N1144" s="55">
        <f>VLOOKUP(E1144,Sales_Reps!$A$2:$E$31,3,FALSE())</f>
        <v/>
      </c>
      <c r="O1144" s="55">
        <f>VLOOKUP(D1144,Products!$A$2:$F$61,4,FALSE())</f>
        <v/>
      </c>
      <c r="P1144" s="55">
        <f>VLOOKUP(C1144,Customers!$A$2:$F$301,3,FALSE())</f>
        <v/>
      </c>
      <c r="Q1144" s="55">
        <f>UPPER(TRIM(K1144))</f>
        <v/>
      </c>
      <c r="R1144" s="55">
        <f>(G1144-O1144)/G1144</f>
        <v/>
      </c>
      <c r="S1144" s="55">
        <f>VLOOKUP(D1144,Products!$A$2:$F$61,6,FALSE())</f>
        <v/>
      </c>
    </row>
    <row r="1145" ht="15" customHeight="1" s="56">
      <c r="A1145" s="55">
        <f>Orders!A1145</f>
        <v/>
      </c>
      <c r="B1145" s="103">
        <f>Orders!B1145</f>
        <v/>
      </c>
      <c r="C1145" s="55">
        <f>Orders!C1145</f>
        <v/>
      </c>
      <c r="D1145" s="55">
        <f>Orders!D1145</f>
        <v/>
      </c>
      <c r="E1145" s="55">
        <f>Orders!E1145</f>
        <v/>
      </c>
      <c r="F1145" s="55">
        <f>Orders!F1145</f>
        <v/>
      </c>
      <c r="G1145" s="55">
        <f>Orders!G1145</f>
        <v/>
      </c>
      <c r="H1145" s="55">
        <f>Orders!H1145</f>
        <v/>
      </c>
      <c r="I1145" s="55">
        <f>Orders!I1145</f>
        <v/>
      </c>
      <c r="J1145" s="55">
        <f>Orders!J1145</f>
        <v/>
      </c>
      <c r="K1145" s="55">
        <f>Orders!K1145</f>
        <v/>
      </c>
      <c r="L1145" s="55">
        <f>VLOOKUP(D1145,Products!$A$2:$F$61,3,FALSE())</f>
        <v/>
      </c>
      <c r="M1145" s="55">
        <f>VLOOKUP(C1145,Customers!$A$2:$F$301,5,FALSE())</f>
        <v/>
      </c>
      <c r="N1145" s="55">
        <f>VLOOKUP(E1145,Sales_Reps!$A$2:$E$31,3,FALSE())</f>
        <v/>
      </c>
      <c r="O1145" s="55">
        <f>VLOOKUP(D1145,Products!$A$2:$F$61,4,FALSE())</f>
        <v/>
      </c>
      <c r="P1145" s="55">
        <f>VLOOKUP(C1145,Customers!$A$2:$F$301,3,FALSE())</f>
        <v/>
      </c>
      <c r="Q1145" s="55">
        <f>UPPER(TRIM(K1145))</f>
        <v/>
      </c>
      <c r="R1145" s="55">
        <f>(G1145-O1145)/G1145</f>
        <v/>
      </c>
      <c r="S1145" s="55">
        <f>VLOOKUP(D1145,Products!$A$2:$F$61,6,FALSE())</f>
        <v/>
      </c>
    </row>
    <row r="1146" ht="15" customHeight="1" s="56">
      <c r="A1146" s="55">
        <f>Orders!A1146</f>
        <v/>
      </c>
      <c r="B1146" s="103">
        <f>Orders!B1146</f>
        <v/>
      </c>
      <c r="C1146" s="55">
        <f>Orders!C1146</f>
        <v/>
      </c>
      <c r="D1146" s="55">
        <f>Orders!D1146</f>
        <v/>
      </c>
      <c r="E1146" s="55">
        <f>Orders!E1146</f>
        <v/>
      </c>
      <c r="F1146" s="55">
        <f>Orders!F1146</f>
        <v/>
      </c>
      <c r="G1146" s="55">
        <f>Orders!G1146</f>
        <v/>
      </c>
      <c r="H1146" s="55">
        <f>Orders!H1146</f>
        <v/>
      </c>
      <c r="I1146" s="55">
        <f>Orders!I1146</f>
        <v/>
      </c>
      <c r="J1146" s="55">
        <f>Orders!J1146</f>
        <v/>
      </c>
      <c r="K1146" s="55">
        <f>Orders!K1146</f>
        <v/>
      </c>
      <c r="L1146" s="55">
        <f>VLOOKUP(D1146,Products!$A$2:$F$61,3,FALSE())</f>
        <v/>
      </c>
      <c r="M1146" s="55">
        <f>VLOOKUP(C1146,Customers!$A$2:$F$301,5,FALSE())</f>
        <v/>
      </c>
      <c r="N1146" s="55">
        <f>VLOOKUP(E1146,Sales_Reps!$A$2:$E$31,3,FALSE())</f>
        <v/>
      </c>
      <c r="O1146" s="55">
        <f>VLOOKUP(D1146,Products!$A$2:$F$61,4,FALSE())</f>
        <v/>
      </c>
      <c r="P1146" s="55">
        <f>VLOOKUP(C1146,Customers!$A$2:$F$301,3,FALSE())</f>
        <v/>
      </c>
      <c r="Q1146" s="55">
        <f>UPPER(TRIM(K1146))</f>
        <v/>
      </c>
      <c r="R1146" s="55">
        <f>(G1146-O1146)/G1146</f>
        <v/>
      </c>
      <c r="S1146" s="55">
        <f>VLOOKUP(D1146,Products!$A$2:$F$61,6,FALSE())</f>
        <v/>
      </c>
    </row>
    <row r="1147" ht="15" customHeight="1" s="56">
      <c r="A1147" s="55">
        <f>Orders!A1147</f>
        <v/>
      </c>
      <c r="B1147" s="103">
        <f>Orders!B1147</f>
        <v/>
      </c>
      <c r="C1147" s="55">
        <f>Orders!C1147</f>
        <v/>
      </c>
      <c r="D1147" s="55">
        <f>Orders!D1147</f>
        <v/>
      </c>
      <c r="E1147" s="55">
        <f>Orders!E1147</f>
        <v/>
      </c>
      <c r="F1147" s="55">
        <f>Orders!F1147</f>
        <v/>
      </c>
      <c r="G1147" s="55">
        <f>Orders!G1147</f>
        <v/>
      </c>
      <c r="H1147" s="55">
        <f>Orders!H1147</f>
        <v/>
      </c>
      <c r="I1147" s="55">
        <f>Orders!I1147</f>
        <v/>
      </c>
      <c r="J1147" s="55">
        <f>Orders!J1147</f>
        <v/>
      </c>
      <c r="K1147" s="55">
        <f>Orders!K1147</f>
        <v/>
      </c>
      <c r="L1147" s="55">
        <f>VLOOKUP(D1147,Products!$A$2:$F$61,3,FALSE())</f>
        <v/>
      </c>
      <c r="M1147" s="55">
        <f>VLOOKUP(C1147,Customers!$A$2:$F$301,5,FALSE())</f>
        <v/>
      </c>
      <c r="N1147" s="55">
        <f>VLOOKUP(E1147,Sales_Reps!$A$2:$E$31,3,FALSE())</f>
        <v/>
      </c>
      <c r="O1147" s="55">
        <f>VLOOKUP(D1147,Products!$A$2:$F$61,4,FALSE())</f>
        <v/>
      </c>
      <c r="P1147" s="55">
        <f>VLOOKUP(C1147,Customers!$A$2:$F$301,3,FALSE())</f>
        <v/>
      </c>
      <c r="Q1147" s="55">
        <f>UPPER(TRIM(K1147))</f>
        <v/>
      </c>
      <c r="R1147" s="55">
        <f>(G1147-O1147)/G1147</f>
        <v/>
      </c>
      <c r="S1147" s="55">
        <f>VLOOKUP(D1147,Products!$A$2:$F$61,6,FALSE())</f>
        <v/>
      </c>
    </row>
    <row r="1148" ht="15" customHeight="1" s="56">
      <c r="A1148" s="55">
        <f>Orders!A1148</f>
        <v/>
      </c>
      <c r="B1148" s="103">
        <f>Orders!B1148</f>
        <v/>
      </c>
      <c r="C1148" s="55">
        <f>Orders!C1148</f>
        <v/>
      </c>
      <c r="D1148" s="55">
        <f>Orders!D1148</f>
        <v/>
      </c>
      <c r="E1148" s="55">
        <f>Orders!E1148</f>
        <v/>
      </c>
      <c r="F1148" s="55">
        <f>Orders!F1148</f>
        <v/>
      </c>
      <c r="G1148" s="55">
        <f>Orders!G1148</f>
        <v/>
      </c>
      <c r="H1148" s="55">
        <f>Orders!H1148</f>
        <v/>
      </c>
      <c r="I1148" s="55">
        <f>Orders!I1148</f>
        <v/>
      </c>
      <c r="J1148" s="55">
        <f>Orders!J1148</f>
        <v/>
      </c>
      <c r="K1148" s="55">
        <f>Orders!K1148</f>
        <v/>
      </c>
      <c r="L1148" s="55">
        <f>VLOOKUP(D1148,Products!$A$2:$F$61,3,FALSE())</f>
        <v/>
      </c>
      <c r="M1148" s="55">
        <f>VLOOKUP(C1148,Customers!$A$2:$F$301,5,FALSE())</f>
        <v/>
      </c>
      <c r="N1148" s="55">
        <f>VLOOKUP(E1148,Sales_Reps!$A$2:$E$31,3,FALSE())</f>
        <v/>
      </c>
      <c r="O1148" s="55">
        <f>VLOOKUP(D1148,Products!$A$2:$F$61,4,FALSE())</f>
        <v/>
      </c>
      <c r="P1148" s="55">
        <f>VLOOKUP(C1148,Customers!$A$2:$F$301,3,FALSE())</f>
        <v/>
      </c>
      <c r="Q1148" s="55">
        <f>UPPER(TRIM(K1148))</f>
        <v/>
      </c>
      <c r="R1148" s="55">
        <f>(G1148-O1148)/G1148</f>
        <v/>
      </c>
      <c r="S1148" s="55">
        <f>VLOOKUP(D1148,Products!$A$2:$F$61,6,FALSE())</f>
        <v/>
      </c>
    </row>
    <row r="1149" ht="15" customHeight="1" s="56">
      <c r="A1149" s="55">
        <f>Orders!A1149</f>
        <v/>
      </c>
      <c r="B1149" s="103">
        <f>Orders!B1149</f>
        <v/>
      </c>
      <c r="C1149" s="55">
        <f>Orders!C1149</f>
        <v/>
      </c>
      <c r="D1149" s="55">
        <f>Orders!D1149</f>
        <v/>
      </c>
      <c r="E1149" s="55">
        <f>Orders!E1149</f>
        <v/>
      </c>
      <c r="F1149" s="55">
        <f>Orders!F1149</f>
        <v/>
      </c>
      <c r="G1149" s="55">
        <f>Orders!G1149</f>
        <v/>
      </c>
      <c r="H1149" s="55">
        <f>Orders!H1149</f>
        <v/>
      </c>
      <c r="I1149" s="55">
        <f>Orders!I1149</f>
        <v/>
      </c>
      <c r="J1149" s="55">
        <f>Orders!J1149</f>
        <v/>
      </c>
      <c r="K1149" s="55">
        <f>Orders!K1149</f>
        <v/>
      </c>
      <c r="L1149" s="55">
        <f>VLOOKUP(D1149,Products!$A$2:$F$61,3,FALSE())</f>
        <v/>
      </c>
      <c r="M1149" s="55">
        <f>VLOOKUP(C1149,Customers!$A$2:$F$301,5,FALSE())</f>
        <v/>
      </c>
      <c r="N1149" s="55">
        <f>VLOOKUP(E1149,Sales_Reps!$A$2:$E$31,3,FALSE())</f>
        <v/>
      </c>
      <c r="O1149" s="55">
        <f>VLOOKUP(D1149,Products!$A$2:$F$61,4,FALSE())</f>
        <v/>
      </c>
      <c r="P1149" s="55">
        <f>VLOOKUP(C1149,Customers!$A$2:$F$301,3,FALSE())</f>
        <v/>
      </c>
      <c r="Q1149" s="55">
        <f>UPPER(TRIM(K1149))</f>
        <v/>
      </c>
      <c r="R1149" s="55">
        <f>(G1149-O1149)/G1149</f>
        <v/>
      </c>
      <c r="S1149" s="55">
        <f>VLOOKUP(D1149,Products!$A$2:$F$61,6,FALSE())</f>
        <v/>
      </c>
    </row>
    <row r="1150" ht="15" customHeight="1" s="56">
      <c r="A1150" s="55">
        <f>Orders!A1150</f>
        <v/>
      </c>
      <c r="B1150" s="103">
        <f>Orders!B1150</f>
        <v/>
      </c>
      <c r="C1150" s="55">
        <f>Orders!C1150</f>
        <v/>
      </c>
      <c r="D1150" s="55">
        <f>Orders!D1150</f>
        <v/>
      </c>
      <c r="E1150" s="55">
        <f>Orders!E1150</f>
        <v/>
      </c>
      <c r="F1150" s="55">
        <f>Orders!F1150</f>
        <v/>
      </c>
      <c r="G1150" s="55">
        <f>Orders!G1150</f>
        <v/>
      </c>
      <c r="H1150" s="55">
        <f>Orders!H1150</f>
        <v/>
      </c>
      <c r="I1150" s="55">
        <f>Orders!I1150</f>
        <v/>
      </c>
      <c r="J1150" s="55">
        <f>Orders!J1150</f>
        <v/>
      </c>
      <c r="K1150" s="55">
        <f>Orders!K1150</f>
        <v/>
      </c>
      <c r="L1150" s="55">
        <f>VLOOKUP(D1150,Products!$A$2:$F$61,3,FALSE())</f>
        <v/>
      </c>
      <c r="M1150" s="55">
        <f>VLOOKUP(C1150,Customers!$A$2:$F$301,5,FALSE())</f>
        <v/>
      </c>
      <c r="N1150" s="55">
        <f>VLOOKUP(E1150,Sales_Reps!$A$2:$E$31,3,FALSE())</f>
        <v/>
      </c>
      <c r="O1150" s="55">
        <f>VLOOKUP(D1150,Products!$A$2:$F$61,4,FALSE())</f>
        <v/>
      </c>
      <c r="P1150" s="55">
        <f>VLOOKUP(C1150,Customers!$A$2:$F$301,3,FALSE())</f>
        <v/>
      </c>
      <c r="Q1150" s="55">
        <f>UPPER(TRIM(K1150))</f>
        <v/>
      </c>
      <c r="R1150" s="55">
        <f>(G1150-O1150)/G1150</f>
        <v/>
      </c>
      <c r="S1150" s="55">
        <f>VLOOKUP(D1150,Products!$A$2:$F$61,6,FALSE())</f>
        <v/>
      </c>
    </row>
    <row r="1151" ht="15" customHeight="1" s="56">
      <c r="A1151" s="55">
        <f>Orders!A1151</f>
        <v/>
      </c>
      <c r="B1151" s="103">
        <f>Orders!B1151</f>
        <v/>
      </c>
      <c r="C1151" s="55">
        <f>Orders!C1151</f>
        <v/>
      </c>
      <c r="D1151" s="55">
        <f>Orders!D1151</f>
        <v/>
      </c>
      <c r="E1151" s="55">
        <f>Orders!E1151</f>
        <v/>
      </c>
      <c r="F1151" s="55">
        <f>Orders!F1151</f>
        <v/>
      </c>
      <c r="G1151" s="55">
        <f>Orders!G1151</f>
        <v/>
      </c>
      <c r="H1151" s="55">
        <f>Orders!H1151</f>
        <v/>
      </c>
      <c r="I1151" s="55">
        <f>Orders!I1151</f>
        <v/>
      </c>
      <c r="J1151" s="55">
        <f>Orders!J1151</f>
        <v/>
      </c>
      <c r="K1151" s="55">
        <f>Orders!K1151</f>
        <v/>
      </c>
      <c r="L1151" s="55">
        <f>VLOOKUP(D1151,Products!$A$2:$F$61,3,FALSE())</f>
        <v/>
      </c>
      <c r="M1151" s="55">
        <f>VLOOKUP(C1151,Customers!$A$2:$F$301,5,FALSE())</f>
        <v/>
      </c>
      <c r="N1151" s="55">
        <f>VLOOKUP(E1151,Sales_Reps!$A$2:$E$31,3,FALSE())</f>
        <v/>
      </c>
      <c r="O1151" s="55">
        <f>VLOOKUP(D1151,Products!$A$2:$F$61,4,FALSE())</f>
        <v/>
      </c>
      <c r="P1151" s="55">
        <f>VLOOKUP(C1151,Customers!$A$2:$F$301,3,FALSE())</f>
        <v/>
      </c>
      <c r="Q1151" s="55">
        <f>UPPER(TRIM(K1151))</f>
        <v/>
      </c>
      <c r="R1151" s="55">
        <f>(G1151-O1151)/G1151</f>
        <v/>
      </c>
      <c r="S1151" s="55">
        <f>VLOOKUP(D1151,Products!$A$2:$F$61,6,FALSE())</f>
        <v/>
      </c>
    </row>
    <row r="1152" ht="15" customHeight="1" s="56">
      <c r="A1152" s="55">
        <f>Orders!A1152</f>
        <v/>
      </c>
      <c r="B1152" s="103">
        <f>Orders!B1152</f>
        <v/>
      </c>
      <c r="C1152" s="55">
        <f>Orders!C1152</f>
        <v/>
      </c>
      <c r="D1152" s="55">
        <f>Orders!D1152</f>
        <v/>
      </c>
      <c r="E1152" s="55">
        <f>Orders!E1152</f>
        <v/>
      </c>
      <c r="F1152" s="55">
        <f>Orders!F1152</f>
        <v/>
      </c>
      <c r="G1152" s="55">
        <f>Orders!G1152</f>
        <v/>
      </c>
      <c r="H1152" s="55">
        <f>Orders!H1152</f>
        <v/>
      </c>
      <c r="I1152" s="55">
        <f>Orders!I1152</f>
        <v/>
      </c>
      <c r="J1152" s="55">
        <f>Orders!J1152</f>
        <v/>
      </c>
      <c r="K1152" s="55">
        <f>Orders!K1152</f>
        <v/>
      </c>
      <c r="L1152" s="55">
        <f>VLOOKUP(D1152,Products!$A$2:$F$61,3,FALSE())</f>
        <v/>
      </c>
      <c r="M1152" s="55">
        <f>VLOOKUP(C1152,Customers!$A$2:$F$301,5,FALSE())</f>
        <v/>
      </c>
      <c r="N1152" s="55">
        <f>VLOOKUP(E1152,Sales_Reps!$A$2:$E$31,3,FALSE())</f>
        <v/>
      </c>
      <c r="O1152" s="55">
        <f>VLOOKUP(D1152,Products!$A$2:$F$61,4,FALSE())</f>
        <v/>
      </c>
      <c r="P1152" s="55">
        <f>VLOOKUP(C1152,Customers!$A$2:$F$301,3,FALSE())</f>
        <v/>
      </c>
      <c r="Q1152" s="55">
        <f>UPPER(TRIM(K1152))</f>
        <v/>
      </c>
      <c r="R1152" s="55">
        <f>(G1152-O1152)/G1152</f>
        <v/>
      </c>
      <c r="S1152" s="55">
        <f>VLOOKUP(D1152,Products!$A$2:$F$61,6,FALSE())</f>
        <v/>
      </c>
    </row>
    <row r="1153" ht="15" customHeight="1" s="56">
      <c r="A1153" s="55">
        <f>Orders!A1153</f>
        <v/>
      </c>
      <c r="B1153" s="103">
        <f>Orders!B1153</f>
        <v/>
      </c>
      <c r="C1153" s="55">
        <f>Orders!C1153</f>
        <v/>
      </c>
      <c r="D1153" s="55">
        <f>Orders!D1153</f>
        <v/>
      </c>
      <c r="E1153" s="55">
        <f>Orders!E1153</f>
        <v/>
      </c>
      <c r="F1153" s="55">
        <f>Orders!F1153</f>
        <v/>
      </c>
      <c r="G1153" s="55">
        <f>Orders!G1153</f>
        <v/>
      </c>
      <c r="H1153" s="55">
        <f>Orders!H1153</f>
        <v/>
      </c>
      <c r="I1153" s="55">
        <f>Orders!I1153</f>
        <v/>
      </c>
      <c r="J1153" s="55">
        <f>Orders!J1153</f>
        <v/>
      </c>
      <c r="K1153" s="55">
        <f>Orders!K1153</f>
        <v/>
      </c>
      <c r="L1153" s="55">
        <f>VLOOKUP(D1153,Products!$A$2:$F$61,3,FALSE())</f>
        <v/>
      </c>
      <c r="M1153" s="55">
        <f>VLOOKUP(C1153,Customers!$A$2:$F$301,5,FALSE())</f>
        <v/>
      </c>
      <c r="N1153" s="55">
        <f>VLOOKUP(E1153,Sales_Reps!$A$2:$E$31,3,FALSE())</f>
        <v/>
      </c>
      <c r="O1153" s="55">
        <f>VLOOKUP(D1153,Products!$A$2:$F$61,4,FALSE())</f>
        <v/>
      </c>
      <c r="P1153" s="55">
        <f>VLOOKUP(C1153,Customers!$A$2:$F$301,3,FALSE())</f>
        <v/>
      </c>
      <c r="Q1153" s="55">
        <f>UPPER(TRIM(K1153))</f>
        <v/>
      </c>
      <c r="R1153" s="55">
        <f>(G1153-O1153)/G1153</f>
        <v/>
      </c>
      <c r="S1153" s="55">
        <f>VLOOKUP(D1153,Products!$A$2:$F$61,6,FALSE())</f>
        <v/>
      </c>
    </row>
    <row r="1154" ht="15" customHeight="1" s="56">
      <c r="A1154" s="55">
        <f>Orders!A1154</f>
        <v/>
      </c>
      <c r="B1154" s="103">
        <f>Orders!B1154</f>
        <v/>
      </c>
      <c r="C1154" s="55">
        <f>Orders!C1154</f>
        <v/>
      </c>
      <c r="D1154" s="55">
        <f>Orders!D1154</f>
        <v/>
      </c>
      <c r="E1154" s="55">
        <f>Orders!E1154</f>
        <v/>
      </c>
      <c r="F1154" s="55">
        <f>Orders!F1154</f>
        <v/>
      </c>
      <c r="G1154" s="55">
        <f>Orders!G1154</f>
        <v/>
      </c>
      <c r="H1154" s="55">
        <f>Orders!H1154</f>
        <v/>
      </c>
      <c r="I1154" s="55">
        <f>Orders!I1154</f>
        <v/>
      </c>
      <c r="J1154" s="55">
        <f>Orders!J1154</f>
        <v/>
      </c>
      <c r="K1154" s="55">
        <f>Orders!K1154</f>
        <v/>
      </c>
      <c r="L1154" s="55">
        <f>VLOOKUP(D1154,Products!$A$2:$F$61,3,FALSE())</f>
        <v/>
      </c>
      <c r="M1154" s="55">
        <f>VLOOKUP(C1154,Customers!$A$2:$F$301,5,FALSE())</f>
        <v/>
      </c>
      <c r="N1154" s="55">
        <f>VLOOKUP(E1154,Sales_Reps!$A$2:$E$31,3,FALSE())</f>
        <v/>
      </c>
      <c r="O1154" s="55">
        <f>VLOOKUP(D1154,Products!$A$2:$F$61,4,FALSE())</f>
        <v/>
      </c>
      <c r="P1154" s="55">
        <f>VLOOKUP(C1154,Customers!$A$2:$F$301,3,FALSE())</f>
        <v/>
      </c>
      <c r="Q1154" s="55">
        <f>UPPER(TRIM(K1154))</f>
        <v/>
      </c>
      <c r="R1154" s="55">
        <f>(G1154-O1154)/G1154</f>
        <v/>
      </c>
      <c r="S1154" s="55">
        <f>VLOOKUP(D1154,Products!$A$2:$F$61,6,FALSE())</f>
        <v/>
      </c>
    </row>
    <row r="1155" ht="15" customHeight="1" s="56">
      <c r="A1155" s="55">
        <f>Orders!A1155</f>
        <v/>
      </c>
      <c r="B1155" s="103">
        <f>Orders!B1155</f>
        <v/>
      </c>
      <c r="C1155" s="55">
        <f>Orders!C1155</f>
        <v/>
      </c>
      <c r="D1155" s="55">
        <f>Orders!D1155</f>
        <v/>
      </c>
      <c r="E1155" s="55">
        <f>Orders!E1155</f>
        <v/>
      </c>
      <c r="F1155" s="55">
        <f>Orders!F1155</f>
        <v/>
      </c>
      <c r="G1155" s="55">
        <f>Orders!G1155</f>
        <v/>
      </c>
      <c r="H1155" s="55">
        <f>Orders!H1155</f>
        <v/>
      </c>
      <c r="I1155" s="55">
        <f>Orders!I1155</f>
        <v/>
      </c>
      <c r="J1155" s="55">
        <f>Orders!J1155</f>
        <v/>
      </c>
      <c r="K1155" s="55">
        <f>Orders!K1155</f>
        <v/>
      </c>
      <c r="L1155" s="55">
        <f>VLOOKUP(D1155,Products!$A$2:$F$61,3,FALSE())</f>
        <v/>
      </c>
      <c r="M1155" s="55">
        <f>VLOOKUP(C1155,Customers!$A$2:$F$301,5,FALSE())</f>
        <v/>
      </c>
      <c r="N1155" s="55">
        <f>VLOOKUP(E1155,Sales_Reps!$A$2:$E$31,3,FALSE())</f>
        <v/>
      </c>
      <c r="O1155" s="55">
        <f>VLOOKUP(D1155,Products!$A$2:$F$61,4,FALSE())</f>
        <v/>
      </c>
      <c r="P1155" s="55">
        <f>VLOOKUP(C1155,Customers!$A$2:$F$301,3,FALSE())</f>
        <v/>
      </c>
      <c r="Q1155" s="55">
        <f>UPPER(TRIM(K1155))</f>
        <v/>
      </c>
      <c r="R1155" s="55">
        <f>(G1155-O1155)/G1155</f>
        <v/>
      </c>
      <c r="S1155" s="55">
        <f>VLOOKUP(D1155,Products!$A$2:$F$61,6,FALSE())</f>
        <v/>
      </c>
    </row>
    <row r="1156" ht="15" customHeight="1" s="56">
      <c r="A1156" s="55">
        <f>Orders!A1156</f>
        <v/>
      </c>
      <c r="B1156" s="103">
        <f>Orders!B1156</f>
        <v/>
      </c>
      <c r="C1156" s="55">
        <f>Orders!C1156</f>
        <v/>
      </c>
      <c r="D1156" s="55">
        <f>Orders!D1156</f>
        <v/>
      </c>
      <c r="E1156" s="55">
        <f>Orders!E1156</f>
        <v/>
      </c>
      <c r="F1156" s="55">
        <f>Orders!F1156</f>
        <v/>
      </c>
      <c r="G1156" s="55">
        <f>Orders!G1156</f>
        <v/>
      </c>
      <c r="H1156" s="55">
        <f>Orders!H1156</f>
        <v/>
      </c>
      <c r="I1156" s="55">
        <f>Orders!I1156</f>
        <v/>
      </c>
      <c r="J1156" s="55">
        <f>Orders!J1156</f>
        <v/>
      </c>
      <c r="K1156" s="55">
        <f>Orders!K1156</f>
        <v/>
      </c>
      <c r="L1156" s="55">
        <f>VLOOKUP(D1156,Products!$A$2:$F$61,3,FALSE())</f>
        <v/>
      </c>
      <c r="M1156" s="55">
        <f>VLOOKUP(C1156,Customers!$A$2:$F$301,5,FALSE())</f>
        <v/>
      </c>
      <c r="N1156" s="55">
        <f>VLOOKUP(E1156,Sales_Reps!$A$2:$E$31,3,FALSE())</f>
        <v/>
      </c>
      <c r="O1156" s="55">
        <f>VLOOKUP(D1156,Products!$A$2:$F$61,4,FALSE())</f>
        <v/>
      </c>
      <c r="P1156" s="55">
        <f>VLOOKUP(C1156,Customers!$A$2:$F$301,3,FALSE())</f>
        <v/>
      </c>
      <c r="Q1156" s="55">
        <f>UPPER(TRIM(K1156))</f>
        <v/>
      </c>
      <c r="R1156" s="55">
        <f>(G1156-O1156)/G1156</f>
        <v/>
      </c>
      <c r="S1156" s="55">
        <f>VLOOKUP(D1156,Products!$A$2:$F$61,6,FALSE())</f>
        <v/>
      </c>
    </row>
    <row r="1157" ht="15" customHeight="1" s="56">
      <c r="A1157" s="55">
        <f>Orders!A1157</f>
        <v/>
      </c>
      <c r="B1157" s="103">
        <f>Orders!B1157</f>
        <v/>
      </c>
      <c r="C1157" s="55">
        <f>Orders!C1157</f>
        <v/>
      </c>
      <c r="D1157" s="55">
        <f>Orders!D1157</f>
        <v/>
      </c>
      <c r="E1157" s="55">
        <f>Orders!E1157</f>
        <v/>
      </c>
      <c r="F1157" s="55">
        <f>Orders!F1157</f>
        <v/>
      </c>
      <c r="G1157" s="55">
        <f>Orders!G1157</f>
        <v/>
      </c>
      <c r="H1157" s="55">
        <f>Orders!H1157</f>
        <v/>
      </c>
      <c r="I1157" s="55">
        <f>Orders!I1157</f>
        <v/>
      </c>
      <c r="J1157" s="55">
        <f>Orders!J1157</f>
        <v/>
      </c>
      <c r="K1157" s="55">
        <f>Orders!K1157</f>
        <v/>
      </c>
      <c r="L1157" s="55">
        <f>VLOOKUP(D1157,Products!$A$2:$F$61,3,FALSE())</f>
        <v/>
      </c>
      <c r="M1157" s="55">
        <f>VLOOKUP(C1157,Customers!$A$2:$F$301,5,FALSE())</f>
        <v/>
      </c>
      <c r="N1157" s="55">
        <f>VLOOKUP(E1157,Sales_Reps!$A$2:$E$31,3,FALSE())</f>
        <v/>
      </c>
      <c r="O1157" s="55">
        <f>VLOOKUP(D1157,Products!$A$2:$F$61,4,FALSE())</f>
        <v/>
      </c>
      <c r="P1157" s="55">
        <f>VLOOKUP(C1157,Customers!$A$2:$F$301,3,FALSE())</f>
        <v/>
      </c>
      <c r="Q1157" s="55">
        <f>UPPER(TRIM(K1157))</f>
        <v/>
      </c>
      <c r="R1157" s="55">
        <f>(G1157-O1157)/G1157</f>
        <v/>
      </c>
      <c r="S1157" s="55">
        <f>VLOOKUP(D1157,Products!$A$2:$F$61,6,FALSE())</f>
        <v/>
      </c>
    </row>
    <row r="1158" ht="15" customHeight="1" s="56">
      <c r="A1158" s="55">
        <f>Orders!A1158</f>
        <v/>
      </c>
      <c r="B1158" s="103">
        <f>Orders!B1158</f>
        <v/>
      </c>
      <c r="C1158" s="55">
        <f>Orders!C1158</f>
        <v/>
      </c>
      <c r="D1158" s="55">
        <f>Orders!D1158</f>
        <v/>
      </c>
      <c r="E1158" s="55">
        <f>Orders!E1158</f>
        <v/>
      </c>
      <c r="F1158" s="55">
        <f>Orders!F1158</f>
        <v/>
      </c>
      <c r="G1158" s="55">
        <f>Orders!G1158</f>
        <v/>
      </c>
      <c r="H1158" s="55">
        <f>Orders!H1158</f>
        <v/>
      </c>
      <c r="I1158" s="55">
        <f>Orders!I1158</f>
        <v/>
      </c>
      <c r="J1158" s="55">
        <f>Orders!J1158</f>
        <v/>
      </c>
      <c r="K1158" s="55">
        <f>Orders!K1158</f>
        <v/>
      </c>
      <c r="L1158" s="55">
        <f>VLOOKUP(D1158,Products!$A$2:$F$61,3,FALSE())</f>
        <v/>
      </c>
      <c r="M1158" s="55">
        <f>VLOOKUP(C1158,Customers!$A$2:$F$301,5,FALSE())</f>
        <v/>
      </c>
      <c r="N1158" s="55">
        <f>VLOOKUP(E1158,Sales_Reps!$A$2:$E$31,3,FALSE())</f>
        <v/>
      </c>
      <c r="O1158" s="55">
        <f>VLOOKUP(D1158,Products!$A$2:$F$61,4,FALSE())</f>
        <v/>
      </c>
      <c r="P1158" s="55">
        <f>VLOOKUP(C1158,Customers!$A$2:$F$301,3,FALSE())</f>
        <v/>
      </c>
      <c r="Q1158" s="55">
        <f>UPPER(TRIM(K1158))</f>
        <v/>
      </c>
      <c r="R1158" s="55">
        <f>(G1158-O1158)/G1158</f>
        <v/>
      </c>
      <c r="S1158" s="55">
        <f>VLOOKUP(D1158,Products!$A$2:$F$61,6,FALSE())</f>
        <v/>
      </c>
    </row>
    <row r="1159" ht="15" customHeight="1" s="56">
      <c r="A1159" s="55">
        <f>Orders!A1159</f>
        <v/>
      </c>
      <c r="B1159" s="103">
        <f>Orders!B1159</f>
        <v/>
      </c>
      <c r="C1159" s="55">
        <f>Orders!C1159</f>
        <v/>
      </c>
      <c r="D1159" s="55">
        <f>Orders!D1159</f>
        <v/>
      </c>
      <c r="E1159" s="55">
        <f>Orders!E1159</f>
        <v/>
      </c>
      <c r="F1159" s="55">
        <f>Orders!F1159</f>
        <v/>
      </c>
      <c r="G1159" s="55">
        <f>Orders!G1159</f>
        <v/>
      </c>
      <c r="H1159" s="55">
        <f>Orders!H1159</f>
        <v/>
      </c>
      <c r="I1159" s="55">
        <f>Orders!I1159</f>
        <v/>
      </c>
      <c r="J1159" s="55">
        <f>Orders!J1159</f>
        <v/>
      </c>
      <c r="K1159" s="55">
        <f>Orders!K1159</f>
        <v/>
      </c>
      <c r="L1159" s="55">
        <f>VLOOKUP(D1159,Products!$A$2:$F$61,3,FALSE())</f>
        <v/>
      </c>
      <c r="M1159" s="55">
        <f>VLOOKUP(C1159,Customers!$A$2:$F$301,5,FALSE())</f>
        <v/>
      </c>
      <c r="N1159" s="55">
        <f>VLOOKUP(E1159,Sales_Reps!$A$2:$E$31,3,FALSE())</f>
        <v/>
      </c>
      <c r="O1159" s="55">
        <f>VLOOKUP(D1159,Products!$A$2:$F$61,4,FALSE())</f>
        <v/>
      </c>
      <c r="P1159" s="55">
        <f>VLOOKUP(C1159,Customers!$A$2:$F$301,3,FALSE())</f>
        <v/>
      </c>
      <c r="Q1159" s="55">
        <f>UPPER(TRIM(K1159))</f>
        <v/>
      </c>
      <c r="R1159" s="55">
        <f>(G1159-O1159)/G1159</f>
        <v/>
      </c>
      <c r="S1159" s="55">
        <f>VLOOKUP(D1159,Products!$A$2:$F$61,6,FALSE())</f>
        <v/>
      </c>
    </row>
    <row r="1160" ht="15" customHeight="1" s="56">
      <c r="A1160" s="55">
        <f>Orders!A1160</f>
        <v/>
      </c>
      <c r="B1160" s="103">
        <f>Orders!B1160</f>
        <v/>
      </c>
      <c r="C1160" s="55">
        <f>Orders!C1160</f>
        <v/>
      </c>
      <c r="D1160" s="55">
        <f>Orders!D1160</f>
        <v/>
      </c>
      <c r="E1160" s="55">
        <f>Orders!E1160</f>
        <v/>
      </c>
      <c r="F1160" s="55">
        <f>Orders!F1160</f>
        <v/>
      </c>
      <c r="G1160" s="55">
        <f>Orders!G1160</f>
        <v/>
      </c>
      <c r="H1160" s="55">
        <f>Orders!H1160</f>
        <v/>
      </c>
      <c r="I1160" s="55">
        <f>Orders!I1160</f>
        <v/>
      </c>
      <c r="J1160" s="55">
        <f>Orders!J1160</f>
        <v/>
      </c>
      <c r="K1160" s="55">
        <f>Orders!K1160</f>
        <v/>
      </c>
      <c r="L1160" s="55">
        <f>VLOOKUP(D1160,Products!$A$2:$F$61,3,FALSE())</f>
        <v/>
      </c>
      <c r="M1160" s="55">
        <f>VLOOKUP(C1160,Customers!$A$2:$F$301,5,FALSE())</f>
        <v/>
      </c>
      <c r="N1160" s="55">
        <f>VLOOKUP(E1160,Sales_Reps!$A$2:$E$31,3,FALSE())</f>
        <v/>
      </c>
      <c r="O1160" s="55">
        <f>VLOOKUP(D1160,Products!$A$2:$F$61,4,FALSE())</f>
        <v/>
      </c>
      <c r="P1160" s="55">
        <f>VLOOKUP(C1160,Customers!$A$2:$F$301,3,FALSE())</f>
        <v/>
      </c>
      <c r="Q1160" s="55">
        <f>UPPER(TRIM(K1160))</f>
        <v/>
      </c>
      <c r="R1160" s="55">
        <f>(G1160-O1160)/G1160</f>
        <v/>
      </c>
      <c r="S1160" s="55">
        <f>VLOOKUP(D1160,Products!$A$2:$F$61,6,FALSE())</f>
        <v/>
      </c>
    </row>
    <row r="1161" ht="15" customHeight="1" s="56">
      <c r="A1161" s="55">
        <f>Orders!A1161</f>
        <v/>
      </c>
      <c r="B1161" s="103">
        <f>Orders!B1161</f>
        <v/>
      </c>
      <c r="C1161" s="55">
        <f>Orders!C1161</f>
        <v/>
      </c>
      <c r="D1161" s="55">
        <f>Orders!D1161</f>
        <v/>
      </c>
      <c r="E1161" s="55">
        <f>Orders!E1161</f>
        <v/>
      </c>
      <c r="F1161" s="55">
        <f>Orders!F1161</f>
        <v/>
      </c>
      <c r="G1161" s="55">
        <f>Orders!G1161</f>
        <v/>
      </c>
      <c r="H1161" s="55">
        <f>Orders!H1161</f>
        <v/>
      </c>
      <c r="I1161" s="55">
        <f>Orders!I1161</f>
        <v/>
      </c>
      <c r="J1161" s="55">
        <f>Orders!J1161</f>
        <v/>
      </c>
      <c r="K1161" s="55">
        <f>Orders!K1161</f>
        <v/>
      </c>
      <c r="L1161" s="55">
        <f>VLOOKUP(D1161,Products!$A$2:$F$61,3,FALSE())</f>
        <v/>
      </c>
      <c r="M1161" s="55">
        <f>VLOOKUP(C1161,Customers!$A$2:$F$301,5,FALSE())</f>
        <v/>
      </c>
      <c r="N1161" s="55">
        <f>VLOOKUP(E1161,Sales_Reps!$A$2:$E$31,3,FALSE())</f>
        <v/>
      </c>
      <c r="O1161" s="55">
        <f>VLOOKUP(D1161,Products!$A$2:$F$61,4,FALSE())</f>
        <v/>
      </c>
      <c r="P1161" s="55">
        <f>VLOOKUP(C1161,Customers!$A$2:$F$301,3,FALSE())</f>
        <v/>
      </c>
      <c r="Q1161" s="55">
        <f>UPPER(TRIM(K1161))</f>
        <v/>
      </c>
      <c r="R1161" s="55">
        <f>(G1161-O1161)/G1161</f>
        <v/>
      </c>
      <c r="S1161" s="55">
        <f>VLOOKUP(D1161,Products!$A$2:$F$61,6,FALSE())</f>
        <v/>
      </c>
    </row>
    <row r="1162" ht="15" customHeight="1" s="56">
      <c r="A1162" s="55">
        <f>Orders!A1162</f>
        <v/>
      </c>
      <c r="B1162" s="103">
        <f>Orders!B1162</f>
        <v/>
      </c>
      <c r="C1162" s="55">
        <f>Orders!C1162</f>
        <v/>
      </c>
      <c r="D1162" s="55">
        <f>Orders!D1162</f>
        <v/>
      </c>
      <c r="E1162" s="55">
        <f>Orders!E1162</f>
        <v/>
      </c>
      <c r="F1162" s="55">
        <f>Orders!F1162</f>
        <v/>
      </c>
      <c r="G1162" s="55">
        <f>Orders!G1162</f>
        <v/>
      </c>
      <c r="H1162" s="55">
        <f>Orders!H1162</f>
        <v/>
      </c>
      <c r="I1162" s="55">
        <f>Orders!I1162</f>
        <v/>
      </c>
      <c r="J1162" s="55">
        <f>Orders!J1162</f>
        <v/>
      </c>
      <c r="K1162" s="55">
        <f>Orders!K1162</f>
        <v/>
      </c>
      <c r="L1162" s="55">
        <f>VLOOKUP(D1162,Products!$A$2:$F$61,3,FALSE())</f>
        <v/>
      </c>
      <c r="M1162" s="55">
        <f>VLOOKUP(C1162,Customers!$A$2:$F$301,5,FALSE())</f>
        <v/>
      </c>
      <c r="N1162" s="55">
        <f>VLOOKUP(E1162,Sales_Reps!$A$2:$E$31,3,FALSE())</f>
        <v/>
      </c>
      <c r="O1162" s="55">
        <f>VLOOKUP(D1162,Products!$A$2:$F$61,4,FALSE())</f>
        <v/>
      </c>
      <c r="P1162" s="55">
        <f>VLOOKUP(C1162,Customers!$A$2:$F$301,3,FALSE())</f>
        <v/>
      </c>
      <c r="Q1162" s="55">
        <f>UPPER(TRIM(K1162))</f>
        <v/>
      </c>
      <c r="R1162" s="55">
        <f>(G1162-O1162)/G1162</f>
        <v/>
      </c>
      <c r="S1162" s="55">
        <f>VLOOKUP(D1162,Products!$A$2:$F$61,6,FALSE())</f>
        <v/>
      </c>
    </row>
    <row r="1163" ht="15" customHeight="1" s="56">
      <c r="A1163" s="55">
        <f>Orders!A1163</f>
        <v/>
      </c>
      <c r="B1163" s="103">
        <f>Orders!B1163</f>
        <v/>
      </c>
      <c r="C1163" s="55">
        <f>Orders!C1163</f>
        <v/>
      </c>
      <c r="D1163" s="55">
        <f>Orders!D1163</f>
        <v/>
      </c>
      <c r="E1163" s="55">
        <f>Orders!E1163</f>
        <v/>
      </c>
      <c r="F1163" s="55">
        <f>Orders!F1163</f>
        <v/>
      </c>
      <c r="G1163" s="55">
        <f>Orders!G1163</f>
        <v/>
      </c>
      <c r="H1163" s="55">
        <f>Orders!H1163</f>
        <v/>
      </c>
      <c r="I1163" s="55">
        <f>Orders!I1163</f>
        <v/>
      </c>
      <c r="J1163" s="55">
        <f>Orders!J1163</f>
        <v/>
      </c>
      <c r="K1163" s="55">
        <f>Orders!K1163</f>
        <v/>
      </c>
      <c r="L1163" s="55">
        <f>VLOOKUP(D1163,Products!$A$2:$F$61,3,FALSE())</f>
        <v/>
      </c>
      <c r="M1163" s="55">
        <f>VLOOKUP(C1163,Customers!$A$2:$F$301,5,FALSE())</f>
        <v/>
      </c>
      <c r="N1163" s="55">
        <f>VLOOKUP(E1163,Sales_Reps!$A$2:$E$31,3,FALSE())</f>
        <v/>
      </c>
      <c r="O1163" s="55">
        <f>VLOOKUP(D1163,Products!$A$2:$F$61,4,FALSE())</f>
        <v/>
      </c>
      <c r="P1163" s="55">
        <f>VLOOKUP(C1163,Customers!$A$2:$F$301,3,FALSE())</f>
        <v/>
      </c>
      <c r="Q1163" s="55">
        <f>UPPER(TRIM(K1163))</f>
        <v/>
      </c>
      <c r="R1163" s="55">
        <f>(G1163-O1163)/G1163</f>
        <v/>
      </c>
      <c r="S1163" s="55">
        <f>VLOOKUP(D1163,Products!$A$2:$F$61,6,FALSE())</f>
        <v/>
      </c>
    </row>
    <row r="1164" ht="15" customHeight="1" s="56">
      <c r="A1164" s="55">
        <f>Orders!A1164</f>
        <v/>
      </c>
      <c r="B1164" s="103">
        <f>Orders!B1164</f>
        <v/>
      </c>
      <c r="C1164" s="55">
        <f>Orders!C1164</f>
        <v/>
      </c>
      <c r="D1164" s="55">
        <f>Orders!D1164</f>
        <v/>
      </c>
      <c r="E1164" s="55">
        <f>Orders!E1164</f>
        <v/>
      </c>
      <c r="F1164" s="55">
        <f>Orders!F1164</f>
        <v/>
      </c>
      <c r="G1164" s="55">
        <f>Orders!G1164</f>
        <v/>
      </c>
      <c r="H1164" s="55">
        <f>Orders!H1164</f>
        <v/>
      </c>
      <c r="I1164" s="55">
        <f>Orders!I1164</f>
        <v/>
      </c>
      <c r="J1164" s="55">
        <f>Orders!J1164</f>
        <v/>
      </c>
      <c r="K1164" s="55">
        <f>Orders!K1164</f>
        <v/>
      </c>
      <c r="L1164" s="55">
        <f>VLOOKUP(D1164,Products!$A$2:$F$61,3,FALSE())</f>
        <v/>
      </c>
      <c r="M1164" s="55">
        <f>VLOOKUP(C1164,Customers!$A$2:$F$301,5,FALSE())</f>
        <v/>
      </c>
      <c r="N1164" s="55">
        <f>VLOOKUP(E1164,Sales_Reps!$A$2:$E$31,3,FALSE())</f>
        <v/>
      </c>
      <c r="O1164" s="55">
        <f>VLOOKUP(D1164,Products!$A$2:$F$61,4,FALSE())</f>
        <v/>
      </c>
      <c r="P1164" s="55">
        <f>VLOOKUP(C1164,Customers!$A$2:$F$301,3,FALSE())</f>
        <v/>
      </c>
      <c r="Q1164" s="55">
        <f>UPPER(TRIM(K1164))</f>
        <v/>
      </c>
      <c r="R1164" s="55">
        <f>(G1164-O1164)/G1164</f>
        <v/>
      </c>
      <c r="S1164" s="55">
        <f>VLOOKUP(D1164,Products!$A$2:$F$61,6,FALSE())</f>
        <v/>
      </c>
    </row>
    <row r="1165" ht="15" customHeight="1" s="56">
      <c r="A1165" s="55">
        <f>Orders!A1165</f>
        <v/>
      </c>
      <c r="B1165" s="103">
        <f>Orders!B1165</f>
        <v/>
      </c>
      <c r="C1165" s="55">
        <f>Orders!C1165</f>
        <v/>
      </c>
      <c r="D1165" s="55">
        <f>Orders!D1165</f>
        <v/>
      </c>
      <c r="E1165" s="55">
        <f>Orders!E1165</f>
        <v/>
      </c>
      <c r="F1165" s="55">
        <f>Orders!F1165</f>
        <v/>
      </c>
      <c r="G1165" s="55">
        <f>Orders!G1165</f>
        <v/>
      </c>
      <c r="H1165" s="55">
        <f>Orders!H1165</f>
        <v/>
      </c>
      <c r="I1165" s="55">
        <f>Orders!I1165</f>
        <v/>
      </c>
      <c r="J1165" s="55">
        <f>Orders!J1165</f>
        <v/>
      </c>
      <c r="K1165" s="55">
        <f>Orders!K1165</f>
        <v/>
      </c>
      <c r="L1165" s="55">
        <f>VLOOKUP(D1165,Products!$A$2:$F$61,3,FALSE())</f>
        <v/>
      </c>
      <c r="M1165" s="55">
        <f>VLOOKUP(C1165,Customers!$A$2:$F$301,5,FALSE())</f>
        <v/>
      </c>
      <c r="N1165" s="55">
        <f>VLOOKUP(E1165,Sales_Reps!$A$2:$E$31,3,FALSE())</f>
        <v/>
      </c>
      <c r="O1165" s="55">
        <f>VLOOKUP(D1165,Products!$A$2:$F$61,4,FALSE())</f>
        <v/>
      </c>
      <c r="P1165" s="55">
        <f>VLOOKUP(C1165,Customers!$A$2:$F$301,3,FALSE())</f>
        <v/>
      </c>
      <c r="Q1165" s="55">
        <f>UPPER(TRIM(K1165))</f>
        <v/>
      </c>
      <c r="R1165" s="55">
        <f>(G1165-O1165)/G1165</f>
        <v/>
      </c>
      <c r="S1165" s="55">
        <f>VLOOKUP(D1165,Products!$A$2:$F$61,6,FALSE())</f>
        <v/>
      </c>
    </row>
    <row r="1166" ht="15" customHeight="1" s="56">
      <c r="A1166" s="55">
        <f>Orders!A1166</f>
        <v/>
      </c>
      <c r="B1166" s="103">
        <f>Orders!B1166</f>
        <v/>
      </c>
      <c r="C1166" s="55">
        <f>Orders!C1166</f>
        <v/>
      </c>
      <c r="D1166" s="55">
        <f>Orders!D1166</f>
        <v/>
      </c>
      <c r="E1166" s="55">
        <f>Orders!E1166</f>
        <v/>
      </c>
      <c r="F1166" s="55">
        <f>Orders!F1166</f>
        <v/>
      </c>
      <c r="G1166" s="55">
        <f>Orders!G1166</f>
        <v/>
      </c>
      <c r="H1166" s="55">
        <f>Orders!H1166</f>
        <v/>
      </c>
      <c r="I1166" s="55">
        <f>Orders!I1166</f>
        <v/>
      </c>
      <c r="J1166" s="55">
        <f>Orders!J1166</f>
        <v/>
      </c>
      <c r="K1166" s="55">
        <f>Orders!K1166</f>
        <v/>
      </c>
      <c r="L1166" s="55">
        <f>VLOOKUP(D1166,Products!$A$2:$F$61,3,FALSE())</f>
        <v/>
      </c>
      <c r="M1166" s="55">
        <f>VLOOKUP(C1166,Customers!$A$2:$F$301,5,FALSE())</f>
        <v/>
      </c>
      <c r="N1166" s="55">
        <f>VLOOKUP(E1166,Sales_Reps!$A$2:$E$31,3,FALSE())</f>
        <v/>
      </c>
      <c r="O1166" s="55">
        <f>VLOOKUP(D1166,Products!$A$2:$F$61,4,FALSE())</f>
        <v/>
      </c>
      <c r="P1166" s="55">
        <f>VLOOKUP(C1166,Customers!$A$2:$F$301,3,FALSE())</f>
        <v/>
      </c>
      <c r="Q1166" s="55">
        <f>UPPER(TRIM(K1166))</f>
        <v/>
      </c>
      <c r="R1166" s="55">
        <f>(G1166-O1166)/G1166</f>
        <v/>
      </c>
      <c r="S1166" s="55">
        <f>VLOOKUP(D1166,Products!$A$2:$F$61,6,FALSE())</f>
        <v/>
      </c>
    </row>
    <row r="1167" ht="15" customHeight="1" s="56">
      <c r="A1167" s="55">
        <f>Orders!A1167</f>
        <v/>
      </c>
      <c r="B1167" s="103">
        <f>Orders!B1167</f>
        <v/>
      </c>
      <c r="C1167" s="55">
        <f>Orders!C1167</f>
        <v/>
      </c>
      <c r="D1167" s="55">
        <f>Orders!D1167</f>
        <v/>
      </c>
      <c r="E1167" s="55">
        <f>Orders!E1167</f>
        <v/>
      </c>
      <c r="F1167" s="55">
        <f>Orders!F1167</f>
        <v/>
      </c>
      <c r="G1167" s="55">
        <f>Orders!G1167</f>
        <v/>
      </c>
      <c r="H1167" s="55">
        <f>Orders!H1167</f>
        <v/>
      </c>
      <c r="I1167" s="55">
        <f>Orders!I1167</f>
        <v/>
      </c>
      <c r="J1167" s="55">
        <f>Orders!J1167</f>
        <v/>
      </c>
      <c r="K1167" s="55">
        <f>Orders!K1167</f>
        <v/>
      </c>
      <c r="L1167" s="55">
        <f>VLOOKUP(D1167,Products!$A$2:$F$61,3,FALSE())</f>
        <v/>
      </c>
      <c r="M1167" s="55">
        <f>VLOOKUP(C1167,Customers!$A$2:$F$301,5,FALSE())</f>
        <v/>
      </c>
      <c r="N1167" s="55">
        <f>VLOOKUP(E1167,Sales_Reps!$A$2:$E$31,3,FALSE())</f>
        <v/>
      </c>
      <c r="O1167" s="55">
        <f>VLOOKUP(D1167,Products!$A$2:$F$61,4,FALSE())</f>
        <v/>
      </c>
      <c r="P1167" s="55">
        <f>VLOOKUP(C1167,Customers!$A$2:$F$301,3,FALSE())</f>
        <v/>
      </c>
      <c r="Q1167" s="55">
        <f>UPPER(TRIM(K1167))</f>
        <v/>
      </c>
      <c r="R1167" s="55">
        <f>(G1167-O1167)/G1167</f>
        <v/>
      </c>
      <c r="S1167" s="55">
        <f>VLOOKUP(D1167,Products!$A$2:$F$61,6,FALSE())</f>
        <v/>
      </c>
    </row>
    <row r="1168" ht="15" customHeight="1" s="56">
      <c r="A1168" s="55">
        <f>Orders!A1168</f>
        <v/>
      </c>
      <c r="B1168" s="103">
        <f>Orders!B1168</f>
        <v/>
      </c>
      <c r="C1168" s="55">
        <f>Orders!C1168</f>
        <v/>
      </c>
      <c r="D1168" s="55">
        <f>Orders!D1168</f>
        <v/>
      </c>
      <c r="E1168" s="55">
        <f>Orders!E1168</f>
        <v/>
      </c>
      <c r="F1168" s="55">
        <f>Orders!F1168</f>
        <v/>
      </c>
      <c r="G1168" s="55">
        <f>Orders!G1168</f>
        <v/>
      </c>
      <c r="H1168" s="55">
        <f>Orders!H1168</f>
        <v/>
      </c>
      <c r="I1168" s="55">
        <f>Orders!I1168</f>
        <v/>
      </c>
      <c r="J1168" s="55">
        <f>Orders!J1168</f>
        <v/>
      </c>
      <c r="K1168" s="55">
        <f>Orders!K1168</f>
        <v/>
      </c>
      <c r="L1168" s="55">
        <f>VLOOKUP(D1168,Products!$A$2:$F$61,3,FALSE())</f>
        <v/>
      </c>
      <c r="M1168" s="55">
        <f>VLOOKUP(C1168,Customers!$A$2:$F$301,5,FALSE())</f>
        <v/>
      </c>
      <c r="N1168" s="55">
        <f>VLOOKUP(E1168,Sales_Reps!$A$2:$E$31,3,FALSE())</f>
        <v/>
      </c>
      <c r="O1168" s="55">
        <f>VLOOKUP(D1168,Products!$A$2:$F$61,4,FALSE())</f>
        <v/>
      </c>
      <c r="P1168" s="55">
        <f>VLOOKUP(C1168,Customers!$A$2:$F$301,3,FALSE())</f>
        <v/>
      </c>
      <c r="Q1168" s="55">
        <f>UPPER(TRIM(K1168))</f>
        <v/>
      </c>
      <c r="R1168" s="55">
        <f>(G1168-O1168)/G1168</f>
        <v/>
      </c>
      <c r="S1168" s="55">
        <f>VLOOKUP(D1168,Products!$A$2:$F$61,6,FALSE())</f>
        <v/>
      </c>
    </row>
    <row r="1169" ht="15" customHeight="1" s="56">
      <c r="A1169" s="55">
        <f>Orders!A1169</f>
        <v/>
      </c>
      <c r="B1169" s="103">
        <f>Orders!B1169</f>
        <v/>
      </c>
      <c r="C1169" s="55">
        <f>Orders!C1169</f>
        <v/>
      </c>
      <c r="D1169" s="55">
        <f>Orders!D1169</f>
        <v/>
      </c>
      <c r="E1169" s="55">
        <f>Orders!E1169</f>
        <v/>
      </c>
      <c r="F1169" s="55">
        <f>Orders!F1169</f>
        <v/>
      </c>
      <c r="G1169" s="55">
        <f>Orders!G1169</f>
        <v/>
      </c>
      <c r="H1169" s="55">
        <f>Orders!H1169</f>
        <v/>
      </c>
      <c r="I1169" s="55">
        <f>Orders!I1169</f>
        <v/>
      </c>
      <c r="J1169" s="55">
        <f>Orders!J1169</f>
        <v/>
      </c>
      <c r="K1169" s="55">
        <f>Orders!K1169</f>
        <v/>
      </c>
      <c r="L1169" s="55">
        <f>VLOOKUP(D1169,Products!$A$2:$F$61,3,FALSE())</f>
        <v/>
      </c>
      <c r="M1169" s="55">
        <f>VLOOKUP(C1169,Customers!$A$2:$F$301,5,FALSE())</f>
        <v/>
      </c>
      <c r="N1169" s="55">
        <f>VLOOKUP(E1169,Sales_Reps!$A$2:$E$31,3,FALSE())</f>
        <v/>
      </c>
      <c r="O1169" s="55">
        <f>VLOOKUP(D1169,Products!$A$2:$F$61,4,FALSE())</f>
        <v/>
      </c>
      <c r="P1169" s="55">
        <f>VLOOKUP(C1169,Customers!$A$2:$F$301,3,FALSE())</f>
        <v/>
      </c>
      <c r="Q1169" s="55">
        <f>UPPER(TRIM(K1169))</f>
        <v/>
      </c>
      <c r="R1169" s="55">
        <f>(G1169-O1169)/G1169</f>
        <v/>
      </c>
      <c r="S1169" s="55">
        <f>VLOOKUP(D1169,Products!$A$2:$F$61,6,FALSE())</f>
        <v/>
      </c>
    </row>
    <row r="1170" ht="15" customHeight="1" s="56">
      <c r="A1170" s="55">
        <f>Orders!A1170</f>
        <v/>
      </c>
      <c r="B1170" s="103">
        <f>Orders!B1170</f>
        <v/>
      </c>
      <c r="C1170" s="55">
        <f>Orders!C1170</f>
        <v/>
      </c>
      <c r="D1170" s="55">
        <f>Orders!D1170</f>
        <v/>
      </c>
      <c r="E1170" s="55">
        <f>Orders!E1170</f>
        <v/>
      </c>
      <c r="F1170" s="55">
        <f>Orders!F1170</f>
        <v/>
      </c>
      <c r="G1170" s="55">
        <f>Orders!G1170</f>
        <v/>
      </c>
      <c r="H1170" s="55">
        <f>Orders!H1170</f>
        <v/>
      </c>
      <c r="I1170" s="55">
        <f>Orders!I1170</f>
        <v/>
      </c>
      <c r="J1170" s="55">
        <f>Orders!J1170</f>
        <v/>
      </c>
      <c r="K1170" s="55">
        <f>Orders!K1170</f>
        <v/>
      </c>
      <c r="L1170" s="55">
        <f>VLOOKUP(D1170,Products!$A$2:$F$61,3,FALSE())</f>
        <v/>
      </c>
      <c r="M1170" s="55">
        <f>VLOOKUP(C1170,Customers!$A$2:$F$301,5,FALSE())</f>
        <v/>
      </c>
      <c r="N1170" s="55">
        <f>VLOOKUP(E1170,Sales_Reps!$A$2:$E$31,3,FALSE())</f>
        <v/>
      </c>
      <c r="O1170" s="55">
        <f>VLOOKUP(D1170,Products!$A$2:$F$61,4,FALSE())</f>
        <v/>
      </c>
      <c r="P1170" s="55">
        <f>VLOOKUP(C1170,Customers!$A$2:$F$301,3,FALSE())</f>
        <v/>
      </c>
      <c r="Q1170" s="55">
        <f>UPPER(TRIM(K1170))</f>
        <v/>
      </c>
      <c r="R1170" s="55">
        <f>(G1170-O1170)/G1170</f>
        <v/>
      </c>
      <c r="S1170" s="55">
        <f>VLOOKUP(D1170,Products!$A$2:$F$61,6,FALSE())</f>
        <v/>
      </c>
    </row>
    <row r="1171" ht="15" customHeight="1" s="56">
      <c r="A1171" s="55">
        <f>Orders!A1171</f>
        <v/>
      </c>
      <c r="B1171" s="103">
        <f>Orders!B1171</f>
        <v/>
      </c>
      <c r="C1171" s="55">
        <f>Orders!C1171</f>
        <v/>
      </c>
      <c r="D1171" s="55">
        <f>Orders!D1171</f>
        <v/>
      </c>
      <c r="E1171" s="55">
        <f>Orders!E1171</f>
        <v/>
      </c>
      <c r="F1171" s="55">
        <f>Orders!F1171</f>
        <v/>
      </c>
      <c r="G1171" s="55">
        <f>Orders!G1171</f>
        <v/>
      </c>
      <c r="H1171" s="55">
        <f>Orders!H1171</f>
        <v/>
      </c>
      <c r="I1171" s="55">
        <f>Orders!I1171</f>
        <v/>
      </c>
      <c r="J1171" s="55">
        <f>Orders!J1171</f>
        <v/>
      </c>
      <c r="K1171" s="55">
        <f>Orders!K1171</f>
        <v/>
      </c>
      <c r="L1171" s="55">
        <f>VLOOKUP(D1171,Products!$A$2:$F$61,3,FALSE())</f>
        <v/>
      </c>
      <c r="M1171" s="55">
        <f>VLOOKUP(C1171,Customers!$A$2:$F$301,5,FALSE())</f>
        <v/>
      </c>
      <c r="N1171" s="55">
        <f>VLOOKUP(E1171,Sales_Reps!$A$2:$E$31,3,FALSE())</f>
        <v/>
      </c>
      <c r="O1171" s="55">
        <f>VLOOKUP(D1171,Products!$A$2:$F$61,4,FALSE())</f>
        <v/>
      </c>
      <c r="P1171" s="55">
        <f>VLOOKUP(C1171,Customers!$A$2:$F$301,3,FALSE())</f>
        <v/>
      </c>
      <c r="Q1171" s="55">
        <f>UPPER(TRIM(K1171))</f>
        <v/>
      </c>
      <c r="R1171" s="55">
        <f>(G1171-O1171)/G1171</f>
        <v/>
      </c>
      <c r="S1171" s="55">
        <f>VLOOKUP(D1171,Products!$A$2:$F$61,6,FALSE())</f>
        <v/>
      </c>
    </row>
    <row r="1172" ht="15" customHeight="1" s="56">
      <c r="A1172" s="55">
        <f>Orders!A1172</f>
        <v/>
      </c>
      <c r="B1172" s="103">
        <f>Orders!B1172</f>
        <v/>
      </c>
      <c r="C1172" s="55">
        <f>Orders!C1172</f>
        <v/>
      </c>
      <c r="D1172" s="55">
        <f>Orders!D1172</f>
        <v/>
      </c>
      <c r="E1172" s="55">
        <f>Orders!E1172</f>
        <v/>
      </c>
      <c r="F1172" s="55">
        <f>Orders!F1172</f>
        <v/>
      </c>
      <c r="G1172" s="55">
        <f>Orders!G1172</f>
        <v/>
      </c>
      <c r="H1172" s="55">
        <f>Orders!H1172</f>
        <v/>
      </c>
      <c r="I1172" s="55">
        <f>Orders!I1172</f>
        <v/>
      </c>
      <c r="J1172" s="55">
        <f>Orders!J1172</f>
        <v/>
      </c>
      <c r="K1172" s="55">
        <f>Orders!K1172</f>
        <v/>
      </c>
      <c r="L1172" s="55">
        <f>VLOOKUP(D1172,Products!$A$2:$F$61,3,FALSE())</f>
        <v/>
      </c>
      <c r="M1172" s="55">
        <f>VLOOKUP(C1172,Customers!$A$2:$F$301,5,FALSE())</f>
        <v/>
      </c>
      <c r="N1172" s="55">
        <f>VLOOKUP(E1172,Sales_Reps!$A$2:$E$31,3,FALSE())</f>
        <v/>
      </c>
      <c r="O1172" s="55">
        <f>VLOOKUP(D1172,Products!$A$2:$F$61,4,FALSE())</f>
        <v/>
      </c>
      <c r="P1172" s="55">
        <f>VLOOKUP(C1172,Customers!$A$2:$F$301,3,FALSE())</f>
        <v/>
      </c>
      <c r="Q1172" s="55">
        <f>UPPER(TRIM(K1172))</f>
        <v/>
      </c>
      <c r="R1172" s="55">
        <f>(G1172-O1172)/G1172</f>
        <v/>
      </c>
      <c r="S1172" s="55">
        <f>VLOOKUP(D1172,Products!$A$2:$F$61,6,FALSE())</f>
        <v/>
      </c>
    </row>
    <row r="1173" ht="15" customHeight="1" s="56">
      <c r="A1173" s="55">
        <f>Orders!A1173</f>
        <v/>
      </c>
      <c r="B1173" s="103">
        <f>Orders!B1173</f>
        <v/>
      </c>
      <c r="C1173" s="55">
        <f>Orders!C1173</f>
        <v/>
      </c>
      <c r="D1173" s="55">
        <f>Orders!D1173</f>
        <v/>
      </c>
      <c r="E1173" s="55">
        <f>Orders!E1173</f>
        <v/>
      </c>
      <c r="F1173" s="55">
        <f>Orders!F1173</f>
        <v/>
      </c>
      <c r="G1173" s="55">
        <f>Orders!G1173</f>
        <v/>
      </c>
      <c r="H1173" s="55">
        <f>Orders!H1173</f>
        <v/>
      </c>
      <c r="I1173" s="55">
        <f>Orders!I1173</f>
        <v/>
      </c>
      <c r="J1173" s="55">
        <f>Orders!J1173</f>
        <v/>
      </c>
      <c r="K1173" s="55">
        <f>Orders!K1173</f>
        <v/>
      </c>
      <c r="L1173" s="55">
        <f>VLOOKUP(D1173,Products!$A$2:$F$61,3,FALSE())</f>
        <v/>
      </c>
      <c r="M1173" s="55">
        <f>VLOOKUP(C1173,Customers!$A$2:$F$301,5,FALSE())</f>
        <v/>
      </c>
      <c r="N1173" s="55">
        <f>VLOOKUP(E1173,Sales_Reps!$A$2:$E$31,3,FALSE())</f>
        <v/>
      </c>
      <c r="O1173" s="55">
        <f>VLOOKUP(D1173,Products!$A$2:$F$61,4,FALSE())</f>
        <v/>
      </c>
      <c r="P1173" s="55">
        <f>VLOOKUP(C1173,Customers!$A$2:$F$301,3,FALSE())</f>
        <v/>
      </c>
      <c r="Q1173" s="55">
        <f>UPPER(TRIM(K1173))</f>
        <v/>
      </c>
      <c r="R1173" s="55">
        <f>(G1173-O1173)/G1173</f>
        <v/>
      </c>
      <c r="S1173" s="55">
        <f>VLOOKUP(D1173,Products!$A$2:$F$61,6,FALSE())</f>
        <v/>
      </c>
    </row>
    <row r="1174" ht="15" customHeight="1" s="56">
      <c r="A1174" s="55">
        <f>Orders!A1174</f>
        <v/>
      </c>
      <c r="B1174" s="103">
        <f>Orders!B1174</f>
        <v/>
      </c>
      <c r="C1174" s="55">
        <f>Orders!C1174</f>
        <v/>
      </c>
      <c r="D1174" s="55">
        <f>Orders!D1174</f>
        <v/>
      </c>
      <c r="E1174" s="55">
        <f>Orders!E1174</f>
        <v/>
      </c>
      <c r="F1174" s="55">
        <f>Orders!F1174</f>
        <v/>
      </c>
      <c r="G1174" s="55">
        <f>Orders!G1174</f>
        <v/>
      </c>
      <c r="H1174" s="55">
        <f>Orders!H1174</f>
        <v/>
      </c>
      <c r="I1174" s="55">
        <f>Orders!I1174</f>
        <v/>
      </c>
      <c r="J1174" s="55">
        <f>Orders!J1174</f>
        <v/>
      </c>
      <c r="K1174" s="55">
        <f>Orders!K1174</f>
        <v/>
      </c>
      <c r="L1174" s="55">
        <f>VLOOKUP(D1174,Products!$A$2:$F$61,3,FALSE())</f>
        <v/>
      </c>
      <c r="M1174" s="55">
        <f>VLOOKUP(C1174,Customers!$A$2:$F$301,5,FALSE())</f>
        <v/>
      </c>
      <c r="N1174" s="55">
        <f>VLOOKUP(E1174,Sales_Reps!$A$2:$E$31,3,FALSE())</f>
        <v/>
      </c>
      <c r="O1174" s="55">
        <f>VLOOKUP(D1174,Products!$A$2:$F$61,4,FALSE())</f>
        <v/>
      </c>
      <c r="P1174" s="55">
        <f>VLOOKUP(C1174,Customers!$A$2:$F$301,3,FALSE())</f>
        <v/>
      </c>
      <c r="Q1174" s="55">
        <f>UPPER(TRIM(K1174))</f>
        <v/>
      </c>
      <c r="R1174" s="55">
        <f>(G1174-O1174)/G1174</f>
        <v/>
      </c>
      <c r="S1174" s="55">
        <f>VLOOKUP(D1174,Products!$A$2:$F$61,6,FALSE())</f>
        <v/>
      </c>
    </row>
    <row r="1175" ht="15" customHeight="1" s="56">
      <c r="A1175" s="55">
        <f>Orders!A1175</f>
        <v/>
      </c>
      <c r="B1175" s="103">
        <f>Orders!B1175</f>
        <v/>
      </c>
      <c r="C1175" s="55">
        <f>Orders!C1175</f>
        <v/>
      </c>
      <c r="D1175" s="55">
        <f>Orders!D1175</f>
        <v/>
      </c>
      <c r="E1175" s="55">
        <f>Orders!E1175</f>
        <v/>
      </c>
      <c r="F1175" s="55">
        <f>Orders!F1175</f>
        <v/>
      </c>
      <c r="G1175" s="55">
        <f>Orders!G1175</f>
        <v/>
      </c>
      <c r="H1175" s="55">
        <f>Orders!H1175</f>
        <v/>
      </c>
      <c r="I1175" s="55">
        <f>Orders!I1175</f>
        <v/>
      </c>
      <c r="J1175" s="55">
        <f>Orders!J1175</f>
        <v/>
      </c>
      <c r="K1175" s="55">
        <f>Orders!K1175</f>
        <v/>
      </c>
      <c r="L1175" s="55">
        <f>VLOOKUP(D1175,Products!$A$2:$F$61,3,FALSE())</f>
        <v/>
      </c>
      <c r="M1175" s="55">
        <f>VLOOKUP(C1175,Customers!$A$2:$F$301,5,FALSE())</f>
        <v/>
      </c>
      <c r="N1175" s="55">
        <f>VLOOKUP(E1175,Sales_Reps!$A$2:$E$31,3,FALSE())</f>
        <v/>
      </c>
      <c r="O1175" s="55">
        <f>VLOOKUP(D1175,Products!$A$2:$F$61,4,FALSE())</f>
        <v/>
      </c>
      <c r="P1175" s="55">
        <f>VLOOKUP(C1175,Customers!$A$2:$F$301,3,FALSE())</f>
        <v/>
      </c>
      <c r="Q1175" s="55">
        <f>UPPER(TRIM(K1175))</f>
        <v/>
      </c>
      <c r="R1175" s="55">
        <f>(G1175-O1175)/G1175</f>
        <v/>
      </c>
      <c r="S1175" s="55">
        <f>VLOOKUP(D1175,Products!$A$2:$F$61,6,FALSE())</f>
        <v/>
      </c>
    </row>
    <row r="1176" ht="15" customHeight="1" s="56">
      <c r="A1176" s="55">
        <f>Orders!A1176</f>
        <v/>
      </c>
      <c r="B1176" s="103">
        <f>Orders!B1176</f>
        <v/>
      </c>
      <c r="C1176" s="55">
        <f>Orders!C1176</f>
        <v/>
      </c>
      <c r="D1176" s="55">
        <f>Orders!D1176</f>
        <v/>
      </c>
      <c r="E1176" s="55">
        <f>Orders!E1176</f>
        <v/>
      </c>
      <c r="F1176" s="55">
        <f>Orders!F1176</f>
        <v/>
      </c>
      <c r="G1176" s="55">
        <f>Orders!G1176</f>
        <v/>
      </c>
      <c r="H1176" s="55">
        <f>Orders!H1176</f>
        <v/>
      </c>
      <c r="I1176" s="55">
        <f>Orders!I1176</f>
        <v/>
      </c>
      <c r="J1176" s="55">
        <f>Orders!J1176</f>
        <v/>
      </c>
      <c r="K1176" s="55">
        <f>Orders!K1176</f>
        <v/>
      </c>
      <c r="L1176" s="55">
        <f>VLOOKUP(D1176,Products!$A$2:$F$61,3,FALSE())</f>
        <v/>
      </c>
      <c r="M1176" s="55">
        <f>VLOOKUP(C1176,Customers!$A$2:$F$301,5,FALSE())</f>
        <v/>
      </c>
      <c r="N1176" s="55">
        <f>VLOOKUP(E1176,Sales_Reps!$A$2:$E$31,3,FALSE())</f>
        <v/>
      </c>
      <c r="O1176" s="55">
        <f>VLOOKUP(D1176,Products!$A$2:$F$61,4,FALSE())</f>
        <v/>
      </c>
      <c r="P1176" s="55">
        <f>VLOOKUP(C1176,Customers!$A$2:$F$301,3,FALSE())</f>
        <v/>
      </c>
      <c r="Q1176" s="55">
        <f>UPPER(TRIM(K1176))</f>
        <v/>
      </c>
      <c r="R1176" s="55">
        <f>(G1176-O1176)/G1176</f>
        <v/>
      </c>
      <c r="S1176" s="55">
        <f>VLOOKUP(D1176,Products!$A$2:$F$61,6,FALSE())</f>
        <v/>
      </c>
    </row>
    <row r="1177" ht="15" customHeight="1" s="56">
      <c r="A1177" s="55">
        <f>Orders!A1177</f>
        <v/>
      </c>
      <c r="B1177" s="103">
        <f>Orders!B1177</f>
        <v/>
      </c>
      <c r="C1177" s="55">
        <f>Orders!C1177</f>
        <v/>
      </c>
      <c r="D1177" s="55">
        <f>Orders!D1177</f>
        <v/>
      </c>
      <c r="E1177" s="55">
        <f>Orders!E1177</f>
        <v/>
      </c>
      <c r="F1177" s="55">
        <f>Orders!F1177</f>
        <v/>
      </c>
      <c r="G1177" s="55">
        <f>Orders!G1177</f>
        <v/>
      </c>
      <c r="H1177" s="55">
        <f>Orders!H1177</f>
        <v/>
      </c>
      <c r="I1177" s="55">
        <f>Orders!I1177</f>
        <v/>
      </c>
      <c r="J1177" s="55">
        <f>Orders!J1177</f>
        <v/>
      </c>
      <c r="K1177" s="55">
        <f>Orders!K1177</f>
        <v/>
      </c>
      <c r="L1177" s="55">
        <f>VLOOKUP(D1177,Products!$A$2:$F$61,3,FALSE())</f>
        <v/>
      </c>
      <c r="M1177" s="55">
        <f>VLOOKUP(C1177,Customers!$A$2:$F$301,5,FALSE())</f>
        <v/>
      </c>
      <c r="N1177" s="55">
        <f>VLOOKUP(E1177,Sales_Reps!$A$2:$E$31,3,FALSE())</f>
        <v/>
      </c>
      <c r="O1177" s="55">
        <f>VLOOKUP(D1177,Products!$A$2:$F$61,4,FALSE())</f>
        <v/>
      </c>
      <c r="P1177" s="55">
        <f>VLOOKUP(C1177,Customers!$A$2:$F$301,3,FALSE())</f>
        <v/>
      </c>
      <c r="Q1177" s="55">
        <f>UPPER(TRIM(K1177))</f>
        <v/>
      </c>
      <c r="R1177" s="55">
        <f>(G1177-O1177)/G1177</f>
        <v/>
      </c>
      <c r="S1177" s="55">
        <f>VLOOKUP(D1177,Products!$A$2:$F$61,6,FALSE())</f>
        <v/>
      </c>
    </row>
    <row r="1178" ht="15" customHeight="1" s="56">
      <c r="A1178" s="55">
        <f>Orders!A1178</f>
        <v/>
      </c>
      <c r="B1178" s="103">
        <f>Orders!B1178</f>
        <v/>
      </c>
      <c r="C1178" s="55">
        <f>Orders!C1178</f>
        <v/>
      </c>
      <c r="D1178" s="55">
        <f>Orders!D1178</f>
        <v/>
      </c>
      <c r="E1178" s="55">
        <f>Orders!E1178</f>
        <v/>
      </c>
      <c r="F1178" s="55">
        <f>Orders!F1178</f>
        <v/>
      </c>
      <c r="G1178" s="55">
        <f>Orders!G1178</f>
        <v/>
      </c>
      <c r="H1178" s="55">
        <f>Orders!H1178</f>
        <v/>
      </c>
      <c r="I1178" s="55">
        <f>Orders!I1178</f>
        <v/>
      </c>
      <c r="J1178" s="55">
        <f>Orders!J1178</f>
        <v/>
      </c>
      <c r="K1178" s="55">
        <f>Orders!K1178</f>
        <v/>
      </c>
      <c r="L1178" s="55">
        <f>VLOOKUP(D1178,Products!$A$2:$F$61,3,FALSE())</f>
        <v/>
      </c>
      <c r="M1178" s="55">
        <f>VLOOKUP(C1178,Customers!$A$2:$F$301,5,FALSE())</f>
        <v/>
      </c>
      <c r="N1178" s="55">
        <f>VLOOKUP(E1178,Sales_Reps!$A$2:$E$31,3,FALSE())</f>
        <v/>
      </c>
      <c r="O1178" s="55">
        <f>VLOOKUP(D1178,Products!$A$2:$F$61,4,FALSE())</f>
        <v/>
      </c>
      <c r="P1178" s="55">
        <f>VLOOKUP(C1178,Customers!$A$2:$F$301,3,FALSE())</f>
        <v/>
      </c>
      <c r="Q1178" s="55">
        <f>UPPER(TRIM(K1178))</f>
        <v/>
      </c>
      <c r="R1178" s="55">
        <f>(G1178-O1178)/G1178</f>
        <v/>
      </c>
      <c r="S1178" s="55">
        <f>VLOOKUP(D1178,Products!$A$2:$F$61,6,FALSE())</f>
        <v/>
      </c>
    </row>
    <row r="1179" ht="15" customHeight="1" s="56">
      <c r="A1179" s="55">
        <f>Orders!A1179</f>
        <v/>
      </c>
      <c r="B1179" s="103">
        <f>Orders!B1179</f>
        <v/>
      </c>
      <c r="C1179" s="55">
        <f>Orders!C1179</f>
        <v/>
      </c>
      <c r="D1179" s="55">
        <f>Orders!D1179</f>
        <v/>
      </c>
      <c r="E1179" s="55">
        <f>Orders!E1179</f>
        <v/>
      </c>
      <c r="F1179" s="55">
        <f>Orders!F1179</f>
        <v/>
      </c>
      <c r="G1179" s="55">
        <f>Orders!G1179</f>
        <v/>
      </c>
      <c r="H1179" s="55">
        <f>Orders!H1179</f>
        <v/>
      </c>
      <c r="I1179" s="55">
        <f>Orders!I1179</f>
        <v/>
      </c>
      <c r="J1179" s="55">
        <f>Orders!J1179</f>
        <v/>
      </c>
      <c r="K1179" s="55">
        <f>Orders!K1179</f>
        <v/>
      </c>
      <c r="L1179" s="55">
        <f>VLOOKUP(D1179,Products!$A$2:$F$61,3,FALSE())</f>
        <v/>
      </c>
      <c r="M1179" s="55">
        <f>VLOOKUP(C1179,Customers!$A$2:$F$301,5,FALSE())</f>
        <v/>
      </c>
      <c r="N1179" s="55">
        <f>VLOOKUP(E1179,Sales_Reps!$A$2:$E$31,3,FALSE())</f>
        <v/>
      </c>
      <c r="O1179" s="55">
        <f>VLOOKUP(D1179,Products!$A$2:$F$61,4,FALSE())</f>
        <v/>
      </c>
      <c r="P1179" s="55">
        <f>VLOOKUP(C1179,Customers!$A$2:$F$301,3,FALSE())</f>
        <v/>
      </c>
      <c r="Q1179" s="55">
        <f>UPPER(TRIM(K1179))</f>
        <v/>
      </c>
      <c r="R1179" s="55">
        <f>(G1179-O1179)/G1179</f>
        <v/>
      </c>
      <c r="S1179" s="55">
        <f>VLOOKUP(D1179,Products!$A$2:$F$61,6,FALSE())</f>
        <v/>
      </c>
    </row>
    <row r="1180" ht="15" customHeight="1" s="56">
      <c r="A1180" s="55">
        <f>Orders!A1180</f>
        <v/>
      </c>
      <c r="B1180" s="103">
        <f>Orders!B1180</f>
        <v/>
      </c>
      <c r="C1180" s="55">
        <f>Orders!C1180</f>
        <v/>
      </c>
      <c r="D1180" s="55">
        <f>Orders!D1180</f>
        <v/>
      </c>
      <c r="E1180" s="55">
        <f>Orders!E1180</f>
        <v/>
      </c>
      <c r="F1180" s="55">
        <f>Orders!F1180</f>
        <v/>
      </c>
      <c r="G1180" s="55">
        <f>Orders!G1180</f>
        <v/>
      </c>
      <c r="H1180" s="55">
        <f>Orders!H1180</f>
        <v/>
      </c>
      <c r="I1180" s="55">
        <f>Orders!I1180</f>
        <v/>
      </c>
      <c r="J1180" s="55">
        <f>Orders!J1180</f>
        <v/>
      </c>
      <c r="K1180" s="55">
        <f>Orders!K1180</f>
        <v/>
      </c>
      <c r="L1180" s="55">
        <f>VLOOKUP(D1180,Products!$A$2:$F$61,3,FALSE())</f>
        <v/>
      </c>
      <c r="M1180" s="55">
        <f>VLOOKUP(C1180,Customers!$A$2:$F$301,5,FALSE())</f>
        <v/>
      </c>
      <c r="N1180" s="55">
        <f>VLOOKUP(E1180,Sales_Reps!$A$2:$E$31,3,FALSE())</f>
        <v/>
      </c>
      <c r="O1180" s="55">
        <f>VLOOKUP(D1180,Products!$A$2:$F$61,4,FALSE())</f>
        <v/>
      </c>
      <c r="P1180" s="55">
        <f>VLOOKUP(C1180,Customers!$A$2:$F$301,3,FALSE())</f>
        <v/>
      </c>
      <c r="Q1180" s="55">
        <f>UPPER(TRIM(K1180))</f>
        <v/>
      </c>
      <c r="R1180" s="55">
        <f>(G1180-O1180)/G1180</f>
        <v/>
      </c>
      <c r="S1180" s="55">
        <f>VLOOKUP(D1180,Products!$A$2:$F$61,6,FALSE())</f>
        <v/>
      </c>
    </row>
    <row r="1181" ht="15" customHeight="1" s="56">
      <c r="A1181" s="55">
        <f>Orders!A1181</f>
        <v/>
      </c>
      <c r="B1181" s="103">
        <f>Orders!B1181</f>
        <v/>
      </c>
      <c r="C1181" s="55">
        <f>Orders!C1181</f>
        <v/>
      </c>
      <c r="D1181" s="55">
        <f>Orders!D1181</f>
        <v/>
      </c>
      <c r="E1181" s="55">
        <f>Orders!E1181</f>
        <v/>
      </c>
      <c r="F1181" s="55">
        <f>Orders!F1181</f>
        <v/>
      </c>
      <c r="G1181" s="55">
        <f>Orders!G1181</f>
        <v/>
      </c>
      <c r="H1181" s="55">
        <f>Orders!H1181</f>
        <v/>
      </c>
      <c r="I1181" s="55">
        <f>Orders!I1181</f>
        <v/>
      </c>
      <c r="J1181" s="55">
        <f>Orders!J1181</f>
        <v/>
      </c>
      <c r="K1181" s="55">
        <f>Orders!K1181</f>
        <v/>
      </c>
      <c r="L1181" s="55">
        <f>VLOOKUP(D1181,Products!$A$2:$F$61,3,FALSE())</f>
        <v/>
      </c>
      <c r="M1181" s="55">
        <f>VLOOKUP(C1181,Customers!$A$2:$F$301,5,FALSE())</f>
        <v/>
      </c>
      <c r="N1181" s="55">
        <f>VLOOKUP(E1181,Sales_Reps!$A$2:$E$31,3,FALSE())</f>
        <v/>
      </c>
      <c r="O1181" s="55">
        <f>VLOOKUP(D1181,Products!$A$2:$F$61,4,FALSE())</f>
        <v/>
      </c>
      <c r="P1181" s="55">
        <f>VLOOKUP(C1181,Customers!$A$2:$F$301,3,FALSE())</f>
        <v/>
      </c>
      <c r="Q1181" s="55">
        <f>UPPER(TRIM(K1181))</f>
        <v/>
      </c>
      <c r="R1181" s="55">
        <f>(G1181-O1181)/G1181</f>
        <v/>
      </c>
      <c r="S1181" s="55">
        <f>VLOOKUP(D1181,Products!$A$2:$F$61,6,FALSE())</f>
        <v/>
      </c>
    </row>
    <row r="1182" ht="15" customHeight="1" s="56">
      <c r="A1182" s="55">
        <f>Orders!A1182</f>
        <v/>
      </c>
      <c r="B1182" s="103">
        <f>Orders!B1182</f>
        <v/>
      </c>
      <c r="C1182" s="55">
        <f>Orders!C1182</f>
        <v/>
      </c>
      <c r="D1182" s="55">
        <f>Orders!D1182</f>
        <v/>
      </c>
      <c r="E1182" s="55">
        <f>Orders!E1182</f>
        <v/>
      </c>
      <c r="F1182" s="55">
        <f>Orders!F1182</f>
        <v/>
      </c>
      <c r="G1182" s="55">
        <f>Orders!G1182</f>
        <v/>
      </c>
      <c r="H1182" s="55">
        <f>Orders!H1182</f>
        <v/>
      </c>
      <c r="I1182" s="55">
        <f>Orders!I1182</f>
        <v/>
      </c>
      <c r="J1182" s="55">
        <f>Orders!J1182</f>
        <v/>
      </c>
      <c r="K1182" s="55">
        <f>Orders!K1182</f>
        <v/>
      </c>
      <c r="L1182" s="55">
        <f>VLOOKUP(D1182,Products!$A$2:$F$61,3,FALSE())</f>
        <v/>
      </c>
      <c r="M1182" s="55">
        <f>VLOOKUP(C1182,Customers!$A$2:$F$301,5,FALSE())</f>
        <v/>
      </c>
      <c r="N1182" s="55">
        <f>VLOOKUP(E1182,Sales_Reps!$A$2:$E$31,3,FALSE())</f>
        <v/>
      </c>
      <c r="O1182" s="55">
        <f>VLOOKUP(D1182,Products!$A$2:$F$61,4,FALSE())</f>
        <v/>
      </c>
      <c r="P1182" s="55">
        <f>VLOOKUP(C1182,Customers!$A$2:$F$301,3,FALSE())</f>
        <v/>
      </c>
      <c r="Q1182" s="55">
        <f>UPPER(TRIM(K1182))</f>
        <v/>
      </c>
      <c r="R1182" s="55">
        <f>(G1182-O1182)/G1182</f>
        <v/>
      </c>
      <c r="S1182" s="55">
        <f>VLOOKUP(D1182,Products!$A$2:$F$61,6,FALSE())</f>
        <v/>
      </c>
    </row>
    <row r="1183" ht="15" customHeight="1" s="56">
      <c r="A1183" s="55">
        <f>Orders!A1183</f>
        <v/>
      </c>
      <c r="B1183" s="103">
        <f>Orders!B1183</f>
        <v/>
      </c>
      <c r="C1183" s="55">
        <f>Orders!C1183</f>
        <v/>
      </c>
      <c r="D1183" s="55">
        <f>Orders!D1183</f>
        <v/>
      </c>
      <c r="E1183" s="55">
        <f>Orders!E1183</f>
        <v/>
      </c>
      <c r="F1183" s="55">
        <f>Orders!F1183</f>
        <v/>
      </c>
      <c r="G1183" s="55">
        <f>Orders!G1183</f>
        <v/>
      </c>
      <c r="H1183" s="55">
        <f>Orders!H1183</f>
        <v/>
      </c>
      <c r="I1183" s="55">
        <f>Orders!I1183</f>
        <v/>
      </c>
      <c r="J1183" s="55">
        <f>Orders!J1183</f>
        <v/>
      </c>
      <c r="K1183" s="55">
        <f>Orders!K1183</f>
        <v/>
      </c>
      <c r="L1183" s="55">
        <f>VLOOKUP(D1183,Products!$A$2:$F$61,3,FALSE())</f>
        <v/>
      </c>
      <c r="M1183" s="55">
        <f>VLOOKUP(C1183,Customers!$A$2:$F$301,5,FALSE())</f>
        <v/>
      </c>
      <c r="N1183" s="55">
        <f>VLOOKUP(E1183,Sales_Reps!$A$2:$E$31,3,FALSE())</f>
        <v/>
      </c>
      <c r="O1183" s="55">
        <f>VLOOKUP(D1183,Products!$A$2:$F$61,4,FALSE())</f>
        <v/>
      </c>
      <c r="P1183" s="55">
        <f>VLOOKUP(C1183,Customers!$A$2:$F$301,3,FALSE())</f>
        <v/>
      </c>
      <c r="Q1183" s="55">
        <f>UPPER(TRIM(K1183))</f>
        <v/>
      </c>
      <c r="R1183" s="55">
        <f>(G1183-O1183)/G1183</f>
        <v/>
      </c>
      <c r="S1183" s="55">
        <f>VLOOKUP(D1183,Products!$A$2:$F$61,6,FALSE())</f>
        <v/>
      </c>
    </row>
    <row r="1184" ht="15" customHeight="1" s="56">
      <c r="A1184" s="55">
        <f>Orders!A1184</f>
        <v/>
      </c>
      <c r="B1184" s="103">
        <f>Orders!B1184</f>
        <v/>
      </c>
      <c r="C1184" s="55">
        <f>Orders!C1184</f>
        <v/>
      </c>
      <c r="D1184" s="55">
        <f>Orders!D1184</f>
        <v/>
      </c>
      <c r="E1184" s="55">
        <f>Orders!E1184</f>
        <v/>
      </c>
      <c r="F1184" s="55">
        <f>Orders!F1184</f>
        <v/>
      </c>
      <c r="G1184" s="55">
        <f>Orders!G1184</f>
        <v/>
      </c>
      <c r="H1184" s="55">
        <f>Orders!H1184</f>
        <v/>
      </c>
      <c r="I1184" s="55">
        <f>Orders!I1184</f>
        <v/>
      </c>
      <c r="J1184" s="55">
        <f>Orders!J1184</f>
        <v/>
      </c>
      <c r="K1184" s="55">
        <f>Orders!K1184</f>
        <v/>
      </c>
      <c r="L1184" s="55">
        <f>VLOOKUP(D1184,Products!$A$2:$F$61,3,FALSE())</f>
        <v/>
      </c>
      <c r="M1184" s="55">
        <f>VLOOKUP(C1184,Customers!$A$2:$F$301,5,FALSE())</f>
        <v/>
      </c>
      <c r="N1184" s="55">
        <f>VLOOKUP(E1184,Sales_Reps!$A$2:$E$31,3,FALSE())</f>
        <v/>
      </c>
      <c r="O1184" s="55">
        <f>VLOOKUP(D1184,Products!$A$2:$F$61,4,FALSE())</f>
        <v/>
      </c>
      <c r="P1184" s="55">
        <f>VLOOKUP(C1184,Customers!$A$2:$F$301,3,FALSE())</f>
        <v/>
      </c>
      <c r="Q1184" s="55">
        <f>UPPER(TRIM(K1184))</f>
        <v/>
      </c>
      <c r="R1184" s="55">
        <f>(G1184-O1184)/G1184</f>
        <v/>
      </c>
      <c r="S1184" s="55">
        <f>VLOOKUP(D1184,Products!$A$2:$F$61,6,FALSE())</f>
        <v/>
      </c>
    </row>
    <row r="1185" ht="15" customHeight="1" s="56">
      <c r="A1185" s="55">
        <f>Orders!A1185</f>
        <v/>
      </c>
      <c r="B1185" s="103">
        <f>Orders!B1185</f>
        <v/>
      </c>
      <c r="C1185" s="55">
        <f>Orders!C1185</f>
        <v/>
      </c>
      <c r="D1185" s="55">
        <f>Orders!D1185</f>
        <v/>
      </c>
      <c r="E1185" s="55">
        <f>Orders!E1185</f>
        <v/>
      </c>
      <c r="F1185" s="55">
        <f>Orders!F1185</f>
        <v/>
      </c>
      <c r="G1185" s="55">
        <f>Orders!G1185</f>
        <v/>
      </c>
      <c r="H1185" s="55">
        <f>Orders!H1185</f>
        <v/>
      </c>
      <c r="I1185" s="55">
        <f>Orders!I1185</f>
        <v/>
      </c>
      <c r="J1185" s="55">
        <f>Orders!J1185</f>
        <v/>
      </c>
      <c r="K1185" s="55">
        <f>Orders!K1185</f>
        <v/>
      </c>
      <c r="L1185" s="55">
        <f>VLOOKUP(D1185,Products!$A$2:$F$61,3,FALSE())</f>
        <v/>
      </c>
      <c r="M1185" s="55">
        <f>VLOOKUP(C1185,Customers!$A$2:$F$301,5,FALSE())</f>
        <v/>
      </c>
      <c r="N1185" s="55">
        <f>VLOOKUP(E1185,Sales_Reps!$A$2:$E$31,3,FALSE())</f>
        <v/>
      </c>
      <c r="O1185" s="55">
        <f>VLOOKUP(D1185,Products!$A$2:$F$61,4,FALSE())</f>
        <v/>
      </c>
      <c r="P1185" s="55">
        <f>VLOOKUP(C1185,Customers!$A$2:$F$301,3,FALSE())</f>
        <v/>
      </c>
      <c r="Q1185" s="55">
        <f>UPPER(TRIM(K1185))</f>
        <v/>
      </c>
      <c r="R1185" s="55">
        <f>(G1185-O1185)/G1185</f>
        <v/>
      </c>
      <c r="S1185" s="55">
        <f>VLOOKUP(D1185,Products!$A$2:$F$61,6,FALSE())</f>
        <v/>
      </c>
    </row>
    <row r="1186" ht="15" customHeight="1" s="56">
      <c r="A1186" s="55">
        <f>Orders!A1186</f>
        <v/>
      </c>
      <c r="B1186" s="103">
        <f>Orders!B1186</f>
        <v/>
      </c>
      <c r="C1186" s="55">
        <f>Orders!C1186</f>
        <v/>
      </c>
      <c r="D1186" s="55">
        <f>Orders!D1186</f>
        <v/>
      </c>
      <c r="E1186" s="55">
        <f>Orders!E1186</f>
        <v/>
      </c>
      <c r="F1186" s="55">
        <f>Orders!F1186</f>
        <v/>
      </c>
      <c r="G1186" s="55">
        <f>Orders!G1186</f>
        <v/>
      </c>
      <c r="H1186" s="55">
        <f>Orders!H1186</f>
        <v/>
      </c>
      <c r="I1186" s="55">
        <f>Orders!I1186</f>
        <v/>
      </c>
      <c r="J1186" s="55">
        <f>Orders!J1186</f>
        <v/>
      </c>
      <c r="K1186" s="55">
        <f>Orders!K1186</f>
        <v/>
      </c>
      <c r="L1186" s="55">
        <f>VLOOKUP(D1186,Products!$A$2:$F$61,3,FALSE())</f>
        <v/>
      </c>
      <c r="M1186" s="55">
        <f>VLOOKUP(C1186,Customers!$A$2:$F$301,5,FALSE())</f>
        <v/>
      </c>
      <c r="N1186" s="55">
        <f>VLOOKUP(E1186,Sales_Reps!$A$2:$E$31,3,FALSE())</f>
        <v/>
      </c>
      <c r="O1186" s="55">
        <f>VLOOKUP(D1186,Products!$A$2:$F$61,4,FALSE())</f>
        <v/>
      </c>
      <c r="P1186" s="55">
        <f>VLOOKUP(C1186,Customers!$A$2:$F$301,3,FALSE())</f>
        <v/>
      </c>
      <c r="Q1186" s="55">
        <f>UPPER(TRIM(K1186))</f>
        <v/>
      </c>
      <c r="R1186" s="55">
        <f>(G1186-O1186)/G1186</f>
        <v/>
      </c>
      <c r="S1186" s="55">
        <f>VLOOKUP(D1186,Products!$A$2:$F$61,6,FALSE())</f>
        <v/>
      </c>
    </row>
    <row r="1187" ht="15" customHeight="1" s="56">
      <c r="A1187" s="55">
        <f>Orders!A1187</f>
        <v/>
      </c>
      <c r="B1187" s="103">
        <f>Orders!B1187</f>
        <v/>
      </c>
      <c r="C1187" s="55">
        <f>Orders!C1187</f>
        <v/>
      </c>
      <c r="D1187" s="55">
        <f>Orders!D1187</f>
        <v/>
      </c>
      <c r="E1187" s="55">
        <f>Orders!E1187</f>
        <v/>
      </c>
      <c r="F1187" s="55">
        <f>Orders!F1187</f>
        <v/>
      </c>
      <c r="G1187" s="55">
        <f>Orders!G1187</f>
        <v/>
      </c>
      <c r="H1187" s="55">
        <f>Orders!H1187</f>
        <v/>
      </c>
      <c r="I1187" s="55">
        <f>Orders!I1187</f>
        <v/>
      </c>
      <c r="J1187" s="55">
        <f>Orders!J1187</f>
        <v/>
      </c>
      <c r="K1187" s="55">
        <f>Orders!K1187</f>
        <v/>
      </c>
      <c r="L1187" s="55">
        <f>VLOOKUP(D1187,Products!$A$2:$F$61,3,FALSE())</f>
        <v/>
      </c>
      <c r="M1187" s="55">
        <f>VLOOKUP(C1187,Customers!$A$2:$F$301,5,FALSE())</f>
        <v/>
      </c>
      <c r="N1187" s="55">
        <f>VLOOKUP(E1187,Sales_Reps!$A$2:$E$31,3,FALSE())</f>
        <v/>
      </c>
      <c r="O1187" s="55">
        <f>VLOOKUP(D1187,Products!$A$2:$F$61,4,FALSE())</f>
        <v/>
      </c>
      <c r="P1187" s="55">
        <f>VLOOKUP(C1187,Customers!$A$2:$F$301,3,FALSE())</f>
        <v/>
      </c>
      <c r="Q1187" s="55">
        <f>UPPER(TRIM(K1187))</f>
        <v/>
      </c>
      <c r="R1187" s="55">
        <f>(G1187-O1187)/G1187</f>
        <v/>
      </c>
      <c r="S1187" s="55">
        <f>VLOOKUP(D1187,Products!$A$2:$F$61,6,FALSE())</f>
        <v/>
      </c>
    </row>
    <row r="1188" ht="15" customHeight="1" s="56">
      <c r="A1188" s="55">
        <f>Orders!A1188</f>
        <v/>
      </c>
      <c r="B1188" s="103">
        <f>Orders!B1188</f>
        <v/>
      </c>
      <c r="C1188" s="55">
        <f>Orders!C1188</f>
        <v/>
      </c>
      <c r="D1188" s="55">
        <f>Orders!D1188</f>
        <v/>
      </c>
      <c r="E1188" s="55">
        <f>Orders!E1188</f>
        <v/>
      </c>
      <c r="F1188" s="55">
        <f>Orders!F1188</f>
        <v/>
      </c>
      <c r="G1188" s="55">
        <f>Orders!G1188</f>
        <v/>
      </c>
      <c r="H1188" s="55">
        <f>Orders!H1188</f>
        <v/>
      </c>
      <c r="I1188" s="55">
        <f>Orders!I1188</f>
        <v/>
      </c>
      <c r="J1188" s="55">
        <f>Orders!J1188</f>
        <v/>
      </c>
      <c r="K1188" s="55">
        <f>Orders!K1188</f>
        <v/>
      </c>
      <c r="L1188" s="55">
        <f>VLOOKUP(D1188,Products!$A$2:$F$61,3,FALSE())</f>
        <v/>
      </c>
      <c r="M1188" s="55">
        <f>VLOOKUP(C1188,Customers!$A$2:$F$301,5,FALSE())</f>
        <v/>
      </c>
      <c r="N1188" s="55">
        <f>VLOOKUP(E1188,Sales_Reps!$A$2:$E$31,3,FALSE())</f>
        <v/>
      </c>
      <c r="O1188" s="55">
        <f>VLOOKUP(D1188,Products!$A$2:$F$61,4,FALSE())</f>
        <v/>
      </c>
      <c r="P1188" s="55">
        <f>VLOOKUP(C1188,Customers!$A$2:$F$301,3,FALSE())</f>
        <v/>
      </c>
      <c r="Q1188" s="55">
        <f>UPPER(TRIM(K1188))</f>
        <v/>
      </c>
      <c r="R1188" s="55">
        <f>(G1188-O1188)/G1188</f>
        <v/>
      </c>
      <c r="S1188" s="55">
        <f>VLOOKUP(D1188,Products!$A$2:$F$61,6,FALSE())</f>
        <v/>
      </c>
    </row>
    <row r="1189" ht="15" customHeight="1" s="56">
      <c r="A1189" s="55">
        <f>Orders!A1189</f>
        <v/>
      </c>
      <c r="B1189" s="103">
        <f>Orders!B1189</f>
        <v/>
      </c>
      <c r="C1189" s="55">
        <f>Orders!C1189</f>
        <v/>
      </c>
      <c r="D1189" s="55">
        <f>Orders!D1189</f>
        <v/>
      </c>
      <c r="E1189" s="55">
        <f>Orders!E1189</f>
        <v/>
      </c>
      <c r="F1189" s="55">
        <f>Orders!F1189</f>
        <v/>
      </c>
      <c r="G1189" s="55">
        <f>Orders!G1189</f>
        <v/>
      </c>
      <c r="H1189" s="55">
        <f>Orders!H1189</f>
        <v/>
      </c>
      <c r="I1189" s="55">
        <f>Orders!I1189</f>
        <v/>
      </c>
      <c r="J1189" s="55">
        <f>Orders!J1189</f>
        <v/>
      </c>
      <c r="K1189" s="55">
        <f>Orders!K1189</f>
        <v/>
      </c>
      <c r="L1189" s="55">
        <f>VLOOKUP(D1189,Products!$A$2:$F$61,3,FALSE())</f>
        <v/>
      </c>
      <c r="M1189" s="55">
        <f>VLOOKUP(C1189,Customers!$A$2:$F$301,5,FALSE())</f>
        <v/>
      </c>
      <c r="N1189" s="55">
        <f>VLOOKUP(E1189,Sales_Reps!$A$2:$E$31,3,FALSE())</f>
        <v/>
      </c>
      <c r="O1189" s="55">
        <f>VLOOKUP(D1189,Products!$A$2:$F$61,4,FALSE())</f>
        <v/>
      </c>
      <c r="P1189" s="55">
        <f>VLOOKUP(C1189,Customers!$A$2:$F$301,3,FALSE())</f>
        <v/>
      </c>
      <c r="Q1189" s="55">
        <f>UPPER(TRIM(K1189))</f>
        <v/>
      </c>
      <c r="R1189" s="55">
        <f>(G1189-O1189)/G1189</f>
        <v/>
      </c>
      <c r="S1189" s="55">
        <f>VLOOKUP(D1189,Products!$A$2:$F$61,6,FALSE())</f>
        <v/>
      </c>
    </row>
    <row r="1190" ht="15" customHeight="1" s="56">
      <c r="A1190" s="55">
        <f>Orders!A1190</f>
        <v/>
      </c>
      <c r="B1190" s="103">
        <f>Orders!B1190</f>
        <v/>
      </c>
      <c r="C1190" s="55">
        <f>Orders!C1190</f>
        <v/>
      </c>
      <c r="D1190" s="55">
        <f>Orders!D1190</f>
        <v/>
      </c>
      <c r="E1190" s="55">
        <f>Orders!E1190</f>
        <v/>
      </c>
      <c r="F1190" s="55">
        <f>Orders!F1190</f>
        <v/>
      </c>
      <c r="G1190" s="55">
        <f>Orders!G1190</f>
        <v/>
      </c>
      <c r="H1190" s="55">
        <f>Orders!H1190</f>
        <v/>
      </c>
      <c r="I1190" s="55">
        <f>Orders!I1190</f>
        <v/>
      </c>
      <c r="J1190" s="55">
        <f>Orders!J1190</f>
        <v/>
      </c>
      <c r="K1190" s="55">
        <f>Orders!K1190</f>
        <v/>
      </c>
      <c r="L1190" s="55">
        <f>VLOOKUP(D1190,Products!$A$2:$F$61,3,FALSE())</f>
        <v/>
      </c>
      <c r="M1190" s="55">
        <f>VLOOKUP(C1190,Customers!$A$2:$F$301,5,FALSE())</f>
        <v/>
      </c>
      <c r="N1190" s="55">
        <f>VLOOKUP(E1190,Sales_Reps!$A$2:$E$31,3,FALSE())</f>
        <v/>
      </c>
      <c r="O1190" s="55">
        <f>VLOOKUP(D1190,Products!$A$2:$F$61,4,FALSE())</f>
        <v/>
      </c>
      <c r="P1190" s="55">
        <f>VLOOKUP(C1190,Customers!$A$2:$F$301,3,FALSE())</f>
        <v/>
      </c>
      <c r="Q1190" s="55">
        <f>UPPER(TRIM(K1190))</f>
        <v/>
      </c>
      <c r="R1190" s="55">
        <f>(G1190-O1190)/G1190</f>
        <v/>
      </c>
      <c r="S1190" s="55">
        <f>VLOOKUP(D1190,Products!$A$2:$F$61,6,FALSE())</f>
        <v/>
      </c>
    </row>
    <row r="1191" ht="15" customHeight="1" s="56">
      <c r="A1191" s="55">
        <f>Orders!A1191</f>
        <v/>
      </c>
      <c r="B1191" s="103">
        <f>Orders!B1191</f>
        <v/>
      </c>
      <c r="C1191" s="55">
        <f>Orders!C1191</f>
        <v/>
      </c>
      <c r="D1191" s="55">
        <f>Orders!D1191</f>
        <v/>
      </c>
      <c r="E1191" s="55">
        <f>Orders!E1191</f>
        <v/>
      </c>
      <c r="F1191" s="55">
        <f>Orders!F1191</f>
        <v/>
      </c>
      <c r="G1191" s="55">
        <f>Orders!G1191</f>
        <v/>
      </c>
      <c r="H1191" s="55">
        <f>Orders!H1191</f>
        <v/>
      </c>
      <c r="I1191" s="55">
        <f>Orders!I1191</f>
        <v/>
      </c>
      <c r="J1191" s="55">
        <f>Orders!J1191</f>
        <v/>
      </c>
      <c r="K1191" s="55">
        <f>Orders!K1191</f>
        <v/>
      </c>
      <c r="L1191" s="55">
        <f>VLOOKUP(D1191,Products!$A$2:$F$61,3,FALSE())</f>
        <v/>
      </c>
      <c r="M1191" s="55">
        <f>VLOOKUP(C1191,Customers!$A$2:$F$301,5,FALSE())</f>
        <v/>
      </c>
      <c r="N1191" s="55">
        <f>VLOOKUP(E1191,Sales_Reps!$A$2:$E$31,3,FALSE())</f>
        <v/>
      </c>
      <c r="O1191" s="55">
        <f>VLOOKUP(D1191,Products!$A$2:$F$61,4,FALSE())</f>
        <v/>
      </c>
      <c r="P1191" s="55">
        <f>VLOOKUP(C1191,Customers!$A$2:$F$301,3,FALSE())</f>
        <v/>
      </c>
      <c r="Q1191" s="55">
        <f>UPPER(TRIM(K1191))</f>
        <v/>
      </c>
      <c r="R1191" s="55">
        <f>(G1191-O1191)/G1191</f>
        <v/>
      </c>
      <c r="S1191" s="55">
        <f>VLOOKUP(D1191,Products!$A$2:$F$61,6,FALSE())</f>
        <v/>
      </c>
    </row>
    <row r="1192" ht="15" customHeight="1" s="56">
      <c r="A1192" s="55">
        <f>Orders!A1192</f>
        <v/>
      </c>
      <c r="B1192" s="103">
        <f>Orders!B1192</f>
        <v/>
      </c>
      <c r="C1192" s="55">
        <f>Orders!C1192</f>
        <v/>
      </c>
      <c r="D1192" s="55">
        <f>Orders!D1192</f>
        <v/>
      </c>
      <c r="E1192" s="55">
        <f>Orders!E1192</f>
        <v/>
      </c>
      <c r="F1192" s="55">
        <f>Orders!F1192</f>
        <v/>
      </c>
      <c r="G1192" s="55">
        <f>Orders!G1192</f>
        <v/>
      </c>
      <c r="H1192" s="55">
        <f>Orders!H1192</f>
        <v/>
      </c>
      <c r="I1192" s="55">
        <f>Orders!I1192</f>
        <v/>
      </c>
      <c r="J1192" s="55">
        <f>Orders!J1192</f>
        <v/>
      </c>
      <c r="K1192" s="55">
        <f>Orders!K1192</f>
        <v/>
      </c>
      <c r="L1192" s="55">
        <f>VLOOKUP(D1192,Products!$A$2:$F$61,3,FALSE())</f>
        <v/>
      </c>
      <c r="M1192" s="55">
        <f>VLOOKUP(C1192,Customers!$A$2:$F$301,5,FALSE())</f>
        <v/>
      </c>
      <c r="N1192" s="55">
        <f>VLOOKUP(E1192,Sales_Reps!$A$2:$E$31,3,FALSE())</f>
        <v/>
      </c>
      <c r="O1192" s="55">
        <f>VLOOKUP(D1192,Products!$A$2:$F$61,4,FALSE())</f>
        <v/>
      </c>
      <c r="P1192" s="55">
        <f>VLOOKUP(C1192,Customers!$A$2:$F$301,3,FALSE())</f>
        <v/>
      </c>
      <c r="Q1192" s="55">
        <f>UPPER(TRIM(K1192))</f>
        <v/>
      </c>
      <c r="R1192" s="55">
        <f>(G1192-O1192)/G1192</f>
        <v/>
      </c>
      <c r="S1192" s="55">
        <f>VLOOKUP(D1192,Products!$A$2:$F$61,6,FALSE())</f>
        <v/>
      </c>
    </row>
    <row r="1193" ht="15" customHeight="1" s="56">
      <c r="A1193" s="55">
        <f>Orders!A1193</f>
        <v/>
      </c>
      <c r="B1193" s="103">
        <f>Orders!B1193</f>
        <v/>
      </c>
      <c r="C1193" s="55">
        <f>Orders!C1193</f>
        <v/>
      </c>
      <c r="D1193" s="55">
        <f>Orders!D1193</f>
        <v/>
      </c>
      <c r="E1193" s="55">
        <f>Orders!E1193</f>
        <v/>
      </c>
      <c r="F1193" s="55">
        <f>Orders!F1193</f>
        <v/>
      </c>
      <c r="G1193" s="55">
        <f>Orders!G1193</f>
        <v/>
      </c>
      <c r="H1193" s="55">
        <f>Orders!H1193</f>
        <v/>
      </c>
      <c r="I1193" s="55">
        <f>Orders!I1193</f>
        <v/>
      </c>
      <c r="J1193" s="55">
        <f>Orders!J1193</f>
        <v/>
      </c>
      <c r="K1193" s="55">
        <f>Orders!K1193</f>
        <v/>
      </c>
      <c r="L1193" s="55">
        <f>VLOOKUP(D1193,Products!$A$2:$F$61,3,FALSE())</f>
        <v/>
      </c>
      <c r="M1193" s="55">
        <f>VLOOKUP(C1193,Customers!$A$2:$F$301,5,FALSE())</f>
        <v/>
      </c>
      <c r="N1193" s="55">
        <f>VLOOKUP(E1193,Sales_Reps!$A$2:$E$31,3,FALSE())</f>
        <v/>
      </c>
      <c r="O1193" s="55">
        <f>VLOOKUP(D1193,Products!$A$2:$F$61,4,FALSE())</f>
        <v/>
      </c>
      <c r="P1193" s="55">
        <f>VLOOKUP(C1193,Customers!$A$2:$F$301,3,FALSE())</f>
        <v/>
      </c>
      <c r="Q1193" s="55">
        <f>UPPER(TRIM(K1193))</f>
        <v/>
      </c>
      <c r="R1193" s="55">
        <f>(G1193-O1193)/G1193</f>
        <v/>
      </c>
      <c r="S1193" s="55">
        <f>VLOOKUP(D1193,Products!$A$2:$F$61,6,FALSE())</f>
        <v/>
      </c>
    </row>
    <row r="1194" ht="15" customHeight="1" s="56">
      <c r="A1194" s="55">
        <f>Orders!A1194</f>
        <v/>
      </c>
      <c r="B1194" s="103">
        <f>Orders!B1194</f>
        <v/>
      </c>
      <c r="C1194" s="55">
        <f>Orders!C1194</f>
        <v/>
      </c>
      <c r="D1194" s="55">
        <f>Orders!D1194</f>
        <v/>
      </c>
      <c r="E1194" s="55">
        <f>Orders!E1194</f>
        <v/>
      </c>
      <c r="F1194" s="55">
        <f>Orders!F1194</f>
        <v/>
      </c>
      <c r="G1194" s="55">
        <f>Orders!G1194</f>
        <v/>
      </c>
      <c r="H1194" s="55">
        <f>Orders!H1194</f>
        <v/>
      </c>
      <c r="I1194" s="55">
        <f>Orders!I1194</f>
        <v/>
      </c>
      <c r="J1194" s="55">
        <f>Orders!J1194</f>
        <v/>
      </c>
      <c r="K1194" s="55">
        <f>Orders!K1194</f>
        <v/>
      </c>
      <c r="L1194" s="55">
        <f>VLOOKUP(D1194,Products!$A$2:$F$61,3,FALSE())</f>
        <v/>
      </c>
      <c r="M1194" s="55">
        <f>VLOOKUP(C1194,Customers!$A$2:$F$301,5,FALSE())</f>
        <v/>
      </c>
      <c r="N1194" s="55">
        <f>VLOOKUP(E1194,Sales_Reps!$A$2:$E$31,3,FALSE())</f>
        <v/>
      </c>
      <c r="O1194" s="55">
        <f>VLOOKUP(D1194,Products!$A$2:$F$61,4,FALSE())</f>
        <v/>
      </c>
      <c r="P1194" s="55">
        <f>VLOOKUP(C1194,Customers!$A$2:$F$301,3,FALSE())</f>
        <v/>
      </c>
      <c r="Q1194" s="55">
        <f>UPPER(TRIM(K1194))</f>
        <v/>
      </c>
      <c r="R1194" s="55">
        <f>(G1194-O1194)/G1194</f>
        <v/>
      </c>
      <c r="S1194" s="55">
        <f>VLOOKUP(D1194,Products!$A$2:$F$61,6,FALSE())</f>
        <v/>
      </c>
    </row>
    <row r="1195" ht="15" customHeight="1" s="56">
      <c r="A1195" s="55">
        <f>Orders!A1195</f>
        <v/>
      </c>
      <c r="B1195" s="103">
        <f>Orders!B1195</f>
        <v/>
      </c>
      <c r="C1195" s="55">
        <f>Orders!C1195</f>
        <v/>
      </c>
      <c r="D1195" s="55">
        <f>Orders!D1195</f>
        <v/>
      </c>
      <c r="E1195" s="55">
        <f>Orders!E1195</f>
        <v/>
      </c>
      <c r="F1195" s="55">
        <f>Orders!F1195</f>
        <v/>
      </c>
      <c r="G1195" s="55">
        <f>Orders!G1195</f>
        <v/>
      </c>
      <c r="H1195" s="55">
        <f>Orders!H1195</f>
        <v/>
      </c>
      <c r="I1195" s="55">
        <f>Orders!I1195</f>
        <v/>
      </c>
      <c r="J1195" s="55">
        <f>Orders!J1195</f>
        <v/>
      </c>
      <c r="K1195" s="55">
        <f>Orders!K1195</f>
        <v/>
      </c>
      <c r="L1195" s="55">
        <f>VLOOKUP(D1195,Products!$A$2:$F$61,3,FALSE())</f>
        <v/>
      </c>
      <c r="M1195" s="55">
        <f>VLOOKUP(C1195,Customers!$A$2:$F$301,5,FALSE())</f>
        <v/>
      </c>
      <c r="N1195" s="55">
        <f>VLOOKUP(E1195,Sales_Reps!$A$2:$E$31,3,FALSE())</f>
        <v/>
      </c>
      <c r="O1195" s="55">
        <f>VLOOKUP(D1195,Products!$A$2:$F$61,4,FALSE())</f>
        <v/>
      </c>
      <c r="P1195" s="55">
        <f>VLOOKUP(C1195,Customers!$A$2:$F$301,3,FALSE())</f>
        <v/>
      </c>
      <c r="Q1195" s="55">
        <f>UPPER(TRIM(K1195))</f>
        <v/>
      </c>
      <c r="R1195" s="55">
        <f>(G1195-O1195)/G1195</f>
        <v/>
      </c>
      <c r="S1195" s="55">
        <f>VLOOKUP(D1195,Products!$A$2:$F$61,6,FALSE())</f>
        <v/>
      </c>
    </row>
    <row r="1196" ht="15" customHeight="1" s="56">
      <c r="A1196" s="55">
        <f>Orders!A1196</f>
        <v/>
      </c>
      <c r="B1196" s="103">
        <f>Orders!B1196</f>
        <v/>
      </c>
      <c r="C1196" s="55">
        <f>Orders!C1196</f>
        <v/>
      </c>
      <c r="D1196" s="55">
        <f>Orders!D1196</f>
        <v/>
      </c>
      <c r="E1196" s="55">
        <f>Orders!E1196</f>
        <v/>
      </c>
      <c r="F1196" s="55">
        <f>Orders!F1196</f>
        <v/>
      </c>
      <c r="G1196" s="55">
        <f>Orders!G1196</f>
        <v/>
      </c>
      <c r="H1196" s="55">
        <f>Orders!H1196</f>
        <v/>
      </c>
      <c r="I1196" s="55">
        <f>Orders!I1196</f>
        <v/>
      </c>
      <c r="J1196" s="55">
        <f>Orders!J1196</f>
        <v/>
      </c>
      <c r="K1196" s="55">
        <f>Orders!K1196</f>
        <v/>
      </c>
      <c r="L1196" s="55">
        <f>VLOOKUP(D1196,Products!$A$2:$F$61,3,FALSE())</f>
        <v/>
      </c>
      <c r="M1196" s="55">
        <f>VLOOKUP(C1196,Customers!$A$2:$F$301,5,FALSE())</f>
        <v/>
      </c>
      <c r="N1196" s="55">
        <f>VLOOKUP(E1196,Sales_Reps!$A$2:$E$31,3,FALSE())</f>
        <v/>
      </c>
      <c r="O1196" s="55">
        <f>VLOOKUP(D1196,Products!$A$2:$F$61,4,FALSE())</f>
        <v/>
      </c>
      <c r="P1196" s="55">
        <f>VLOOKUP(C1196,Customers!$A$2:$F$301,3,FALSE())</f>
        <v/>
      </c>
      <c r="Q1196" s="55">
        <f>UPPER(TRIM(K1196))</f>
        <v/>
      </c>
      <c r="R1196" s="55">
        <f>(G1196-O1196)/G1196</f>
        <v/>
      </c>
      <c r="S1196" s="55">
        <f>VLOOKUP(D1196,Products!$A$2:$F$61,6,FALSE())</f>
        <v/>
      </c>
    </row>
    <row r="1197" ht="15" customHeight="1" s="56">
      <c r="A1197" s="55">
        <f>Orders!A1197</f>
        <v/>
      </c>
      <c r="B1197" s="103">
        <f>Orders!B1197</f>
        <v/>
      </c>
      <c r="C1197" s="55">
        <f>Orders!C1197</f>
        <v/>
      </c>
      <c r="D1197" s="55">
        <f>Orders!D1197</f>
        <v/>
      </c>
      <c r="E1197" s="55">
        <f>Orders!E1197</f>
        <v/>
      </c>
      <c r="F1197" s="55">
        <f>Orders!F1197</f>
        <v/>
      </c>
      <c r="G1197" s="55">
        <f>Orders!G1197</f>
        <v/>
      </c>
      <c r="H1197" s="55">
        <f>Orders!H1197</f>
        <v/>
      </c>
      <c r="I1197" s="55">
        <f>Orders!I1197</f>
        <v/>
      </c>
      <c r="J1197" s="55">
        <f>Orders!J1197</f>
        <v/>
      </c>
      <c r="K1197" s="55">
        <f>Orders!K1197</f>
        <v/>
      </c>
      <c r="L1197" s="55">
        <f>VLOOKUP(D1197,Products!$A$2:$F$61,3,FALSE())</f>
        <v/>
      </c>
      <c r="M1197" s="55">
        <f>VLOOKUP(C1197,Customers!$A$2:$F$301,5,FALSE())</f>
        <v/>
      </c>
      <c r="N1197" s="55">
        <f>VLOOKUP(E1197,Sales_Reps!$A$2:$E$31,3,FALSE())</f>
        <v/>
      </c>
      <c r="O1197" s="55">
        <f>VLOOKUP(D1197,Products!$A$2:$F$61,4,FALSE())</f>
        <v/>
      </c>
      <c r="P1197" s="55">
        <f>VLOOKUP(C1197,Customers!$A$2:$F$301,3,FALSE())</f>
        <v/>
      </c>
      <c r="Q1197" s="55">
        <f>UPPER(TRIM(K1197))</f>
        <v/>
      </c>
      <c r="R1197" s="55">
        <f>(G1197-O1197)/G1197</f>
        <v/>
      </c>
      <c r="S1197" s="55">
        <f>VLOOKUP(D1197,Products!$A$2:$F$61,6,FALSE())</f>
        <v/>
      </c>
    </row>
    <row r="1198" ht="15" customHeight="1" s="56">
      <c r="A1198" s="55">
        <f>Orders!A1198</f>
        <v/>
      </c>
      <c r="B1198" s="103">
        <f>Orders!B1198</f>
        <v/>
      </c>
      <c r="C1198" s="55">
        <f>Orders!C1198</f>
        <v/>
      </c>
      <c r="D1198" s="55">
        <f>Orders!D1198</f>
        <v/>
      </c>
      <c r="E1198" s="55">
        <f>Orders!E1198</f>
        <v/>
      </c>
      <c r="F1198" s="55">
        <f>Orders!F1198</f>
        <v/>
      </c>
      <c r="G1198" s="55">
        <f>Orders!G1198</f>
        <v/>
      </c>
      <c r="H1198" s="55">
        <f>Orders!H1198</f>
        <v/>
      </c>
      <c r="I1198" s="55">
        <f>Orders!I1198</f>
        <v/>
      </c>
      <c r="J1198" s="55">
        <f>Orders!J1198</f>
        <v/>
      </c>
      <c r="K1198" s="55">
        <f>Orders!K1198</f>
        <v/>
      </c>
      <c r="L1198" s="55">
        <f>VLOOKUP(D1198,Products!$A$2:$F$61,3,FALSE())</f>
        <v/>
      </c>
      <c r="M1198" s="55">
        <f>VLOOKUP(C1198,Customers!$A$2:$F$301,5,FALSE())</f>
        <v/>
      </c>
      <c r="N1198" s="55">
        <f>VLOOKUP(E1198,Sales_Reps!$A$2:$E$31,3,FALSE())</f>
        <v/>
      </c>
      <c r="O1198" s="55">
        <f>VLOOKUP(D1198,Products!$A$2:$F$61,4,FALSE())</f>
        <v/>
      </c>
      <c r="P1198" s="55">
        <f>VLOOKUP(C1198,Customers!$A$2:$F$301,3,FALSE())</f>
        <v/>
      </c>
      <c r="Q1198" s="55">
        <f>UPPER(TRIM(K1198))</f>
        <v/>
      </c>
      <c r="R1198" s="55">
        <f>(G1198-O1198)/G1198</f>
        <v/>
      </c>
      <c r="S1198" s="55">
        <f>VLOOKUP(D1198,Products!$A$2:$F$61,6,FALSE())</f>
        <v/>
      </c>
    </row>
    <row r="1199" ht="15" customHeight="1" s="56">
      <c r="A1199" s="55">
        <f>Orders!A1199</f>
        <v/>
      </c>
      <c r="B1199" s="103">
        <f>Orders!B1199</f>
        <v/>
      </c>
      <c r="C1199" s="55">
        <f>Orders!C1199</f>
        <v/>
      </c>
      <c r="D1199" s="55">
        <f>Orders!D1199</f>
        <v/>
      </c>
      <c r="E1199" s="55">
        <f>Orders!E1199</f>
        <v/>
      </c>
      <c r="F1199" s="55">
        <f>Orders!F1199</f>
        <v/>
      </c>
      <c r="G1199" s="55">
        <f>Orders!G1199</f>
        <v/>
      </c>
      <c r="H1199" s="55">
        <f>Orders!H1199</f>
        <v/>
      </c>
      <c r="I1199" s="55">
        <f>Orders!I1199</f>
        <v/>
      </c>
      <c r="J1199" s="55">
        <f>Orders!J1199</f>
        <v/>
      </c>
      <c r="K1199" s="55">
        <f>Orders!K1199</f>
        <v/>
      </c>
      <c r="L1199" s="55">
        <f>VLOOKUP(D1199,Products!$A$2:$F$61,3,FALSE())</f>
        <v/>
      </c>
      <c r="M1199" s="55">
        <f>VLOOKUP(C1199,Customers!$A$2:$F$301,5,FALSE())</f>
        <v/>
      </c>
      <c r="N1199" s="55">
        <f>VLOOKUP(E1199,Sales_Reps!$A$2:$E$31,3,FALSE())</f>
        <v/>
      </c>
      <c r="O1199" s="55">
        <f>VLOOKUP(D1199,Products!$A$2:$F$61,4,FALSE())</f>
        <v/>
      </c>
      <c r="P1199" s="55">
        <f>VLOOKUP(C1199,Customers!$A$2:$F$301,3,FALSE())</f>
        <v/>
      </c>
      <c r="Q1199" s="55">
        <f>UPPER(TRIM(K1199))</f>
        <v/>
      </c>
      <c r="R1199" s="55">
        <f>(G1199-O1199)/G1199</f>
        <v/>
      </c>
      <c r="S1199" s="55">
        <f>VLOOKUP(D1199,Products!$A$2:$F$61,6,FALSE())</f>
        <v/>
      </c>
    </row>
    <row r="1200" ht="15" customHeight="1" s="56">
      <c r="A1200" s="55">
        <f>Orders!A1200</f>
        <v/>
      </c>
      <c r="B1200" s="103">
        <f>Orders!B1200</f>
        <v/>
      </c>
      <c r="C1200" s="55">
        <f>Orders!C1200</f>
        <v/>
      </c>
      <c r="D1200" s="55">
        <f>Orders!D1200</f>
        <v/>
      </c>
      <c r="E1200" s="55">
        <f>Orders!E1200</f>
        <v/>
      </c>
      <c r="F1200" s="55">
        <f>Orders!F1200</f>
        <v/>
      </c>
      <c r="G1200" s="55">
        <f>Orders!G1200</f>
        <v/>
      </c>
      <c r="H1200" s="55">
        <f>Orders!H1200</f>
        <v/>
      </c>
      <c r="I1200" s="55">
        <f>Orders!I1200</f>
        <v/>
      </c>
      <c r="J1200" s="55">
        <f>Orders!J1200</f>
        <v/>
      </c>
      <c r="K1200" s="55">
        <f>Orders!K1200</f>
        <v/>
      </c>
      <c r="L1200" s="55">
        <f>VLOOKUP(D1200,Products!$A$2:$F$61,3,FALSE())</f>
        <v/>
      </c>
      <c r="M1200" s="55">
        <f>VLOOKUP(C1200,Customers!$A$2:$F$301,5,FALSE())</f>
        <v/>
      </c>
      <c r="N1200" s="55">
        <f>VLOOKUP(E1200,Sales_Reps!$A$2:$E$31,3,FALSE())</f>
        <v/>
      </c>
      <c r="O1200" s="55">
        <f>VLOOKUP(D1200,Products!$A$2:$F$61,4,FALSE())</f>
        <v/>
      </c>
      <c r="P1200" s="55">
        <f>VLOOKUP(C1200,Customers!$A$2:$F$301,3,FALSE())</f>
        <v/>
      </c>
      <c r="Q1200" s="55">
        <f>UPPER(TRIM(K1200))</f>
        <v/>
      </c>
      <c r="R1200" s="55">
        <f>(G1200-O1200)/G1200</f>
        <v/>
      </c>
      <c r="S1200" s="55">
        <f>VLOOKUP(D1200,Products!$A$2:$F$61,6,FALSE())</f>
        <v/>
      </c>
    </row>
    <row r="1201" ht="15" customHeight="1" s="56">
      <c r="A1201" s="55">
        <f>Orders!A1201</f>
        <v/>
      </c>
      <c r="B1201" s="103">
        <f>Orders!B1201</f>
        <v/>
      </c>
      <c r="C1201" s="55">
        <f>Orders!C1201</f>
        <v/>
      </c>
      <c r="D1201" s="55">
        <f>Orders!D1201</f>
        <v/>
      </c>
      <c r="E1201" s="55">
        <f>Orders!E1201</f>
        <v/>
      </c>
      <c r="F1201" s="55">
        <f>Orders!F1201</f>
        <v/>
      </c>
      <c r="G1201" s="55">
        <f>Orders!G1201</f>
        <v/>
      </c>
      <c r="H1201" s="55">
        <f>Orders!H1201</f>
        <v/>
      </c>
      <c r="I1201" s="55">
        <f>Orders!I1201</f>
        <v/>
      </c>
      <c r="J1201" s="55">
        <f>Orders!J1201</f>
        <v/>
      </c>
      <c r="K1201" s="55">
        <f>Orders!K1201</f>
        <v/>
      </c>
      <c r="L1201" s="55">
        <f>VLOOKUP(D1201,Products!$A$2:$F$61,3,FALSE())</f>
        <v/>
      </c>
      <c r="M1201" s="55">
        <f>VLOOKUP(C1201,Customers!$A$2:$F$301,5,FALSE())</f>
        <v/>
      </c>
      <c r="N1201" s="55">
        <f>VLOOKUP(E1201,Sales_Reps!$A$2:$E$31,3,FALSE())</f>
        <v/>
      </c>
      <c r="O1201" s="55">
        <f>VLOOKUP(D1201,Products!$A$2:$F$61,4,FALSE())</f>
        <v/>
      </c>
      <c r="P1201" s="55">
        <f>VLOOKUP(C1201,Customers!$A$2:$F$301,3,FALSE())</f>
        <v/>
      </c>
      <c r="Q1201" s="55">
        <f>UPPER(TRIM(K1201))</f>
        <v/>
      </c>
      <c r="R1201" s="55">
        <f>(G1201-O1201)/G1201</f>
        <v/>
      </c>
      <c r="S1201" s="55">
        <f>VLOOKUP(D1201,Products!$A$2:$F$61,6,FALSE())</f>
        <v/>
      </c>
    </row>
    <row r="1202" ht="15" customHeight="1" s="56">
      <c r="A1202" s="55">
        <f>Orders!A1202</f>
        <v/>
      </c>
      <c r="B1202" s="103">
        <f>Orders!B1202</f>
        <v/>
      </c>
      <c r="C1202" s="55">
        <f>Orders!C1202</f>
        <v/>
      </c>
      <c r="D1202" s="55">
        <f>Orders!D1202</f>
        <v/>
      </c>
      <c r="E1202" s="55">
        <f>Orders!E1202</f>
        <v/>
      </c>
      <c r="F1202" s="55">
        <f>Orders!F1202</f>
        <v/>
      </c>
      <c r="G1202" s="55">
        <f>Orders!G1202</f>
        <v/>
      </c>
      <c r="H1202" s="55">
        <f>Orders!H1202</f>
        <v/>
      </c>
      <c r="I1202" s="55">
        <f>Orders!I1202</f>
        <v/>
      </c>
      <c r="J1202" s="55">
        <f>Orders!J1202</f>
        <v/>
      </c>
      <c r="K1202" s="55">
        <f>Orders!K1202</f>
        <v/>
      </c>
      <c r="L1202" s="55">
        <f>VLOOKUP(D1202,Products!$A$2:$F$61,3,FALSE())</f>
        <v/>
      </c>
      <c r="M1202" s="55">
        <f>VLOOKUP(C1202,Customers!$A$2:$F$301,5,FALSE())</f>
        <v/>
      </c>
      <c r="N1202" s="55">
        <f>VLOOKUP(E1202,Sales_Reps!$A$2:$E$31,3,FALSE())</f>
        <v/>
      </c>
      <c r="O1202" s="55">
        <f>VLOOKUP(D1202,Products!$A$2:$F$61,4,FALSE())</f>
        <v/>
      </c>
      <c r="P1202" s="55">
        <f>VLOOKUP(C1202,Customers!$A$2:$F$301,3,FALSE())</f>
        <v/>
      </c>
      <c r="Q1202" s="55">
        <f>UPPER(TRIM(K1202))</f>
        <v/>
      </c>
      <c r="R1202" s="55">
        <f>(G1202-O1202)/G1202</f>
        <v/>
      </c>
      <c r="S1202" s="55">
        <f>VLOOKUP(D1202,Products!$A$2:$F$61,6,FALSE())</f>
        <v/>
      </c>
    </row>
    <row r="1203" ht="15" customHeight="1" s="56">
      <c r="A1203" s="55">
        <f>Orders!A1203</f>
        <v/>
      </c>
      <c r="B1203" s="103">
        <f>Orders!B1203</f>
        <v/>
      </c>
      <c r="C1203" s="55">
        <f>Orders!C1203</f>
        <v/>
      </c>
      <c r="D1203" s="55">
        <f>Orders!D1203</f>
        <v/>
      </c>
      <c r="E1203" s="55">
        <f>Orders!E1203</f>
        <v/>
      </c>
      <c r="F1203" s="55">
        <f>Orders!F1203</f>
        <v/>
      </c>
      <c r="G1203" s="55">
        <f>Orders!G1203</f>
        <v/>
      </c>
      <c r="H1203" s="55">
        <f>Orders!H1203</f>
        <v/>
      </c>
      <c r="I1203" s="55">
        <f>Orders!I1203</f>
        <v/>
      </c>
      <c r="J1203" s="55">
        <f>Orders!J1203</f>
        <v/>
      </c>
      <c r="K1203" s="55">
        <f>Orders!K1203</f>
        <v/>
      </c>
      <c r="L1203" s="55">
        <f>VLOOKUP(D1203,Products!$A$2:$F$61,3,FALSE())</f>
        <v/>
      </c>
      <c r="M1203" s="55">
        <f>VLOOKUP(C1203,Customers!$A$2:$F$301,5,FALSE())</f>
        <v/>
      </c>
      <c r="N1203" s="55">
        <f>VLOOKUP(E1203,Sales_Reps!$A$2:$E$31,3,FALSE())</f>
        <v/>
      </c>
      <c r="O1203" s="55">
        <f>VLOOKUP(D1203,Products!$A$2:$F$61,4,FALSE())</f>
        <v/>
      </c>
      <c r="P1203" s="55">
        <f>VLOOKUP(C1203,Customers!$A$2:$F$301,3,FALSE())</f>
        <v/>
      </c>
      <c r="Q1203" s="55">
        <f>UPPER(TRIM(K1203))</f>
        <v/>
      </c>
      <c r="R1203" s="55">
        <f>(G1203-O1203)/G1203</f>
        <v/>
      </c>
      <c r="S1203" s="55">
        <f>VLOOKUP(D1203,Products!$A$2:$F$61,6,FALSE())</f>
        <v/>
      </c>
    </row>
    <row r="1204" ht="15" customHeight="1" s="56">
      <c r="A1204" s="55">
        <f>Orders!A1204</f>
        <v/>
      </c>
      <c r="B1204" s="103">
        <f>Orders!B1204</f>
        <v/>
      </c>
      <c r="C1204" s="55">
        <f>Orders!C1204</f>
        <v/>
      </c>
      <c r="D1204" s="55">
        <f>Orders!D1204</f>
        <v/>
      </c>
      <c r="E1204" s="55">
        <f>Orders!E1204</f>
        <v/>
      </c>
      <c r="F1204" s="55">
        <f>Orders!F1204</f>
        <v/>
      </c>
      <c r="G1204" s="55">
        <f>Orders!G1204</f>
        <v/>
      </c>
      <c r="H1204" s="55">
        <f>Orders!H1204</f>
        <v/>
      </c>
      <c r="I1204" s="55">
        <f>Orders!I1204</f>
        <v/>
      </c>
      <c r="J1204" s="55">
        <f>Orders!J1204</f>
        <v/>
      </c>
      <c r="K1204" s="55">
        <f>Orders!K1204</f>
        <v/>
      </c>
      <c r="L1204" s="55">
        <f>VLOOKUP(D1204,Products!$A$2:$F$61,3,FALSE())</f>
        <v/>
      </c>
      <c r="M1204" s="55">
        <f>VLOOKUP(C1204,Customers!$A$2:$F$301,5,FALSE())</f>
        <v/>
      </c>
      <c r="N1204" s="55">
        <f>VLOOKUP(E1204,Sales_Reps!$A$2:$E$31,3,FALSE())</f>
        <v/>
      </c>
      <c r="O1204" s="55">
        <f>VLOOKUP(D1204,Products!$A$2:$F$61,4,FALSE())</f>
        <v/>
      </c>
      <c r="P1204" s="55">
        <f>VLOOKUP(C1204,Customers!$A$2:$F$301,3,FALSE())</f>
        <v/>
      </c>
      <c r="Q1204" s="55">
        <f>UPPER(TRIM(K1204))</f>
        <v/>
      </c>
      <c r="R1204" s="55">
        <f>(G1204-O1204)/G1204</f>
        <v/>
      </c>
      <c r="S1204" s="55">
        <f>VLOOKUP(D1204,Products!$A$2:$F$61,6,FALSE())</f>
        <v/>
      </c>
    </row>
    <row r="1205" ht="15" customHeight="1" s="56">
      <c r="A1205" s="55">
        <f>Orders!A1205</f>
        <v/>
      </c>
      <c r="B1205" s="103">
        <f>Orders!B1205</f>
        <v/>
      </c>
      <c r="C1205" s="55">
        <f>Orders!C1205</f>
        <v/>
      </c>
      <c r="D1205" s="55">
        <f>Orders!D1205</f>
        <v/>
      </c>
      <c r="E1205" s="55">
        <f>Orders!E1205</f>
        <v/>
      </c>
      <c r="F1205" s="55">
        <f>Orders!F1205</f>
        <v/>
      </c>
      <c r="G1205" s="55">
        <f>Orders!G1205</f>
        <v/>
      </c>
      <c r="H1205" s="55">
        <f>Orders!H1205</f>
        <v/>
      </c>
      <c r="I1205" s="55">
        <f>Orders!I1205</f>
        <v/>
      </c>
      <c r="J1205" s="55">
        <f>Orders!J1205</f>
        <v/>
      </c>
      <c r="K1205" s="55">
        <f>Orders!K1205</f>
        <v/>
      </c>
      <c r="L1205" s="55">
        <f>VLOOKUP(D1205,Products!$A$2:$F$61,3,FALSE())</f>
        <v/>
      </c>
      <c r="M1205" s="55">
        <f>VLOOKUP(C1205,Customers!$A$2:$F$301,5,FALSE())</f>
        <v/>
      </c>
      <c r="N1205" s="55">
        <f>VLOOKUP(E1205,Sales_Reps!$A$2:$E$31,3,FALSE())</f>
        <v/>
      </c>
      <c r="O1205" s="55">
        <f>VLOOKUP(D1205,Products!$A$2:$F$61,4,FALSE())</f>
        <v/>
      </c>
      <c r="P1205" s="55">
        <f>VLOOKUP(C1205,Customers!$A$2:$F$301,3,FALSE())</f>
        <v/>
      </c>
      <c r="Q1205" s="55">
        <f>UPPER(TRIM(K1205))</f>
        <v/>
      </c>
      <c r="R1205" s="55">
        <f>(G1205-O1205)/G1205</f>
        <v/>
      </c>
      <c r="S1205" s="55">
        <f>VLOOKUP(D1205,Products!$A$2:$F$61,6,FALSE())</f>
        <v/>
      </c>
    </row>
    <row r="1206" ht="15" customHeight="1" s="56">
      <c r="A1206" s="55">
        <f>Orders!A1206</f>
        <v/>
      </c>
      <c r="B1206" s="103">
        <f>Orders!B1206</f>
        <v/>
      </c>
      <c r="C1206" s="55">
        <f>Orders!C1206</f>
        <v/>
      </c>
      <c r="D1206" s="55">
        <f>Orders!D1206</f>
        <v/>
      </c>
      <c r="E1206" s="55">
        <f>Orders!E1206</f>
        <v/>
      </c>
      <c r="F1206" s="55">
        <f>Orders!F1206</f>
        <v/>
      </c>
      <c r="G1206" s="55">
        <f>Orders!G1206</f>
        <v/>
      </c>
      <c r="H1206" s="55">
        <f>Orders!H1206</f>
        <v/>
      </c>
      <c r="I1206" s="55">
        <f>Orders!I1206</f>
        <v/>
      </c>
      <c r="J1206" s="55">
        <f>Orders!J1206</f>
        <v/>
      </c>
      <c r="K1206" s="55">
        <f>Orders!K1206</f>
        <v/>
      </c>
      <c r="L1206" s="55">
        <f>VLOOKUP(D1206,Products!$A$2:$F$61,3,FALSE())</f>
        <v/>
      </c>
      <c r="M1206" s="55">
        <f>VLOOKUP(C1206,Customers!$A$2:$F$301,5,FALSE())</f>
        <v/>
      </c>
      <c r="N1206" s="55">
        <f>VLOOKUP(E1206,Sales_Reps!$A$2:$E$31,3,FALSE())</f>
        <v/>
      </c>
      <c r="O1206" s="55">
        <f>VLOOKUP(D1206,Products!$A$2:$F$61,4,FALSE())</f>
        <v/>
      </c>
      <c r="P1206" s="55">
        <f>VLOOKUP(C1206,Customers!$A$2:$F$301,3,FALSE())</f>
        <v/>
      </c>
      <c r="Q1206" s="55">
        <f>UPPER(TRIM(K1206))</f>
        <v/>
      </c>
      <c r="R1206" s="55">
        <f>(G1206-O1206)/G1206</f>
        <v/>
      </c>
      <c r="S1206" s="55">
        <f>VLOOKUP(D1206,Products!$A$2:$F$61,6,FALSE())</f>
        <v/>
      </c>
    </row>
    <row r="1207" ht="15" customHeight="1" s="56">
      <c r="A1207" s="55">
        <f>Orders!A1207</f>
        <v/>
      </c>
      <c r="B1207" s="103">
        <f>Orders!B1207</f>
        <v/>
      </c>
      <c r="C1207" s="55">
        <f>Orders!C1207</f>
        <v/>
      </c>
      <c r="D1207" s="55">
        <f>Orders!D1207</f>
        <v/>
      </c>
      <c r="E1207" s="55">
        <f>Orders!E1207</f>
        <v/>
      </c>
      <c r="F1207" s="55">
        <f>Orders!F1207</f>
        <v/>
      </c>
      <c r="G1207" s="55">
        <f>Orders!G1207</f>
        <v/>
      </c>
      <c r="H1207" s="55">
        <f>Orders!H1207</f>
        <v/>
      </c>
      <c r="I1207" s="55">
        <f>Orders!I1207</f>
        <v/>
      </c>
      <c r="J1207" s="55">
        <f>Orders!J1207</f>
        <v/>
      </c>
      <c r="K1207" s="55">
        <f>Orders!K1207</f>
        <v/>
      </c>
      <c r="L1207" s="55">
        <f>VLOOKUP(D1207,Products!$A$2:$F$61,3,FALSE())</f>
        <v/>
      </c>
      <c r="M1207" s="55">
        <f>VLOOKUP(C1207,Customers!$A$2:$F$301,5,FALSE())</f>
        <v/>
      </c>
      <c r="N1207" s="55">
        <f>VLOOKUP(E1207,Sales_Reps!$A$2:$E$31,3,FALSE())</f>
        <v/>
      </c>
      <c r="O1207" s="55">
        <f>VLOOKUP(D1207,Products!$A$2:$F$61,4,FALSE())</f>
        <v/>
      </c>
      <c r="P1207" s="55">
        <f>VLOOKUP(C1207,Customers!$A$2:$F$301,3,FALSE())</f>
        <v/>
      </c>
      <c r="Q1207" s="55">
        <f>UPPER(TRIM(K1207))</f>
        <v/>
      </c>
      <c r="R1207" s="55">
        <f>(G1207-O1207)/G1207</f>
        <v/>
      </c>
      <c r="S1207" s="55">
        <f>VLOOKUP(D1207,Products!$A$2:$F$61,6,FALSE())</f>
        <v/>
      </c>
    </row>
    <row r="1208" ht="15" customHeight="1" s="56">
      <c r="A1208" s="55">
        <f>Orders!A1208</f>
        <v/>
      </c>
      <c r="B1208" s="103">
        <f>Orders!B1208</f>
        <v/>
      </c>
      <c r="C1208" s="55">
        <f>Orders!C1208</f>
        <v/>
      </c>
      <c r="D1208" s="55">
        <f>Orders!D1208</f>
        <v/>
      </c>
      <c r="E1208" s="55">
        <f>Orders!E1208</f>
        <v/>
      </c>
      <c r="F1208" s="55">
        <f>Orders!F1208</f>
        <v/>
      </c>
      <c r="G1208" s="55">
        <f>Orders!G1208</f>
        <v/>
      </c>
      <c r="H1208" s="55">
        <f>Orders!H1208</f>
        <v/>
      </c>
      <c r="I1208" s="55">
        <f>Orders!I1208</f>
        <v/>
      </c>
      <c r="J1208" s="55">
        <f>Orders!J1208</f>
        <v/>
      </c>
      <c r="K1208" s="55">
        <f>Orders!K1208</f>
        <v/>
      </c>
      <c r="L1208" s="55">
        <f>VLOOKUP(D1208,Products!$A$2:$F$61,3,FALSE())</f>
        <v/>
      </c>
      <c r="M1208" s="55">
        <f>VLOOKUP(C1208,Customers!$A$2:$F$301,5,FALSE())</f>
        <v/>
      </c>
      <c r="N1208" s="55">
        <f>VLOOKUP(E1208,Sales_Reps!$A$2:$E$31,3,FALSE())</f>
        <v/>
      </c>
      <c r="O1208" s="55">
        <f>VLOOKUP(D1208,Products!$A$2:$F$61,4,FALSE())</f>
        <v/>
      </c>
      <c r="P1208" s="55">
        <f>VLOOKUP(C1208,Customers!$A$2:$F$301,3,FALSE())</f>
        <v/>
      </c>
      <c r="Q1208" s="55">
        <f>UPPER(TRIM(K1208))</f>
        <v/>
      </c>
      <c r="R1208" s="55">
        <f>(G1208-O1208)/G1208</f>
        <v/>
      </c>
      <c r="S1208" s="55">
        <f>VLOOKUP(D1208,Products!$A$2:$F$61,6,FALSE())</f>
        <v/>
      </c>
    </row>
    <row r="1209" ht="15" customHeight="1" s="56">
      <c r="A1209" s="55">
        <f>Orders!A1209</f>
        <v/>
      </c>
      <c r="B1209" s="103">
        <f>Orders!B1209</f>
        <v/>
      </c>
      <c r="C1209" s="55">
        <f>Orders!C1209</f>
        <v/>
      </c>
      <c r="D1209" s="55">
        <f>Orders!D1209</f>
        <v/>
      </c>
      <c r="E1209" s="55">
        <f>Orders!E1209</f>
        <v/>
      </c>
      <c r="F1209" s="55">
        <f>Orders!F1209</f>
        <v/>
      </c>
      <c r="G1209" s="55">
        <f>Orders!G1209</f>
        <v/>
      </c>
      <c r="H1209" s="55">
        <f>Orders!H1209</f>
        <v/>
      </c>
      <c r="I1209" s="55">
        <f>Orders!I1209</f>
        <v/>
      </c>
      <c r="J1209" s="55">
        <f>Orders!J1209</f>
        <v/>
      </c>
      <c r="K1209" s="55">
        <f>Orders!K1209</f>
        <v/>
      </c>
      <c r="L1209" s="55">
        <f>VLOOKUP(D1209,Products!$A$2:$F$61,3,FALSE())</f>
        <v/>
      </c>
      <c r="M1209" s="55">
        <f>VLOOKUP(C1209,Customers!$A$2:$F$301,5,FALSE())</f>
        <v/>
      </c>
      <c r="N1209" s="55">
        <f>VLOOKUP(E1209,Sales_Reps!$A$2:$E$31,3,FALSE())</f>
        <v/>
      </c>
      <c r="O1209" s="55">
        <f>VLOOKUP(D1209,Products!$A$2:$F$61,4,FALSE())</f>
        <v/>
      </c>
      <c r="P1209" s="55">
        <f>VLOOKUP(C1209,Customers!$A$2:$F$301,3,FALSE())</f>
        <v/>
      </c>
      <c r="Q1209" s="55">
        <f>UPPER(TRIM(K1209))</f>
        <v/>
      </c>
      <c r="R1209" s="55">
        <f>(G1209-O1209)/G1209</f>
        <v/>
      </c>
      <c r="S1209" s="55">
        <f>VLOOKUP(D1209,Products!$A$2:$F$61,6,FALSE())</f>
        <v/>
      </c>
    </row>
    <row r="1210" ht="15" customHeight="1" s="56">
      <c r="A1210" s="55">
        <f>Orders!A1210</f>
        <v/>
      </c>
      <c r="B1210" s="103">
        <f>Orders!B1210</f>
        <v/>
      </c>
      <c r="C1210" s="55">
        <f>Orders!C1210</f>
        <v/>
      </c>
      <c r="D1210" s="55">
        <f>Orders!D1210</f>
        <v/>
      </c>
      <c r="E1210" s="55">
        <f>Orders!E1210</f>
        <v/>
      </c>
      <c r="F1210" s="55">
        <f>Orders!F1210</f>
        <v/>
      </c>
      <c r="G1210" s="55">
        <f>Orders!G1210</f>
        <v/>
      </c>
      <c r="H1210" s="55">
        <f>Orders!H1210</f>
        <v/>
      </c>
      <c r="I1210" s="55">
        <f>Orders!I1210</f>
        <v/>
      </c>
      <c r="J1210" s="55">
        <f>Orders!J1210</f>
        <v/>
      </c>
      <c r="K1210" s="55">
        <f>Orders!K1210</f>
        <v/>
      </c>
      <c r="L1210" s="55">
        <f>VLOOKUP(D1210,Products!$A$2:$F$61,3,FALSE())</f>
        <v/>
      </c>
      <c r="M1210" s="55">
        <f>VLOOKUP(C1210,Customers!$A$2:$F$301,5,FALSE())</f>
        <v/>
      </c>
      <c r="N1210" s="55">
        <f>VLOOKUP(E1210,Sales_Reps!$A$2:$E$31,3,FALSE())</f>
        <v/>
      </c>
      <c r="O1210" s="55">
        <f>VLOOKUP(D1210,Products!$A$2:$F$61,4,FALSE())</f>
        <v/>
      </c>
      <c r="P1210" s="55">
        <f>VLOOKUP(C1210,Customers!$A$2:$F$301,3,FALSE())</f>
        <v/>
      </c>
      <c r="Q1210" s="55">
        <f>UPPER(TRIM(K1210))</f>
        <v/>
      </c>
      <c r="R1210" s="55">
        <f>(G1210-O1210)/G1210</f>
        <v/>
      </c>
      <c r="S1210" s="55">
        <f>VLOOKUP(D1210,Products!$A$2:$F$61,6,FALSE())</f>
        <v/>
      </c>
    </row>
    <row r="1211" ht="15" customHeight="1" s="56">
      <c r="A1211" s="55">
        <f>Orders!A1211</f>
        <v/>
      </c>
      <c r="B1211" s="103">
        <f>Orders!B1211</f>
        <v/>
      </c>
      <c r="C1211" s="55">
        <f>Orders!C1211</f>
        <v/>
      </c>
      <c r="D1211" s="55">
        <f>Orders!D1211</f>
        <v/>
      </c>
      <c r="E1211" s="55">
        <f>Orders!E1211</f>
        <v/>
      </c>
      <c r="F1211" s="55">
        <f>Orders!F1211</f>
        <v/>
      </c>
      <c r="G1211" s="55">
        <f>Orders!G1211</f>
        <v/>
      </c>
      <c r="H1211" s="55">
        <f>Orders!H1211</f>
        <v/>
      </c>
      <c r="I1211" s="55">
        <f>Orders!I1211</f>
        <v/>
      </c>
      <c r="J1211" s="55">
        <f>Orders!J1211</f>
        <v/>
      </c>
      <c r="K1211" s="55">
        <f>Orders!K1211</f>
        <v/>
      </c>
      <c r="L1211" s="55">
        <f>VLOOKUP(D1211,Products!$A$2:$F$61,3,FALSE())</f>
        <v/>
      </c>
      <c r="M1211" s="55">
        <f>VLOOKUP(C1211,Customers!$A$2:$F$301,5,FALSE())</f>
        <v/>
      </c>
      <c r="N1211" s="55">
        <f>VLOOKUP(E1211,Sales_Reps!$A$2:$E$31,3,FALSE())</f>
        <v/>
      </c>
      <c r="O1211" s="55">
        <f>VLOOKUP(D1211,Products!$A$2:$F$61,4,FALSE())</f>
        <v/>
      </c>
      <c r="P1211" s="55">
        <f>VLOOKUP(C1211,Customers!$A$2:$F$301,3,FALSE())</f>
        <v/>
      </c>
      <c r="Q1211" s="55">
        <f>UPPER(TRIM(K1211))</f>
        <v/>
      </c>
      <c r="R1211" s="55">
        <f>(G1211-O1211)/G1211</f>
        <v/>
      </c>
      <c r="S1211" s="55">
        <f>VLOOKUP(D1211,Products!$A$2:$F$61,6,FALSE())</f>
        <v/>
      </c>
    </row>
    <row r="1212" ht="15" customHeight="1" s="56">
      <c r="A1212" s="55">
        <f>Orders!A1212</f>
        <v/>
      </c>
      <c r="B1212" s="103">
        <f>Orders!B1212</f>
        <v/>
      </c>
      <c r="C1212" s="55">
        <f>Orders!C1212</f>
        <v/>
      </c>
      <c r="D1212" s="55">
        <f>Orders!D1212</f>
        <v/>
      </c>
      <c r="E1212" s="55">
        <f>Orders!E1212</f>
        <v/>
      </c>
      <c r="F1212" s="55">
        <f>Orders!F1212</f>
        <v/>
      </c>
      <c r="G1212" s="55">
        <f>Orders!G1212</f>
        <v/>
      </c>
      <c r="H1212" s="55">
        <f>Orders!H1212</f>
        <v/>
      </c>
      <c r="I1212" s="55">
        <f>Orders!I1212</f>
        <v/>
      </c>
      <c r="J1212" s="55">
        <f>Orders!J1212</f>
        <v/>
      </c>
      <c r="K1212" s="55">
        <f>Orders!K1212</f>
        <v/>
      </c>
      <c r="L1212" s="55">
        <f>VLOOKUP(D1212,Products!$A$2:$F$61,3,FALSE())</f>
        <v/>
      </c>
      <c r="M1212" s="55">
        <f>VLOOKUP(C1212,Customers!$A$2:$F$301,5,FALSE())</f>
        <v/>
      </c>
      <c r="N1212" s="55">
        <f>VLOOKUP(E1212,Sales_Reps!$A$2:$E$31,3,FALSE())</f>
        <v/>
      </c>
      <c r="O1212" s="55">
        <f>VLOOKUP(D1212,Products!$A$2:$F$61,4,FALSE())</f>
        <v/>
      </c>
      <c r="P1212" s="55">
        <f>VLOOKUP(C1212,Customers!$A$2:$F$301,3,FALSE())</f>
        <v/>
      </c>
      <c r="Q1212" s="55">
        <f>UPPER(TRIM(K1212))</f>
        <v/>
      </c>
      <c r="R1212" s="55">
        <f>(G1212-O1212)/G1212</f>
        <v/>
      </c>
      <c r="S1212" s="55">
        <f>VLOOKUP(D1212,Products!$A$2:$F$61,6,FALSE())</f>
        <v/>
      </c>
    </row>
    <row r="1213" ht="15" customHeight="1" s="56">
      <c r="A1213" s="55">
        <f>Orders!A1213</f>
        <v/>
      </c>
      <c r="B1213" s="103">
        <f>Orders!B1213</f>
        <v/>
      </c>
      <c r="C1213" s="55">
        <f>Orders!C1213</f>
        <v/>
      </c>
      <c r="D1213" s="55">
        <f>Orders!D1213</f>
        <v/>
      </c>
      <c r="E1213" s="55">
        <f>Orders!E1213</f>
        <v/>
      </c>
      <c r="F1213" s="55">
        <f>Orders!F1213</f>
        <v/>
      </c>
      <c r="G1213" s="55">
        <f>Orders!G1213</f>
        <v/>
      </c>
      <c r="H1213" s="55">
        <f>Orders!H1213</f>
        <v/>
      </c>
      <c r="I1213" s="55">
        <f>Orders!I1213</f>
        <v/>
      </c>
      <c r="J1213" s="55">
        <f>Orders!J1213</f>
        <v/>
      </c>
      <c r="K1213" s="55">
        <f>Orders!K1213</f>
        <v/>
      </c>
      <c r="L1213" s="55">
        <f>VLOOKUP(D1213,Products!$A$2:$F$61,3,FALSE())</f>
        <v/>
      </c>
      <c r="M1213" s="55">
        <f>VLOOKUP(C1213,Customers!$A$2:$F$301,5,FALSE())</f>
        <v/>
      </c>
      <c r="N1213" s="55">
        <f>VLOOKUP(E1213,Sales_Reps!$A$2:$E$31,3,FALSE())</f>
        <v/>
      </c>
      <c r="O1213" s="55">
        <f>VLOOKUP(D1213,Products!$A$2:$F$61,4,FALSE())</f>
        <v/>
      </c>
      <c r="P1213" s="55">
        <f>VLOOKUP(C1213,Customers!$A$2:$F$301,3,FALSE())</f>
        <v/>
      </c>
      <c r="Q1213" s="55">
        <f>UPPER(TRIM(K1213))</f>
        <v/>
      </c>
      <c r="R1213" s="55">
        <f>(G1213-O1213)/G1213</f>
        <v/>
      </c>
      <c r="S1213" s="55">
        <f>VLOOKUP(D1213,Products!$A$2:$F$61,6,FALSE())</f>
        <v/>
      </c>
    </row>
    <row r="1214" ht="15" customHeight="1" s="56">
      <c r="A1214" s="55">
        <f>Orders!A1214</f>
        <v/>
      </c>
      <c r="B1214" s="103">
        <f>Orders!B1214</f>
        <v/>
      </c>
      <c r="C1214" s="55">
        <f>Orders!C1214</f>
        <v/>
      </c>
      <c r="D1214" s="55">
        <f>Orders!D1214</f>
        <v/>
      </c>
      <c r="E1214" s="55">
        <f>Orders!E1214</f>
        <v/>
      </c>
      <c r="F1214" s="55">
        <f>Orders!F1214</f>
        <v/>
      </c>
      <c r="G1214" s="55">
        <f>Orders!G1214</f>
        <v/>
      </c>
      <c r="H1214" s="55">
        <f>Orders!H1214</f>
        <v/>
      </c>
      <c r="I1214" s="55">
        <f>Orders!I1214</f>
        <v/>
      </c>
      <c r="J1214" s="55">
        <f>Orders!J1214</f>
        <v/>
      </c>
      <c r="K1214" s="55">
        <f>Orders!K1214</f>
        <v/>
      </c>
      <c r="L1214" s="55">
        <f>VLOOKUP(D1214,Products!$A$2:$F$61,3,FALSE())</f>
        <v/>
      </c>
      <c r="M1214" s="55">
        <f>VLOOKUP(C1214,Customers!$A$2:$F$301,5,FALSE())</f>
        <v/>
      </c>
      <c r="N1214" s="55">
        <f>VLOOKUP(E1214,Sales_Reps!$A$2:$E$31,3,FALSE())</f>
        <v/>
      </c>
      <c r="O1214" s="55">
        <f>VLOOKUP(D1214,Products!$A$2:$F$61,4,FALSE())</f>
        <v/>
      </c>
      <c r="P1214" s="55">
        <f>VLOOKUP(C1214,Customers!$A$2:$F$301,3,FALSE())</f>
        <v/>
      </c>
      <c r="Q1214" s="55">
        <f>UPPER(TRIM(K1214))</f>
        <v/>
      </c>
      <c r="R1214" s="55">
        <f>(G1214-O1214)/G1214</f>
        <v/>
      </c>
      <c r="S1214" s="55">
        <f>VLOOKUP(D1214,Products!$A$2:$F$61,6,FALSE())</f>
        <v/>
      </c>
    </row>
    <row r="1215" ht="15" customHeight="1" s="56">
      <c r="A1215" s="55">
        <f>Orders!A1215</f>
        <v/>
      </c>
      <c r="B1215" s="103">
        <f>Orders!B1215</f>
        <v/>
      </c>
      <c r="C1215" s="55">
        <f>Orders!C1215</f>
        <v/>
      </c>
      <c r="D1215" s="55">
        <f>Orders!D1215</f>
        <v/>
      </c>
      <c r="E1215" s="55">
        <f>Orders!E1215</f>
        <v/>
      </c>
      <c r="F1215" s="55">
        <f>Orders!F1215</f>
        <v/>
      </c>
      <c r="G1215" s="55">
        <f>Orders!G1215</f>
        <v/>
      </c>
      <c r="H1215" s="55">
        <f>Orders!H1215</f>
        <v/>
      </c>
      <c r="I1215" s="55">
        <f>Orders!I1215</f>
        <v/>
      </c>
      <c r="J1215" s="55">
        <f>Orders!J1215</f>
        <v/>
      </c>
      <c r="K1215" s="55">
        <f>Orders!K1215</f>
        <v/>
      </c>
      <c r="L1215" s="55">
        <f>VLOOKUP(D1215,Products!$A$2:$F$61,3,FALSE())</f>
        <v/>
      </c>
      <c r="M1215" s="55">
        <f>VLOOKUP(C1215,Customers!$A$2:$F$301,5,FALSE())</f>
        <v/>
      </c>
      <c r="N1215" s="55">
        <f>VLOOKUP(E1215,Sales_Reps!$A$2:$E$31,3,FALSE())</f>
        <v/>
      </c>
      <c r="O1215" s="55">
        <f>VLOOKUP(D1215,Products!$A$2:$F$61,4,FALSE())</f>
        <v/>
      </c>
      <c r="P1215" s="55">
        <f>VLOOKUP(C1215,Customers!$A$2:$F$301,3,FALSE())</f>
        <v/>
      </c>
      <c r="Q1215" s="55">
        <f>UPPER(TRIM(K1215))</f>
        <v/>
      </c>
      <c r="R1215" s="55">
        <f>(G1215-O1215)/G1215</f>
        <v/>
      </c>
      <c r="S1215" s="55">
        <f>VLOOKUP(D1215,Products!$A$2:$F$61,6,FALSE())</f>
        <v/>
      </c>
    </row>
    <row r="1216" ht="15" customHeight="1" s="56">
      <c r="A1216" s="55">
        <f>Orders!A1216</f>
        <v/>
      </c>
      <c r="B1216" s="103">
        <f>Orders!B1216</f>
        <v/>
      </c>
      <c r="C1216" s="55">
        <f>Orders!C1216</f>
        <v/>
      </c>
      <c r="D1216" s="55">
        <f>Orders!D1216</f>
        <v/>
      </c>
      <c r="E1216" s="55">
        <f>Orders!E1216</f>
        <v/>
      </c>
      <c r="F1216" s="55">
        <f>Orders!F1216</f>
        <v/>
      </c>
      <c r="G1216" s="55">
        <f>Orders!G1216</f>
        <v/>
      </c>
      <c r="H1216" s="55">
        <f>Orders!H1216</f>
        <v/>
      </c>
      <c r="I1216" s="55">
        <f>Orders!I1216</f>
        <v/>
      </c>
      <c r="J1216" s="55">
        <f>Orders!J1216</f>
        <v/>
      </c>
      <c r="K1216" s="55">
        <f>Orders!K1216</f>
        <v/>
      </c>
      <c r="L1216" s="55">
        <f>VLOOKUP(D1216,Products!$A$2:$F$61,3,FALSE())</f>
        <v/>
      </c>
      <c r="M1216" s="55">
        <f>VLOOKUP(C1216,Customers!$A$2:$F$301,5,FALSE())</f>
        <v/>
      </c>
      <c r="N1216" s="55">
        <f>VLOOKUP(E1216,Sales_Reps!$A$2:$E$31,3,FALSE())</f>
        <v/>
      </c>
      <c r="O1216" s="55">
        <f>VLOOKUP(D1216,Products!$A$2:$F$61,4,FALSE())</f>
        <v/>
      </c>
      <c r="P1216" s="55">
        <f>VLOOKUP(C1216,Customers!$A$2:$F$301,3,FALSE())</f>
        <v/>
      </c>
      <c r="Q1216" s="55">
        <f>UPPER(TRIM(K1216))</f>
        <v/>
      </c>
      <c r="R1216" s="55">
        <f>(G1216-O1216)/G1216</f>
        <v/>
      </c>
      <c r="S1216" s="55">
        <f>VLOOKUP(D1216,Products!$A$2:$F$61,6,FALSE())</f>
        <v/>
      </c>
    </row>
    <row r="1217" ht="15" customHeight="1" s="56">
      <c r="A1217" s="55">
        <f>Orders!A1217</f>
        <v/>
      </c>
      <c r="B1217" s="103">
        <f>Orders!B1217</f>
        <v/>
      </c>
      <c r="C1217" s="55">
        <f>Orders!C1217</f>
        <v/>
      </c>
      <c r="D1217" s="55">
        <f>Orders!D1217</f>
        <v/>
      </c>
      <c r="E1217" s="55">
        <f>Orders!E1217</f>
        <v/>
      </c>
      <c r="F1217" s="55">
        <f>Orders!F1217</f>
        <v/>
      </c>
      <c r="G1217" s="55">
        <f>Orders!G1217</f>
        <v/>
      </c>
      <c r="H1217" s="55">
        <f>Orders!H1217</f>
        <v/>
      </c>
      <c r="I1217" s="55">
        <f>Orders!I1217</f>
        <v/>
      </c>
      <c r="J1217" s="55">
        <f>Orders!J1217</f>
        <v/>
      </c>
      <c r="K1217" s="55">
        <f>Orders!K1217</f>
        <v/>
      </c>
      <c r="L1217" s="55">
        <f>VLOOKUP(D1217,Products!$A$2:$F$61,3,FALSE())</f>
        <v/>
      </c>
      <c r="M1217" s="55">
        <f>VLOOKUP(C1217,Customers!$A$2:$F$301,5,FALSE())</f>
        <v/>
      </c>
      <c r="N1217" s="55">
        <f>VLOOKUP(E1217,Sales_Reps!$A$2:$E$31,3,FALSE())</f>
        <v/>
      </c>
      <c r="O1217" s="55">
        <f>VLOOKUP(D1217,Products!$A$2:$F$61,4,FALSE())</f>
        <v/>
      </c>
      <c r="P1217" s="55">
        <f>VLOOKUP(C1217,Customers!$A$2:$F$301,3,FALSE())</f>
        <v/>
      </c>
      <c r="Q1217" s="55">
        <f>UPPER(TRIM(K1217))</f>
        <v/>
      </c>
      <c r="R1217" s="55">
        <f>(G1217-O1217)/G1217</f>
        <v/>
      </c>
      <c r="S1217" s="55">
        <f>VLOOKUP(D1217,Products!$A$2:$F$61,6,FALSE())</f>
        <v/>
      </c>
    </row>
    <row r="1218" ht="15" customHeight="1" s="56">
      <c r="A1218" s="55">
        <f>Orders!A1218</f>
        <v/>
      </c>
      <c r="B1218" s="103">
        <f>Orders!B1218</f>
        <v/>
      </c>
      <c r="C1218" s="55">
        <f>Orders!C1218</f>
        <v/>
      </c>
      <c r="D1218" s="55">
        <f>Orders!D1218</f>
        <v/>
      </c>
      <c r="E1218" s="55">
        <f>Orders!E1218</f>
        <v/>
      </c>
      <c r="F1218" s="55">
        <f>Orders!F1218</f>
        <v/>
      </c>
      <c r="G1218" s="55">
        <f>Orders!G1218</f>
        <v/>
      </c>
      <c r="H1218" s="55">
        <f>Orders!H1218</f>
        <v/>
      </c>
      <c r="I1218" s="55">
        <f>Orders!I1218</f>
        <v/>
      </c>
      <c r="J1218" s="55">
        <f>Orders!J1218</f>
        <v/>
      </c>
      <c r="K1218" s="55">
        <f>Orders!K1218</f>
        <v/>
      </c>
      <c r="L1218" s="55">
        <f>VLOOKUP(D1218,Products!$A$2:$F$61,3,FALSE())</f>
        <v/>
      </c>
      <c r="M1218" s="55">
        <f>VLOOKUP(C1218,Customers!$A$2:$F$301,5,FALSE())</f>
        <v/>
      </c>
      <c r="N1218" s="55">
        <f>VLOOKUP(E1218,Sales_Reps!$A$2:$E$31,3,FALSE())</f>
        <v/>
      </c>
      <c r="O1218" s="55">
        <f>VLOOKUP(D1218,Products!$A$2:$F$61,4,FALSE())</f>
        <v/>
      </c>
      <c r="P1218" s="55">
        <f>VLOOKUP(C1218,Customers!$A$2:$F$301,3,FALSE())</f>
        <v/>
      </c>
      <c r="Q1218" s="55">
        <f>UPPER(TRIM(K1218))</f>
        <v/>
      </c>
      <c r="R1218" s="55">
        <f>(G1218-O1218)/G1218</f>
        <v/>
      </c>
      <c r="S1218" s="55">
        <f>VLOOKUP(D1218,Products!$A$2:$F$61,6,FALSE())</f>
        <v/>
      </c>
    </row>
    <row r="1219" ht="15" customHeight="1" s="56">
      <c r="A1219" s="55">
        <f>Orders!A1219</f>
        <v/>
      </c>
      <c r="B1219" s="103">
        <f>Orders!B1219</f>
        <v/>
      </c>
      <c r="C1219" s="55">
        <f>Orders!C1219</f>
        <v/>
      </c>
      <c r="D1219" s="55">
        <f>Orders!D1219</f>
        <v/>
      </c>
      <c r="E1219" s="55">
        <f>Orders!E1219</f>
        <v/>
      </c>
      <c r="F1219" s="55">
        <f>Orders!F1219</f>
        <v/>
      </c>
      <c r="G1219" s="55">
        <f>Orders!G1219</f>
        <v/>
      </c>
      <c r="H1219" s="55">
        <f>Orders!H1219</f>
        <v/>
      </c>
      <c r="I1219" s="55">
        <f>Orders!I1219</f>
        <v/>
      </c>
      <c r="J1219" s="55">
        <f>Orders!J1219</f>
        <v/>
      </c>
      <c r="K1219" s="55">
        <f>Orders!K1219</f>
        <v/>
      </c>
      <c r="L1219" s="55">
        <f>VLOOKUP(D1219,Products!$A$2:$F$61,3,FALSE())</f>
        <v/>
      </c>
      <c r="M1219" s="55">
        <f>VLOOKUP(C1219,Customers!$A$2:$F$301,5,FALSE())</f>
        <v/>
      </c>
      <c r="N1219" s="55">
        <f>VLOOKUP(E1219,Sales_Reps!$A$2:$E$31,3,FALSE())</f>
        <v/>
      </c>
      <c r="O1219" s="55">
        <f>VLOOKUP(D1219,Products!$A$2:$F$61,4,FALSE())</f>
        <v/>
      </c>
      <c r="P1219" s="55">
        <f>VLOOKUP(C1219,Customers!$A$2:$F$301,3,FALSE())</f>
        <v/>
      </c>
      <c r="Q1219" s="55">
        <f>UPPER(TRIM(K1219))</f>
        <v/>
      </c>
      <c r="R1219" s="55">
        <f>(G1219-O1219)/G1219</f>
        <v/>
      </c>
      <c r="S1219" s="55">
        <f>VLOOKUP(D1219,Products!$A$2:$F$61,6,FALSE())</f>
        <v/>
      </c>
    </row>
    <row r="1220" ht="15" customHeight="1" s="56">
      <c r="A1220" s="55">
        <f>Orders!A1220</f>
        <v/>
      </c>
      <c r="B1220" s="103">
        <f>Orders!B1220</f>
        <v/>
      </c>
      <c r="C1220" s="55">
        <f>Orders!C1220</f>
        <v/>
      </c>
      <c r="D1220" s="55">
        <f>Orders!D1220</f>
        <v/>
      </c>
      <c r="E1220" s="55">
        <f>Orders!E1220</f>
        <v/>
      </c>
      <c r="F1220" s="55">
        <f>Orders!F1220</f>
        <v/>
      </c>
      <c r="G1220" s="55">
        <f>Orders!G1220</f>
        <v/>
      </c>
      <c r="H1220" s="55">
        <f>Orders!H1220</f>
        <v/>
      </c>
      <c r="I1220" s="55">
        <f>Orders!I1220</f>
        <v/>
      </c>
      <c r="J1220" s="55">
        <f>Orders!J1220</f>
        <v/>
      </c>
      <c r="K1220" s="55">
        <f>Orders!K1220</f>
        <v/>
      </c>
      <c r="L1220" s="55">
        <f>VLOOKUP(D1220,Products!$A$2:$F$61,3,FALSE())</f>
        <v/>
      </c>
      <c r="M1220" s="55">
        <f>VLOOKUP(C1220,Customers!$A$2:$F$301,5,FALSE())</f>
        <v/>
      </c>
      <c r="N1220" s="55">
        <f>VLOOKUP(E1220,Sales_Reps!$A$2:$E$31,3,FALSE())</f>
        <v/>
      </c>
      <c r="O1220" s="55">
        <f>VLOOKUP(D1220,Products!$A$2:$F$61,4,FALSE())</f>
        <v/>
      </c>
      <c r="P1220" s="55">
        <f>VLOOKUP(C1220,Customers!$A$2:$F$301,3,FALSE())</f>
        <v/>
      </c>
      <c r="Q1220" s="55">
        <f>UPPER(TRIM(K1220))</f>
        <v/>
      </c>
      <c r="R1220" s="55">
        <f>(G1220-O1220)/G1220</f>
        <v/>
      </c>
      <c r="S1220" s="55">
        <f>VLOOKUP(D1220,Products!$A$2:$F$61,6,FALSE())</f>
        <v/>
      </c>
    </row>
    <row r="1221" ht="15" customHeight="1" s="56">
      <c r="A1221" s="55">
        <f>Orders!A1221</f>
        <v/>
      </c>
      <c r="B1221" s="103">
        <f>Orders!B1221</f>
        <v/>
      </c>
      <c r="C1221" s="55">
        <f>Orders!C1221</f>
        <v/>
      </c>
      <c r="D1221" s="55">
        <f>Orders!D1221</f>
        <v/>
      </c>
      <c r="E1221" s="55">
        <f>Orders!E1221</f>
        <v/>
      </c>
      <c r="F1221" s="55">
        <f>Orders!F1221</f>
        <v/>
      </c>
      <c r="G1221" s="55">
        <f>Orders!G1221</f>
        <v/>
      </c>
      <c r="H1221" s="55">
        <f>Orders!H1221</f>
        <v/>
      </c>
      <c r="I1221" s="55">
        <f>Orders!I1221</f>
        <v/>
      </c>
      <c r="J1221" s="55">
        <f>Orders!J1221</f>
        <v/>
      </c>
      <c r="K1221" s="55">
        <f>Orders!K1221</f>
        <v/>
      </c>
      <c r="L1221" s="55">
        <f>VLOOKUP(D1221,Products!$A$2:$F$61,3,FALSE())</f>
        <v/>
      </c>
      <c r="M1221" s="55">
        <f>VLOOKUP(C1221,Customers!$A$2:$F$301,5,FALSE())</f>
        <v/>
      </c>
      <c r="N1221" s="55">
        <f>VLOOKUP(E1221,Sales_Reps!$A$2:$E$31,3,FALSE())</f>
        <v/>
      </c>
      <c r="O1221" s="55">
        <f>VLOOKUP(D1221,Products!$A$2:$F$61,4,FALSE())</f>
        <v/>
      </c>
      <c r="P1221" s="55">
        <f>VLOOKUP(C1221,Customers!$A$2:$F$301,3,FALSE())</f>
        <v/>
      </c>
      <c r="Q1221" s="55">
        <f>UPPER(TRIM(K1221))</f>
        <v/>
      </c>
      <c r="R1221" s="55">
        <f>(G1221-O1221)/G1221</f>
        <v/>
      </c>
      <c r="S1221" s="55">
        <f>VLOOKUP(D1221,Products!$A$2:$F$61,6,FALSE())</f>
        <v/>
      </c>
    </row>
    <row r="1222" ht="15" customHeight="1" s="56">
      <c r="A1222" s="55">
        <f>Orders!A1222</f>
        <v/>
      </c>
      <c r="B1222" s="103">
        <f>Orders!B1222</f>
        <v/>
      </c>
      <c r="C1222" s="55">
        <f>Orders!C1222</f>
        <v/>
      </c>
      <c r="D1222" s="55">
        <f>Orders!D1222</f>
        <v/>
      </c>
      <c r="E1222" s="55">
        <f>Orders!E1222</f>
        <v/>
      </c>
      <c r="F1222" s="55">
        <f>Orders!F1222</f>
        <v/>
      </c>
      <c r="G1222" s="55">
        <f>Orders!G1222</f>
        <v/>
      </c>
      <c r="H1222" s="55">
        <f>Orders!H1222</f>
        <v/>
      </c>
      <c r="I1222" s="55">
        <f>Orders!I1222</f>
        <v/>
      </c>
      <c r="J1222" s="55">
        <f>Orders!J1222</f>
        <v/>
      </c>
      <c r="K1222" s="55">
        <f>Orders!K1222</f>
        <v/>
      </c>
      <c r="L1222" s="55">
        <f>VLOOKUP(D1222,Products!$A$2:$F$61,3,FALSE())</f>
        <v/>
      </c>
      <c r="M1222" s="55">
        <f>VLOOKUP(C1222,Customers!$A$2:$F$301,5,FALSE())</f>
        <v/>
      </c>
      <c r="N1222" s="55">
        <f>VLOOKUP(E1222,Sales_Reps!$A$2:$E$31,3,FALSE())</f>
        <v/>
      </c>
      <c r="O1222" s="55">
        <f>VLOOKUP(D1222,Products!$A$2:$F$61,4,FALSE())</f>
        <v/>
      </c>
      <c r="P1222" s="55">
        <f>VLOOKUP(C1222,Customers!$A$2:$F$301,3,FALSE())</f>
        <v/>
      </c>
      <c r="Q1222" s="55">
        <f>UPPER(TRIM(K1222))</f>
        <v/>
      </c>
      <c r="R1222" s="55">
        <f>(G1222-O1222)/G1222</f>
        <v/>
      </c>
      <c r="S1222" s="55">
        <f>VLOOKUP(D1222,Products!$A$2:$F$61,6,FALSE())</f>
        <v/>
      </c>
    </row>
    <row r="1223" ht="15" customHeight="1" s="56">
      <c r="A1223" s="55">
        <f>Orders!A1223</f>
        <v/>
      </c>
      <c r="B1223" s="103">
        <f>Orders!B1223</f>
        <v/>
      </c>
      <c r="C1223" s="55">
        <f>Orders!C1223</f>
        <v/>
      </c>
      <c r="D1223" s="55">
        <f>Orders!D1223</f>
        <v/>
      </c>
      <c r="E1223" s="55">
        <f>Orders!E1223</f>
        <v/>
      </c>
      <c r="F1223" s="55">
        <f>Orders!F1223</f>
        <v/>
      </c>
      <c r="G1223" s="55">
        <f>Orders!G1223</f>
        <v/>
      </c>
      <c r="H1223" s="55">
        <f>Orders!H1223</f>
        <v/>
      </c>
      <c r="I1223" s="55">
        <f>Orders!I1223</f>
        <v/>
      </c>
      <c r="J1223" s="55">
        <f>Orders!J1223</f>
        <v/>
      </c>
      <c r="K1223" s="55">
        <f>Orders!K1223</f>
        <v/>
      </c>
      <c r="L1223" s="55">
        <f>VLOOKUP(D1223,Products!$A$2:$F$61,3,FALSE())</f>
        <v/>
      </c>
      <c r="M1223" s="55">
        <f>VLOOKUP(C1223,Customers!$A$2:$F$301,5,FALSE())</f>
        <v/>
      </c>
      <c r="N1223" s="55">
        <f>VLOOKUP(E1223,Sales_Reps!$A$2:$E$31,3,FALSE())</f>
        <v/>
      </c>
      <c r="O1223" s="55">
        <f>VLOOKUP(D1223,Products!$A$2:$F$61,4,FALSE())</f>
        <v/>
      </c>
      <c r="P1223" s="55">
        <f>VLOOKUP(C1223,Customers!$A$2:$F$301,3,FALSE())</f>
        <v/>
      </c>
      <c r="Q1223" s="55">
        <f>UPPER(TRIM(K1223))</f>
        <v/>
      </c>
      <c r="R1223" s="55">
        <f>(G1223-O1223)/G1223</f>
        <v/>
      </c>
      <c r="S1223" s="55">
        <f>VLOOKUP(D1223,Products!$A$2:$F$61,6,FALSE())</f>
        <v/>
      </c>
    </row>
    <row r="1224" ht="15" customHeight="1" s="56">
      <c r="A1224" s="55">
        <f>Orders!A1224</f>
        <v/>
      </c>
      <c r="B1224" s="103">
        <f>Orders!B1224</f>
        <v/>
      </c>
      <c r="C1224" s="55">
        <f>Orders!C1224</f>
        <v/>
      </c>
      <c r="D1224" s="55">
        <f>Orders!D1224</f>
        <v/>
      </c>
      <c r="E1224" s="55">
        <f>Orders!E1224</f>
        <v/>
      </c>
      <c r="F1224" s="55">
        <f>Orders!F1224</f>
        <v/>
      </c>
      <c r="G1224" s="55">
        <f>Orders!G1224</f>
        <v/>
      </c>
      <c r="H1224" s="55">
        <f>Orders!H1224</f>
        <v/>
      </c>
      <c r="I1224" s="55">
        <f>Orders!I1224</f>
        <v/>
      </c>
      <c r="J1224" s="55">
        <f>Orders!J1224</f>
        <v/>
      </c>
      <c r="K1224" s="55">
        <f>Orders!K1224</f>
        <v/>
      </c>
      <c r="L1224" s="55">
        <f>VLOOKUP(D1224,Products!$A$2:$F$61,3,FALSE())</f>
        <v/>
      </c>
      <c r="M1224" s="55">
        <f>VLOOKUP(C1224,Customers!$A$2:$F$301,5,FALSE())</f>
        <v/>
      </c>
      <c r="N1224" s="55">
        <f>VLOOKUP(E1224,Sales_Reps!$A$2:$E$31,3,FALSE())</f>
        <v/>
      </c>
      <c r="O1224" s="55">
        <f>VLOOKUP(D1224,Products!$A$2:$F$61,4,FALSE())</f>
        <v/>
      </c>
      <c r="P1224" s="55">
        <f>VLOOKUP(C1224,Customers!$A$2:$F$301,3,FALSE())</f>
        <v/>
      </c>
      <c r="Q1224" s="55">
        <f>UPPER(TRIM(K1224))</f>
        <v/>
      </c>
      <c r="R1224" s="55">
        <f>(G1224-O1224)/G1224</f>
        <v/>
      </c>
      <c r="S1224" s="55">
        <f>VLOOKUP(D1224,Products!$A$2:$F$61,6,FALSE())</f>
        <v/>
      </c>
    </row>
    <row r="1225" ht="15" customHeight="1" s="56">
      <c r="A1225" s="55">
        <f>Orders!A1225</f>
        <v/>
      </c>
      <c r="B1225" s="103">
        <f>Orders!B1225</f>
        <v/>
      </c>
      <c r="C1225" s="55">
        <f>Orders!C1225</f>
        <v/>
      </c>
      <c r="D1225" s="55">
        <f>Orders!D1225</f>
        <v/>
      </c>
      <c r="E1225" s="55">
        <f>Orders!E1225</f>
        <v/>
      </c>
      <c r="F1225" s="55">
        <f>Orders!F1225</f>
        <v/>
      </c>
      <c r="G1225" s="55">
        <f>Orders!G1225</f>
        <v/>
      </c>
      <c r="H1225" s="55">
        <f>Orders!H1225</f>
        <v/>
      </c>
      <c r="I1225" s="55">
        <f>Orders!I1225</f>
        <v/>
      </c>
      <c r="J1225" s="55">
        <f>Orders!J1225</f>
        <v/>
      </c>
      <c r="K1225" s="55">
        <f>Orders!K1225</f>
        <v/>
      </c>
      <c r="L1225" s="55">
        <f>VLOOKUP(D1225,Products!$A$2:$F$61,3,FALSE())</f>
        <v/>
      </c>
      <c r="M1225" s="55">
        <f>VLOOKUP(C1225,Customers!$A$2:$F$301,5,FALSE())</f>
        <v/>
      </c>
      <c r="N1225" s="55">
        <f>VLOOKUP(E1225,Sales_Reps!$A$2:$E$31,3,FALSE())</f>
        <v/>
      </c>
      <c r="O1225" s="55">
        <f>VLOOKUP(D1225,Products!$A$2:$F$61,4,FALSE())</f>
        <v/>
      </c>
      <c r="P1225" s="55">
        <f>VLOOKUP(C1225,Customers!$A$2:$F$301,3,FALSE())</f>
        <v/>
      </c>
      <c r="Q1225" s="55">
        <f>UPPER(TRIM(K1225))</f>
        <v/>
      </c>
      <c r="R1225" s="55">
        <f>(G1225-O1225)/G1225</f>
        <v/>
      </c>
      <c r="S1225" s="55">
        <f>VLOOKUP(D1225,Products!$A$2:$F$61,6,FALSE())</f>
        <v/>
      </c>
    </row>
    <row r="1226" ht="15" customHeight="1" s="56">
      <c r="A1226" s="55">
        <f>Orders!A1226</f>
        <v/>
      </c>
      <c r="B1226" s="103">
        <f>Orders!B1226</f>
        <v/>
      </c>
      <c r="C1226" s="55">
        <f>Orders!C1226</f>
        <v/>
      </c>
      <c r="D1226" s="55">
        <f>Orders!D1226</f>
        <v/>
      </c>
      <c r="E1226" s="55">
        <f>Orders!E1226</f>
        <v/>
      </c>
      <c r="F1226" s="55">
        <f>Orders!F1226</f>
        <v/>
      </c>
      <c r="G1226" s="55">
        <f>Orders!G1226</f>
        <v/>
      </c>
      <c r="H1226" s="55">
        <f>Orders!H1226</f>
        <v/>
      </c>
      <c r="I1226" s="55">
        <f>Orders!I1226</f>
        <v/>
      </c>
      <c r="J1226" s="55">
        <f>Orders!J1226</f>
        <v/>
      </c>
      <c r="K1226" s="55">
        <f>Orders!K1226</f>
        <v/>
      </c>
      <c r="L1226" s="55">
        <f>VLOOKUP(D1226,Products!$A$2:$F$61,3,FALSE())</f>
        <v/>
      </c>
      <c r="M1226" s="55">
        <f>VLOOKUP(C1226,Customers!$A$2:$F$301,5,FALSE())</f>
        <v/>
      </c>
      <c r="N1226" s="55">
        <f>VLOOKUP(E1226,Sales_Reps!$A$2:$E$31,3,FALSE())</f>
        <v/>
      </c>
      <c r="O1226" s="55">
        <f>VLOOKUP(D1226,Products!$A$2:$F$61,4,FALSE())</f>
        <v/>
      </c>
      <c r="P1226" s="55">
        <f>VLOOKUP(C1226,Customers!$A$2:$F$301,3,FALSE())</f>
        <v/>
      </c>
      <c r="Q1226" s="55">
        <f>UPPER(TRIM(K1226))</f>
        <v/>
      </c>
      <c r="R1226" s="55">
        <f>(G1226-O1226)/G1226</f>
        <v/>
      </c>
      <c r="S1226" s="55">
        <f>VLOOKUP(D1226,Products!$A$2:$F$61,6,FALSE())</f>
        <v/>
      </c>
    </row>
    <row r="1227" ht="15" customHeight="1" s="56">
      <c r="A1227" s="55">
        <f>Orders!A1227</f>
        <v/>
      </c>
      <c r="B1227" s="103">
        <f>Orders!B1227</f>
        <v/>
      </c>
      <c r="C1227" s="55">
        <f>Orders!C1227</f>
        <v/>
      </c>
      <c r="D1227" s="55">
        <f>Orders!D1227</f>
        <v/>
      </c>
      <c r="E1227" s="55">
        <f>Orders!E1227</f>
        <v/>
      </c>
      <c r="F1227" s="55">
        <f>Orders!F1227</f>
        <v/>
      </c>
      <c r="G1227" s="55">
        <f>Orders!G1227</f>
        <v/>
      </c>
      <c r="H1227" s="55">
        <f>Orders!H1227</f>
        <v/>
      </c>
      <c r="I1227" s="55">
        <f>Orders!I1227</f>
        <v/>
      </c>
      <c r="J1227" s="55">
        <f>Orders!J1227</f>
        <v/>
      </c>
      <c r="K1227" s="55">
        <f>Orders!K1227</f>
        <v/>
      </c>
      <c r="L1227" s="55">
        <f>VLOOKUP(D1227,Products!$A$2:$F$61,3,FALSE())</f>
        <v/>
      </c>
      <c r="M1227" s="55">
        <f>VLOOKUP(C1227,Customers!$A$2:$F$301,5,FALSE())</f>
        <v/>
      </c>
      <c r="N1227" s="55">
        <f>VLOOKUP(E1227,Sales_Reps!$A$2:$E$31,3,FALSE())</f>
        <v/>
      </c>
      <c r="O1227" s="55">
        <f>VLOOKUP(D1227,Products!$A$2:$F$61,4,FALSE())</f>
        <v/>
      </c>
      <c r="P1227" s="55">
        <f>VLOOKUP(C1227,Customers!$A$2:$F$301,3,FALSE())</f>
        <v/>
      </c>
      <c r="Q1227" s="55">
        <f>UPPER(TRIM(K1227))</f>
        <v/>
      </c>
      <c r="R1227" s="55">
        <f>(G1227-O1227)/G1227</f>
        <v/>
      </c>
      <c r="S1227" s="55">
        <f>VLOOKUP(D1227,Products!$A$2:$F$61,6,FALSE())</f>
        <v/>
      </c>
    </row>
    <row r="1228" ht="15" customHeight="1" s="56">
      <c r="A1228" s="55">
        <f>Orders!A1228</f>
        <v/>
      </c>
      <c r="B1228" s="103">
        <f>Orders!B1228</f>
        <v/>
      </c>
      <c r="C1228" s="55">
        <f>Orders!C1228</f>
        <v/>
      </c>
      <c r="D1228" s="55">
        <f>Orders!D1228</f>
        <v/>
      </c>
      <c r="E1228" s="55">
        <f>Orders!E1228</f>
        <v/>
      </c>
      <c r="F1228" s="55">
        <f>Orders!F1228</f>
        <v/>
      </c>
      <c r="G1228" s="55">
        <f>Orders!G1228</f>
        <v/>
      </c>
      <c r="H1228" s="55">
        <f>Orders!H1228</f>
        <v/>
      </c>
      <c r="I1228" s="55">
        <f>Orders!I1228</f>
        <v/>
      </c>
      <c r="J1228" s="55">
        <f>Orders!J1228</f>
        <v/>
      </c>
      <c r="K1228" s="55">
        <f>Orders!K1228</f>
        <v/>
      </c>
      <c r="L1228" s="55">
        <f>VLOOKUP(D1228,Products!$A$2:$F$61,3,FALSE())</f>
        <v/>
      </c>
      <c r="M1228" s="55">
        <f>VLOOKUP(C1228,Customers!$A$2:$F$301,5,FALSE())</f>
        <v/>
      </c>
      <c r="N1228" s="55">
        <f>VLOOKUP(E1228,Sales_Reps!$A$2:$E$31,3,FALSE())</f>
        <v/>
      </c>
      <c r="O1228" s="55">
        <f>VLOOKUP(D1228,Products!$A$2:$F$61,4,FALSE())</f>
        <v/>
      </c>
      <c r="P1228" s="55">
        <f>VLOOKUP(C1228,Customers!$A$2:$F$301,3,FALSE())</f>
        <v/>
      </c>
      <c r="Q1228" s="55">
        <f>UPPER(TRIM(K1228))</f>
        <v/>
      </c>
      <c r="R1228" s="55">
        <f>(G1228-O1228)/G1228</f>
        <v/>
      </c>
      <c r="S1228" s="55">
        <f>VLOOKUP(D1228,Products!$A$2:$F$61,6,FALSE())</f>
        <v/>
      </c>
    </row>
    <row r="1229" ht="15" customHeight="1" s="56">
      <c r="A1229" s="55">
        <f>Orders!A1229</f>
        <v/>
      </c>
      <c r="B1229" s="103">
        <f>Orders!B1229</f>
        <v/>
      </c>
      <c r="C1229" s="55">
        <f>Orders!C1229</f>
        <v/>
      </c>
      <c r="D1229" s="55">
        <f>Orders!D1229</f>
        <v/>
      </c>
      <c r="E1229" s="55">
        <f>Orders!E1229</f>
        <v/>
      </c>
      <c r="F1229" s="55">
        <f>Orders!F1229</f>
        <v/>
      </c>
      <c r="G1229" s="55">
        <f>Orders!G1229</f>
        <v/>
      </c>
      <c r="H1229" s="55">
        <f>Orders!H1229</f>
        <v/>
      </c>
      <c r="I1229" s="55">
        <f>Orders!I1229</f>
        <v/>
      </c>
      <c r="J1229" s="55">
        <f>Orders!J1229</f>
        <v/>
      </c>
      <c r="K1229" s="55">
        <f>Orders!K1229</f>
        <v/>
      </c>
      <c r="L1229" s="55">
        <f>VLOOKUP(D1229,Products!$A$2:$F$61,3,FALSE())</f>
        <v/>
      </c>
      <c r="M1229" s="55">
        <f>VLOOKUP(C1229,Customers!$A$2:$F$301,5,FALSE())</f>
        <v/>
      </c>
      <c r="N1229" s="55">
        <f>VLOOKUP(E1229,Sales_Reps!$A$2:$E$31,3,FALSE())</f>
        <v/>
      </c>
      <c r="O1229" s="55">
        <f>VLOOKUP(D1229,Products!$A$2:$F$61,4,FALSE())</f>
        <v/>
      </c>
      <c r="P1229" s="55">
        <f>VLOOKUP(C1229,Customers!$A$2:$F$301,3,FALSE())</f>
        <v/>
      </c>
      <c r="Q1229" s="55">
        <f>UPPER(TRIM(K1229))</f>
        <v/>
      </c>
      <c r="R1229" s="55">
        <f>(G1229-O1229)/G1229</f>
        <v/>
      </c>
      <c r="S1229" s="55">
        <f>VLOOKUP(D1229,Products!$A$2:$F$61,6,FALSE())</f>
        <v/>
      </c>
    </row>
    <row r="1230" ht="15" customHeight="1" s="56">
      <c r="A1230" s="55">
        <f>Orders!A1230</f>
        <v/>
      </c>
      <c r="B1230" s="103">
        <f>Orders!B1230</f>
        <v/>
      </c>
      <c r="C1230" s="55">
        <f>Orders!C1230</f>
        <v/>
      </c>
      <c r="D1230" s="55">
        <f>Orders!D1230</f>
        <v/>
      </c>
      <c r="E1230" s="55">
        <f>Orders!E1230</f>
        <v/>
      </c>
      <c r="F1230" s="55">
        <f>Orders!F1230</f>
        <v/>
      </c>
      <c r="G1230" s="55">
        <f>Orders!G1230</f>
        <v/>
      </c>
      <c r="H1230" s="55">
        <f>Orders!H1230</f>
        <v/>
      </c>
      <c r="I1230" s="55">
        <f>Orders!I1230</f>
        <v/>
      </c>
      <c r="J1230" s="55">
        <f>Orders!J1230</f>
        <v/>
      </c>
      <c r="K1230" s="55">
        <f>Orders!K1230</f>
        <v/>
      </c>
      <c r="L1230" s="55">
        <f>VLOOKUP(D1230,Products!$A$2:$F$61,3,FALSE())</f>
        <v/>
      </c>
      <c r="M1230" s="55">
        <f>VLOOKUP(C1230,Customers!$A$2:$F$301,5,FALSE())</f>
        <v/>
      </c>
      <c r="N1230" s="55">
        <f>VLOOKUP(E1230,Sales_Reps!$A$2:$E$31,3,FALSE())</f>
        <v/>
      </c>
      <c r="O1230" s="55">
        <f>VLOOKUP(D1230,Products!$A$2:$F$61,4,FALSE())</f>
        <v/>
      </c>
      <c r="P1230" s="55">
        <f>VLOOKUP(C1230,Customers!$A$2:$F$301,3,FALSE())</f>
        <v/>
      </c>
      <c r="Q1230" s="55">
        <f>UPPER(TRIM(K1230))</f>
        <v/>
      </c>
      <c r="R1230" s="55">
        <f>(G1230-O1230)/G1230</f>
        <v/>
      </c>
      <c r="S1230" s="55">
        <f>VLOOKUP(D1230,Products!$A$2:$F$61,6,FALSE())</f>
        <v/>
      </c>
    </row>
    <row r="1231" ht="15" customHeight="1" s="56">
      <c r="A1231" s="55">
        <f>Orders!A1231</f>
        <v/>
      </c>
      <c r="B1231" s="103">
        <f>Orders!B1231</f>
        <v/>
      </c>
      <c r="C1231" s="55">
        <f>Orders!C1231</f>
        <v/>
      </c>
      <c r="D1231" s="55">
        <f>Orders!D1231</f>
        <v/>
      </c>
      <c r="E1231" s="55">
        <f>Orders!E1231</f>
        <v/>
      </c>
      <c r="F1231" s="55">
        <f>Orders!F1231</f>
        <v/>
      </c>
      <c r="G1231" s="55">
        <f>Orders!G1231</f>
        <v/>
      </c>
      <c r="H1231" s="55">
        <f>Orders!H1231</f>
        <v/>
      </c>
      <c r="I1231" s="55">
        <f>Orders!I1231</f>
        <v/>
      </c>
      <c r="J1231" s="55">
        <f>Orders!J1231</f>
        <v/>
      </c>
      <c r="K1231" s="55">
        <f>Orders!K1231</f>
        <v/>
      </c>
      <c r="L1231" s="55">
        <f>VLOOKUP(D1231,Products!$A$2:$F$61,3,FALSE())</f>
        <v/>
      </c>
      <c r="M1231" s="55">
        <f>VLOOKUP(C1231,Customers!$A$2:$F$301,5,FALSE())</f>
        <v/>
      </c>
      <c r="N1231" s="55">
        <f>VLOOKUP(E1231,Sales_Reps!$A$2:$E$31,3,FALSE())</f>
        <v/>
      </c>
      <c r="O1231" s="55">
        <f>VLOOKUP(D1231,Products!$A$2:$F$61,4,FALSE())</f>
        <v/>
      </c>
      <c r="P1231" s="55">
        <f>VLOOKUP(C1231,Customers!$A$2:$F$301,3,FALSE())</f>
        <v/>
      </c>
      <c r="Q1231" s="55">
        <f>UPPER(TRIM(K1231))</f>
        <v/>
      </c>
      <c r="R1231" s="55">
        <f>(G1231-O1231)/G1231</f>
        <v/>
      </c>
      <c r="S1231" s="55">
        <f>VLOOKUP(D1231,Products!$A$2:$F$61,6,FALSE())</f>
        <v/>
      </c>
    </row>
    <row r="1232" ht="15" customHeight="1" s="56">
      <c r="A1232" s="55">
        <f>Orders!A1232</f>
        <v/>
      </c>
      <c r="B1232" s="103">
        <f>Orders!B1232</f>
        <v/>
      </c>
      <c r="C1232" s="55">
        <f>Orders!C1232</f>
        <v/>
      </c>
      <c r="D1232" s="55">
        <f>Orders!D1232</f>
        <v/>
      </c>
      <c r="E1232" s="55">
        <f>Orders!E1232</f>
        <v/>
      </c>
      <c r="F1232" s="55">
        <f>Orders!F1232</f>
        <v/>
      </c>
      <c r="G1232" s="55">
        <f>Orders!G1232</f>
        <v/>
      </c>
      <c r="H1232" s="55">
        <f>Orders!H1232</f>
        <v/>
      </c>
      <c r="I1232" s="55">
        <f>Orders!I1232</f>
        <v/>
      </c>
      <c r="J1232" s="55">
        <f>Orders!J1232</f>
        <v/>
      </c>
      <c r="K1232" s="55">
        <f>Orders!K1232</f>
        <v/>
      </c>
      <c r="L1232" s="55">
        <f>VLOOKUP(D1232,Products!$A$2:$F$61,3,FALSE())</f>
        <v/>
      </c>
      <c r="M1232" s="55">
        <f>VLOOKUP(C1232,Customers!$A$2:$F$301,5,FALSE())</f>
        <v/>
      </c>
      <c r="N1232" s="55">
        <f>VLOOKUP(E1232,Sales_Reps!$A$2:$E$31,3,FALSE())</f>
        <v/>
      </c>
      <c r="O1232" s="55">
        <f>VLOOKUP(D1232,Products!$A$2:$F$61,4,FALSE())</f>
        <v/>
      </c>
      <c r="P1232" s="55">
        <f>VLOOKUP(C1232,Customers!$A$2:$F$301,3,FALSE())</f>
        <v/>
      </c>
      <c r="Q1232" s="55">
        <f>UPPER(TRIM(K1232))</f>
        <v/>
      </c>
      <c r="R1232" s="55">
        <f>(G1232-O1232)/G1232</f>
        <v/>
      </c>
      <c r="S1232" s="55">
        <f>VLOOKUP(D1232,Products!$A$2:$F$61,6,FALSE())</f>
        <v/>
      </c>
    </row>
    <row r="1233" ht="15" customHeight="1" s="56">
      <c r="A1233" s="55">
        <f>Orders!A1233</f>
        <v/>
      </c>
      <c r="B1233" s="103">
        <f>Orders!B1233</f>
        <v/>
      </c>
      <c r="C1233" s="55">
        <f>Orders!C1233</f>
        <v/>
      </c>
      <c r="D1233" s="55">
        <f>Orders!D1233</f>
        <v/>
      </c>
      <c r="E1233" s="55">
        <f>Orders!E1233</f>
        <v/>
      </c>
      <c r="F1233" s="55">
        <f>Orders!F1233</f>
        <v/>
      </c>
      <c r="G1233" s="55">
        <f>Orders!G1233</f>
        <v/>
      </c>
      <c r="H1233" s="55">
        <f>Orders!H1233</f>
        <v/>
      </c>
      <c r="I1233" s="55">
        <f>Orders!I1233</f>
        <v/>
      </c>
      <c r="J1233" s="55">
        <f>Orders!J1233</f>
        <v/>
      </c>
      <c r="K1233" s="55">
        <f>Orders!K1233</f>
        <v/>
      </c>
      <c r="L1233" s="55">
        <f>VLOOKUP(D1233,Products!$A$2:$F$61,3,FALSE())</f>
        <v/>
      </c>
      <c r="M1233" s="55">
        <f>VLOOKUP(C1233,Customers!$A$2:$F$301,5,FALSE())</f>
        <v/>
      </c>
      <c r="N1233" s="55">
        <f>VLOOKUP(E1233,Sales_Reps!$A$2:$E$31,3,FALSE())</f>
        <v/>
      </c>
      <c r="O1233" s="55">
        <f>VLOOKUP(D1233,Products!$A$2:$F$61,4,FALSE())</f>
        <v/>
      </c>
      <c r="P1233" s="55">
        <f>VLOOKUP(C1233,Customers!$A$2:$F$301,3,FALSE())</f>
        <v/>
      </c>
      <c r="Q1233" s="55">
        <f>UPPER(TRIM(K1233))</f>
        <v/>
      </c>
      <c r="R1233" s="55">
        <f>(G1233-O1233)/G1233</f>
        <v/>
      </c>
      <c r="S1233" s="55">
        <f>VLOOKUP(D1233,Products!$A$2:$F$61,6,FALSE())</f>
        <v/>
      </c>
    </row>
    <row r="1234" ht="15" customHeight="1" s="56">
      <c r="A1234" s="55">
        <f>Orders!A1234</f>
        <v/>
      </c>
      <c r="B1234" s="103">
        <f>Orders!B1234</f>
        <v/>
      </c>
      <c r="C1234" s="55">
        <f>Orders!C1234</f>
        <v/>
      </c>
      <c r="D1234" s="55">
        <f>Orders!D1234</f>
        <v/>
      </c>
      <c r="E1234" s="55">
        <f>Orders!E1234</f>
        <v/>
      </c>
      <c r="F1234" s="55">
        <f>Orders!F1234</f>
        <v/>
      </c>
      <c r="G1234" s="55">
        <f>Orders!G1234</f>
        <v/>
      </c>
      <c r="H1234" s="55">
        <f>Orders!H1234</f>
        <v/>
      </c>
      <c r="I1234" s="55">
        <f>Orders!I1234</f>
        <v/>
      </c>
      <c r="J1234" s="55">
        <f>Orders!J1234</f>
        <v/>
      </c>
      <c r="K1234" s="55">
        <f>Orders!K1234</f>
        <v/>
      </c>
      <c r="L1234" s="55">
        <f>VLOOKUP(D1234,Products!$A$2:$F$61,3,FALSE())</f>
        <v/>
      </c>
      <c r="M1234" s="55">
        <f>VLOOKUP(C1234,Customers!$A$2:$F$301,5,FALSE())</f>
        <v/>
      </c>
      <c r="N1234" s="55">
        <f>VLOOKUP(E1234,Sales_Reps!$A$2:$E$31,3,FALSE())</f>
        <v/>
      </c>
      <c r="O1234" s="55">
        <f>VLOOKUP(D1234,Products!$A$2:$F$61,4,FALSE())</f>
        <v/>
      </c>
      <c r="P1234" s="55">
        <f>VLOOKUP(C1234,Customers!$A$2:$F$301,3,FALSE())</f>
        <v/>
      </c>
      <c r="Q1234" s="55">
        <f>UPPER(TRIM(K1234))</f>
        <v/>
      </c>
      <c r="R1234" s="55">
        <f>(G1234-O1234)/G1234</f>
        <v/>
      </c>
      <c r="S1234" s="55">
        <f>VLOOKUP(D1234,Products!$A$2:$F$61,6,FALSE())</f>
        <v/>
      </c>
    </row>
    <row r="1235" ht="15" customHeight="1" s="56">
      <c r="A1235" s="55">
        <f>Orders!A1235</f>
        <v/>
      </c>
      <c r="B1235" s="103">
        <f>Orders!B1235</f>
        <v/>
      </c>
      <c r="C1235" s="55">
        <f>Orders!C1235</f>
        <v/>
      </c>
      <c r="D1235" s="55">
        <f>Orders!D1235</f>
        <v/>
      </c>
      <c r="E1235" s="55">
        <f>Orders!E1235</f>
        <v/>
      </c>
      <c r="F1235" s="55">
        <f>Orders!F1235</f>
        <v/>
      </c>
      <c r="G1235" s="55">
        <f>Orders!G1235</f>
        <v/>
      </c>
      <c r="H1235" s="55">
        <f>Orders!H1235</f>
        <v/>
      </c>
      <c r="I1235" s="55">
        <f>Orders!I1235</f>
        <v/>
      </c>
      <c r="J1235" s="55">
        <f>Orders!J1235</f>
        <v/>
      </c>
      <c r="K1235" s="55">
        <f>Orders!K1235</f>
        <v/>
      </c>
      <c r="L1235" s="55">
        <f>VLOOKUP(D1235,Products!$A$2:$F$61,3,FALSE())</f>
        <v/>
      </c>
      <c r="M1235" s="55">
        <f>VLOOKUP(C1235,Customers!$A$2:$F$301,5,FALSE())</f>
        <v/>
      </c>
      <c r="N1235" s="55">
        <f>VLOOKUP(E1235,Sales_Reps!$A$2:$E$31,3,FALSE())</f>
        <v/>
      </c>
      <c r="O1235" s="55">
        <f>VLOOKUP(D1235,Products!$A$2:$F$61,4,FALSE())</f>
        <v/>
      </c>
      <c r="P1235" s="55">
        <f>VLOOKUP(C1235,Customers!$A$2:$F$301,3,FALSE())</f>
        <v/>
      </c>
      <c r="Q1235" s="55">
        <f>UPPER(TRIM(K1235))</f>
        <v/>
      </c>
      <c r="R1235" s="55">
        <f>(G1235-O1235)/G1235</f>
        <v/>
      </c>
      <c r="S1235" s="55">
        <f>VLOOKUP(D1235,Products!$A$2:$F$61,6,FALSE())</f>
        <v/>
      </c>
    </row>
    <row r="1236" ht="15" customHeight="1" s="56">
      <c r="A1236" s="55">
        <f>Orders!A1236</f>
        <v/>
      </c>
      <c r="B1236" s="103">
        <f>Orders!B1236</f>
        <v/>
      </c>
      <c r="C1236" s="55">
        <f>Orders!C1236</f>
        <v/>
      </c>
      <c r="D1236" s="55">
        <f>Orders!D1236</f>
        <v/>
      </c>
      <c r="E1236" s="55">
        <f>Orders!E1236</f>
        <v/>
      </c>
      <c r="F1236" s="55">
        <f>Orders!F1236</f>
        <v/>
      </c>
      <c r="G1236" s="55">
        <f>Orders!G1236</f>
        <v/>
      </c>
      <c r="H1236" s="55">
        <f>Orders!H1236</f>
        <v/>
      </c>
      <c r="I1236" s="55">
        <f>Orders!I1236</f>
        <v/>
      </c>
      <c r="J1236" s="55">
        <f>Orders!J1236</f>
        <v/>
      </c>
      <c r="K1236" s="55">
        <f>Orders!K1236</f>
        <v/>
      </c>
      <c r="L1236" s="55">
        <f>VLOOKUP(D1236,Products!$A$2:$F$61,3,FALSE())</f>
        <v/>
      </c>
      <c r="M1236" s="55">
        <f>VLOOKUP(C1236,Customers!$A$2:$F$301,5,FALSE())</f>
        <v/>
      </c>
      <c r="N1236" s="55">
        <f>VLOOKUP(E1236,Sales_Reps!$A$2:$E$31,3,FALSE())</f>
        <v/>
      </c>
      <c r="O1236" s="55">
        <f>VLOOKUP(D1236,Products!$A$2:$F$61,4,FALSE())</f>
        <v/>
      </c>
      <c r="P1236" s="55">
        <f>VLOOKUP(C1236,Customers!$A$2:$F$301,3,FALSE())</f>
        <v/>
      </c>
      <c r="Q1236" s="55">
        <f>UPPER(TRIM(K1236))</f>
        <v/>
      </c>
      <c r="R1236" s="55">
        <f>(G1236-O1236)/G1236</f>
        <v/>
      </c>
      <c r="S1236" s="55">
        <f>VLOOKUP(D1236,Products!$A$2:$F$61,6,FALSE())</f>
        <v/>
      </c>
    </row>
    <row r="1237" ht="15" customHeight="1" s="56">
      <c r="A1237" s="55">
        <f>Orders!A1237</f>
        <v/>
      </c>
      <c r="B1237" s="103">
        <f>Orders!B1237</f>
        <v/>
      </c>
      <c r="C1237" s="55">
        <f>Orders!C1237</f>
        <v/>
      </c>
      <c r="D1237" s="55">
        <f>Orders!D1237</f>
        <v/>
      </c>
      <c r="E1237" s="55">
        <f>Orders!E1237</f>
        <v/>
      </c>
      <c r="F1237" s="55">
        <f>Orders!F1237</f>
        <v/>
      </c>
      <c r="G1237" s="55">
        <f>Orders!G1237</f>
        <v/>
      </c>
      <c r="H1237" s="55">
        <f>Orders!H1237</f>
        <v/>
      </c>
      <c r="I1237" s="55">
        <f>Orders!I1237</f>
        <v/>
      </c>
      <c r="J1237" s="55">
        <f>Orders!J1237</f>
        <v/>
      </c>
      <c r="K1237" s="55">
        <f>Orders!K1237</f>
        <v/>
      </c>
      <c r="L1237" s="55">
        <f>VLOOKUP(D1237,Products!$A$2:$F$61,3,FALSE())</f>
        <v/>
      </c>
      <c r="M1237" s="55">
        <f>VLOOKUP(C1237,Customers!$A$2:$F$301,5,FALSE())</f>
        <v/>
      </c>
      <c r="N1237" s="55">
        <f>VLOOKUP(E1237,Sales_Reps!$A$2:$E$31,3,FALSE())</f>
        <v/>
      </c>
      <c r="O1237" s="55">
        <f>VLOOKUP(D1237,Products!$A$2:$F$61,4,FALSE())</f>
        <v/>
      </c>
      <c r="P1237" s="55">
        <f>VLOOKUP(C1237,Customers!$A$2:$F$301,3,FALSE())</f>
        <v/>
      </c>
      <c r="Q1237" s="55">
        <f>UPPER(TRIM(K1237))</f>
        <v/>
      </c>
      <c r="R1237" s="55">
        <f>(G1237-O1237)/G1237</f>
        <v/>
      </c>
      <c r="S1237" s="55">
        <f>VLOOKUP(D1237,Products!$A$2:$F$61,6,FALSE())</f>
        <v/>
      </c>
    </row>
    <row r="1238" ht="15" customHeight="1" s="56">
      <c r="A1238" s="55">
        <f>Orders!A1238</f>
        <v/>
      </c>
      <c r="B1238" s="103">
        <f>Orders!B1238</f>
        <v/>
      </c>
      <c r="C1238" s="55">
        <f>Orders!C1238</f>
        <v/>
      </c>
      <c r="D1238" s="55">
        <f>Orders!D1238</f>
        <v/>
      </c>
      <c r="E1238" s="55">
        <f>Orders!E1238</f>
        <v/>
      </c>
      <c r="F1238" s="55">
        <f>Orders!F1238</f>
        <v/>
      </c>
      <c r="G1238" s="55">
        <f>Orders!G1238</f>
        <v/>
      </c>
      <c r="H1238" s="55">
        <f>Orders!H1238</f>
        <v/>
      </c>
      <c r="I1238" s="55">
        <f>Orders!I1238</f>
        <v/>
      </c>
      <c r="J1238" s="55">
        <f>Orders!J1238</f>
        <v/>
      </c>
      <c r="K1238" s="55">
        <f>Orders!K1238</f>
        <v/>
      </c>
      <c r="L1238" s="55">
        <f>VLOOKUP(D1238,Products!$A$2:$F$61,3,FALSE())</f>
        <v/>
      </c>
      <c r="M1238" s="55">
        <f>VLOOKUP(C1238,Customers!$A$2:$F$301,5,FALSE())</f>
        <v/>
      </c>
      <c r="N1238" s="55">
        <f>VLOOKUP(E1238,Sales_Reps!$A$2:$E$31,3,FALSE())</f>
        <v/>
      </c>
      <c r="O1238" s="55">
        <f>VLOOKUP(D1238,Products!$A$2:$F$61,4,FALSE())</f>
        <v/>
      </c>
      <c r="P1238" s="55">
        <f>VLOOKUP(C1238,Customers!$A$2:$F$301,3,FALSE())</f>
        <v/>
      </c>
      <c r="Q1238" s="55">
        <f>UPPER(TRIM(K1238))</f>
        <v/>
      </c>
      <c r="R1238" s="55">
        <f>(G1238-O1238)/G1238</f>
        <v/>
      </c>
      <c r="S1238" s="55">
        <f>VLOOKUP(D1238,Products!$A$2:$F$61,6,FALSE())</f>
        <v/>
      </c>
    </row>
    <row r="1239" ht="15" customHeight="1" s="56">
      <c r="A1239" s="55">
        <f>Orders!A1239</f>
        <v/>
      </c>
      <c r="B1239" s="103">
        <f>Orders!B1239</f>
        <v/>
      </c>
      <c r="C1239" s="55">
        <f>Orders!C1239</f>
        <v/>
      </c>
      <c r="D1239" s="55">
        <f>Orders!D1239</f>
        <v/>
      </c>
      <c r="E1239" s="55">
        <f>Orders!E1239</f>
        <v/>
      </c>
      <c r="F1239" s="55">
        <f>Orders!F1239</f>
        <v/>
      </c>
      <c r="G1239" s="55">
        <f>Orders!G1239</f>
        <v/>
      </c>
      <c r="H1239" s="55">
        <f>Orders!H1239</f>
        <v/>
      </c>
      <c r="I1239" s="55">
        <f>Orders!I1239</f>
        <v/>
      </c>
      <c r="J1239" s="55">
        <f>Orders!J1239</f>
        <v/>
      </c>
      <c r="K1239" s="55">
        <f>Orders!K1239</f>
        <v/>
      </c>
      <c r="L1239" s="55">
        <f>VLOOKUP(D1239,Products!$A$2:$F$61,3,FALSE())</f>
        <v/>
      </c>
      <c r="M1239" s="55">
        <f>VLOOKUP(C1239,Customers!$A$2:$F$301,5,FALSE())</f>
        <v/>
      </c>
      <c r="N1239" s="55">
        <f>VLOOKUP(E1239,Sales_Reps!$A$2:$E$31,3,FALSE())</f>
        <v/>
      </c>
      <c r="O1239" s="55">
        <f>VLOOKUP(D1239,Products!$A$2:$F$61,4,FALSE())</f>
        <v/>
      </c>
      <c r="P1239" s="55">
        <f>VLOOKUP(C1239,Customers!$A$2:$F$301,3,FALSE())</f>
        <v/>
      </c>
      <c r="Q1239" s="55">
        <f>UPPER(TRIM(K1239))</f>
        <v/>
      </c>
      <c r="R1239" s="55">
        <f>(G1239-O1239)/G1239</f>
        <v/>
      </c>
      <c r="S1239" s="55">
        <f>VLOOKUP(D1239,Products!$A$2:$F$61,6,FALSE())</f>
        <v/>
      </c>
    </row>
    <row r="1240" ht="15" customHeight="1" s="56">
      <c r="A1240" s="55">
        <f>Orders!A1240</f>
        <v/>
      </c>
      <c r="B1240" s="103">
        <f>Orders!B1240</f>
        <v/>
      </c>
      <c r="C1240" s="55">
        <f>Orders!C1240</f>
        <v/>
      </c>
      <c r="D1240" s="55">
        <f>Orders!D1240</f>
        <v/>
      </c>
      <c r="E1240" s="55">
        <f>Orders!E1240</f>
        <v/>
      </c>
      <c r="F1240" s="55">
        <f>Orders!F1240</f>
        <v/>
      </c>
      <c r="G1240" s="55">
        <f>Orders!G1240</f>
        <v/>
      </c>
      <c r="H1240" s="55">
        <f>Orders!H1240</f>
        <v/>
      </c>
      <c r="I1240" s="55">
        <f>Orders!I1240</f>
        <v/>
      </c>
      <c r="J1240" s="55">
        <f>Orders!J1240</f>
        <v/>
      </c>
      <c r="K1240" s="55">
        <f>Orders!K1240</f>
        <v/>
      </c>
      <c r="L1240" s="55">
        <f>VLOOKUP(D1240,Products!$A$2:$F$61,3,FALSE())</f>
        <v/>
      </c>
      <c r="M1240" s="55">
        <f>VLOOKUP(C1240,Customers!$A$2:$F$301,5,FALSE())</f>
        <v/>
      </c>
      <c r="N1240" s="55">
        <f>VLOOKUP(E1240,Sales_Reps!$A$2:$E$31,3,FALSE())</f>
        <v/>
      </c>
      <c r="O1240" s="55">
        <f>VLOOKUP(D1240,Products!$A$2:$F$61,4,FALSE())</f>
        <v/>
      </c>
      <c r="P1240" s="55">
        <f>VLOOKUP(C1240,Customers!$A$2:$F$301,3,FALSE())</f>
        <v/>
      </c>
      <c r="Q1240" s="55">
        <f>UPPER(TRIM(K1240))</f>
        <v/>
      </c>
      <c r="R1240" s="55">
        <f>(G1240-O1240)/G1240</f>
        <v/>
      </c>
      <c r="S1240" s="55">
        <f>VLOOKUP(D1240,Products!$A$2:$F$61,6,FALSE())</f>
        <v/>
      </c>
    </row>
    <row r="1241" ht="15" customHeight="1" s="56">
      <c r="A1241" s="55">
        <f>Orders!A1241</f>
        <v/>
      </c>
      <c r="B1241" s="103">
        <f>Orders!B1241</f>
        <v/>
      </c>
      <c r="C1241" s="55">
        <f>Orders!C1241</f>
        <v/>
      </c>
      <c r="D1241" s="55">
        <f>Orders!D1241</f>
        <v/>
      </c>
      <c r="E1241" s="55">
        <f>Orders!E1241</f>
        <v/>
      </c>
      <c r="F1241" s="55">
        <f>Orders!F1241</f>
        <v/>
      </c>
      <c r="G1241" s="55">
        <f>Orders!G1241</f>
        <v/>
      </c>
      <c r="H1241" s="55">
        <f>Orders!H1241</f>
        <v/>
      </c>
      <c r="I1241" s="55">
        <f>Orders!I1241</f>
        <v/>
      </c>
      <c r="J1241" s="55">
        <f>Orders!J1241</f>
        <v/>
      </c>
      <c r="K1241" s="55">
        <f>Orders!K1241</f>
        <v/>
      </c>
      <c r="L1241" s="55">
        <f>VLOOKUP(D1241,Products!$A$2:$F$61,3,FALSE())</f>
        <v/>
      </c>
      <c r="M1241" s="55">
        <f>VLOOKUP(C1241,Customers!$A$2:$F$301,5,FALSE())</f>
        <v/>
      </c>
      <c r="N1241" s="55">
        <f>VLOOKUP(E1241,Sales_Reps!$A$2:$E$31,3,FALSE())</f>
        <v/>
      </c>
      <c r="O1241" s="55">
        <f>VLOOKUP(D1241,Products!$A$2:$F$61,4,FALSE())</f>
        <v/>
      </c>
      <c r="P1241" s="55">
        <f>VLOOKUP(C1241,Customers!$A$2:$F$301,3,FALSE())</f>
        <v/>
      </c>
      <c r="Q1241" s="55">
        <f>UPPER(TRIM(K1241))</f>
        <v/>
      </c>
      <c r="R1241" s="55">
        <f>(G1241-O1241)/G1241</f>
        <v/>
      </c>
      <c r="S1241" s="55">
        <f>VLOOKUP(D1241,Products!$A$2:$F$61,6,FALSE())</f>
        <v/>
      </c>
    </row>
    <row r="1242" ht="15" customHeight="1" s="56">
      <c r="A1242" s="55">
        <f>Orders!A1242</f>
        <v/>
      </c>
      <c r="B1242" s="103">
        <f>Orders!B1242</f>
        <v/>
      </c>
      <c r="C1242" s="55">
        <f>Orders!C1242</f>
        <v/>
      </c>
      <c r="D1242" s="55">
        <f>Orders!D1242</f>
        <v/>
      </c>
      <c r="E1242" s="55">
        <f>Orders!E1242</f>
        <v/>
      </c>
      <c r="F1242" s="55">
        <f>Orders!F1242</f>
        <v/>
      </c>
      <c r="G1242" s="55">
        <f>Orders!G1242</f>
        <v/>
      </c>
      <c r="H1242" s="55">
        <f>Orders!H1242</f>
        <v/>
      </c>
      <c r="I1242" s="55">
        <f>Orders!I1242</f>
        <v/>
      </c>
      <c r="J1242" s="55">
        <f>Orders!J1242</f>
        <v/>
      </c>
      <c r="K1242" s="55">
        <f>Orders!K1242</f>
        <v/>
      </c>
      <c r="L1242" s="55">
        <f>VLOOKUP(D1242,Products!$A$2:$F$61,3,FALSE())</f>
        <v/>
      </c>
      <c r="M1242" s="55">
        <f>VLOOKUP(C1242,Customers!$A$2:$F$301,5,FALSE())</f>
        <v/>
      </c>
      <c r="N1242" s="55">
        <f>VLOOKUP(E1242,Sales_Reps!$A$2:$E$31,3,FALSE())</f>
        <v/>
      </c>
      <c r="O1242" s="55">
        <f>VLOOKUP(D1242,Products!$A$2:$F$61,4,FALSE())</f>
        <v/>
      </c>
      <c r="P1242" s="55">
        <f>VLOOKUP(C1242,Customers!$A$2:$F$301,3,FALSE())</f>
        <v/>
      </c>
      <c r="Q1242" s="55">
        <f>UPPER(TRIM(K1242))</f>
        <v/>
      </c>
      <c r="R1242" s="55">
        <f>(G1242-O1242)/G1242</f>
        <v/>
      </c>
      <c r="S1242" s="55">
        <f>VLOOKUP(D1242,Products!$A$2:$F$61,6,FALSE())</f>
        <v/>
      </c>
    </row>
    <row r="1243" ht="15" customHeight="1" s="56">
      <c r="A1243" s="55">
        <f>Orders!A1243</f>
        <v/>
      </c>
      <c r="B1243" s="103">
        <f>Orders!B1243</f>
        <v/>
      </c>
      <c r="C1243" s="55">
        <f>Orders!C1243</f>
        <v/>
      </c>
      <c r="D1243" s="55">
        <f>Orders!D1243</f>
        <v/>
      </c>
      <c r="E1243" s="55">
        <f>Orders!E1243</f>
        <v/>
      </c>
      <c r="F1243" s="55">
        <f>Orders!F1243</f>
        <v/>
      </c>
      <c r="G1243" s="55">
        <f>Orders!G1243</f>
        <v/>
      </c>
      <c r="H1243" s="55">
        <f>Orders!H1243</f>
        <v/>
      </c>
      <c r="I1243" s="55">
        <f>Orders!I1243</f>
        <v/>
      </c>
      <c r="J1243" s="55">
        <f>Orders!J1243</f>
        <v/>
      </c>
      <c r="K1243" s="55">
        <f>Orders!K1243</f>
        <v/>
      </c>
      <c r="L1243" s="55">
        <f>VLOOKUP(D1243,Products!$A$2:$F$61,3,FALSE())</f>
        <v/>
      </c>
      <c r="M1243" s="55">
        <f>VLOOKUP(C1243,Customers!$A$2:$F$301,5,FALSE())</f>
        <v/>
      </c>
      <c r="N1243" s="55">
        <f>VLOOKUP(E1243,Sales_Reps!$A$2:$E$31,3,FALSE())</f>
        <v/>
      </c>
      <c r="O1243" s="55">
        <f>VLOOKUP(D1243,Products!$A$2:$F$61,4,FALSE())</f>
        <v/>
      </c>
      <c r="P1243" s="55">
        <f>VLOOKUP(C1243,Customers!$A$2:$F$301,3,FALSE())</f>
        <v/>
      </c>
      <c r="Q1243" s="55">
        <f>UPPER(TRIM(K1243))</f>
        <v/>
      </c>
      <c r="R1243" s="55">
        <f>(G1243-O1243)/G1243</f>
        <v/>
      </c>
      <c r="S1243" s="55">
        <f>VLOOKUP(D1243,Products!$A$2:$F$61,6,FALSE())</f>
        <v/>
      </c>
    </row>
    <row r="1244" ht="15" customHeight="1" s="56">
      <c r="A1244" s="55">
        <f>Orders!A1244</f>
        <v/>
      </c>
      <c r="B1244" s="103">
        <f>Orders!B1244</f>
        <v/>
      </c>
      <c r="C1244" s="55">
        <f>Orders!C1244</f>
        <v/>
      </c>
      <c r="D1244" s="55">
        <f>Orders!D1244</f>
        <v/>
      </c>
      <c r="E1244" s="55">
        <f>Orders!E1244</f>
        <v/>
      </c>
      <c r="F1244" s="55">
        <f>Orders!F1244</f>
        <v/>
      </c>
      <c r="G1244" s="55">
        <f>Orders!G1244</f>
        <v/>
      </c>
      <c r="H1244" s="55">
        <f>Orders!H1244</f>
        <v/>
      </c>
      <c r="I1244" s="55">
        <f>Orders!I1244</f>
        <v/>
      </c>
      <c r="J1244" s="55">
        <f>Orders!J1244</f>
        <v/>
      </c>
      <c r="K1244" s="55">
        <f>Orders!K1244</f>
        <v/>
      </c>
      <c r="L1244" s="55">
        <f>VLOOKUP(D1244,Products!$A$2:$F$61,3,FALSE())</f>
        <v/>
      </c>
      <c r="M1244" s="55">
        <f>VLOOKUP(C1244,Customers!$A$2:$F$301,5,FALSE())</f>
        <v/>
      </c>
      <c r="N1244" s="55">
        <f>VLOOKUP(E1244,Sales_Reps!$A$2:$E$31,3,FALSE())</f>
        <v/>
      </c>
      <c r="O1244" s="55">
        <f>VLOOKUP(D1244,Products!$A$2:$F$61,4,FALSE())</f>
        <v/>
      </c>
      <c r="P1244" s="55">
        <f>VLOOKUP(C1244,Customers!$A$2:$F$301,3,FALSE())</f>
        <v/>
      </c>
      <c r="Q1244" s="55">
        <f>UPPER(TRIM(K1244))</f>
        <v/>
      </c>
      <c r="R1244" s="55">
        <f>(G1244-O1244)/G1244</f>
        <v/>
      </c>
      <c r="S1244" s="55">
        <f>VLOOKUP(D1244,Products!$A$2:$F$61,6,FALSE())</f>
        <v/>
      </c>
    </row>
    <row r="1245" ht="15" customHeight="1" s="56">
      <c r="A1245" s="55">
        <f>Orders!A1245</f>
        <v/>
      </c>
      <c r="B1245" s="103">
        <f>Orders!B1245</f>
        <v/>
      </c>
      <c r="C1245" s="55">
        <f>Orders!C1245</f>
        <v/>
      </c>
      <c r="D1245" s="55">
        <f>Orders!D1245</f>
        <v/>
      </c>
      <c r="E1245" s="55">
        <f>Orders!E1245</f>
        <v/>
      </c>
      <c r="F1245" s="55">
        <f>Orders!F1245</f>
        <v/>
      </c>
      <c r="G1245" s="55">
        <f>Orders!G1245</f>
        <v/>
      </c>
      <c r="H1245" s="55">
        <f>Orders!H1245</f>
        <v/>
      </c>
      <c r="I1245" s="55">
        <f>Orders!I1245</f>
        <v/>
      </c>
      <c r="J1245" s="55">
        <f>Orders!J1245</f>
        <v/>
      </c>
      <c r="K1245" s="55">
        <f>Orders!K1245</f>
        <v/>
      </c>
      <c r="L1245" s="55">
        <f>VLOOKUP(D1245,Products!$A$2:$F$61,3,FALSE())</f>
        <v/>
      </c>
      <c r="M1245" s="55">
        <f>VLOOKUP(C1245,Customers!$A$2:$F$301,5,FALSE())</f>
        <v/>
      </c>
      <c r="N1245" s="55">
        <f>VLOOKUP(E1245,Sales_Reps!$A$2:$E$31,3,FALSE())</f>
        <v/>
      </c>
      <c r="O1245" s="55">
        <f>VLOOKUP(D1245,Products!$A$2:$F$61,4,FALSE())</f>
        <v/>
      </c>
      <c r="P1245" s="55">
        <f>VLOOKUP(C1245,Customers!$A$2:$F$301,3,FALSE())</f>
        <v/>
      </c>
      <c r="Q1245" s="55">
        <f>UPPER(TRIM(K1245))</f>
        <v/>
      </c>
      <c r="R1245" s="55">
        <f>(G1245-O1245)/G1245</f>
        <v/>
      </c>
      <c r="S1245" s="55">
        <f>VLOOKUP(D1245,Products!$A$2:$F$61,6,FALSE())</f>
        <v/>
      </c>
    </row>
    <row r="1246" ht="15" customHeight="1" s="56">
      <c r="A1246" s="55">
        <f>Orders!A1246</f>
        <v/>
      </c>
      <c r="B1246" s="103">
        <f>Orders!B1246</f>
        <v/>
      </c>
      <c r="C1246" s="55">
        <f>Orders!C1246</f>
        <v/>
      </c>
      <c r="D1246" s="55">
        <f>Orders!D1246</f>
        <v/>
      </c>
      <c r="E1246" s="55">
        <f>Orders!E1246</f>
        <v/>
      </c>
      <c r="F1246" s="55">
        <f>Orders!F1246</f>
        <v/>
      </c>
      <c r="G1246" s="55">
        <f>Orders!G1246</f>
        <v/>
      </c>
      <c r="H1246" s="55">
        <f>Orders!H1246</f>
        <v/>
      </c>
      <c r="I1246" s="55">
        <f>Orders!I1246</f>
        <v/>
      </c>
      <c r="J1246" s="55">
        <f>Orders!J1246</f>
        <v/>
      </c>
      <c r="K1246" s="55">
        <f>Orders!K1246</f>
        <v/>
      </c>
      <c r="L1246" s="55">
        <f>VLOOKUP(D1246,Products!$A$2:$F$61,3,FALSE())</f>
        <v/>
      </c>
      <c r="M1246" s="55">
        <f>VLOOKUP(C1246,Customers!$A$2:$F$301,5,FALSE())</f>
        <v/>
      </c>
      <c r="N1246" s="55">
        <f>VLOOKUP(E1246,Sales_Reps!$A$2:$E$31,3,FALSE())</f>
        <v/>
      </c>
      <c r="O1246" s="55">
        <f>VLOOKUP(D1246,Products!$A$2:$F$61,4,FALSE())</f>
        <v/>
      </c>
      <c r="P1246" s="55">
        <f>VLOOKUP(C1246,Customers!$A$2:$F$301,3,FALSE())</f>
        <v/>
      </c>
      <c r="Q1246" s="55">
        <f>UPPER(TRIM(K1246))</f>
        <v/>
      </c>
      <c r="R1246" s="55">
        <f>(G1246-O1246)/G1246</f>
        <v/>
      </c>
      <c r="S1246" s="55">
        <f>VLOOKUP(D1246,Products!$A$2:$F$61,6,FALSE())</f>
        <v/>
      </c>
    </row>
    <row r="1247" ht="15" customHeight="1" s="56">
      <c r="A1247" s="55">
        <f>Orders!A1247</f>
        <v/>
      </c>
      <c r="B1247" s="103">
        <f>Orders!B1247</f>
        <v/>
      </c>
      <c r="C1247" s="55">
        <f>Orders!C1247</f>
        <v/>
      </c>
      <c r="D1247" s="55">
        <f>Orders!D1247</f>
        <v/>
      </c>
      <c r="E1247" s="55">
        <f>Orders!E1247</f>
        <v/>
      </c>
      <c r="F1247" s="55">
        <f>Orders!F1247</f>
        <v/>
      </c>
      <c r="G1247" s="55">
        <f>Orders!G1247</f>
        <v/>
      </c>
      <c r="H1247" s="55">
        <f>Orders!H1247</f>
        <v/>
      </c>
      <c r="I1247" s="55">
        <f>Orders!I1247</f>
        <v/>
      </c>
      <c r="J1247" s="55">
        <f>Orders!J1247</f>
        <v/>
      </c>
      <c r="K1247" s="55">
        <f>Orders!K1247</f>
        <v/>
      </c>
      <c r="L1247" s="55">
        <f>VLOOKUP(D1247,Products!$A$2:$F$61,3,FALSE())</f>
        <v/>
      </c>
      <c r="M1247" s="55">
        <f>VLOOKUP(C1247,Customers!$A$2:$F$301,5,FALSE())</f>
        <v/>
      </c>
      <c r="N1247" s="55">
        <f>VLOOKUP(E1247,Sales_Reps!$A$2:$E$31,3,FALSE())</f>
        <v/>
      </c>
      <c r="O1247" s="55">
        <f>VLOOKUP(D1247,Products!$A$2:$F$61,4,FALSE())</f>
        <v/>
      </c>
      <c r="P1247" s="55">
        <f>VLOOKUP(C1247,Customers!$A$2:$F$301,3,FALSE())</f>
        <v/>
      </c>
      <c r="Q1247" s="55">
        <f>UPPER(TRIM(K1247))</f>
        <v/>
      </c>
      <c r="R1247" s="55">
        <f>(G1247-O1247)/G1247</f>
        <v/>
      </c>
      <c r="S1247" s="55">
        <f>VLOOKUP(D1247,Products!$A$2:$F$61,6,FALSE())</f>
        <v/>
      </c>
    </row>
    <row r="1248" ht="15" customHeight="1" s="56">
      <c r="A1248" s="55">
        <f>Orders!A1248</f>
        <v/>
      </c>
      <c r="B1248" s="103">
        <f>Orders!B1248</f>
        <v/>
      </c>
      <c r="C1248" s="55">
        <f>Orders!C1248</f>
        <v/>
      </c>
      <c r="D1248" s="55">
        <f>Orders!D1248</f>
        <v/>
      </c>
      <c r="E1248" s="55">
        <f>Orders!E1248</f>
        <v/>
      </c>
      <c r="F1248" s="55">
        <f>Orders!F1248</f>
        <v/>
      </c>
      <c r="G1248" s="55">
        <f>Orders!G1248</f>
        <v/>
      </c>
      <c r="H1248" s="55">
        <f>Orders!H1248</f>
        <v/>
      </c>
      <c r="I1248" s="55">
        <f>Orders!I1248</f>
        <v/>
      </c>
      <c r="J1248" s="55">
        <f>Orders!J1248</f>
        <v/>
      </c>
      <c r="K1248" s="55">
        <f>Orders!K1248</f>
        <v/>
      </c>
      <c r="L1248" s="55">
        <f>VLOOKUP(D1248,Products!$A$2:$F$61,3,FALSE())</f>
        <v/>
      </c>
      <c r="M1248" s="55">
        <f>VLOOKUP(C1248,Customers!$A$2:$F$301,5,FALSE())</f>
        <v/>
      </c>
      <c r="N1248" s="55">
        <f>VLOOKUP(E1248,Sales_Reps!$A$2:$E$31,3,FALSE())</f>
        <v/>
      </c>
      <c r="O1248" s="55">
        <f>VLOOKUP(D1248,Products!$A$2:$F$61,4,FALSE())</f>
        <v/>
      </c>
      <c r="P1248" s="55">
        <f>VLOOKUP(C1248,Customers!$A$2:$F$301,3,FALSE())</f>
        <v/>
      </c>
      <c r="Q1248" s="55">
        <f>UPPER(TRIM(K1248))</f>
        <v/>
      </c>
      <c r="R1248" s="55">
        <f>(G1248-O1248)/G1248</f>
        <v/>
      </c>
      <c r="S1248" s="55">
        <f>VLOOKUP(D1248,Products!$A$2:$F$61,6,FALSE())</f>
        <v/>
      </c>
    </row>
    <row r="1249" ht="15" customHeight="1" s="56">
      <c r="A1249" s="55">
        <f>Orders!A1249</f>
        <v/>
      </c>
      <c r="B1249" s="103">
        <f>Orders!B1249</f>
        <v/>
      </c>
      <c r="C1249" s="55">
        <f>Orders!C1249</f>
        <v/>
      </c>
      <c r="D1249" s="55">
        <f>Orders!D1249</f>
        <v/>
      </c>
      <c r="E1249" s="55">
        <f>Orders!E1249</f>
        <v/>
      </c>
      <c r="F1249" s="55">
        <f>Orders!F1249</f>
        <v/>
      </c>
      <c r="G1249" s="55">
        <f>Orders!G1249</f>
        <v/>
      </c>
      <c r="H1249" s="55">
        <f>Orders!H1249</f>
        <v/>
      </c>
      <c r="I1249" s="55">
        <f>Orders!I1249</f>
        <v/>
      </c>
      <c r="J1249" s="55">
        <f>Orders!J1249</f>
        <v/>
      </c>
      <c r="K1249" s="55">
        <f>Orders!K1249</f>
        <v/>
      </c>
      <c r="L1249" s="55">
        <f>VLOOKUP(D1249,Products!$A$2:$F$61,3,FALSE())</f>
        <v/>
      </c>
      <c r="M1249" s="55">
        <f>VLOOKUP(C1249,Customers!$A$2:$F$301,5,FALSE())</f>
        <v/>
      </c>
      <c r="N1249" s="55">
        <f>VLOOKUP(E1249,Sales_Reps!$A$2:$E$31,3,FALSE())</f>
        <v/>
      </c>
      <c r="O1249" s="55">
        <f>VLOOKUP(D1249,Products!$A$2:$F$61,4,FALSE())</f>
        <v/>
      </c>
      <c r="P1249" s="55">
        <f>VLOOKUP(C1249,Customers!$A$2:$F$301,3,FALSE())</f>
        <v/>
      </c>
      <c r="Q1249" s="55">
        <f>UPPER(TRIM(K1249))</f>
        <v/>
      </c>
      <c r="R1249" s="55">
        <f>(G1249-O1249)/G1249</f>
        <v/>
      </c>
      <c r="S1249" s="55">
        <f>VLOOKUP(D1249,Products!$A$2:$F$61,6,FALSE())</f>
        <v/>
      </c>
    </row>
    <row r="1250" ht="15" customHeight="1" s="56">
      <c r="A1250" s="55">
        <f>Orders!A1250</f>
        <v/>
      </c>
      <c r="B1250" s="103">
        <f>Orders!B1250</f>
        <v/>
      </c>
      <c r="C1250" s="55">
        <f>Orders!C1250</f>
        <v/>
      </c>
      <c r="D1250" s="55">
        <f>Orders!D1250</f>
        <v/>
      </c>
      <c r="E1250" s="55">
        <f>Orders!E1250</f>
        <v/>
      </c>
      <c r="F1250" s="55">
        <f>Orders!F1250</f>
        <v/>
      </c>
      <c r="G1250" s="55">
        <f>Orders!G1250</f>
        <v/>
      </c>
      <c r="H1250" s="55">
        <f>Orders!H1250</f>
        <v/>
      </c>
      <c r="I1250" s="55">
        <f>Orders!I1250</f>
        <v/>
      </c>
      <c r="J1250" s="55">
        <f>Orders!J1250</f>
        <v/>
      </c>
      <c r="K1250" s="55">
        <f>Orders!K1250</f>
        <v/>
      </c>
      <c r="L1250" s="55">
        <f>VLOOKUP(D1250,Products!$A$2:$F$61,3,FALSE())</f>
        <v/>
      </c>
      <c r="M1250" s="55">
        <f>VLOOKUP(C1250,Customers!$A$2:$F$301,5,FALSE())</f>
        <v/>
      </c>
      <c r="N1250" s="55">
        <f>VLOOKUP(E1250,Sales_Reps!$A$2:$E$31,3,FALSE())</f>
        <v/>
      </c>
      <c r="O1250" s="55">
        <f>VLOOKUP(D1250,Products!$A$2:$F$61,4,FALSE())</f>
        <v/>
      </c>
      <c r="P1250" s="55">
        <f>VLOOKUP(C1250,Customers!$A$2:$F$301,3,FALSE())</f>
        <v/>
      </c>
      <c r="Q1250" s="55">
        <f>UPPER(TRIM(K1250))</f>
        <v/>
      </c>
      <c r="R1250" s="55">
        <f>(G1250-O1250)/G1250</f>
        <v/>
      </c>
      <c r="S1250" s="55">
        <f>VLOOKUP(D1250,Products!$A$2:$F$61,6,FALSE())</f>
        <v/>
      </c>
    </row>
    <row r="1251" ht="15" customHeight="1" s="56">
      <c r="A1251" s="55">
        <f>Orders!A1251</f>
        <v/>
      </c>
      <c r="B1251" s="103">
        <f>Orders!B1251</f>
        <v/>
      </c>
      <c r="C1251" s="55">
        <f>Orders!C1251</f>
        <v/>
      </c>
      <c r="D1251" s="55">
        <f>Orders!D1251</f>
        <v/>
      </c>
      <c r="E1251" s="55">
        <f>Orders!E1251</f>
        <v/>
      </c>
      <c r="F1251" s="55">
        <f>Orders!F1251</f>
        <v/>
      </c>
      <c r="G1251" s="55">
        <f>Orders!G1251</f>
        <v/>
      </c>
      <c r="H1251" s="55">
        <f>Orders!H1251</f>
        <v/>
      </c>
      <c r="I1251" s="55">
        <f>Orders!I1251</f>
        <v/>
      </c>
      <c r="J1251" s="55">
        <f>Orders!J1251</f>
        <v/>
      </c>
      <c r="K1251" s="55">
        <f>Orders!K1251</f>
        <v/>
      </c>
      <c r="L1251" s="55">
        <f>VLOOKUP(D1251,Products!$A$2:$F$61,3,FALSE())</f>
        <v/>
      </c>
      <c r="M1251" s="55">
        <f>VLOOKUP(C1251,Customers!$A$2:$F$301,5,FALSE())</f>
        <v/>
      </c>
      <c r="N1251" s="55">
        <f>VLOOKUP(E1251,Sales_Reps!$A$2:$E$31,3,FALSE())</f>
        <v/>
      </c>
      <c r="O1251" s="55">
        <f>VLOOKUP(D1251,Products!$A$2:$F$61,4,FALSE())</f>
        <v/>
      </c>
      <c r="P1251" s="55">
        <f>VLOOKUP(C1251,Customers!$A$2:$F$301,3,FALSE())</f>
        <v/>
      </c>
      <c r="Q1251" s="55">
        <f>UPPER(TRIM(K1251))</f>
        <v/>
      </c>
      <c r="R1251" s="55">
        <f>(G1251-O1251)/G1251</f>
        <v/>
      </c>
      <c r="S1251" s="55">
        <f>VLOOKUP(D1251,Products!$A$2:$F$61,6,FALSE())</f>
        <v/>
      </c>
    </row>
    <row r="1252" ht="15" customHeight="1" s="56">
      <c r="A1252" s="55">
        <f>Orders!A1252</f>
        <v/>
      </c>
      <c r="B1252" s="103">
        <f>Orders!B1252</f>
        <v/>
      </c>
      <c r="C1252" s="55">
        <f>Orders!C1252</f>
        <v/>
      </c>
      <c r="D1252" s="55">
        <f>Orders!D1252</f>
        <v/>
      </c>
      <c r="E1252" s="55">
        <f>Orders!E1252</f>
        <v/>
      </c>
      <c r="F1252" s="55">
        <f>Orders!F1252</f>
        <v/>
      </c>
      <c r="G1252" s="55">
        <f>Orders!G1252</f>
        <v/>
      </c>
      <c r="H1252" s="55">
        <f>Orders!H1252</f>
        <v/>
      </c>
      <c r="I1252" s="55">
        <f>Orders!I1252</f>
        <v/>
      </c>
      <c r="J1252" s="55">
        <f>Orders!J1252</f>
        <v/>
      </c>
      <c r="K1252" s="55">
        <f>Orders!K1252</f>
        <v/>
      </c>
      <c r="L1252" s="55">
        <f>VLOOKUP(D1252,Products!$A$2:$F$61,3,FALSE())</f>
        <v/>
      </c>
      <c r="M1252" s="55">
        <f>VLOOKUP(C1252,Customers!$A$2:$F$301,5,FALSE())</f>
        <v/>
      </c>
      <c r="N1252" s="55">
        <f>VLOOKUP(E1252,Sales_Reps!$A$2:$E$31,3,FALSE())</f>
        <v/>
      </c>
      <c r="O1252" s="55">
        <f>VLOOKUP(D1252,Products!$A$2:$F$61,4,FALSE())</f>
        <v/>
      </c>
      <c r="P1252" s="55">
        <f>VLOOKUP(C1252,Customers!$A$2:$F$301,3,FALSE())</f>
        <v/>
      </c>
      <c r="Q1252" s="55">
        <f>UPPER(TRIM(K1252))</f>
        <v/>
      </c>
      <c r="R1252" s="55">
        <f>(G1252-O1252)/G1252</f>
        <v/>
      </c>
      <c r="S1252" s="55">
        <f>VLOOKUP(D1252,Products!$A$2:$F$61,6,FALSE())</f>
        <v/>
      </c>
    </row>
    <row r="1253" ht="15" customHeight="1" s="56">
      <c r="A1253" s="55">
        <f>Orders!A1253</f>
        <v/>
      </c>
      <c r="B1253" s="103">
        <f>Orders!B1253</f>
        <v/>
      </c>
      <c r="C1253" s="55">
        <f>Orders!C1253</f>
        <v/>
      </c>
      <c r="D1253" s="55">
        <f>Orders!D1253</f>
        <v/>
      </c>
      <c r="E1253" s="55">
        <f>Orders!E1253</f>
        <v/>
      </c>
      <c r="F1253" s="55">
        <f>Orders!F1253</f>
        <v/>
      </c>
      <c r="G1253" s="55">
        <f>Orders!G1253</f>
        <v/>
      </c>
      <c r="H1253" s="55">
        <f>Orders!H1253</f>
        <v/>
      </c>
      <c r="I1253" s="55">
        <f>Orders!I1253</f>
        <v/>
      </c>
      <c r="J1253" s="55">
        <f>Orders!J1253</f>
        <v/>
      </c>
      <c r="K1253" s="55">
        <f>Orders!K1253</f>
        <v/>
      </c>
      <c r="L1253" s="55">
        <f>VLOOKUP(D1253,Products!$A$2:$F$61,3,FALSE())</f>
        <v/>
      </c>
      <c r="M1253" s="55">
        <f>VLOOKUP(C1253,Customers!$A$2:$F$301,5,FALSE())</f>
        <v/>
      </c>
      <c r="N1253" s="55">
        <f>VLOOKUP(E1253,Sales_Reps!$A$2:$E$31,3,FALSE())</f>
        <v/>
      </c>
      <c r="O1253" s="55">
        <f>VLOOKUP(D1253,Products!$A$2:$F$61,4,FALSE())</f>
        <v/>
      </c>
      <c r="P1253" s="55">
        <f>VLOOKUP(C1253,Customers!$A$2:$F$301,3,FALSE())</f>
        <v/>
      </c>
      <c r="Q1253" s="55">
        <f>UPPER(TRIM(K1253))</f>
        <v/>
      </c>
      <c r="R1253" s="55">
        <f>(G1253-O1253)/G1253</f>
        <v/>
      </c>
      <c r="S1253" s="55">
        <f>VLOOKUP(D1253,Products!$A$2:$F$61,6,FALSE())</f>
        <v/>
      </c>
    </row>
    <row r="1254" ht="15" customHeight="1" s="56">
      <c r="A1254" s="55">
        <f>Orders!A1254</f>
        <v/>
      </c>
      <c r="B1254" s="103">
        <f>Orders!B1254</f>
        <v/>
      </c>
      <c r="C1254" s="55">
        <f>Orders!C1254</f>
        <v/>
      </c>
      <c r="D1254" s="55">
        <f>Orders!D1254</f>
        <v/>
      </c>
      <c r="E1254" s="55">
        <f>Orders!E1254</f>
        <v/>
      </c>
      <c r="F1254" s="55">
        <f>Orders!F1254</f>
        <v/>
      </c>
      <c r="G1254" s="55">
        <f>Orders!G1254</f>
        <v/>
      </c>
      <c r="H1254" s="55">
        <f>Orders!H1254</f>
        <v/>
      </c>
      <c r="I1254" s="55">
        <f>Orders!I1254</f>
        <v/>
      </c>
      <c r="J1254" s="55">
        <f>Orders!J1254</f>
        <v/>
      </c>
      <c r="K1254" s="55">
        <f>Orders!K1254</f>
        <v/>
      </c>
      <c r="L1254" s="55">
        <f>VLOOKUP(D1254,Products!$A$2:$F$61,3,FALSE())</f>
        <v/>
      </c>
      <c r="M1254" s="55">
        <f>VLOOKUP(C1254,Customers!$A$2:$F$301,5,FALSE())</f>
        <v/>
      </c>
      <c r="N1254" s="55">
        <f>VLOOKUP(E1254,Sales_Reps!$A$2:$E$31,3,FALSE())</f>
        <v/>
      </c>
      <c r="O1254" s="55">
        <f>VLOOKUP(D1254,Products!$A$2:$F$61,4,FALSE())</f>
        <v/>
      </c>
      <c r="P1254" s="55">
        <f>VLOOKUP(C1254,Customers!$A$2:$F$301,3,FALSE())</f>
        <v/>
      </c>
      <c r="Q1254" s="55">
        <f>UPPER(TRIM(K1254))</f>
        <v/>
      </c>
      <c r="R1254" s="55">
        <f>(G1254-O1254)/G1254</f>
        <v/>
      </c>
      <c r="S1254" s="55">
        <f>VLOOKUP(D1254,Products!$A$2:$F$61,6,FALSE())</f>
        <v/>
      </c>
    </row>
    <row r="1255" ht="15" customHeight="1" s="56">
      <c r="A1255" s="55">
        <f>Orders!A1255</f>
        <v/>
      </c>
      <c r="B1255" s="103">
        <f>Orders!B1255</f>
        <v/>
      </c>
      <c r="C1255" s="55">
        <f>Orders!C1255</f>
        <v/>
      </c>
      <c r="D1255" s="55">
        <f>Orders!D1255</f>
        <v/>
      </c>
      <c r="E1255" s="55">
        <f>Orders!E1255</f>
        <v/>
      </c>
      <c r="F1255" s="55">
        <f>Orders!F1255</f>
        <v/>
      </c>
      <c r="G1255" s="55">
        <f>Orders!G1255</f>
        <v/>
      </c>
      <c r="H1255" s="55">
        <f>Orders!H1255</f>
        <v/>
      </c>
      <c r="I1255" s="55">
        <f>Orders!I1255</f>
        <v/>
      </c>
      <c r="J1255" s="55">
        <f>Orders!J1255</f>
        <v/>
      </c>
      <c r="K1255" s="55">
        <f>Orders!K1255</f>
        <v/>
      </c>
      <c r="L1255" s="55">
        <f>VLOOKUP(D1255,Products!$A$2:$F$61,3,FALSE())</f>
        <v/>
      </c>
      <c r="M1255" s="55">
        <f>VLOOKUP(C1255,Customers!$A$2:$F$301,5,FALSE())</f>
        <v/>
      </c>
      <c r="N1255" s="55">
        <f>VLOOKUP(E1255,Sales_Reps!$A$2:$E$31,3,FALSE())</f>
        <v/>
      </c>
      <c r="O1255" s="55">
        <f>VLOOKUP(D1255,Products!$A$2:$F$61,4,FALSE())</f>
        <v/>
      </c>
      <c r="P1255" s="55">
        <f>VLOOKUP(C1255,Customers!$A$2:$F$301,3,FALSE())</f>
        <v/>
      </c>
      <c r="Q1255" s="55">
        <f>UPPER(TRIM(K1255))</f>
        <v/>
      </c>
      <c r="R1255" s="55">
        <f>(G1255-O1255)/G1255</f>
        <v/>
      </c>
      <c r="S1255" s="55">
        <f>VLOOKUP(D1255,Products!$A$2:$F$61,6,FALSE())</f>
        <v/>
      </c>
    </row>
    <row r="1256" ht="15" customHeight="1" s="56">
      <c r="A1256" s="55">
        <f>Orders!A1256</f>
        <v/>
      </c>
      <c r="B1256" s="103">
        <f>Orders!B1256</f>
        <v/>
      </c>
      <c r="C1256" s="55">
        <f>Orders!C1256</f>
        <v/>
      </c>
      <c r="D1256" s="55">
        <f>Orders!D1256</f>
        <v/>
      </c>
      <c r="E1256" s="55">
        <f>Orders!E1256</f>
        <v/>
      </c>
      <c r="F1256" s="55">
        <f>Orders!F1256</f>
        <v/>
      </c>
      <c r="G1256" s="55">
        <f>Orders!G1256</f>
        <v/>
      </c>
      <c r="H1256" s="55">
        <f>Orders!H1256</f>
        <v/>
      </c>
      <c r="I1256" s="55">
        <f>Orders!I1256</f>
        <v/>
      </c>
      <c r="J1256" s="55">
        <f>Orders!J1256</f>
        <v/>
      </c>
      <c r="K1256" s="55">
        <f>Orders!K1256</f>
        <v/>
      </c>
      <c r="L1256" s="55">
        <f>VLOOKUP(D1256,Products!$A$2:$F$61,3,FALSE())</f>
        <v/>
      </c>
      <c r="M1256" s="55">
        <f>VLOOKUP(C1256,Customers!$A$2:$F$301,5,FALSE())</f>
        <v/>
      </c>
      <c r="N1256" s="55">
        <f>VLOOKUP(E1256,Sales_Reps!$A$2:$E$31,3,FALSE())</f>
        <v/>
      </c>
      <c r="O1256" s="55">
        <f>VLOOKUP(D1256,Products!$A$2:$F$61,4,FALSE())</f>
        <v/>
      </c>
      <c r="P1256" s="55">
        <f>VLOOKUP(C1256,Customers!$A$2:$F$301,3,FALSE())</f>
        <v/>
      </c>
      <c r="Q1256" s="55">
        <f>UPPER(TRIM(K1256))</f>
        <v/>
      </c>
      <c r="R1256" s="55">
        <f>(G1256-O1256)/G1256</f>
        <v/>
      </c>
      <c r="S1256" s="55">
        <f>VLOOKUP(D1256,Products!$A$2:$F$61,6,FALSE())</f>
        <v/>
      </c>
    </row>
    <row r="1257" ht="15" customHeight="1" s="56">
      <c r="A1257" s="55">
        <f>Orders!A1257</f>
        <v/>
      </c>
      <c r="B1257" s="103">
        <f>Orders!B1257</f>
        <v/>
      </c>
      <c r="C1257" s="55">
        <f>Orders!C1257</f>
        <v/>
      </c>
      <c r="D1257" s="55">
        <f>Orders!D1257</f>
        <v/>
      </c>
      <c r="E1257" s="55">
        <f>Orders!E1257</f>
        <v/>
      </c>
      <c r="F1257" s="55">
        <f>Orders!F1257</f>
        <v/>
      </c>
      <c r="G1257" s="55">
        <f>Orders!G1257</f>
        <v/>
      </c>
      <c r="H1257" s="55">
        <f>Orders!H1257</f>
        <v/>
      </c>
      <c r="I1257" s="55">
        <f>Orders!I1257</f>
        <v/>
      </c>
      <c r="J1257" s="55">
        <f>Orders!J1257</f>
        <v/>
      </c>
      <c r="K1257" s="55">
        <f>Orders!K1257</f>
        <v/>
      </c>
      <c r="L1257" s="55">
        <f>VLOOKUP(D1257,Products!$A$2:$F$61,3,FALSE())</f>
        <v/>
      </c>
      <c r="M1257" s="55">
        <f>VLOOKUP(C1257,Customers!$A$2:$F$301,5,FALSE())</f>
        <v/>
      </c>
      <c r="N1257" s="55">
        <f>VLOOKUP(E1257,Sales_Reps!$A$2:$E$31,3,FALSE())</f>
        <v/>
      </c>
      <c r="O1257" s="55">
        <f>VLOOKUP(D1257,Products!$A$2:$F$61,4,FALSE())</f>
        <v/>
      </c>
      <c r="P1257" s="55">
        <f>VLOOKUP(C1257,Customers!$A$2:$F$301,3,FALSE())</f>
        <v/>
      </c>
      <c r="Q1257" s="55">
        <f>UPPER(TRIM(K1257))</f>
        <v/>
      </c>
      <c r="R1257" s="55">
        <f>(G1257-O1257)/G1257</f>
        <v/>
      </c>
      <c r="S1257" s="55">
        <f>VLOOKUP(D1257,Products!$A$2:$F$61,6,FALSE())</f>
        <v/>
      </c>
    </row>
    <row r="1258" ht="15" customHeight="1" s="56">
      <c r="A1258" s="55">
        <f>Orders!A1258</f>
        <v/>
      </c>
      <c r="B1258" s="103">
        <f>Orders!B1258</f>
        <v/>
      </c>
      <c r="C1258" s="55">
        <f>Orders!C1258</f>
        <v/>
      </c>
      <c r="D1258" s="55">
        <f>Orders!D1258</f>
        <v/>
      </c>
      <c r="E1258" s="55">
        <f>Orders!E1258</f>
        <v/>
      </c>
      <c r="F1258" s="55">
        <f>Orders!F1258</f>
        <v/>
      </c>
      <c r="G1258" s="55">
        <f>Orders!G1258</f>
        <v/>
      </c>
      <c r="H1258" s="55">
        <f>Orders!H1258</f>
        <v/>
      </c>
      <c r="I1258" s="55">
        <f>Orders!I1258</f>
        <v/>
      </c>
      <c r="J1258" s="55">
        <f>Orders!J1258</f>
        <v/>
      </c>
      <c r="K1258" s="55">
        <f>Orders!K1258</f>
        <v/>
      </c>
      <c r="L1258" s="55">
        <f>VLOOKUP(D1258,Products!$A$2:$F$61,3,FALSE())</f>
        <v/>
      </c>
      <c r="M1258" s="55">
        <f>VLOOKUP(C1258,Customers!$A$2:$F$301,5,FALSE())</f>
        <v/>
      </c>
      <c r="N1258" s="55">
        <f>VLOOKUP(E1258,Sales_Reps!$A$2:$E$31,3,FALSE())</f>
        <v/>
      </c>
      <c r="O1258" s="55">
        <f>VLOOKUP(D1258,Products!$A$2:$F$61,4,FALSE())</f>
        <v/>
      </c>
      <c r="P1258" s="55">
        <f>VLOOKUP(C1258,Customers!$A$2:$F$301,3,FALSE())</f>
        <v/>
      </c>
      <c r="Q1258" s="55">
        <f>UPPER(TRIM(K1258))</f>
        <v/>
      </c>
      <c r="R1258" s="55">
        <f>(G1258-O1258)/G1258</f>
        <v/>
      </c>
      <c r="S1258" s="55">
        <f>VLOOKUP(D1258,Products!$A$2:$F$61,6,FALSE())</f>
        <v/>
      </c>
    </row>
    <row r="1259" ht="15" customHeight="1" s="56">
      <c r="A1259" s="55">
        <f>Orders!A1259</f>
        <v/>
      </c>
      <c r="B1259" s="103">
        <f>Orders!B1259</f>
        <v/>
      </c>
      <c r="C1259" s="55">
        <f>Orders!C1259</f>
        <v/>
      </c>
      <c r="D1259" s="55">
        <f>Orders!D1259</f>
        <v/>
      </c>
      <c r="E1259" s="55">
        <f>Orders!E1259</f>
        <v/>
      </c>
      <c r="F1259" s="55">
        <f>Orders!F1259</f>
        <v/>
      </c>
      <c r="G1259" s="55">
        <f>Orders!G1259</f>
        <v/>
      </c>
      <c r="H1259" s="55">
        <f>Orders!H1259</f>
        <v/>
      </c>
      <c r="I1259" s="55">
        <f>Orders!I1259</f>
        <v/>
      </c>
      <c r="J1259" s="55">
        <f>Orders!J1259</f>
        <v/>
      </c>
      <c r="K1259" s="55">
        <f>Orders!K1259</f>
        <v/>
      </c>
      <c r="L1259" s="55">
        <f>VLOOKUP(D1259,Products!$A$2:$F$61,3,FALSE())</f>
        <v/>
      </c>
      <c r="M1259" s="55">
        <f>VLOOKUP(C1259,Customers!$A$2:$F$301,5,FALSE())</f>
        <v/>
      </c>
      <c r="N1259" s="55">
        <f>VLOOKUP(E1259,Sales_Reps!$A$2:$E$31,3,FALSE())</f>
        <v/>
      </c>
      <c r="O1259" s="55">
        <f>VLOOKUP(D1259,Products!$A$2:$F$61,4,FALSE())</f>
        <v/>
      </c>
      <c r="P1259" s="55">
        <f>VLOOKUP(C1259,Customers!$A$2:$F$301,3,FALSE())</f>
        <v/>
      </c>
      <c r="Q1259" s="55">
        <f>UPPER(TRIM(K1259))</f>
        <v/>
      </c>
      <c r="R1259" s="55">
        <f>(G1259-O1259)/G1259</f>
        <v/>
      </c>
      <c r="S1259" s="55">
        <f>VLOOKUP(D1259,Products!$A$2:$F$61,6,FALSE())</f>
        <v/>
      </c>
    </row>
    <row r="1260" ht="15" customHeight="1" s="56">
      <c r="A1260" s="55">
        <f>Orders!A1260</f>
        <v/>
      </c>
      <c r="B1260" s="103">
        <f>Orders!B1260</f>
        <v/>
      </c>
      <c r="C1260" s="55">
        <f>Orders!C1260</f>
        <v/>
      </c>
      <c r="D1260" s="55">
        <f>Orders!D1260</f>
        <v/>
      </c>
      <c r="E1260" s="55">
        <f>Orders!E1260</f>
        <v/>
      </c>
      <c r="F1260" s="55">
        <f>Orders!F1260</f>
        <v/>
      </c>
      <c r="G1260" s="55">
        <f>Orders!G1260</f>
        <v/>
      </c>
      <c r="H1260" s="55">
        <f>Orders!H1260</f>
        <v/>
      </c>
      <c r="I1260" s="55">
        <f>Orders!I1260</f>
        <v/>
      </c>
      <c r="J1260" s="55">
        <f>Orders!J1260</f>
        <v/>
      </c>
      <c r="K1260" s="55">
        <f>Orders!K1260</f>
        <v/>
      </c>
      <c r="L1260" s="55">
        <f>VLOOKUP(D1260,Products!$A$2:$F$61,3,FALSE())</f>
        <v/>
      </c>
      <c r="M1260" s="55">
        <f>VLOOKUP(C1260,Customers!$A$2:$F$301,5,FALSE())</f>
        <v/>
      </c>
      <c r="N1260" s="55">
        <f>VLOOKUP(E1260,Sales_Reps!$A$2:$E$31,3,FALSE())</f>
        <v/>
      </c>
      <c r="O1260" s="55">
        <f>VLOOKUP(D1260,Products!$A$2:$F$61,4,FALSE())</f>
        <v/>
      </c>
      <c r="P1260" s="55">
        <f>VLOOKUP(C1260,Customers!$A$2:$F$301,3,FALSE())</f>
        <v/>
      </c>
      <c r="Q1260" s="55">
        <f>UPPER(TRIM(K1260))</f>
        <v/>
      </c>
      <c r="R1260" s="55">
        <f>(G1260-O1260)/G1260</f>
        <v/>
      </c>
      <c r="S1260" s="55">
        <f>VLOOKUP(D1260,Products!$A$2:$F$61,6,FALSE())</f>
        <v/>
      </c>
    </row>
    <row r="1261" ht="15" customHeight="1" s="56">
      <c r="A1261" s="55">
        <f>Orders!A1261</f>
        <v/>
      </c>
      <c r="B1261" s="103">
        <f>Orders!B1261</f>
        <v/>
      </c>
      <c r="C1261" s="55">
        <f>Orders!C1261</f>
        <v/>
      </c>
      <c r="D1261" s="55">
        <f>Orders!D1261</f>
        <v/>
      </c>
      <c r="E1261" s="55">
        <f>Orders!E1261</f>
        <v/>
      </c>
      <c r="F1261" s="55">
        <f>Orders!F1261</f>
        <v/>
      </c>
      <c r="G1261" s="55">
        <f>Orders!G1261</f>
        <v/>
      </c>
      <c r="H1261" s="55">
        <f>Orders!H1261</f>
        <v/>
      </c>
      <c r="I1261" s="55">
        <f>Orders!I1261</f>
        <v/>
      </c>
      <c r="J1261" s="55">
        <f>Orders!J1261</f>
        <v/>
      </c>
      <c r="K1261" s="55">
        <f>Orders!K1261</f>
        <v/>
      </c>
      <c r="L1261" s="55">
        <f>VLOOKUP(D1261,Products!$A$2:$F$61,3,FALSE())</f>
        <v/>
      </c>
      <c r="M1261" s="55">
        <f>VLOOKUP(C1261,Customers!$A$2:$F$301,5,FALSE())</f>
        <v/>
      </c>
      <c r="N1261" s="55">
        <f>VLOOKUP(E1261,Sales_Reps!$A$2:$E$31,3,FALSE())</f>
        <v/>
      </c>
      <c r="O1261" s="55">
        <f>VLOOKUP(D1261,Products!$A$2:$F$61,4,FALSE())</f>
        <v/>
      </c>
      <c r="P1261" s="55">
        <f>VLOOKUP(C1261,Customers!$A$2:$F$301,3,FALSE())</f>
        <v/>
      </c>
      <c r="Q1261" s="55">
        <f>UPPER(TRIM(K1261))</f>
        <v/>
      </c>
      <c r="R1261" s="55">
        <f>(G1261-O1261)/G1261</f>
        <v/>
      </c>
      <c r="S1261" s="55">
        <f>VLOOKUP(D1261,Products!$A$2:$F$61,6,FALSE())</f>
        <v/>
      </c>
    </row>
    <row r="1262" ht="15" customHeight="1" s="56">
      <c r="A1262" s="55">
        <f>Orders!A1262</f>
        <v/>
      </c>
      <c r="B1262" s="103">
        <f>Orders!B1262</f>
        <v/>
      </c>
      <c r="C1262" s="55">
        <f>Orders!C1262</f>
        <v/>
      </c>
      <c r="D1262" s="55">
        <f>Orders!D1262</f>
        <v/>
      </c>
      <c r="E1262" s="55">
        <f>Orders!E1262</f>
        <v/>
      </c>
      <c r="F1262" s="55">
        <f>Orders!F1262</f>
        <v/>
      </c>
      <c r="G1262" s="55">
        <f>Orders!G1262</f>
        <v/>
      </c>
      <c r="H1262" s="55">
        <f>Orders!H1262</f>
        <v/>
      </c>
      <c r="I1262" s="55">
        <f>Orders!I1262</f>
        <v/>
      </c>
      <c r="J1262" s="55">
        <f>Orders!J1262</f>
        <v/>
      </c>
      <c r="K1262" s="55">
        <f>Orders!K1262</f>
        <v/>
      </c>
      <c r="L1262" s="55">
        <f>VLOOKUP(D1262,Products!$A$2:$F$61,3,FALSE())</f>
        <v/>
      </c>
      <c r="M1262" s="55">
        <f>VLOOKUP(C1262,Customers!$A$2:$F$301,5,FALSE())</f>
        <v/>
      </c>
      <c r="N1262" s="55">
        <f>VLOOKUP(E1262,Sales_Reps!$A$2:$E$31,3,FALSE())</f>
        <v/>
      </c>
      <c r="O1262" s="55">
        <f>VLOOKUP(D1262,Products!$A$2:$F$61,4,FALSE())</f>
        <v/>
      </c>
      <c r="P1262" s="55">
        <f>VLOOKUP(C1262,Customers!$A$2:$F$301,3,FALSE())</f>
        <v/>
      </c>
      <c r="Q1262" s="55">
        <f>UPPER(TRIM(K1262))</f>
        <v/>
      </c>
      <c r="R1262" s="55">
        <f>(G1262-O1262)/G1262</f>
        <v/>
      </c>
      <c r="S1262" s="55">
        <f>VLOOKUP(D1262,Products!$A$2:$F$61,6,FALSE())</f>
        <v/>
      </c>
    </row>
    <row r="1263" ht="15" customHeight="1" s="56">
      <c r="A1263" s="55">
        <f>Orders!A1263</f>
        <v/>
      </c>
      <c r="B1263" s="103">
        <f>Orders!B1263</f>
        <v/>
      </c>
      <c r="C1263" s="55">
        <f>Orders!C1263</f>
        <v/>
      </c>
      <c r="D1263" s="55">
        <f>Orders!D1263</f>
        <v/>
      </c>
      <c r="E1263" s="55">
        <f>Orders!E1263</f>
        <v/>
      </c>
      <c r="F1263" s="55">
        <f>Orders!F1263</f>
        <v/>
      </c>
      <c r="G1263" s="55">
        <f>Orders!G1263</f>
        <v/>
      </c>
      <c r="H1263" s="55">
        <f>Orders!H1263</f>
        <v/>
      </c>
      <c r="I1263" s="55">
        <f>Orders!I1263</f>
        <v/>
      </c>
      <c r="J1263" s="55">
        <f>Orders!J1263</f>
        <v/>
      </c>
      <c r="K1263" s="55">
        <f>Orders!K1263</f>
        <v/>
      </c>
      <c r="L1263" s="55">
        <f>VLOOKUP(D1263,Products!$A$2:$F$61,3,FALSE())</f>
        <v/>
      </c>
      <c r="M1263" s="55">
        <f>VLOOKUP(C1263,Customers!$A$2:$F$301,5,FALSE())</f>
        <v/>
      </c>
      <c r="N1263" s="55">
        <f>VLOOKUP(E1263,Sales_Reps!$A$2:$E$31,3,FALSE())</f>
        <v/>
      </c>
      <c r="O1263" s="55">
        <f>VLOOKUP(D1263,Products!$A$2:$F$61,4,FALSE())</f>
        <v/>
      </c>
      <c r="P1263" s="55">
        <f>VLOOKUP(C1263,Customers!$A$2:$F$301,3,FALSE())</f>
        <v/>
      </c>
      <c r="Q1263" s="55">
        <f>UPPER(TRIM(K1263))</f>
        <v/>
      </c>
      <c r="R1263" s="55">
        <f>(G1263-O1263)/G1263</f>
        <v/>
      </c>
      <c r="S1263" s="55">
        <f>VLOOKUP(D1263,Products!$A$2:$F$61,6,FALSE())</f>
        <v/>
      </c>
    </row>
    <row r="1264" ht="15" customHeight="1" s="56">
      <c r="A1264" s="55">
        <f>Orders!A1264</f>
        <v/>
      </c>
      <c r="B1264" s="103">
        <f>Orders!B1264</f>
        <v/>
      </c>
      <c r="C1264" s="55">
        <f>Orders!C1264</f>
        <v/>
      </c>
      <c r="D1264" s="55">
        <f>Orders!D1264</f>
        <v/>
      </c>
      <c r="E1264" s="55">
        <f>Orders!E1264</f>
        <v/>
      </c>
      <c r="F1264" s="55">
        <f>Orders!F1264</f>
        <v/>
      </c>
      <c r="G1264" s="55">
        <f>Orders!G1264</f>
        <v/>
      </c>
      <c r="H1264" s="55">
        <f>Orders!H1264</f>
        <v/>
      </c>
      <c r="I1264" s="55">
        <f>Orders!I1264</f>
        <v/>
      </c>
      <c r="J1264" s="55">
        <f>Orders!J1264</f>
        <v/>
      </c>
      <c r="K1264" s="55">
        <f>Orders!K1264</f>
        <v/>
      </c>
      <c r="L1264" s="55">
        <f>VLOOKUP(D1264,Products!$A$2:$F$61,3,FALSE())</f>
        <v/>
      </c>
      <c r="M1264" s="55">
        <f>VLOOKUP(C1264,Customers!$A$2:$F$301,5,FALSE())</f>
        <v/>
      </c>
      <c r="N1264" s="55">
        <f>VLOOKUP(E1264,Sales_Reps!$A$2:$E$31,3,FALSE())</f>
        <v/>
      </c>
      <c r="O1264" s="55">
        <f>VLOOKUP(D1264,Products!$A$2:$F$61,4,FALSE())</f>
        <v/>
      </c>
      <c r="P1264" s="55">
        <f>VLOOKUP(C1264,Customers!$A$2:$F$301,3,FALSE())</f>
        <v/>
      </c>
      <c r="Q1264" s="55">
        <f>UPPER(TRIM(K1264))</f>
        <v/>
      </c>
      <c r="R1264" s="55">
        <f>(G1264-O1264)/G1264</f>
        <v/>
      </c>
      <c r="S1264" s="55">
        <f>VLOOKUP(D1264,Products!$A$2:$F$61,6,FALSE())</f>
        <v/>
      </c>
    </row>
    <row r="1265" ht="15" customHeight="1" s="56">
      <c r="A1265" s="55">
        <f>Orders!A1265</f>
        <v/>
      </c>
      <c r="B1265" s="103">
        <f>Orders!B1265</f>
        <v/>
      </c>
      <c r="C1265" s="55">
        <f>Orders!C1265</f>
        <v/>
      </c>
      <c r="D1265" s="55">
        <f>Orders!D1265</f>
        <v/>
      </c>
      <c r="E1265" s="55">
        <f>Orders!E1265</f>
        <v/>
      </c>
      <c r="F1265" s="55">
        <f>Orders!F1265</f>
        <v/>
      </c>
      <c r="G1265" s="55">
        <f>Orders!G1265</f>
        <v/>
      </c>
      <c r="H1265" s="55">
        <f>Orders!H1265</f>
        <v/>
      </c>
      <c r="I1265" s="55">
        <f>Orders!I1265</f>
        <v/>
      </c>
      <c r="J1265" s="55">
        <f>Orders!J1265</f>
        <v/>
      </c>
      <c r="K1265" s="55">
        <f>Orders!K1265</f>
        <v/>
      </c>
      <c r="L1265" s="55">
        <f>VLOOKUP(D1265,Products!$A$2:$F$61,3,FALSE())</f>
        <v/>
      </c>
      <c r="M1265" s="55">
        <f>VLOOKUP(C1265,Customers!$A$2:$F$301,5,FALSE())</f>
        <v/>
      </c>
      <c r="N1265" s="55">
        <f>VLOOKUP(E1265,Sales_Reps!$A$2:$E$31,3,FALSE())</f>
        <v/>
      </c>
      <c r="O1265" s="55">
        <f>VLOOKUP(D1265,Products!$A$2:$F$61,4,FALSE())</f>
        <v/>
      </c>
      <c r="P1265" s="55">
        <f>VLOOKUP(C1265,Customers!$A$2:$F$301,3,FALSE())</f>
        <v/>
      </c>
      <c r="Q1265" s="55">
        <f>UPPER(TRIM(K1265))</f>
        <v/>
      </c>
      <c r="R1265" s="55">
        <f>(G1265-O1265)/G1265</f>
        <v/>
      </c>
      <c r="S1265" s="55">
        <f>VLOOKUP(D1265,Products!$A$2:$F$61,6,FALSE())</f>
        <v/>
      </c>
    </row>
    <row r="1266" ht="15" customHeight="1" s="56">
      <c r="A1266" s="55">
        <f>Orders!A1266</f>
        <v/>
      </c>
      <c r="B1266" s="103">
        <f>Orders!B1266</f>
        <v/>
      </c>
      <c r="C1266" s="55">
        <f>Orders!C1266</f>
        <v/>
      </c>
      <c r="D1266" s="55">
        <f>Orders!D1266</f>
        <v/>
      </c>
      <c r="E1266" s="55">
        <f>Orders!E1266</f>
        <v/>
      </c>
      <c r="F1266" s="55">
        <f>Orders!F1266</f>
        <v/>
      </c>
      <c r="G1266" s="55">
        <f>Orders!G1266</f>
        <v/>
      </c>
      <c r="H1266" s="55">
        <f>Orders!H1266</f>
        <v/>
      </c>
      <c r="I1266" s="55">
        <f>Orders!I1266</f>
        <v/>
      </c>
      <c r="J1266" s="55">
        <f>Orders!J1266</f>
        <v/>
      </c>
      <c r="K1266" s="55">
        <f>Orders!K1266</f>
        <v/>
      </c>
      <c r="L1266" s="55">
        <f>VLOOKUP(D1266,Products!$A$2:$F$61,3,FALSE())</f>
        <v/>
      </c>
      <c r="M1266" s="55">
        <f>VLOOKUP(C1266,Customers!$A$2:$F$301,5,FALSE())</f>
        <v/>
      </c>
      <c r="N1266" s="55">
        <f>VLOOKUP(E1266,Sales_Reps!$A$2:$E$31,3,FALSE())</f>
        <v/>
      </c>
      <c r="O1266" s="55">
        <f>VLOOKUP(D1266,Products!$A$2:$F$61,4,FALSE())</f>
        <v/>
      </c>
      <c r="P1266" s="55">
        <f>VLOOKUP(C1266,Customers!$A$2:$F$301,3,FALSE())</f>
        <v/>
      </c>
      <c r="Q1266" s="55">
        <f>UPPER(TRIM(K1266))</f>
        <v/>
      </c>
      <c r="R1266" s="55">
        <f>(G1266-O1266)/G1266</f>
        <v/>
      </c>
      <c r="S1266" s="55">
        <f>VLOOKUP(D1266,Products!$A$2:$F$61,6,FALSE())</f>
        <v/>
      </c>
    </row>
    <row r="1267" ht="15" customHeight="1" s="56">
      <c r="A1267" s="55">
        <f>Orders!A1267</f>
        <v/>
      </c>
      <c r="B1267" s="103">
        <f>Orders!B1267</f>
        <v/>
      </c>
      <c r="C1267" s="55">
        <f>Orders!C1267</f>
        <v/>
      </c>
      <c r="D1267" s="55">
        <f>Orders!D1267</f>
        <v/>
      </c>
      <c r="E1267" s="55">
        <f>Orders!E1267</f>
        <v/>
      </c>
      <c r="F1267" s="55">
        <f>Orders!F1267</f>
        <v/>
      </c>
      <c r="G1267" s="55">
        <f>Orders!G1267</f>
        <v/>
      </c>
      <c r="H1267" s="55">
        <f>Orders!H1267</f>
        <v/>
      </c>
      <c r="I1267" s="55">
        <f>Orders!I1267</f>
        <v/>
      </c>
      <c r="J1267" s="55">
        <f>Orders!J1267</f>
        <v/>
      </c>
      <c r="K1267" s="55">
        <f>Orders!K1267</f>
        <v/>
      </c>
      <c r="L1267" s="55">
        <f>VLOOKUP(D1267,Products!$A$2:$F$61,3,FALSE())</f>
        <v/>
      </c>
      <c r="M1267" s="55">
        <f>VLOOKUP(C1267,Customers!$A$2:$F$301,5,FALSE())</f>
        <v/>
      </c>
      <c r="N1267" s="55">
        <f>VLOOKUP(E1267,Sales_Reps!$A$2:$E$31,3,FALSE())</f>
        <v/>
      </c>
      <c r="O1267" s="55">
        <f>VLOOKUP(D1267,Products!$A$2:$F$61,4,FALSE())</f>
        <v/>
      </c>
      <c r="P1267" s="55">
        <f>VLOOKUP(C1267,Customers!$A$2:$F$301,3,FALSE())</f>
        <v/>
      </c>
      <c r="Q1267" s="55">
        <f>UPPER(TRIM(K1267))</f>
        <v/>
      </c>
      <c r="R1267" s="55">
        <f>(G1267-O1267)/G1267</f>
        <v/>
      </c>
      <c r="S1267" s="55">
        <f>VLOOKUP(D1267,Products!$A$2:$F$61,6,FALSE())</f>
        <v/>
      </c>
    </row>
    <row r="1268" ht="15" customHeight="1" s="56">
      <c r="A1268" s="55">
        <f>Orders!A1268</f>
        <v/>
      </c>
      <c r="B1268" s="103">
        <f>Orders!B1268</f>
        <v/>
      </c>
      <c r="C1268" s="55">
        <f>Orders!C1268</f>
        <v/>
      </c>
      <c r="D1268" s="55">
        <f>Orders!D1268</f>
        <v/>
      </c>
      <c r="E1268" s="55">
        <f>Orders!E1268</f>
        <v/>
      </c>
      <c r="F1268" s="55">
        <f>Orders!F1268</f>
        <v/>
      </c>
      <c r="G1268" s="55">
        <f>Orders!G1268</f>
        <v/>
      </c>
      <c r="H1268" s="55">
        <f>Orders!H1268</f>
        <v/>
      </c>
      <c r="I1268" s="55">
        <f>Orders!I1268</f>
        <v/>
      </c>
      <c r="J1268" s="55">
        <f>Orders!J1268</f>
        <v/>
      </c>
      <c r="K1268" s="55">
        <f>Orders!K1268</f>
        <v/>
      </c>
      <c r="L1268" s="55">
        <f>VLOOKUP(D1268,Products!$A$2:$F$61,3,FALSE())</f>
        <v/>
      </c>
      <c r="M1268" s="55">
        <f>VLOOKUP(C1268,Customers!$A$2:$F$301,5,FALSE())</f>
        <v/>
      </c>
      <c r="N1268" s="55">
        <f>VLOOKUP(E1268,Sales_Reps!$A$2:$E$31,3,FALSE())</f>
        <v/>
      </c>
      <c r="O1268" s="55">
        <f>VLOOKUP(D1268,Products!$A$2:$F$61,4,FALSE())</f>
        <v/>
      </c>
      <c r="P1268" s="55">
        <f>VLOOKUP(C1268,Customers!$A$2:$F$301,3,FALSE())</f>
        <v/>
      </c>
      <c r="Q1268" s="55">
        <f>UPPER(TRIM(K1268))</f>
        <v/>
      </c>
      <c r="R1268" s="55">
        <f>(G1268-O1268)/G1268</f>
        <v/>
      </c>
      <c r="S1268" s="55">
        <f>VLOOKUP(D1268,Products!$A$2:$F$61,6,FALSE())</f>
        <v/>
      </c>
    </row>
    <row r="1269" ht="15" customHeight="1" s="56">
      <c r="A1269" s="55">
        <f>Orders!A1269</f>
        <v/>
      </c>
      <c r="B1269" s="103">
        <f>Orders!B1269</f>
        <v/>
      </c>
      <c r="C1269" s="55">
        <f>Orders!C1269</f>
        <v/>
      </c>
      <c r="D1269" s="55">
        <f>Orders!D1269</f>
        <v/>
      </c>
      <c r="E1269" s="55">
        <f>Orders!E1269</f>
        <v/>
      </c>
      <c r="F1269" s="55">
        <f>Orders!F1269</f>
        <v/>
      </c>
      <c r="G1269" s="55">
        <f>Orders!G1269</f>
        <v/>
      </c>
      <c r="H1269" s="55">
        <f>Orders!H1269</f>
        <v/>
      </c>
      <c r="I1269" s="55">
        <f>Orders!I1269</f>
        <v/>
      </c>
      <c r="J1269" s="55">
        <f>Orders!J1269</f>
        <v/>
      </c>
      <c r="K1269" s="55">
        <f>Orders!K1269</f>
        <v/>
      </c>
      <c r="L1269" s="55">
        <f>VLOOKUP(D1269,Products!$A$2:$F$61,3,FALSE())</f>
        <v/>
      </c>
      <c r="M1269" s="55">
        <f>VLOOKUP(C1269,Customers!$A$2:$F$301,5,FALSE())</f>
        <v/>
      </c>
      <c r="N1269" s="55">
        <f>VLOOKUP(E1269,Sales_Reps!$A$2:$E$31,3,FALSE())</f>
        <v/>
      </c>
      <c r="O1269" s="55">
        <f>VLOOKUP(D1269,Products!$A$2:$F$61,4,FALSE())</f>
        <v/>
      </c>
      <c r="P1269" s="55">
        <f>VLOOKUP(C1269,Customers!$A$2:$F$301,3,FALSE())</f>
        <v/>
      </c>
      <c r="Q1269" s="55">
        <f>UPPER(TRIM(K1269))</f>
        <v/>
      </c>
      <c r="R1269" s="55">
        <f>(G1269-O1269)/G1269</f>
        <v/>
      </c>
      <c r="S1269" s="55">
        <f>VLOOKUP(D1269,Products!$A$2:$F$61,6,FALSE())</f>
        <v/>
      </c>
    </row>
    <row r="1270" ht="15" customHeight="1" s="56">
      <c r="A1270" s="55">
        <f>Orders!A1270</f>
        <v/>
      </c>
      <c r="B1270" s="103">
        <f>Orders!B1270</f>
        <v/>
      </c>
      <c r="C1270" s="55">
        <f>Orders!C1270</f>
        <v/>
      </c>
      <c r="D1270" s="55">
        <f>Orders!D1270</f>
        <v/>
      </c>
      <c r="E1270" s="55">
        <f>Orders!E1270</f>
        <v/>
      </c>
      <c r="F1270" s="55">
        <f>Orders!F1270</f>
        <v/>
      </c>
      <c r="G1270" s="55">
        <f>Orders!G1270</f>
        <v/>
      </c>
      <c r="H1270" s="55">
        <f>Orders!H1270</f>
        <v/>
      </c>
      <c r="I1270" s="55">
        <f>Orders!I1270</f>
        <v/>
      </c>
      <c r="J1270" s="55">
        <f>Orders!J1270</f>
        <v/>
      </c>
      <c r="K1270" s="55">
        <f>Orders!K1270</f>
        <v/>
      </c>
      <c r="L1270" s="55">
        <f>VLOOKUP(D1270,Products!$A$2:$F$61,3,FALSE())</f>
        <v/>
      </c>
      <c r="M1270" s="55">
        <f>VLOOKUP(C1270,Customers!$A$2:$F$301,5,FALSE())</f>
        <v/>
      </c>
      <c r="N1270" s="55">
        <f>VLOOKUP(E1270,Sales_Reps!$A$2:$E$31,3,FALSE())</f>
        <v/>
      </c>
      <c r="O1270" s="55">
        <f>VLOOKUP(D1270,Products!$A$2:$F$61,4,FALSE())</f>
        <v/>
      </c>
      <c r="P1270" s="55">
        <f>VLOOKUP(C1270,Customers!$A$2:$F$301,3,FALSE())</f>
        <v/>
      </c>
      <c r="Q1270" s="55">
        <f>UPPER(TRIM(K1270))</f>
        <v/>
      </c>
      <c r="R1270" s="55">
        <f>(G1270-O1270)/G1270</f>
        <v/>
      </c>
      <c r="S1270" s="55">
        <f>VLOOKUP(D1270,Products!$A$2:$F$61,6,FALSE())</f>
        <v/>
      </c>
    </row>
    <row r="1271" ht="15" customHeight="1" s="56">
      <c r="A1271" s="55">
        <f>Orders!A1271</f>
        <v/>
      </c>
      <c r="B1271" s="103">
        <f>Orders!B1271</f>
        <v/>
      </c>
      <c r="C1271" s="55">
        <f>Orders!C1271</f>
        <v/>
      </c>
      <c r="D1271" s="55">
        <f>Orders!D1271</f>
        <v/>
      </c>
      <c r="E1271" s="55">
        <f>Orders!E1271</f>
        <v/>
      </c>
      <c r="F1271" s="55">
        <f>Orders!F1271</f>
        <v/>
      </c>
      <c r="G1271" s="55">
        <f>Orders!G1271</f>
        <v/>
      </c>
      <c r="H1271" s="55">
        <f>Orders!H1271</f>
        <v/>
      </c>
      <c r="I1271" s="55">
        <f>Orders!I1271</f>
        <v/>
      </c>
      <c r="J1271" s="55">
        <f>Orders!J1271</f>
        <v/>
      </c>
      <c r="K1271" s="55">
        <f>Orders!K1271</f>
        <v/>
      </c>
      <c r="L1271" s="55">
        <f>VLOOKUP(D1271,Products!$A$2:$F$61,3,FALSE())</f>
        <v/>
      </c>
      <c r="M1271" s="55">
        <f>VLOOKUP(C1271,Customers!$A$2:$F$301,5,FALSE())</f>
        <v/>
      </c>
      <c r="N1271" s="55">
        <f>VLOOKUP(E1271,Sales_Reps!$A$2:$E$31,3,FALSE())</f>
        <v/>
      </c>
      <c r="O1271" s="55">
        <f>VLOOKUP(D1271,Products!$A$2:$F$61,4,FALSE())</f>
        <v/>
      </c>
      <c r="P1271" s="55">
        <f>VLOOKUP(C1271,Customers!$A$2:$F$301,3,FALSE())</f>
        <v/>
      </c>
      <c r="Q1271" s="55">
        <f>UPPER(TRIM(K1271))</f>
        <v/>
      </c>
      <c r="R1271" s="55">
        <f>(G1271-O1271)/G1271</f>
        <v/>
      </c>
      <c r="S1271" s="55">
        <f>VLOOKUP(D1271,Products!$A$2:$F$61,6,FALSE())</f>
        <v/>
      </c>
    </row>
    <row r="1272" ht="15" customHeight="1" s="56">
      <c r="A1272" s="55">
        <f>Orders!A1272</f>
        <v/>
      </c>
      <c r="B1272" s="103">
        <f>Orders!B1272</f>
        <v/>
      </c>
      <c r="C1272" s="55">
        <f>Orders!C1272</f>
        <v/>
      </c>
      <c r="D1272" s="55">
        <f>Orders!D1272</f>
        <v/>
      </c>
      <c r="E1272" s="55">
        <f>Orders!E1272</f>
        <v/>
      </c>
      <c r="F1272" s="55">
        <f>Orders!F1272</f>
        <v/>
      </c>
      <c r="G1272" s="55">
        <f>Orders!G1272</f>
        <v/>
      </c>
      <c r="H1272" s="55">
        <f>Orders!H1272</f>
        <v/>
      </c>
      <c r="I1272" s="55">
        <f>Orders!I1272</f>
        <v/>
      </c>
      <c r="J1272" s="55">
        <f>Orders!J1272</f>
        <v/>
      </c>
      <c r="K1272" s="55">
        <f>Orders!K1272</f>
        <v/>
      </c>
      <c r="L1272" s="55">
        <f>VLOOKUP(D1272,Products!$A$2:$F$61,3,FALSE())</f>
        <v/>
      </c>
      <c r="M1272" s="55">
        <f>VLOOKUP(C1272,Customers!$A$2:$F$301,5,FALSE())</f>
        <v/>
      </c>
      <c r="N1272" s="55">
        <f>VLOOKUP(E1272,Sales_Reps!$A$2:$E$31,3,FALSE())</f>
        <v/>
      </c>
      <c r="O1272" s="55">
        <f>VLOOKUP(D1272,Products!$A$2:$F$61,4,FALSE())</f>
        <v/>
      </c>
      <c r="P1272" s="55">
        <f>VLOOKUP(C1272,Customers!$A$2:$F$301,3,FALSE())</f>
        <v/>
      </c>
      <c r="Q1272" s="55">
        <f>UPPER(TRIM(K1272))</f>
        <v/>
      </c>
      <c r="R1272" s="55">
        <f>(G1272-O1272)/G1272</f>
        <v/>
      </c>
      <c r="S1272" s="55">
        <f>VLOOKUP(D1272,Products!$A$2:$F$61,6,FALSE())</f>
        <v/>
      </c>
    </row>
    <row r="1273" ht="15" customHeight="1" s="56">
      <c r="A1273" s="55">
        <f>Orders!A1273</f>
        <v/>
      </c>
      <c r="B1273" s="103">
        <f>Orders!B1273</f>
        <v/>
      </c>
      <c r="C1273" s="55">
        <f>Orders!C1273</f>
        <v/>
      </c>
      <c r="D1273" s="55">
        <f>Orders!D1273</f>
        <v/>
      </c>
      <c r="E1273" s="55">
        <f>Orders!E1273</f>
        <v/>
      </c>
      <c r="F1273" s="55">
        <f>Orders!F1273</f>
        <v/>
      </c>
      <c r="G1273" s="55">
        <f>Orders!G1273</f>
        <v/>
      </c>
      <c r="H1273" s="55">
        <f>Orders!H1273</f>
        <v/>
      </c>
      <c r="I1273" s="55">
        <f>Orders!I1273</f>
        <v/>
      </c>
      <c r="J1273" s="55">
        <f>Orders!J1273</f>
        <v/>
      </c>
      <c r="K1273" s="55">
        <f>Orders!K1273</f>
        <v/>
      </c>
      <c r="L1273" s="55">
        <f>VLOOKUP(D1273,Products!$A$2:$F$61,3,FALSE())</f>
        <v/>
      </c>
      <c r="M1273" s="55">
        <f>VLOOKUP(C1273,Customers!$A$2:$F$301,5,FALSE())</f>
        <v/>
      </c>
      <c r="N1273" s="55">
        <f>VLOOKUP(E1273,Sales_Reps!$A$2:$E$31,3,FALSE())</f>
        <v/>
      </c>
      <c r="O1273" s="55">
        <f>VLOOKUP(D1273,Products!$A$2:$F$61,4,FALSE())</f>
        <v/>
      </c>
      <c r="P1273" s="55">
        <f>VLOOKUP(C1273,Customers!$A$2:$F$301,3,FALSE())</f>
        <v/>
      </c>
      <c r="Q1273" s="55">
        <f>UPPER(TRIM(K1273))</f>
        <v/>
      </c>
      <c r="R1273" s="55">
        <f>(G1273-O1273)/G1273</f>
        <v/>
      </c>
      <c r="S1273" s="55">
        <f>VLOOKUP(D1273,Products!$A$2:$F$61,6,FALSE())</f>
        <v/>
      </c>
    </row>
    <row r="1274" ht="15" customHeight="1" s="56">
      <c r="A1274" s="55">
        <f>Orders!A1274</f>
        <v/>
      </c>
      <c r="B1274" s="103">
        <f>Orders!B1274</f>
        <v/>
      </c>
      <c r="C1274" s="55">
        <f>Orders!C1274</f>
        <v/>
      </c>
      <c r="D1274" s="55">
        <f>Orders!D1274</f>
        <v/>
      </c>
      <c r="E1274" s="55">
        <f>Orders!E1274</f>
        <v/>
      </c>
      <c r="F1274" s="55">
        <f>Orders!F1274</f>
        <v/>
      </c>
      <c r="G1274" s="55">
        <f>Orders!G1274</f>
        <v/>
      </c>
      <c r="H1274" s="55">
        <f>Orders!H1274</f>
        <v/>
      </c>
      <c r="I1274" s="55">
        <f>Orders!I1274</f>
        <v/>
      </c>
      <c r="J1274" s="55">
        <f>Orders!J1274</f>
        <v/>
      </c>
      <c r="K1274" s="55">
        <f>Orders!K1274</f>
        <v/>
      </c>
      <c r="L1274" s="55">
        <f>VLOOKUP(D1274,Products!$A$2:$F$61,3,FALSE())</f>
        <v/>
      </c>
      <c r="M1274" s="55">
        <f>VLOOKUP(C1274,Customers!$A$2:$F$301,5,FALSE())</f>
        <v/>
      </c>
      <c r="N1274" s="55">
        <f>VLOOKUP(E1274,Sales_Reps!$A$2:$E$31,3,FALSE())</f>
        <v/>
      </c>
      <c r="O1274" s="55">
        <f>VLOOKUP(D1274,Products!$A$2:$F$61,4,FALSE())</f>
        <v/>
      </c>
      <c r="P1274" s="55">
        <f>VLOOKUP(C1274,Customers!$A$2:$F$301,3,FALSE())</f>
        <v/>
      </c>
      <c r="Q1274" s="55">
        <f>UPPER(TRIM(K1274))</f>
        <v/>
      </c>
      <c r="R1274" s="55">
        <f>(G1274-O1274)/G1274</f>
        <v/>
      </c>
      <c r="S1274" s="55">
        <f>VLOOKUP(D1274,Products!$A$2:$F$61,6,FALSE())</f>
        <v/>
      </c>
    </row>
    <row r="1275" ht="15" customHeight="1" s="56">
      <c r="A1275" s="55">
        <f>Orders!A1275</f>
        <v/>
      </c>
      <c r="B1275" s="103">
        <f>Orders!B1275</f>
        <v/>
      </c>
      <c r="C1275" s="55">
        <f>Orders!C1275</f>
        <v/>
      </c>
      <c r="D1275" s="55">
        <f>Orders!D1275</f>
        <v/>
      </c>
      <c r="E1275" s="55">
        <f>Orders!E1275</f>
        <v/>
      </c>
      <c r="F1275" s="55">
        <f>Orders!F1275</f>
        <v/>
      </c>
      <c r="G1275" s="55">
        <f>Orders!G1275</f>
        <v/>
      </c>
      <c r="H1275" s="55">
        <f>Orders!H1275</f>
        <v/>
      </c>
      <c r="I1275" s="55">
        <f>Orders!I1275</f>
        <v/>
      </c>
      <c r="J1275" s="55">
        <f>Orders!J1275</f>
        <v/>
      </c>
      <c r="K1275" s="55">
        <f>Orders!K1275</f>
        <v/>
      </c>
      <c r="L1275" s="55">
        <f>VLOOKUP(D1275,Products!$A$2:$F$61,3,FALSE())</f>
        <v/>
      </c>
      <c r="M1275" s="55">
        <f>VLOOKUP(C1275,Customers!$A$2:$F$301,5,FALSE())</f>
        <v/>
      </c>
      <c r="N1275" s="55">
        <f>VLOOKUP(E1275,Sales_Reps!$A$2:$E$31,3,FALSE())</f>
        <v/>
      </c>
      <c r="O1275" s="55">
        <f>VLOOKUP(D1275,Products!$A$2:$F$61,4,FALSE())</f>
        <v/>
      </c>
      <c r="P1275" s="55">
        <f>VLOOKUP(C1275,Customers!$A$2:$F$301,3,FALSE())</f>
        <v/>
      </c>
      <c r="Q1275" s="55">
        <f>UPPER(TRIM(K1275))</f>
        <v/>
      </c>
      <c r="R1275" s="55">
        <f>(G1275-O1275)/G1275</f>
        <v/>
      </c>
      <c r="S1275" s="55">
        <f>VLOOKUP(D1275,Products!$A$2:$F$61,6,FALSE())</f>
        <v/>
      </c>
    </row>
    <row r="1276" ht="15" customHeight="1" s="56">
      <c r="A1276" s="55">
        <f>Orders!A1276</f>
        <v/>
      </c>
      <c r="B1276" s="103">
        <f>Orders!B1276</f>
        <v/>
      </c>
      <c r="C1276" s="55">
        <f>Orders!C1276</f>
        <v/>
      </c>
      <c r="D1276" s="55">
        <f>Orders!D1276</f>
        <v/>
      </c>
      <c r="E1276" s="55">
        <f>Orders!E1276</f>
        <v/>
      </c>
      <c r="F1276" s="55">
        <f>Orders!F1276</f>
        <v/>
      </c>
      <c r="G1276" s="55">
        <f>Orders!G1276</f>
        <v/>
      </c>
      <c r="H1276" s="55">
        <f>Orders!H1276</f>
        <v/>
      </c>
      <c r="I1276" s="55">
        <f>Orders!I1276</f>
        <v/>
      </c>
      <c r="J1276" s="55">
        <f>Orders!J1276</f>
        <v/>
      </c>
      <c r="K1276" s="55">
        <f>Orders!K1276</f>
        <v/>
      </c>
      <c r="L1276" s="55">
        <f>VLOOKUP(D1276,Products!$A$2:$F$61,3,FALSE())</f>
        <v/>
      </c>
      <c r="M1276" s="55">
        <f>VLOOKUP(C1276,Customers!$A$2:$F$301,5,FALSE())</f>
        <v/>
      </c>
      <c r="N1276" s="55">
        <f>VLOOKUP(E1276,Sales_Reps!$A$2:$E$31,3,FALSE())</f>
        <v/>
      </c>
      <c r="O1276" s="55">
        <f>VLOOKUP(D1276,Products!$A$2:$F$61,4,FALSE())</f>
        <v/>
      </c>
      <c r="P1276" s="55">
        <f>VLOOKUP(C1276,Customers!$A$2:$F$301,3,FALSE())</f>
        <v/>
      </c>
      <c r="Q1276" s="55">
        <f>UPPER(TRIM(K1276))</f>
        <v/>
      </c>
      <c r="R1276" s="55">
        <f>(G1276-O1276)/G1276</f>
        <v/>
      </c>
      <c r="S1276" s="55">
        <f>VLOOKUP(D1276,Products!$A$2:$F$61,6,FALSE())</f>
        <v/>
      </c>
    </row>
    <row r="1277" ht="15" customHeight="1" s="56">
      <c r="A1277" s="55">
        <f>Orders!A1277</f>
        <v/>
      </c>
      <c r="B1277" s="103">
        <f>Orders!B1277</f>
        <v/>
      </c>
      <c r="C1277" s="55">
        <f>Orders!C1277</f>
        <v/>
      </c>
      <c r="D1277" s="55">
        <f>Orders!D1277</f>
        <v/>
      </c>
      <c r="E1277" s="55">
        <f>Orders!E1277</f>
        <v/>
      </c>
      <c r="F1277" s="55">
        <f>Orders!F1277</f>
        <v/>
      </c>
      <c r="G1277" s="55">
        <f>Orders!G1277</f>
        <v/>
      </c>
      <c r="H1277" s="55">
        <f>Orders!H1277</f>
        <v/>
      </c>
      <c r="I1277" s="55">
        <f>Orders!I1277</f>
        <v/>
      </c>
      <c r="J1277" s="55">
        <f>Orders!J1277</f>
        <v/>
      </c>
      <c r="K1277" s="55">
        <f>Orders!K1277</f>
        <v/>
      </c>
      <c r="L1277" s="55">
        <f>VLOOKUP(D1277,Products!$A$2:$F$61,3,FALSE())</f>
        <v/>
      </c>
      <c r="M1277" s="55">
        <f>VLOOKUP(C1277,Customers!$A$2:$F$301,5,FALSE())</f>
        <v/>
      </c>
      <c r="N1277" s="55">
        <f>VLOOKUP(E1277,Sales_Reps!$A$2:$E$31,3,FALSE())</f>
        <v/>
      </c>
      <c r="O1277" s="55">
        <f>VLOOKUP(D1277,Products!$A$2:$F$61,4,FALSE())</f>
        <v/>
      </c>
      <c r="P1277" s="55">
        <f>VLOOKUP(C1277,Customers!$A$2:$F$301,3,FALSE())</f>
        <v/>
      </c>
      <c r="Q1277" s="55">
        <f>UPPER(TRIM(K1277))</f>
        <v/>
      </c>
      <c r="R1277" s="55">
        <f>(G1277-O1277)/G1277</f>
        <v/>
      </c>
      <c r="S1277" s="55">
        <f>VLOOKUP(D1277,Products!$A$2:$F$61,6,FALSE())</f>
        <v/>
      </c>
    </row>
    <row r="1278" ht="15" customHeight="1" s="56">
      <c r="A1278" s="55">
        <f>Orders!A1278</f>
        <v/>
      </c>
      <c r="B1278" s="103">
        <f>Orders!B1278</f>
        <v/>
      </c>
      <c r="C1278" s="55">
        <f>Orders!C1278</f>
        <v/>
      </c>
      <c r="D1278" s="55">
        <f>Orders!D1278</f>
        <v/>
      </c>
      <c r="E1278" s="55">
        <f>Orders!E1278</f>
        <v/>
      </c>
      <c r="F1278" s="55">
        <f>Orders!F1278</f>
        <v/>
      </c>
      <c r="G1278" s="55">
        <f>Orders!G1278</f>
        <v/>
      </c>
      <c r="H1278" s="55">
        <f>Orders!H1278</f>
        <v/>
      </c>
      <c r="I1278" s="55">
        <f>Orders!I1278</f>
        <v/>
      </c>
      <c r="J1278" s="55">
        <f>Orders!J1278</f>
        <v/>
      </c>
      <c r="K1278" s="55">
        <f>Orders!K1278</f>
        <v/>
      </c>
      <c r="L1278" s="55">
        <f>VLOOKUP(D1278,Products!$A$2:$F$61,3,FALSE())</f>
        <v/>
      </c>
      <c r="M1278" s="55">
        <f>VLOOKUP(C1278,Customers!$A$2:$F$301,5,FALSE())</f>
        <v/>
      </c>
      <c r="N1278" s="55">
        <f>VLOOKUP(E1278,Sales_Reps!$A$2:$E$31,3,FALSE())</f>
        <v/>
      </c>
      <c r="O1278" s="55">
        <f>VLOOKUP(D1278,Products!$A$2:$F$61,4,FALSE())</f>
        <v/>
      </c>
      <c r="P1278" s="55">
        <f>VLOOKUP(C1278,Customers!$A$2:$F$301,3,FALSE())</f>
        <v/>
      </c>
      <c r="Q1278" s="55">
        <f>UPPER(TRIM(K1278))</f>
        <v/>
      </c>
      <c r="R1278" s="55">
        <f>(G1278-O1278)/G1278</f>
        <v/>
      </c>
      <c r="S1278" s="55">
        <f>VLOOKUP(D1278,Products!$A$2:$F$61,6,FALSE())</f>
        <v/>
      </c>
    </row>
    <row r="1279" ht="15" customHeight="1" s="56">
      <c r="A1279" s="55">
        <f>Orders!A1279</f>
        <v/>
      </c>
      <c r="B1279" s="103">
        <f>Orders!B1279</f>
        <v/>
      </c>
      <c r="C1279" s="55">
        <f>Orders!C1279</f>
        <v/>
      </c>
      <c r="D1279" s="55">
        <f>Orders!D1279</f>
        <v/>
      </c>
      <c r="E1279" s="55">
        <f>Orders!E1279</f>
        <v/>
      </c>
      <c r="F1279" s="55">
        <f>Orders!F1279</f>
        <v/>
      </c>
      <c r="G1279" s="55">
        <f>Orders!G1279</f>
        <v/>
      </c>
      <c r="H1279" s="55">
        <f>Orders!H1279</f>
        <v/>
      </c>
      <c r="I1279" s="55">
        <f>Orders!I1279</f>
        <v/>
      </c>
      <c r="J1279" s="55">
        <f>Orders!J1279</f>
        <v/>
      </c>
      <c r="K1279" s="55">
        <f>Orders!K1279</f>
        <v/>
      </c>
      <c r="L1279" s="55">
        <f>VLOOKUP(D1279,Products!$A$2:$F$61,3,FALSE())</f>
        <v/>
      </c>
      <c r="M1279" s="55">
        <f>VLOOKUP(C1279,Customers!$A$2:$F$301,5,FALSE())</f>
        <v/>
      </c>
      <c r="N1279" s="55">
        <f>VLOOKUP(E1279,Sales_Reps!$A$2:$E$31,3,FALSE())</f>
        <v/>
      </c>
      <c r="O1279" s="55">
        <f>VLOOKUP(D1279,Products!$A$2:$F$61,4,FALSE())</f>
        <v/>
      </c>
      <c r="P1279" s="55">
        <f>VLOOKUP(C1279,Customers!$A$2:$F$301,3,FALSE())</f>
        <v/>
      </c>
      <c r="Q1279" s="55">
        <f>UPPER(TRIM(K1279))</f>
        <v/>
      </c>
      <c r="R1279" s="55">
        <f>(G1279-O1279)/G1279</f>
        <v/>
      </c>
      <c r="S1279" s="55">
        <f>VLOOKUP(D1279,Products!$A$2:$F$61,6,FALSE())</f>
        <v/>
      </c>
    </row>
    <row r="1280" ht="15" customHeight="1" s="56">
      <c r="A1280" s="55">
        <f>Orders!A1280</f>
        <v/>
      </c>
      <c r="B1280" s="103">
        <f>Orders!B1280</f>
        <v/>
      </c>
      <c r="C1280" s="55">
        <f>Orders!C1280</f>
        <v/>
      </c>
      <c r="D1280" s="55">
        <f>Orders!D1280</f>
        <v/>
      </c>
      <c r="E1280" s="55">
        <f>Orders!E1280</f>
        <v/>
      </c>
      <c r="F1280" s="55">
        <f>Orders!F1280</f>
        <v/>
      </c>
      <c r="G1280" s="55">
        <f>Orders!G1280</f>
        <v/>
      </c>
      <c r="H1280" s="55">
        <f>Orders!H1280</f>
        <v/>
      </c>
      <c r="I1280" s="55">
        <f>Orders!I1280</f>
        <v/>
      </c>
      <c r="J1280" s="55">
        <f>Orders!J1280</f>
        <v/>
      </c>
      <c r="K1280" s="55">
        <f>Orders!K1280</f>
        <v/>
      </c>
      <c r="L1280" s="55">
        <f>VLOOKUP(D1280,Products!$A$2:$F$61,3,FALSE())</f>
        <v/>
      </c>
      <c r="M1280" s="55">
        <f>VLOOKUP(C1280,Customers!$A$2:$F$301,5,FALSE())</f>
        <v/>
      </c>
      <c r="N1280" s="55">
        <f>VLOOKUP(E1280,Sales_Reps!$A$2:$E$31,3,FALSE())</f>
        <v/>
      </c>
      <c r="O1280" s="55">
        <f>VLOOKUP(D1280,Products!$A$2:$F$61,4,FALSE())</f>
        <v/>
      </c>
      <c r="P1280" s="55">
        <f>VLOOKUP(C1280,Customers!$A$2:$F$301,3,FALSE())</f>
        <v/>
      </c>
      <c r="Q1280" s="55">
        <f>UPPER(TRIM(K1280))</f>
        <v/>
      </c>
      <c r="R1280" s="55">
        <f>(G1280-O1280)/G1280</f>
        <v/>
      </c>
      <c r="S1280" s="55">
        <f>VLOOKUP(D1280,Products!$A$2:$F$61,6,FALSE())</f>
        <v/>
      </c>
    </row>
    <row r="1281" ht="15" customHeight="1" s="56">
      <c r="A1281" s="55">
        <f>Orders!A1281</f>
        <v/>
      </c>
      <c r="B1281" s="103">
        <f>Orders!B1281</f>
        <v/>
      </c>
      <c r="C1281" s="55">
        <f>Orders!C1281</f>
        <v/>
      </c>
      <c r="D1281" s="55">
        <f>Orders!D1281</f>
        <v/>
      </c>
      <c r="E1281" s="55">
        <f>Orders!E1281</f>
        <v/>
      </c>
      <c r="F1281" s="55">
        <f>Orders!F1281</f>
        <v/>
      </c>
      <c r="G1281" s="55">
        <f>Orders!G1281</f>
        <v/>
      </c>
      <c r="H1281" s="55">
        <f>Orders!H1281</f>
        <v/>
      </c>
      <c r="I1281" s="55">
        <f>Orders!I1281</f>
        <v/>
      </c>
      <c r="J1281" s="55">
        <f>Orders!J1281</f>
        <v/>
      </c>
      <c r="K1281" s="55">
        <f>Orders!K1281</f>
        <v/>
      </c>
      <c r="L1281" s="55">
        <f>VLOOKUP(D1281,Products!$A$2:$F$61,3,FALSE())</f>
        <v/>
      </c>
      <c r="M1281" s="55">
        <f>VLOOKUP(C1281,Customers!$A$2:$F$301,5,FALSE())</f>
        <v/>
      </c>
      <c r="N1281" s="55">
        <f>VLOOKUP(E1281,Sales_Reps!$A$2:$E$31,3,FALSE())</f>
        <v/>
      </c>
      <c r="O1281" s="55">
        <f>VLOOKUP(D1281,Products!$A$2:$F$61,4,FALSE())</f>
        <v/>
      </c>
      <c r="P1281" s="55">
        <f>VLOOKUP(C1281,Customers!$A$2:$F$301,3,FALSE())</f>
        <v/>
      </c>
      <c r="Q1281" s="55">
        <f>UPPER(TRIM(K1281))</f>
        <v/>
      </c>
      <c r="R1281" s="55">
        <f>(G1281-O1281)/G1281</f>
        <v/>
      </c>
      <c r="S1281" s="55">
        <f>VLOOKUP(D1281,Products!$A$2:$F$61,6,FALSE())</f>
        <v/>
      </c>
    </row>
    <row r="1282" ht="15" customHeight="1" s="56">
      <c r="A1282" s="55">
        <f>Orders!A1282</f>
        <v/>
      </c>
      <c r="B1282" s="103">
        <f>Orders!B1282</f>
        <v/>
      </c>
      <c r="C1282" s="55">
        <f>Orders!C1282</f>
        <v/>
      </c>
      <c r="D1282" s="55">
        <f>Orders!D1282</f>
        <v/>
      </c>
      <c r="E1282" s="55">
        <f>Orders!E1282</f>
        <v/>
      </c>
      <c r="F1282" s="55">
        <f>Orders!F1282</f>
        <v/>
      </c>
      <c r="G1282" s="55">
        <f>Orders!G1282</f>
        <v/>
      </c>
      <c r="H1282" s="55">
        <f>Orders!H1282</f>
        <v/>
      </c>
      <c r="I1282" s="55">
        <f>Orders!I1282</f>
        <v/>
      </c>
      <c r="J1282" s="55">
        <f>Orders!J1282</f>
        <v/>
      </c>
      <c r="K1282" s="55">
        <f>Orders!K1282</f>
        <v/>
      </c>
      <c r="L1282" s="55">
        <f>VLOOKUP(D1282,Products!$A$2:$F$61,3,FALSE())</f>
        <v/>
      </c>
      <c r="M1282" s="55">
        <f>VLOOKUP(C1282,Customers!$A$2:$F$301,5,FALSE())</f>
        <v/>
      </c>
      <c r="N1282" s="55">
        <f>VLOOKUP(E1282,Sales_Reps!$A$2:$E$31,3,FALSE())</f>
        <v/>
      </c>
      <c r="O1282" s="55">
        <f>VLOOKUP(D1282,Products!$A$2:$F$61,4,FALSE())</f>
        <v/>
      </c>
      <c r="P1282" s="55">
        <f>VLOOKUP(C1282,Customers!$A$2:$F$301,3,FALSE())</f>
        <v/>
      </c>
      <c r="Q1282" s="55">
        <f>UPPER(TRIM(K1282))</f>
        <v/>
      </c>
      <c r="R1282" s="55">
        <f>(G1282-O1282)/G1282</f>
        <v/>
      </c>
      <c r="S1282" s="55">
        <f>VLOOKUP(D1282,Products!$A$2:$F$61,6,FALSE())</f>
        <v/>
      </c>
    </row>
    <row r="1283" ht="15" customHeight="1" s="56">
      <c r="A1283" s="55">
        <f>Orders!A1283</f>
        <v/>
      </c>
      <c r="B1283" s="103">
        <f>Orders!B1283</f>
        <v/>
      </c>
      <c r="C1283" s="55">
        <f>Orders!C1283</f>
        <v/>
      </c>
      <c r="D1283" s="55">
        <f>Orders!D1283</f>
        <v/>
      </c>
      <c r="E1283" s="55">
        <f>Orders!E1283</f>
        <v/>
      </c>
      <c r="F1283" s="55">
        <f>Orders!F1283</f>
        <v/>
      </c>
      <c r="G1283" s="55">
        <f>Orders!G1283</f>
        <v/>
      </c>
      <c r="H1283" s="55">
        <f>Orders!H1283</f>
        <v/>
      </c>
      <c r="I1283" s="55">
        <f>Orders!I1283</f>
        <v/>
      </c>
      <c r="J1283" s="55">
        <f>Orders!J1283</f>
        <v/>
      </c>
      <c r="K1283" s="55">
        <f>Orders!K1283</f>
        <v/>
      </c>
      <c r="L1283" s="55">
        <f>VLOOKUP(D1283,Products!$A$2:$F$61,3,FALSE())</f>
        <v/>
      </c>
      <c r="M1283" s="55">
        <f>VLOOKUP(C1283,Customers!$A$2:$F$301,5,FALSE())</f>
        <v/>
      </c>
      <c r="N1283" s="55">
        <f>VLOOKUP(E1283,Sales_Reps!$A$2:$E$31,3,FALSE())</f>
        <v/>
      </c>
      <c r="O1283" s="55">
        <f>VLOOKUP(D1283,Products!$A$2:$F$61,4,FALSE())</f>
        <v/>
      </c>
      <c r="P1283" s="55">
        <f>VLOOKUP(C1283,Customers!$A$2:$F$301,3,FALSE())</f>
        <v/>
      </c>
      <c r="Q1283" s="55">
        <f>UPPER(TRIM(K1283))</f>
        <v/>
      </c>
      <c r="R1283" s="55">
        <f>(G1283-O1283)/G1283</f>
        <v/>
      </c>
      <c r="S1283" s="55">
        <f>VLOOKUP(D1283,Products!$A$2:$F$61,6,FALSE())</f>
        <v/>
      </c>
    </row>
    <row r="1284" ht="15" customHeight="1" s="56">
      <c r="A1284" s="55">
        <f>Orders!A1284</f>
        <v/>
      </c>
      <c r="B1284" s="103">
        <f>Orders!B1284</f>
        <v/>
      </c>
      <c r="C1284" s="55">
        <f>Orders!C1284</f>
        <v/>
      </c>
      <c r="D1284" s="55">
        <f>Orders!D1284</f>
        <v/>
      </c>
      <c r="E1284" s="55">
        <f>Orders!E1284</f>
        <v/>
      </c>
      <c r="F1284" s="55">
        <f>Orders!F1284</f>
        <v/>
      </c>
      <c r="G1284" s="55">
        <f>Orders!G1284</f>
        <v/>
      </c>
      <c r="H1284" s="55">
        <f>Orders!H1284</f>
        <v/>
      </c>
      <c r="I1284" s="55">
        <f>Orders!I1284</f>
        <v/>
      </c>
      <c r="J1284" s="55">
        <f>Orders!J1284</f>
        <v/>
      </c>
      <c r="K1284" s="55">
        <f>Orders!K1284</f>
        <v/>
      </c>
      <c r="L1284" s="55">
        <f>VLOOKUP(D1284,Products!$A$2:$F$61,3,FALSE())</f>
        <v/>
      </c>
      <c r="M1284" s="55">
        <f>VLOOKUP(C1284,Customers!$A$2:$F$301,5,FALSE())</f>
        <v/>
      </c>
      <c r="N1284" s="55">
        <f>VLOOKUP(E1284,Sales_Reps!$A$2:$E$31,3,FALSE())</f>
        <v/>
      </c>
      <c r="O1284" s="55">
        <f>VLOOKUP(D1284,Products!$A$2:$F$61,4,FALSE())</f>
        <v/>
      </c>
      <c r="P1284" s="55">
        <f>VLOOKUP(C1284,Customers!$A$2:$F$301,3,FALSE())</f>
        <v/>
      </c>
      <c r="Q1284" s="55">
        <f>UPPER(TRIM(K1284))</f>
        <v/>
      </c>
      <c r="R1284" s="55">
        <f>(G1284-O1284)/G1284</f>
        <v/>
      </c>
      <c r="S1284" s="55">
        <f>VLOOKUP(D1284,Products!$A$2:$F$61,6,FALSE())</f>
        <v/>
      </c>
    </row>
    <row r="1285" ht="15" customHeight="1" s="56">
      <c r="A1285" s="55">
        <f>Orders!A1285</f>
        <v/>
      </c>
      <c r="B1285" s="103">
        <f>Orders!B1285</f>
        <v/>
      </c>
      <c r="C1285" s="55">
        <f>Orders!C1285</f>
        <v/>
      </c>
      <c r="D1285" s="55">
        <f>Orders!D1285</f>
        <v/>
      </c>
      <c r="E1285" s="55">
        <f>Orders!E1285</f>
        <v/>
      </c>
      <c r="F1285" s="55">
        <f>Orders!F1285</f>
        <v/>
      </c>
      <c r="G1285" s="55">
        <f>Orders!G1285</f>
        <v/>
      </c>
      <c r="H1285" s="55">
        <f>Orders!H1285</f>
        <v/>
      </c>
      <c r="I1285" s="55">
        <f>Orders!I1285</f>
        <v/>
      </c>
      <c r="J1285" s="55">
        <f>Orders!J1285</f>
        <v/>
      </c>
      <c r="K1285" s="55">
        <f>Orders!K1285</f>
        <v/>
      </c>
      <c r="L1285" s="55">
        <f>VLOOKUP(D1285,Products!$A$2:$F$61,3,FALSE())</f>
        <v/>
      </c>
      <c r="M1285" s="55">
        <f>VLOOKUP(C1285,Customers!$A$2:$F$301,5,FALSE())</f>
        <v/>
      </c>
      <c r="N1285" s="55">
        <f>VLOOKUP(E1285,Sales_Reps!$A$2:$E$31,3,FALSE())</f>
        <v/>
      </c>
      <c r="O1285" s="55">
        <f>VLOOKUP(D1285,Products!$A$2:$F$61,4,FALSE())</f>
        <v/>
      </c>
      <c r="P1285" s="55">
        <f>VLOOKUP(C1285,Customers!$A$2:$F$301,3,FALSE())</f>
        <v/>
      </c>
      <c r="Q1285" s="55">
        <f>UPPER(TRIM(K1285))</f>
        <v/>
      </c>
      <c r="R1285" s="55">
        <f>(G1285-O1285)/G1285</f>
        <v/>
      </c>
      <c r="S1285" s="55">
        <f>VLOOKUP(D1285,Products!$A$2:$F$61,6,FALSE())</f>
        <v/>
      </c>
    </row>
    <row r="1286" ht="15" customHeight="1" s="56">
      <c r="A1286" s="55">
        <f>Orders!A1286</f>
        <v/>
      </c>
      <c r="B1286" s="103">
        <f>Orders!B1286</f>
        <v/>
      </c>
      <c r="C1286" s="55">
        <f>Orders!C1286</f>
        <v/>
      </c>
      <c r="D1286" s="55">
        <f>Orders!D1286</f>
        <v/>
      </c>
      <c r="E1286" s="55">
        <f>Orders!E1286</f>
        <v/>
      </c>
      <c r="F1286" s="55">
        <f>Orders!F1286</f>
        <v/>
      </c>
      <c r="G1286" s="55">
        <f>Orders!G1286</f>
        <v/>
      </c>
      <c r="H1286" s="55">
        <f>Orders!H1286</f>
        <v/>
      </c>
      <c r="I1286" s="55">
        <f>Orders!I1286</f>
        <v/>
      </c>
      <c r="J1286" s="55">
        <f>Orders!J1286</f>
        <v/>
      </c>
      <c r="K1286" s="55">
        <f>Orders!K1286</f>
        <v/>
      </c>
      <c r="L1286" s="55">
        <f>VLOOKUP(D1286,Products!$A$2:$F$61,3,FALSE())</f>
        <v/>
      </c>
      <c r="M1286" s="55">
        <f>VLOOKUP(C1286,Customers!$A$2:$F$301,5,FALSE())</f>
        <v/>
      </c>
      <c r="N1286" s="55">
        <f>VLOOKUP(E1286,Sales_Reps!$A$2:$E$31,3,FALSE())</f>
        <v/>
      </c>
      <c r="O1286" s="55">
        <f>VLOOKUP(D1286,Products!$A$2:$F$61,4,FALSE())</f>
        <v/>
      </c>
      <c r="P1286" s="55">
        <f>VLOOKUP(C1286,Customers!$A$2:$F$301,3,FALSE())</f>
        <v/>
      </c>
      <c r="Q1286" s="55">
        <f>UPPER(TRIM(K1286))</f>
        <v/>
      </c>
      <c r="R1286" s="55">
        <f>(G1286-O1286)/G1286</f>
        <v/>
      </c>
      <c r="S1286" s="55">
        <f>VLOOKUP(D1286,Products!$A$2:$F$61,6,FALSE())</f>
        <v/>
      </c>
    </row>
    <row r="1287" ht="15" customHeight="1" s="56">
      <c r="A1287" s="55">
        <f>Orders!A1287</f>
        <v/>
      </c>
      <c r="B1287" s="103">
        <f>Orders!B1287</f>
        <v/>
      </c>
      <c r="C1287" s="55">
        <f>Orders!C1287</f>
        <v/>
      </c>
      <c r="D1287" s="55">
        <f>Orders!D1287</f>
        <v/>
      </c>
      <c r="E1287" s="55">
        <f>Orders!E1287</f>
        <v/>
      </c>
      <c r="F1287" s="55">
        <f>Orders!F1287</f>
        <v/>
      </c>
      <c r="G1287" s="55">
        <f>Orders!G1287</f>
        <v/>
      </c>
      <c r="H1287" s="55">
        <f>Orders!H1287</f>
        <v/>
      </c>
      <c r="I1287" s="55">
        <f>Orders!I1287</f>
        <v/>
      </c>
      <c r="J1287" s="55">
        <f>Orders!J1287</f>
        <v/>
      </c>
      <c r="K1287" s="55">
        <f>Orders!K1287</f>
        <v/>
      </c>
      <c r="L1287" s="55">
        <f>VLOOKUP(D1287,Products!$A$2:$F$61,3,FALSE())</f>
        <v/>
      </c>
      <c r="M1287" s="55">
        <f>VLOOKUP(C1287,Customers!$A$2:$F$301,5,FALSE())</f>
        <v/>
      </c>
      <c r="N1287" s="55">
        <f>VLOOKUP(E1287,Sales_Reps!$A$2:$E$31,3,FALSE())</f>
        <v/>
      </c>
      <c r="O1287" s="55">
        <f>VLOOKUP(D1287,Products!$A$2:$F$61,4,FALSE())</f>
        <v/>
      </c>
      <c r="P1287" s="55">
        <f>VLOOKUP(C1287,Customers!$A$2:$F$301,3,FALSE())</f>
        <v/>
      </c>
      <c r="Q1287" s="55">
        <f>UPPER(TRIM(K1287))</f>
        <v/>
      </c>
      <c r="R1287" s="55">
        <f>(G1287-O1287)/G1287</f>
        <v/>
      </c>
      <c r="S1287" s="55">
        <f>VLOOKUP(D1287,Products!$A$2:$F$61,6,FALSE())</f>
        <v/>
      </c>
    </row>
    <row r="1288" ht="15" customHeight="1" s="56">
      <c r="A1288" s="55">
        <f>Orders!A1288</f>
        <v/>
      </c>
      <c r="B1288" s="103">
        <f>Orders!B1288</f>
        <v/>
      </c>
      <c r="C1288" s="55">
        <f>Orders!C1288</f>
        <v/>
      </c>
      <c r="D1288" s="55">
        <f>Orders!D1288</f>
        <v/>
      </c>
      <c r="E1288" s="55">
        <f>Orders!E1288</f>
        <v/>
      </c>
      <c r="F1288" s="55">
        <f>Orders!F1288</f>
        <v/>
      </c>
      <c r="G1288" s="55">
        <f>Orders!G1288</f>
        <v/>
      </c>
      <c r="H1288" s="55">
        <f>Orders!H1288</f>
        <v/>
      </c>
      <c r="I1288" s="55">
        <f>Orders!I1288</f>
        <v/>
      </c>
      <c r="J1288" s="55">
        <f>Orders!J1288</f>
        <v/>
      </c>
      <c r="K1288" s="55">
        <f>Orders!K1288</f>
        <v/>
      </c>
      <c r="L1288" s="55">
        <f>VLOOKUP(D1288,Products!$A$2:$F$61,3,FALSE())</f>
        <v/>
      </c>
      <c r="M1288" s="55">
        <f>VLOOKUP(C1288,Customers!$A$2:$F$301,5,FALSE())</f>
        <v/>
      </c>
      <c r="N1288" s="55">
        <f>VLOOKUP(E1288,Sales_Reps!$A$2:$E$31,3,FALSE())</f>
        <v/>
      </c>
      <c r="O1288" s="55">
        <f>VLOOKUP(D1288,Products!$A$2:$F$61,4,FALSE())</f>
        <v/>
      </c>
      <c r="P1288" s="55">
        <f>VLOOKUP(C1288,Customers!$A$2:$F$301,3,FALSE())</f>
        <v/>
      </c>
      <c r="Q1288" s="55">
        <f>UPPER(TRIM(K1288))</f>
        <v/>
      </c>
      <c r="R1288" s="55">
        <f>(G1288-O1288)/G1288</f>
        <v/>
      </c>
      <c r="S1288" s="55">
        <f>VLOOKUP(D1288,Products!$A$2:$F$61,6,FALSE())</f>
        <v/>
      </c>
    </row>
    <row r="1289" ht="15" customHeight="1" s="56">
      <c r="A1289" s="55">
        <f>Orders!A1289</f>
        <v/>
      </c>
      <c r="B1289" s="103">
        <f>Orders!B1289</f>
        <v/>
      </c>
      <c r="C1289" s="55">
        <f>Orders!C1289</f>
        <v/>
      </c>
      <c r="D1289" s="55">
        <f>Orders!D1289</f>
        <v/>
      </c>
      <c r="E1289" s="55">
        <f>Orders!E1289</f>
        <v/>
      </c>
      <c r="F1289" s="55">
        <f>Orders!F1289</f>
        <v/>
      </c>
      <c r="G1289" s="55">
        <f>Orders!G1289</f>
        <v/>
      </c>
      <c r="H1289" s="55">
        <f>Orders!H1289</f>
        <v/>
      </c>
      <c r="I1289" s="55">
        <f>Orders!I1289</f>
        <v/>
      </c>
      <c r="J1289" s="55">
        <f>Orders!J1289</f>
        <v/>
      </c>
      <c r="K1289" s="55">
        <f>Orders!K1289</f>
        <v/>
      </c>
      <c r="L1289" s="55">
        <f>VLOOKUP(D1289,Products!$A$2:$F$61,3,FALSE())</f>
        <v/>
      </c>
      <c r="M1289" s="55">
        <f>VLOOKUP(C1289,Customers!$A$2:$F$301,5,FALSE())</f>
        <v/>
      </c>
      <c r="N1289" s="55">
        <f>VLOOKUP(E1289,Sales_Reps!$A$2:$E$31,3,FALSE())</f>
        <v/>
      </c>
      <c r="O1289" s="55">
        <f>VLOOKUP(D1289,Products!$A$2:$F$61,4,FALSE())</f>
        <v/>
      </c>
      <c r="P1289" s="55">
        <f>VLOOKUP(C1289,Customers!$A$2:$F$301,3,FALSE())</f>
        <v/>
      </c>
      <c r="Q1289" s="55">
        <f>UPPER(TRIM(K1289))</f>
        <v/>
      </c>
      <c r="R1289" s="55">
        <f>(G1289-O1289)/G1289</f>
        <v/>
      </c>
      <c r="S1289" s="55">
        <f>VLOOKUP(D1289,Products!$A$2:$F$61,6,FALSE())</f>
        <v/>
      </c>
    </row>
    <row r="1290" ht="15" customHeight="1" s="56">
      <c r="A1290" s="55">
        <f>Orders!A1290</f>
        <v/>
      </c>
      <c r="B1290" s="103">
        <f>Orders!B1290</f>
        <v/>
      </c>
      <c r="C1290" s="55">
        <f>Orders!C1290</f>
        <v/>
      </c>
      <c r="D1290" s="55">
        <f>Orders!D1290</f>
        <v/>
      </c>
      <c r="E1290" s="55">
        <f>Orders!E1290</f>
        <v/>
      </c>
      <c r="F1290" s="55">
        <f>Orders!F1290</f>
        <v/>
      </c>
      <c r="G1290" s="55">
        <f>Orders!G1290</f>
        <v/>
      </c>
      <c r="H1290" s="55">
        <f>Orders!H1290</f>
        <v/>
      </c>
      <c r="I1290" s="55">
        <f>Orders!I1290</f>
        <v/>
      </c>
      <c r="J1290" s="55">
        <f>Orders!J1290</f>
        <v/>
      </c>
      <c r="K1290" s="55">
        <f>Orders!K1290</f>
        <v/>
      </c>
      <c r="L1290" s="55">
        <f>VLOOKUP(D1290,Products!$A$2:$F$61,3,FALSE())</f>
        <v/>
      </c>
      <c r="M1290" s="55">
        <f>VLOOKUP(C1290,Customers!$A$2:$F$301,5,FALSE())</f>
        <v/>
      </c>
      <c r="N1290" s="55">
        <f>VLOOKUP(E1290,Sales_Reps!$A$2:$E$31,3,FALSE())</f>
        <v/>
      </c>
      <c r="O1290" s="55">
        <f>VLOOKUP(D1290,Products!$A$2:$F$61,4,FALSE())</f>
        <v/>
      </c>
      <c r="P1290" s="55">
        <f>VLOOKUP(C1290,Customers!$A$2:$F$301,3,FALSE())</f>
        <v/>
      </c>
      <c r="Q1290" s="55">
        <f>UPPER(TRIM(K1290))</f>
        <v/>
      </c>
      <c r="R1290" s="55">
        <f>(G1290-O1290)/G1290</f>
        <v/>
      </c>
      <c r="S1290" s="55">
        <f>VLOOKUP(D1290,Products!$A$2:$F$61,6,FALSE())</f>
        <v/>
      </c>
    </row>
    <row r="1291" ht="15" customHeight="1" s="56">
      <c r="A1291" s="55">
        <f>Orders!A1291</f>
        <v/>
      </c>
      <c r="B1291" s="103">
        <f>Orders!B1291</f>
        <v/>
      </c>
      <c r="C1291" s="55">
        <f>Orders!C1291</f>
        <v/>
      </c>
      <c r="D1291" s="55">
        <f>Orders!D1291</f>
        <v/>
      </c>
      <c r="E1291" s="55">
        <f>Orders!E1291</f>
        <v/>
      </c>
      <c r="F1291" s="55">
        <f>Orders!F1291</f>
        <v/>
      </c>
      <c r="G1291" s="55">
        <f>Orders!G1291</f>
        <v/>
      </c>
      <c r="H1291" s="55">
        <f>Orders!H1291</f>
        <v/>
      </c>
      <c r="I1291" s="55">
        <f>Orders!I1291</f>
        <v/>
      </c>
      <c r="J1291" s="55">
        <f>Orders!J1291</f>
        <v/>
      </c>
      <c r="K1291" s="55">
        <f>Orders!K1291</f>
        <v/>
      </c>
      <c r="L1291" s="55">
        <f>VLOOKUP(D1291,Products!$A$2:$F$61,3,FALSE())</f>
        <v/>
      </c>
      <c r="M1291" s="55">
        <f>VLOOKUP(C1291,Customers!$A$2:$F$301,5,FALSE())</f>
        <v/>
      </c>
      <c r="N1291" s="55">
        <f>VLOOKUP(E1291,Sales_Reps!$A$2:$E$31,3,FALSE())</f>
        <v/>
      </c>
      <c r="O1291" s="55">
        <f>VLOOKUP(D1291,Products!$A$2:$F$61,4,FALSE())</f>
        <v/>
      </c>
      <c r="P1291" s="55">
        <f>VLOOKUP(C1291,Customers!$A$2:$F$301,3,FALSE())</f>
        <v/>
      </c>
      <c r="Q1291" s="55">
        <f>UPPER(TRIM(K1291))</f>
        <v/>
      </c>
      <c r="R1291" s="55">
        <f>(G1291-O1291)/G1291</f>
        <v/>
      </c>
      <c r="S1291" s="55">
        <f>VLOOKUP(D1291,Products!$A$2:$F$61,6,FALSE())</f>
        <v/>
      </c>
    </row>
    <row r="1292" ht="15" customHeight="1" s="56">
      <c r="A1292" s="55">
        <f>Orders!A1292</f>
        <v/>
      </c>
      <c r="B1292" s="103">
        <f>Orders!B1292</f>
        <v/>
      </c>
      <c r="C1292" s="55">
        <f>Orders!C1292</f>
        <v/>
      </c>
      <c r="D1292" s="55">
        <f>Orders!D1292</f>
        <v/>
      </c>
      <c r="E1292" s="55">
        <f>Orders!E1292</f>
        <v/>
      </c>
      <c r="F1292" s="55">
        <f>Orders!F1292</f>
        <v/>
      </c>
      <c r="G1292" s="55">
        <f>Orders!G1292</f>
        <v/>
      </c>
      <c r="H1292" s="55">
        <f>Orders!H1292</f>
        <v/>
      </c>
      <c r="I1292" s="55">
        <f>Orders!I1292</f>
        <v/>
      </c>
      <c r="J1292" s="55">
        <f>Orders!J1292</f>
        <v/>
      </c>
      <c r="K1292" s="55">
        <f>Orders!K1292</f>
        <v/>
      </c>
      <c r="L1292" s="55">
        <f>VLOOKUP(D1292,Products!$A$2:$F$61,3,FALSE())</f>
        <v/>
      </c>
      <c r="M1292" s="55">
        <f>VLOOKUP(C1292,Customers!$A$2:$F$301,5,FALSE())</f>
        <v/>
      </c>
      <c r="N1292" s="55">
        <f>VLOOKUP(E1292,Sales_Reps!$A$2:$E$31,3,FALSE())</f>
        <v/>
      </c>
      <c r="O1292" s="55">
        <f>VLOOKUP(D1292,Products!$A$2:$F$61,4,FALSE())</f>
        <v/>
      </c>
      <c r="P1292" s="55">
        <f>VLOOKUP(C1292,Customers!$A$2:$F$301,3,FALSE())</f>
        <v/>
      </c>
      <c r="Q1292" s="55">
        <f>UPPER(TRIM(K1292))</f>
        <v/>
      </c>
      <c r="R1292" s="55">
        <f>(G1292-O1292)/G1292</f>
        <v/>
      </c>
      <c r="S1292" s="55">
        <f>VLOOKUP(D1292,Products!$A$2:$F$61,6,FALSE())</f>
        <v/>
      </c>
    </row>
    <row r="1293" ht="15" customHeight="1" s="56">
      <c r="A1293" s="55">
        <f>Orders!A1293</f>
        <v/>
      </c>
      <c r="B1293" s="103">
        <f>Orders!B1293</f>
        <v/>
      </c>
      <c r="C1293" s="55">
        <f>Orders!C1293</f>
        <v/>
      </c>
      <c r="D1293" s="55">
        <f>Orders!D1293</f>
        <v/>
      </c>
      <c r="E1293" s="55">
        <f>Orders!E1293</f>
        <v/>
      </c>
      <c r="F1293" s="55">
        <f>Orders!F1293</f>
        <v/>
      </c>
      <c r="G1293" s="55">
        <f>Orders!G1293</f>
        <v/>
      </c>
      <c r="H1293" s="55">
        <f>Orders!H1293</f>
        <v/>
      </c>
      <c r="I1293" s="55">
        <f>Orders!I1293</f>
        <v/>
      </c>
      <c r="J1293" s="55">
        <f>Orders!J1293</f>
        <v/>
      </c>
      <c r="K1293" s="55">
        <f>Orders!K1293</f>
        <v/>
      </c>
      <c r="L1293" s="55">
        <f>VLOOKUP(D1293,Products!$A$2:$F$61,3,FALSE())</f>
        <v/>
      </c>
      <c r="M1293" s="55">
        <f>VLOOKUP(C1293,Customers!$A$2:$F$301,5,FALSE())</f>
        <v/>
      </c>
      <c r="N1293" s="55">
        <f>VLOOKUP(E1293,Sales_Reps!$A$2:$E$31,3,FALSE())</f>
        <v/>
      </c>
      <c r="O1293" s="55">
        <f>VLOOKUP(D1293,Products!$A$2:$F$61,4,FALSE())</f>
        <v/>
      </c>
      <c r="P1293" s="55">
        <f>VLOOKUP(C1293,Customers!$A$2:$F$301,3,FALSE())</f>
        <v/>
      </c>
      <c r="Q1293" s="55">
        <f>UPPER(TRIM(K1293))</f>
        <v/>
      </c>
      <c r="R1293" s="55">
        <f>(G1293-O1293)/G1293</f>
        <v/>
      </c>
      <c r="S1293" s="55">
        <f>VLOOKUP(D1293,Products!$A$2:$F$61,6,FALSE())</f>
        <v/>
      </c>
    </row>
    <row r="1294" ht="15" customHeight="1" s="56">
      <c r="A1294" s="55">
        <f>Orders!A1294</f>
        <v/>
      </c>
      <c r="B1294" s="103">
        <f>Orders!B1294</f>
        <v/>
      </c>
      <c r="C1294" s="55">
        <f>Orders!C1294</f>
        <v/>
      </c>
      <c r="D1294" s="55">
        <f>Orders!D1294</f>
        <v/>
      </c>
      <c r="E1294" s="55">
        <f>Orders!E1294</f>
        <v/>
      </c>
      <c r="F1294" s="55">
        <f>Orders!F1294</f>
        <v/>
      </c>
      <c r="G1294" s="55">
        <f>Orders!G1294</f>
        <v/>
      </c>
      <c r="H1294" s="55">
        <f>Orders!H1294</f>
        <v/>
      </c>
      <c r="I1294" s="55">
        <f>Orders!I1294</f>
        <v/>
      </c>
      <c r="J1294" s="55">
        <f>Orders!J1294</f>
        <v/>
      </c>
      <c r="K1294" s="55">
        <f>Orders!K1294</f>
        <v/>
      </c>
      <c r="L1294" s="55">
        <f>VLOOKUP(D1294,Products!$A$2:$F$61,3,FALSE())</f>
        <v/>
      </c>
      <c r="M1294" s="55">
        <f>VLOOKUP(C1294,Customers!$A$2:$F$301,5,FALSE())</f>
        <v/>
      </c>
      <c r="N1294" s="55">
        <f>VLOOKUP(E1294,Sales_Reps!$A$2:$E$31,3,FALSE())</f>
        <v/>
      </c>
      <c r="O1294" s="55">
        <f>VLOOKUP(D1294,Products!$A$2:$F$61,4,FALSE())</f>
        <v/>
      </c>
      <c r="P1294" s="55">
        <f>VLOOKUP(C1294,Customers!$A$2:$F$301,3,FALSE())</f>
        <v/>
      </c>
      <c r="Q1294" s="55">
        <f>UPPER(TRIM(K1294))</f>
        <v/>
      </c>
      <c r="R1294" s="55">
        <f>(G1294-O1294)/G1294</f>
        <v/>
      </c>
      <c r="S1294" s="55">
        <f>VLOOKUP(D1294,Products!$A$2:$F$61,6,FALSE())</f>
        <v/>
      </c>
    </row>
    <row r="1295" ht="15" customHeight="1" s="56">
      <c r="A1295" s="55">
        <f>Orders!A1295</f>
        <v/>
      </c>
      <c r="B1295" s="103">
        <f>Orders!B1295</f>
        <v/>
      </c>
      <c r="C1295" s="55">
        <f>Orders!C1295</f>
        <v/>
      </c>
      <c r="D1295" s="55">
        <f>Orders!D1295</f>
        <v/>
      </c>
      <c r="E1295" s="55">
        <f>Orders!E1295</f>
        <v/>
      </c>
      <c r="F1295" s="55">
        <f>Orders!F1295</f>
        <v/>
      </c>
      <c r="G1295" s="55">
        <f>Orders!G1295</f>
        <v/>
      </c>
      <c r="H1295" s="55">
        <f>Orders!H1295</f>
        <v/>
      </c>
      <c r="I1295" s="55">
        <f>Orders!I1295</f>
        <v/>
      </c>
      <c r="J1295" s="55">
        <f>Orders!J1295</f>
        <v/>
      </c>
      <c r="K1295" s="55">
        <f>Orders!K1295</f>
        <v/>
      </c>
      <c r="L1295" s="55">
        <f>VLOOKUP(D1295,Products!$A$2:$F$61,3,FALSE())</f>
        <v/>
      </c>
      <c r="M1295" s="55">
        <f>VLOOKUP(C1295,Customers!$A$2:$F$301,5,FALSE())</f>
        <v/>
      </c>
      <c r="N1295" s="55">
        <f>VLOOKUP(E1295,Sales_Reps!$A$2:$E$31,3,FALSE())</f>
        <v/>
      </c>
      <c r="O1295" s="55">
        <f>VLOOKUP(D1295,Products!$A$2:$F$61,4,FALSE())</f>
        <v/>
      </c>
      <c r="P1295" s="55">
        <f>VLOOKUP(C1295,Customers!$A$2:$F$301,3,FALSE())</f>
        <v/>
      </c>
      <c r="Q1295" s="55">
        <f>UPPER(TRIM(K1295))</f>
        <v/>
      </c>
      <c r="R1295" s="55">
        <f>(G1295-O1295)/G1295</f>
        <v/>
      </c>
      <c r="S1295" s="55">
        <f>VLOOKUP(D1295,Products!$A$2:$F$61,6,FALSE())</f>
        <v/>
      </c>
    </row>
    <row r="1296" ht="15" customHeight="1" s="56">
      <c r="A1296" s="55">
        <f>Orders!A1296</f>
        <v/>
      </c>
      <c r="B1296" s="103">
        <f>Orders!B1296</f>
        <v/>
      </c>
      <c r="C1296" s="55">
        <f>Orders!C1296</f>
        <v/>
      </c>
      <c r="D1296" s="55">
        <f>Orders!D1296</f>
        <v/>
      </c>
      <c r="E1296" s="55">
        <f>Orders!E1296</f>
        <v/>
      </c>
      <c r="F1296" s="55">
        <f>Orders!F1296</f>
        <v/>
      </c>
      <c r="G1296" s="55">
        <f>Orders!G1296</f>
        <v/>
      </c>
      <c r="H1296" s="55">
        <f>Orders!H1296</f>
        <v/>
      </c>
      <c r="I1296" s="55">
        <f>Orders!I1296</f>
        <v/>
      </c>
      <c r="J1296" s="55">
        <f>Orders!J1296</f>
        <v/>
      </c>
      <c r="K1296" s="55">
        <f>Orders!K1296</f>
        <v/>
      </c>
      <c r="L1296" s="55">
        <f>VLOOKUP(D1296,Products!$A$2:$F$61,3,FALSE())</f>
        <v/>
      </c>
      <c r="M1296" s="55">
        <f>VLOOKUP(C1296,Customers!$A$2:$F$301,5,FALSE())</f>
        <v/>
      </c>
      <c r="N1296" s="55">
        <f>VLOOKUP(E1296,Sales_Reps!$A$2:$E$31,3,FALSE())</f>
        <v/>
      </c>
      <c r="O1296" s="55">
        <f>VLOOKUP(D1296,Products!$A$2:$F$61,4,FALSE())</f>
        <v/>
      </c>
      <c r="P1296" s="55">
        <f>VLOOKUP(C1296,Customers!$A$2:$F$301,3,FALSE())</f>
        <v/>
      </c>
      <c r="Q1296" s="55">
        <f>UPPER(TRIM(K1296))</f>
        <v/>
      </c>
      <c r="R1296" s="55">
        <f>(G1296-O1296)/G1296</f>
        <v/>
      </c>
      <c r="S1296" s="55">
        <f>VLOOKUP(D1296,Products!$A$2:$F$61,6,FALSE())</f>
        <v/>
      </c>
    </row>
    <row r="1297" ht="15" customHeight="1" s="56">
      <c r="A1297" s="55">
        <f>Orders!A1297</f>
        <v/>
      </c>
      <c r="B1297" s="103">
        <f>Orders!B1297</f>
        <v/>
      </c>
      <c r="C1297" s="55">
        <f>Orders!C1297</f>
        <v/>
      </c>
      <c r="D1297" s="55">
        <f>Orders!D1297</f>
        <v/>
      </c>
      <c r="E1297" s="55">
        <f>Orders!E1297</f>
        <v/>
      </c>
      <c r="F1297" s="55">
        <f>Orders!F1297</f>
        <v/>
      </c>
      <c r="G1297" s="55">
        <f>Orders!G1297</f>
        <v/>
      </c>
      <c r="H1297" s="55">
        <f>Orders!H1297</f>
        <v/>
      </c>
      <c r="I1297" s="55">
        <f>Orders!I1297</f>
        <v/>
      </c>
      <c r="J1297" s="55">
        <f>Orders!J1297</f>
        <v/>
      </c>
      <c r="K1297" s="55">
        <f>Orders!K1297</f>
        <v/>
      </c>
      <c r="L1297" s="55">
        <f>VLOOKUP(D1297,Products!$A$2:$F$61,3,FALSE())</f>
        <v/>
      </c>
      <c r="M1297" s="55">
        <f>VLOOKUP(C1297,Customers!$A$2:$F$301,5,FALSE())</f>
        <v/>
      </c>
      <c r="N1297" s="55">
        <f>VLOOKUP(E1297,Sales_Reps!$A$2:$E$31,3,FALSE())</f>
        <v/>
      </c>
      <c r="O1297" s="55">
        <f>VLOOKUP(D1297,Products!$A$2:$F$61,4,FALSE())</f>
        <v/>
      </c>
      <c r="P1297" s="55">
        <f>VLOOKUP(C1297,Customers!$A$2:$F$301,3,FALSE())</f>
        <v/>
      </c>
      <c r="Q1297" s="55">
        <f>UPPER(TRIM(K1297))</f>
        <v/>
      </c>
      <c r="R1297" s="55">
        <f>(G1297-O1297)/G1297</f>
        <v/>
      </c>
      <c r="S1297" s="55">
        <f>VLOOKUP(D1297,Products!$A$2:$F$61,6,FALSE())</f>
        <v/>
      </c>
    </row>
    <row r="1298" ht="15" customHeight="1" s="56">
      <c r="A1298" s="55">
        <f>Orders!A1298</f>
        <v/>
      </c>
      <c r="B1298" s="103">
        <f>Orders!B1298</f>
        <v/>
      </c>
      <c r="C1298" s="55">
        <f>Orders!C1298</f>
        <v/>
      </c>
      <c r="D1298" s="55">
        <f>Orders!D1298</f>
        <v/>
      </c>
      <c r="E1298" s="55">
        <f>Orders!E1298</f>
        <v/>
      </c>
      <c r="F1298" s="55">
        <f>Orders!F1298</f>
        <v/>
      </c>
      <c r="G1298" s="55">
        <f>Orders!G1298</f>
        <v/>
      </c>
      <c r="H1298" s="55">
        <f>Orders!H1298</f>
        <v/>
      </c>
      <c r="I1298" s="55">
        <f>Orders!I1298</f>
        <v/>
      </c>
      <c r="J1298" s="55">
        <f>Orders!J1298</f>
        <v/>
      </c>
      <c r="K1298" s="55">
        <f>Orders!K1298</f>
        <v/>
      </c>
      <c r="L1298" s="55">
        <f>VLOOKUP(D1298,Products!$A$2:$F$61,3,FALSE())</f>
        <v/>
      </c>
      <c r="M1298" s="55">
        <f>VLOOKUP(C1298,Customers!$A$2:$F$301,5,FALSE())</f>
        <v/>
      </c>
      <c r="N1298" s="55">
        <f>VLOOKUP(E1298,Sales_Reps!$A$2:$E$31,3,FALSE())</f>
        <v/>
      </c>
      <c r="O1298" s="55">
        <f>VLOOKUP(D1298,Products!$A$2:$F$61,4,FALSE())</f>
        <v/>
      </c>
      <c r="P1298" s="55">
        <f>VLOOKUP(C1298,Customers!$A$2:$F$301,3,FALSE())</f>
        <v/>
      </c>
      <c r="Q1298" s="55">
        <f>UPPER(TRIM(K1298))</f>
        <v/>
      </c>
      <c r="R1298" s="55">
        <f>(G1298-O1298)/G1298</f>
        <v/>
      </c>
      <c r="S1298" s="55">
        <f>VLOOKUP(D1298,Products!$A$2:$F$61,6,FALSE())</f>
        <v/>
      </c>
    </row>
    <row r="1299" ht="15" customHeight="1" s="56">
      <c r="A1299" s="55">
        <f>Orders!A1299</f>
        <v/>
      </c>
      <c r="B1299" s="103">
        <f>Orders!B1299</f>
        <v/>
      </c>
      <c r="C1299" s="55">
        <f>Orders!C1299</f>
        <v/>
      </c>
      <c r="D1299" s="55">
        <f>Orders!D1299</f>
        <v/>
      </c>
      <c r="E1299" s="55">
        <f>Orders!E1299</f>
        <v/>
      </c>
      <c r="F1299" s="55">
        <f>Orders!F1299</f>
        <v/>
      </c>
      <c r="G1299" s="55">
        <f>Orders!G1299</f>
        <v/>
      </c>
      <c r="H1299" s="55">
        <f>Orders!H1299</f>
        <v/>
      </c>
      <c r="I1299" s="55">
        <f>Orders!I1299</f>
        <v/>
      </c>
      <c r="J1299" s="55">
        <f>Orders!J1299</f>
        <v/>
      </c>
      <c r="K1299" s="55">
        <f>Orders!K1299</f>
        <v/>
      </c>
      <c r="L1299" s="55">
        <f>VLOOKUP(D1299,Products!$A$2:$F$61,3,FALSE())</f>
        <v/>
      </c>
      <c r="M1299" s="55">
        <f>VLOOKUP(C1299,Customers!$A$2:$F$301,5,FALSE())</f>
        <v/>
      </c>
      <c r="N1299" s="55">
        <f>VLOOKUP(E1299,Sales_Reps!$A$2:$E$31,3,FALSE())</f>
        <v/>
      </c>
      <c r="O1299" s="55">
        <f>VLOOKUP(D1299,Products!$A$2:$F$61,4,FALSE())</f>
        <v/>
      </c>
      <c r="P1299" s="55">
        <f>VLOOKUP(C1299,Customers!$A$2:$F$301,3,FALSE())</f>
        <v/>
      </c>
      <c r="Q1299" s="55">
        <f>UPPER(TRIM(K1299))</f>
        <v/>
      </c>
      <c r="R1299" s="55">
        <f>(G1299-O1299)/G1299</f>
        <v/>
      </c>
      <c r="S1299" s="55">
        <f>VLOOKUP(D1299,Products!$A$2:$F$61,6,FALSE())</f>
        <v/>
      </c>
    </row>
    <row r="1300" ht="15" customHeight="1" s="56">
      <c r="A1300" s="55">
        <f>Orders!A1300</f>
        <v/>
      </c>
      <c r="B1300" s="103">
        <f>Orders!B1300</f>
        <v/>
      </c>
      <c r="C1300" s="55">
        <f>Orders!C1300</f>
        <v/>
      </c>
      <c r="D1300" s="55">
        <f>Orders!D1300</f>
        <v/>
      </c>
      <c r="E1300" s="55">
        <f>Orders!E1300</f>
        <v/>
      </c>
      <c r="F1300" s="55">
        <f>Orders!F1300</f>
        <v/>
      </c>
      <c r="G1300" s="55">
        <f>Orders!G1300</f>
        <v/>
      </c>
      <c r="H1300" s="55">
        <f>Orders!H1300</f>
        <v/>
      </c>
      <c r="I1300" s="55">
        <f>Orders!I1300</f>
        <v/>
      </c>
      <c r="J1300" s="55">
        <f>Orders!J1300</f>
        <v/>
      </c>
      <c r="K1300" s="55">
        <f>Orders!K1300</f>
        <v/>
      </c>
      <c r="L1300" s="55">
        <f>VLOOKUP(D1300,Products!$A$2:$F$61,3,FALSE())</f>
        <v/>
      </c>
      <c r="M1300" s="55">
        <f>VLOOKUP(C1300,Customers!$A$2:$F$301,5,FALSE())</f>
        <v/>
      </c>
      <c r="N1300" s="55">
        <f>VLOOKUP(E1300,Sales_Reps!$A$2:$E$31,3,FALSE())</f>
        <v/>
      </c>
      <c r="O1300" s="55">
        <f>VLOOKUP(D1300,Products!$A$2:$F$61,4,FALSE())</f>
        <v/>
      </c>
      <c r="P1300" s="55">
        <f>VLOOKUP(C1300,Customers!$A$2:$F$301,3,FALSE())</f>
        <v/>
      </c>
      <c r="Q1300" s="55">
        <f>UPPER(TRIM(K1300))</f>
        <v/>
      </c>
      <c r="R1300" s="55">
        <f>(G1300-O1300)/G1300</f>
        <v/>
      </c>
      <c r="S1300" s="55">
        <f>VLOOKUP(D1300,Products!$A$2:$F$61,6,FALSE())</f>
        <v/>
      </c>
    </row>
    <row r="1301" ht="15" customHeight="1" s="56">
      <c r="A1301" s="55">
        <f>Orders!A1301</f>
        <v/>
      </c>
      <c r="B1301" s="103">
        <f>Orders!B1301</f>
        <v/>
      </c>
      <c r="C1301" s="55">
        <f>Orders!C1301</f>
        <v/>
      </c>
      <c r="D1301" s="55">
        <f>Orders!D1301</f>
        <v/>
      </c>
      <c r="E1301" s="55">
        <f>Orders!E1301</f>
        <v/>
      </c>
      <c r="F1301" s="55">
        <f>Orders!F1301</f>
        <v/>
      </c>
      <c r="G1301" s="55">
        <f>Orders!G1301</f>
        <v/>
      </c>
      <c r="H1301" s="55">
        <f>Orders!H1301</f>
        <v/>
      </c>
      <c r="I1301" s="55">
        <f>Orders!I1301</f>
        <v/>
      </c>
      <c r="J1301" s="55">
        <f>Orders!J1301</f>
        <v/>
      </c>
      <c r="K1301" s="55">
        <f>Orders!K1301</f>
        <v/>
      </c>
      <c r="L1301" s="55">
        <f>VLOOKUP(D1301,Products!$A$2:$F$61,3,FALSE())</f>
        <v/>
      </c>
      <c r="M1301" s="55">
        <f>VLOOKUP(C1301,Customers!$A$2:$F$301,5,FALSE())</f>
        <v/>
      </c>
      <c r="N1301" s="55">
        <f>VLOOKUP(E1301,Sales_Reps!$A$2:$E$31,3,FALSE())</f>
        <v/>
      </c>
      <c r="O1301" s="55">
        <f>VLOOKUP(D1301,Products!$A$2:$F$61,4,FALSE())</f>
        <v/>
      </c>
      <c r="P1301" s="55">
        <f>VLOOKUP(C1301,Customers!$A$2:$F$301,3,FALSE())</f>
        <v/>
      </c>
      <c r="Q1301" s="55">
        <f>UPPER(TRIM(K1301))</f>
        <v/>
      </c>
      <c r="R1301" s="55">
        <f>(G1301-O1301)/G1301</f>
        <v/>
      </c>
      <c r="S1301" s="55">
        <f>VLOOKUP(D1301,Products!$A$2:$F$61,6,FALSE())</f>
        <v/>
      </c>
    </row>
    <row r="1302" ht="15" customHeight="1" s="56">
      <c r="A1302" s="55">
        <f>Orders!A1302</f>
        <v/>
      </c>
      <c r="B1302" s="103">
        <f>Orders!B1302</f>
        <v/>
      </c>
      <c r="C1302" s="55">
        <f>Orders!C1302</f>
        <v/>
      </c>
      <c r="D1302" s="55">
        <f>Orders!D1302</f>
        <v/>
      </c>
      <c r="E1302" s="55">
        <f>Orders!E1302</f>
        <v/>
      </c>
      <c r="F1302" s="55">
        <f>Orders!F1302</f>
        <v/>
      </c>
      <c r="G1302" s="55">
        <f>Orders!G1302</f>
        <v/>
      </c>
      <c r="H1302" s="55">
        <f>Orders!H1302</f>
        <v/>
      </c>
      <c r="I1302" s="55">
        <f>Orders!I1302</f>
        <v/>
      </c>
      <c r="J1302" s="55">
        <f>Orders!J1302</f>
        <v/>
      </c>
      <c r="K1302" s="55">
        <f>Orders!K1302</f>
        <v/>
      </c>
      <c r="L1302" s="55">
        <f>VLOOKUP(D1302,Products!$A$2:$F$61,3,FALSE())</f>
        <v/>
      </c>
      <c r="M1302" s="55">
        <f>VLOOKUP(C1302,Customers!$A$2:$F$301,5,FALSE())</f>
        <v/>
      </c>
      <c r="N1302" s="55">
        <f>VLOOKUP(E1302,Sales_Reps!$A$2:$E$31,3,FALSE())</f>
        <v/>
      </c>
      <c r="O1302" s="55">
        <f>VLOOKUP(D1302,Products!$A$2:$F$61,4,FALSE())</f>
        <v/>
      </c>
      <c r="P1302" s="55">
        <f>VLOOKUP(C1302,Customers!$A$2:$F$301,3,FALSE())</f>
        <v/>
      </c>
      <c r="Q1302" s="55">
        <f>UPPER(TRIM(K1302))</f>
        <v/>
      </c>
      <c r="R1302" s="55">
        <f>(G1302-O1302)/G1302</f>
        <v/>
      </c>
      <c r="S1302" s="55">
        <f>VLOOKUP(D1302,Products!$A$2:$F$61,6,FALSE())</f>
        <v/>
      </c>
    </row>
    <row r="1303" ht="15" customHeight="1" s="56">
      <c r="A1303" s="55">
        <f>Orders!A1303</f>
        <v/>
      </c>
      <c r="B1303" s="103">
        <f>Orders!B1303</f>
        <v/>
      </c>
      <c r="C1303" s="55">
        <f>Orders!C1303</f>
        <v/>
      </c>
      <c r="D1303" s="55">
        <f>Orders!D1303</f>
        <v/>
      </c>
      <c r="E1303" s="55">
        <f>Orders!E1303</f>
        <v/>
      </c>
      <c r="F1303" s="55">
        <f>Orders!F1303</f>
        <v/>
      </c>
      <c r="G1303" s="55">
        <f>Orders!G1303</f>
        <v/>
      </c>
      <c r="H1303" s="55">
        <f>Orders!H1303</f>
        <v/>
      </c>
      <c r="I1303" s="55">
        <f>Orders!I1303</f>
        <v/>
      </c>
      <c r="J1303" s="55">
        <f>Orders!J1303</f>
        <v/>
      </c>
      <c r="K1303" s="55">
        <f>Orders!K1303</f>
        <v/>
      </c>
      <c r="L1303" s="55">
        <f>VLOOKUP(D1303,Products!$A$2:$F$61,3,FALSE())</f>
        <v/>
      </c>
      <c r="M1303" s="55">
        <f>VLOOKUP(C1303,Customers!$A$2:$F$301,5,FALSE())</f>
        <v/>
      </c>
      <c r="N1303" s="55">
        <f>VLOOKUP(E1303,Sales_Reps!$A$2:$E$31,3,FALSE())</f>
        <v/>
      </c>
      <c r="O1303" s="55">
        <f>VLOOKUP(D1303,Products!$A$2:$F$61,4,FALSE())</f>
        <v/>
      </c>
      <c r="P1303" s="55">
        <f>VLOOKUP(C1303,Customers!$A$2:$F$301,3,FALSE())</f>
        <v/>
      </c>
      <c r="Q1303" s="55">
        <f>UPPER(TRIM(K1303))</f>
        <v/>
      </c>
      <c r="R1303" s="55">
        <f>(G1303-O1303)/G1303</f>
        <v/>
      </c>
      <c r="S1303" s="55">
        <f>VLOOKUP(D1303,Products!$A$2:$F$61,6,FALSE())</f>
        <v/>
      </c>
    </row>
    <row r="1304" ht="15" customHeight="1" s="56">
      <c r="A1304" s="55">
        <f>Orders!A1304</f>
        <v/>
      </c>
      <c r="B1304" s="103">
        <f>Orders!B1304</f>
        <v/>
      </c>
      <c r="C1304" s="55">
        <f>Orders!C1304</f>
        <v/>
      </c>
      <c r="D1304" s="55">
        <f>Orders!D1304</f>
        <v/>
      </c>
      <c r="E1304" s="55">
        <f>Orders!E1304</f>
        <v/>
      </c>
      <c r="F1304" s="55">
        <f>Orders!F1304</f>
        <v/>
      </c>
      <c r="G1304" s="55">
        <f>Orders!G1304</f>
        <v/>
      </c>
      <c r="H1304" s="55">
        <f>Orders!H1304</f>
        <v/>
      </c>
      <c r="I1304" s="55">
        <f>Orders!I1304</f>
        <v/>
      </c>
      <c r="J1304" s="55">
        <f>Orders!J1304</f>
        <v/>
      </c>
      <c r="K1304" s="55">
        <f>Orders!K1304</f>
        <v/>
      </c>
      <c r="L1304" s="55">
        <f>VLOOKUP(D1304,Products!$A$2:$F$61,3,FALSE())</f>
        <v/>
      </c>
      <c r="M1304" s="55">
        <f>VLOOKUP(C1304,Customers!$A$2:$F$301,5,FALSE())</f>
        <v/>
      </c>
      <c r="N1304" s="55">
        <f>VLOOKUP(E1304,Sales_Reps!$A$2:$E$31,3,FALSE())</f>
        <v/>
      </c>
      <c r="O1304" s="55">
        <f>VLOOKUP(D1304,Products!$A$2:$F$61,4,FALSE())</f>
        <v/>
      </c>
      <c r="P1304" s="55">
        <f>VLOOKUP(C1304,Customers!$A$2:$F$301,3,FALSE())</f>
        <v/>
      </c>
      <c r="Q1304" s="55">
        <f>UPPER(TRIM(K1304))</f>
        <v/>
      </c>
      <c r="R1304" s="55">
        <f>(G1304-O1304)/G1304</f>
        <v/>
      </c>
      <c r="S1304" s="55">
        <f>VLOOKUP(D1304,Products!$A$2:$F$61,6,FALSE())</f>
        <v/>
      </c>
    </row>
    <row r="1305" ht="15" customHeight="1" s="56">
      <c r="A1305" s="55">
        <f>Orders!A1305</f>
        <v/>
      </c>
      <c r="B1305" s="103">
        <f>Orders!B1305</f>
        <v/>
      </c>
      <c r="C1305" s="55">
        <f>Orders!C1305</f>
        <v/>
      </c>
      <c r="D1305" s="55">
        <f>Orders!D1305</f>
        <v/>
      </c>
      <c r="E1305" s="55">
        <f>Orders!E1305</f>
        <v/>
      </c>
      <c r="F1305" s="55">
        <f>Orders!F1305</f>
        <v/>
      </c>
      <c r="G1305" s="55">
        <f>Orders!G1305</f>
        <v/>
      </c>
      <c r="H1305" s="55">
        <f>Orders!H1305</f>
        <v/>
      </c>
      <c r="I1305" s="55">
        <f>Orders!I1305</f>
        <v/>
      </c>
      <c r="J1305" s="55">
        <f>Orders!J1305</f>
        <v/>
      </c>
      <c r="K1305" s="55">
        <f>Orders!K1305</f>
        <v/>
      </c>
      <c r="L1305" s="55">
        <f>VLOOKUP(D1305,Products!$A$2:$F$61,3,FALSE())</f>
        <v/>
      </c>
      <c r="M1305" s="55">
        <f>VLOOKUP(C1305,Customers!$A$2:$F$301,5,FALSE())</f>
        <v/>
      </c>
      <c r="N1305" s="55">
        <f>VLOOKUP(E1305,Sales_Reps!$A$2:$E$31,3,FALSE())</f>
        <v/>
      </c>
      <c r="O1305" s="55">
        <f>VLOOKUP(D1305,Products!$A$2:$F$61,4,FALSE())</f>
        <v/>
      </c>
      <c r="P1305" s="55">
        <f>VLOOKUP(C1305,Customers!$A$2:$F$301,3,FALSE())</f>
        <v/>
      </c>
      <c r="Q1305" s="55">
        <f>UPPER(TRIM(K1305))</f>
        <v/>
      </c>
      <c r="R1305" s="55">
        <f>(G1305-O1305)/G1305</f>
        <v/>
      </c>
      <c r="S1305" s="55">
        <f>VLOOKUP(D1305,Products!$A$2:$F$61,6,FALSE())</f>
        <v/>
      </c>
    </row>
    <row r="1306" ht="15" customHeight="1" s="56">
      <c r="A1306" s="55">
        <f>Orders!A1306</f>
        <v/>
      </c>
      <c r="B1306" s="103">
        <f>Orders!B1306</f>
        <v/>
      </c>
      <c r="C1306" s="55">
        <f>Orders!C1306</f>
        <v/>
      </c>
      <c r="D1306" s="55">
        <f>Orders!D1306</f>
        <v/>
      </c>
      <c r="E1306" s="55">
        <f>Orders!E1306</f>
        <v/>
      </c>
      <c r="F1306" s="55">
        <f>Orders!F1306</f>
        <v/>
      </c>
      <c r="G1306" s="55">
        <f>Orders!G1306</f>
        <v/>
      </c>
      <c r="H1306" s="55">
        <f>Orders!H1306</f>
        <v/>
      </c>
      <c r="I1306" s="55">
        <f>Orders!I1306</f>
        <v/>
      </c>
      <c r="J1306" s="55">
        <f>Orders!J1306</f>
        <v/>
      </c>
      <c r="K1306" s="55">
        <f>Orders!K1306</f>
        <v/>
      </c>
      <c r="L1306" s="55">
        <f>VLOOKUP(D1306,Products!$A$2:$F$61,3,FALSE())</f>
        <v/>
      </c>
      <c r="M1306" s="55">
        <f>VLOOKUP(C1306,Customers!$A$2:$F$301,5,FALSE())</f>
        <v/>
      </c>
      <c r="N1306" s="55">
        <f>VLOOKUP(E1306,Sales_Reps!$A$2:$E$31,3,FALSE())</f>
        <v/>
      </c>
      <c r="O1306" s="55">
        <f>VLOOKUP(D1306,Products!$A$2:$F$61,4,FALSE())</f>
        <v/>
      </c>
      <c r="P1306" s="55">
        <f>VLOOKUP(C1306,Customers!$A$2:$F$301,3,FALSE())</f>
        <v/>
      </c>
      <c r="Q1306" s="55">
        <f>UPPER(TRIM(K1306))</f>
        <v/>
      </c>
      <c r="R1306" s="55">
        <f>(G1306-O1306)/G1306</f>
        <v/>
      </c>
      <c r="S1306" s="55">
        <f>VLOOKUP(D1306,Products!$A$2:$F$61,6,FALSE())</f>
        <v/>
      </c>
    </row>
    <row r="1307" ht="15" customHeight="1" s="56">
      <c r="A1307" s="55">
        <f>Orders!A1307</f>
        <v/>
      </c>
      <c r="B1307" s="103">
        <f>Orders!B1307</f>
        <v/>
      </c>
      <c r="C1307" s="55">
        <f>Orders!C1307</f>
        <v/>
      </c>
      <c r="D1307" s="55">
        <f>Orders!D1307</f>
        <v/>
      </c>
      <c r="E1307" s="55">
        <f>Orders!E1307</f>
        <v/>
      </c>
      <c r="F1307" s="55">
        <f>Orders!F1307</f>
        <v/>
      </c>
      <c r="G1307" s="55">
        <f>Orders!G1307</f>
        <v/>
      </c>
      <c r="H1307" s="55">
        <f>Orders!H1307</f>
        <v/>
      </c>
      <c r="I1307" s="55">
        <f>Orders!I1307</f>
        <v/>
      </c>
      <c r="J1307" s="55">
        <f>Orders!J1307</f>
        <v/>
      </c>
      <c r="K1307" s="55">
        <f>Orders!K1307</f>
        <v/>
      </c>
      <c r="L1307" s="55">
        <f>VLOOKUP(D1307,Products!$A$2:$F$61,3,FALSE())</f>
        <v/>
      </c>
      <c r="M1307" s="55">
        <f>VLOOKUP(C1307,Customers!$A$2:$F$301,5,FALSE())</f>
        <v/>
      </c>
      <c r="N1307" s="55">
        <f>VLOOKUP(E1307,Sales_Reps!$A$2:$E$31,3,FALSE())</f>
        <v/>
      </c>
      <c r="O1307" s="55">
        <f>VLOOKUP(D1307,Products!$A$2:$F$61,4,FALSE())</f>
        <v/>
      </c>
      <c r="P1307" s="55">
        <f>VLOOKUP(C1307,Customers!$A$2:$F$301,3,FALSE())</f>
        <v/>
      </c>
      <c r="Q1307" s="55">
        <f>UPPER(TRIM(K1307))</f>
        <v/>
      </c>
      <c r="R1307" s="55">
        <f>(G1307-O1307)/G1307</f>
        <v/>
      </c>
      <c r="S1307" s="55">
        <f>VLOOKUP(D1307,Products!$A$2:$F$61,6,FALSE())</f>
        <v/>
      </c>
    </row>
    <row r="1308" ht="15" customHeight="1" s="56">
      <c r="A1308" s="55">
        <f>Orders!A1308</f>
        <v/>
      </c>
      <c r="B1308" s="103">
        <f>Orders!B1308</f>
        <v/>
      </c>
      <c r="C1308" s="55">
        <f>Orders!C1308</f>
        <v/>
      </c>
      <c r="D1308" s="55">
        <f>Orders!D1308</f>
        <v/>
      </c>
      <c r="E1308" s="55">
        <f>Orders!E1308</f>
        <v/>
      </c>
      <c r="F1308" s="55">
        <f>Orders!F1308</f>
        <v/>
      </c>
      <c r="G1308" s="55">
        <f>Orders!G1308</f>
        <v/>
      </c>
      <c r="H1308" s="55">
        <f>Orders!H1308</f>
        <v/>
      </c>
      <c r="I1308" s="55">
        <f>Orders!I1308</f>
        <v/>
      </c>
      <c r="J1308" s="55">
        <f>Orders!J1308</f>
        <v/>
      </c>
      <c r="K1308" s="55">
        <f>Orders!K1308</f>
        <v/>
      </c>
      <c r="L1308" s="55">
        <f>VLOOKUP(D1308,Products!$A$2:$F$61,3,FALSE())</f>
        <v/>
      </c>
      <c r="M1308" s="55">
        <f>VLOOKUP(C1308,Customers!$A$2:$F$301,5,FALSE())</f>
        <v/>
      </c>
      <c r="N1308" s="55">
        <f>VLOOKUP(E1308,Sales_Reps!$A$2:$E$31,3,FALSE())</f>
        <v/>
      </c>
      <c r="O1308" s="55">
        <f>VLOOKUP(D1308,Products!$A$2:$F$61,4,FALSE())</f>
        <v/>
      </c>
      <c r="P1308" s="55">
        <f>VLOOKUP(C1308,Customers!$A$2:$F$301,3,FALSE())</f>
        <v/>
      </c>
      <c r="Q1308" s="55">
        <f>UPPER(TRIM(K1308))</f>
        <v/>
      </c>
      <c r="R1308" s="55">
        <f>(G1308-O1308)/G1308</f>
        <v/>
      </c>
      <c r="S1308" s="55">
        <f>VLOOKUP(D1308,Products!$A$2:$F$61,6,FALSE())</f>
        <v/>
      </c>
    </row>
    <row r="1309" ht="15" customHeight="1" s="56">
      <c r="A1309" s="55">
        <f>Orders!A1309</f>
        <v/>
      </c>
      <c r="B1309" s="103">
        <f>Orders!B1309</f>
        <v/>
      </c>
      <c r="C1309" s="55">
        <f>Orders!C1309</f>
        <v/>
      </c>
      <c r="D1309" s="55">
        <f>Orders!D1309</f>
        <v/>
      </c>
      <c r="E1309" s="55">
        <f>Orders!E1309</f>
        <v/>
      </c>
      <c r="F1309" s="55">
        <f>Orders!F1309</f>
        <v/>
      </c>
      <c r="G1309" s="55">
        <f>Orders!G1309</f>
        <v/>
      </c>
      <c r="H1309" s="55">
        <f>Orders!H1309</f>
        <v/>
      </c>
      <c r="I1309" s="55">
        <f>Orders!I1309</f>
        <v/>
      </c>
      <c r="J1309" s="55">
        <f>Orders!J1309</f>
        <v/>
      </c>
      <c r="K1309" s="55">
        <f>Orders!K1309</f>
        <v/>
      </c>
      <c r="L1309" s="55">
        <f>VLOOKUP(D1309,Products!$A$2:$F$61,3,FALSE())</f>
        <v/>
      </c>
      <c r="M1309" s="55">
        <f>VLOOKUP(C1309,Customers!$A$2:$F$301,5,FALSE())</f>
        <v/>
      </c>
      <c r="N1309" s="55">
        <f>VLOOKUP(E1309,Sales_Reps!$A$2:$E$31,3,FALSE())</f>
        <v/>
      </c>
      <c r="O1309" s="55">
        <f>VLOOKUP(D1309,Products!$A$2:$F$61,4,FALSE())</f>
        <v/>
      </c>
      <c r="P1309" s="55">
        <f>VLOOKUP(C1309,Customers!$A$2:$F$301,3,FALSE())</f>
        <v/>
      </c>
      <c r="Q1309" s="55">
        <f>UPPER(TRIM(K1309))</f>
        <v/>
      </c>
      <c r="R1309" s="55">
        <f>(G1309-O1309)/G1309</f>
        <v/>
      </c>
      <c r="S1309" s="55">
        <f>VLOOKUP(D1309,Products!$A$2:$F$61,6,FALSE())</f>
        <v/>
      </c>
    </row>
    <row r="1310" ht="15" customHeight="1" s="56">
      <c r="A1310" s="55">
        <f>Orders!A1310</f>
        <v/>
      </c>
      <c r="B1310" s="103">
        <f>Orders!B1310</f>
        <v/>
      </c>
      <c r="C1310" s="55">
        <f>Orders!C1310</f>
        <v/>
      </c>
      <c r="D1310" s="55">
        <f>Orders!D1310</f>
        <v/>
      </c>
      <c r="E1310" s="55">
        <f>Orders!E1310</f>
        <v/>
      </c>
      <c r="F1310" s="55">
        <f>Orders!F1310</f>
        <v/>
      </c>
      <c r="G1310" s="55">
        <f>Orders!G1310</f>
        <v/>
      </c>
      <c r="H1310" s="55">
        <f>Orders!H1310</f>
        <v/>
      </c>
      <c r="I1310" s="55">
        <f>Orders!I1310</f>
        <v/>
      </c>
      <c r="J1310" s="55">
        <f>Orders!J1310</f>
        <v/>
      </c>
      <c r="K1310" s="55">
        <f>Orders!K1310</f>
        <v/>
      </c>
      <c r="L1310" s="55">
        <f>VLOOKUP(D1310,Products!$A$2:$F$61,3,FALSE())</f>
        <v/>
      </c>
      <c r="M1310" s="55">
        <f>VLOOKUP(C1310,Customers!$A$2:$F$301,5,FALSE())</f>
        <v/>
      </c>
      <c r="N1310" s="55">
        <f>VLOOKUP(E1310,Sales_Reps!$A$2:$E$31,3,FALSE())</f>
        <v/>
      </c>
      <c r="O1310" s="55">
        <f>VLOOKUP(D1310,Products!$A$2:$F$61,4,FALSE())</f>
        <v/>
      </c>
      <c r="P1310" s="55">
        <f>VLOOKUP(C1310,Customers!$A$2:$F$301,3,FALSE())</f>
        <v/>
      </c>
      <c r="Q1310" s="55">
        <f>UPPER(TRIM(K1310))</f>
        <v/>
      </c>
      <c r="R1310" s="55">
        <f>(G1310-O1310)/G1310</f>
        <v/>
      </c>
      <c r="S1310" s="55">
        <f>VLOOKUP(D1310,Products!$A$2:$F$61,6,FALSE())</f>
        <v/>
      </c>
    </row>
    <row r="1311" ht="15" customHeight="1" s="56">
      <c r="A1311" s="55">
        <f>Orders!A1311</f>
        <v/>
      </c>
      <c r="B1311" s="103">
        <f>Orders!B1311</f>
        <v/>
      </c>
      <c r="C1311" s="55">
        <f>Orders!C1311</f>
        <v/>
      </c>
      <c r="D1311" s="55">
        <f>Orders!D1311</f>
        <v/>
      </c>
      <c r="E1311" s="55">
        <f>Orders!E1311</f>
        <v/>
      </c>
      <c r="F1311" s="55">
        <f>Orders!F1311</f>
        <v/>
      </c>
      <c r="G1311" s="55">
        <f>Orders!G1311</f>
        <v/>
      </c>
      <c r="H1311" s="55">
        <f>Orders!H1311</f>
        <v/>
      </c>
      <c r="I1311" s="55">
        <f>Orders!I1311</f>
        <v/>
      </c>
      <c r="J1311" s="55">
        <f>Orders!J1311</f>
        <v/>
      </c>
      <c r="K1311" s="55">
        <f>Orders!K1311</f>
        <v/>
      </c>
      <c r="L1311" s="55">
        <f>VLOOKUP(D1311,Products!$A$2:$F$61,3,FALSE())</f>
        <v/>
      </c>
      <c r="M1311" s="55">
        <f>VLOOKUP(C1311,Customers!$A$2:$F$301,5,FALSE())</f>
        <v/>
      </c>
      <c r="N1311" s="55">
        <f>VLOOKUP(E1311,Sales_Reps!$A$2:$E$31,3,FALSE())</f>
        <v/>
      </c>
      <c r="O1311" s="55">
        <f>VLOOKUP(D1311,Products!$A$2:$F$61,4,FALSE())</f>
        <v/>
      </c>
      <c r="P1311" s="55">
        <f>VLOOKUP(C1311,Customers!$A$2:$F$301,3,FALSE())</f>
        <v/>
      </c>
      <c r="Q1311" s="55">
        <f>UPPER(TRIM(K1311))</f>
        <v/>
      </c>
      <c r="R1311" s="55">
        <f>(G1311-O1311)/G1311</f>
        <v/>
      </c>
      <c r="S1311" s="55">
        <f>VLOOKUP(D1311,Products!$A$2:$F$61,6,FALSE())</f>
        <v/>
      </c>
    </row>
    <row r="1312" ht="15" customHeight="1" s="56">
      <c r="A1312" s="55">
        <f>Orders!A1312</f>
        <v/>
      </c>
      <c r="B1312" s="103">
        <f>Orders!B1312</f>
        <v/>
      </c>
      <c r="C1312" s="55">
        <f>Orders!C1312</f>
        <v/>
      </c>
      <c r="D1312" s="55">
        <f>Orders!D1312</f>
        <v/>
      </c>
      <c r="E1312" s="55">
        <f>Orders!E1312</f>
        <v/>
      </c>
      <c r="F1312" s="55">
        <f>Orders!F1312</f>
        <v/>
      </c>
      <c r="G1312" s="55">
        <f>Orders!G1312</f>
        <v/>
      </c>
      <c r="H1312" s="55">
        <f>Orders!H1312</f>
        <v/>
      </c>
      <c r="I1312" s="55">
        <f>Orders!I1312</f>
        <v/>
      </c>
      <c r="J1312" s="55">
        <f>Orders!J1312</f>
        <v/>
      </c>
      <c r="K1312" s="55">
        <f>Orders!K1312</f>
        <v/>
      </c>
      <c r="L1312" s="55">
        <f>VLOOKUP(D1312,Products!$A$2:$F$61,3,FALSE())</f>
        <v/>
      </c>
      <c r="M1312" s="55">
        <f>VLOOKUP(C1312,Customers!$A$2:$F$301,5,FALSE())</f>
        <v/>
      </c>
      <c r="N1312" s="55">
        <f>VLOOKUP(E1312,Sales_Reps!$A$2:$E$31,3,FALSE())</f>
        <v/>
      </c>
      <c r="O1312" s="55">
        <f>VLOOKUP(D1312,Products!$A$2:$F$61,4,FALSE())</f>
        <v/>
      </c>
      <c r="P1312" s="55">
        <f>VLOOKUP(C1312,Customers!$A$2:$F$301,3,FALSE())</f>
        <v/>
      </c>
      <c r="Q1312" s="55">
        <f>UPPER(TRIM(K1312))</f>
        <v/>
      </c>
      <c r="R1312" s="55">
        <f>(G1312-O1312)/G1312</f>
        <v/>
      </c>
      <c r="S1312" s="55">
        <f>VLOOKUP(D1312,Products!$A$2:$F$61,6,FALSE())</f>
        <v/>
      </c>
    </row>
    <row r="1313" ht="15" customHeight="1" s="56">
      <c r="A1313" s="55">
        <f>Orders!A1313</f>
        <v/>
      </c>
      <c r="B1313" s="103">
        <f>Orders!B1313</f>
        <v/>
      </c>
      <c r="C1313" s="55">
        <f>Orders!C1313</f>
        <v/>
      </c>
      <c r="D1313" s="55">
        <f>Orders!D1313</f>
        <v/>
      </c>
      <c r="E1313" s="55">
        <f>Orders!E1313</f>
        <v/>
      </c>
      <c r="F1313" s="55">
        <f>Orders!F1313</f>
        <v/>
      </c>
      <c r="G1313" s="55">
        <f>Orders!G1313</f>
        <v/>
      </c>
      <c r="H1313" s="55">
        <f>Orders!H1313</f>
        <v/>
      </c>
      <c r="I1313" s="55">
        <f>Orders!I1313</f>
        <v/>
      </c>
      <c r="J1313" s="55">
        <f>Orders!J1313</f>
        <v/>
      </c>
      <c r="K1313" s="55">
        <f>Orders!K1313</f>
        <v/>
      </c>
      <c r="L1313" s="55">
        <f>VLOOKUP(D1313,Products!$A$2:$F$61,3,FALSE())</f>
        <v/>
      </c>
      <c r="M1313" s="55">
        <f>VLOOKUP(C1313,Customers!$A$2:$F$301,5,FALSE())</f>
        <v/>
      </c>
      <c r="N1313" s="55">
        <f>VLOOKUP(E1313,Sales_Reps!$A$2:$E$31,3,FALSE())</f>
        <v/>
      </c>
      <c r="O1313" s="55">
        <f>VLOOKUP(D1313,Products!$A$2:$F$61,4,FALSE())</f>
        <v/>
      </c>
      <c r="P1313" s="55">
        <f>VLOOKUP(C1313,Customers!$A$2:$F$301,3,FALSE())</f>
        <v/>
      </c>
      <c r="Q1313" s="55">
        <f>UPPER(TRIM(K1313))</f>
        <v/>
      </c>
      <c r="R1313" s="55">
        <f>(G1313-O1313)/G1313</f>
        <v/>
      </c>
      <c r="S1313" s="55">
        <f>VLOOKUP(D1313,Products!$A$2:$F$61,6,FALSE())</f>
        <v/>
      </c>
    </row>
    <row r="1314" ht="15" customHeight="1" s="56">
      <c r="A1314" s="55">
        <f>Orders!A1314</f>
        <v/>
      </c>
      <c r="B1314" s="103">
        <f>Orders!B1314</f>
        <v/>
      </c>
      <c r="C1314" s="55">
        <f>Orders!C1314</f>
        <v/>
      </c>
      <c r="D1314" s="55">
        <f>Orders!D1314</f>
        <v/>
      </c>
      <c r="E1314" s="55">
        <f>Orders!E1314</f>
        <v/>
      </c>
      <c r="F1314" s="55">
        <f>Orders!F1314</f>
        <v/>
      </c>
      <c r="G1314" s="55">
        <f>Orders!G1314</f>
        <v/>
      </c>
      <c r="H1314" s="55">
        <f>Orders!H1314</f>
        <v/>
      </c>
      <c r="I1314" s="55">
        <f>Orders!I1314</f>
        <v/>
      </c>
      <c r="J1314" s="55">
        <f>Orders!J1314</f>
        <v/>
      </c>
      <c r="K1314" s="55">
        <f>Orders!K1314</f>
        <v/>
      </c>
      <c r="L1314" s="55">
        <f>VLOOKUP(D1314,Products!$A$2:$F$61,3,FALSE())</f>
        <v/>
      </c>
      <c r="M1314" s="55">
        <f>VLOOKUP(C1314,Customers!$A$2:$F$301,5,FALSE())</f>
        <v/>
      </c>
      <c r="N1314" s="55">
        <f>VLOOKUP(E1314,Sales_Reps!$A$2:$E$31,3,FALSE())</f>
        <v/>
      </c>
      <c r="O1314" s="55">
        <f>VLOOKUP(D1314,Products!$A$2:$F$61,4,FALSE())</f>
        <v/>
      </c>
      <c r="P1314" s="55">
        <f>VLOOKUP(C1314,Customers!$A$2:$F$301,3,FALSE())</f>
        <v/>
      </c>
      <c r="Q1314" s="55">
        <f>UPPER(TRIM(K1314))</f>
        <v/>
      </c>
      <c r="R1314" s="55">
        <f>(G1314-O1314)/G1314</f>
        <v/>
      </c>
      <c r="S1314" s="55">
        <f>VLOOKUP(D1314,Products!$A$2:$F$61,6,FALSE())</f>
        <v/>
      </c>
    </row>
    <row r="1315" ht="15" customHeight="1" s="56">
      <c r="A1315" s="55">
        <f>Orders!A1315</f>
        <v/>
      </c>
      <c r="B1315" s="103">
        <f>Orders!B1315</f>
        <v/>
      </c>
      <c r="C1315" s="55">
        <f>Orders!C1315</f>
        <v/>
      </c>
      <c r="D1315" s="55">
        <f>Orders!D1315</f>
        <v/>
      </c>
      <c r="E1315" s="55">
        <f>Orders!E1315</f>
        <v/>
      </c>
      <c r="F1315" s="55">
        <f>Orders!F1315</f>
        <v/>
      </c>
      <c r="G1315" s="55">
        <f>Orders!G1315</f>
        <v/>
      </c>
      <c r="H1315" s="55">
        <f>Orders!H1315</f>
        <v/>
      </c>
      <c r="I1315" s="55">
        <f>Orders!I1315</f>
        <v/>
      </c>
      <c r="J1315" s="55">
        <f>Orders!J1315</f>
        <v/>
      </c>
      <c r="K1315" s="55">
        <f>Orders!K1315</f>
        <v/>
      </c>
      <c r="L1315" s="55">
        <f>VLOOKUP(D1315,Products!$A$2:$F$61,3,FALSE())</f>
        <v/>
      </c>
      <c r="M1315" s="55">
        <f>VLOOKUP(C1315,Customers!$A$2:$F$301,5,FALSE())</f>
        <v/>
      </c>
      <c r="N1315" s="55">
        <f>VLOOKUP(E1315,Sales_Reps!$A$2:$E$31,3,FALSE())</f>
        <v/>
      </c>
      <c r="O1315" s="55">
        <f>VLOOKUP(D1315,Products!$A$2:$F$61,4,FALSE())</f>
        <v/>
      </c>
      <c r="P1315" s="55">
        <f>VLOOKUP(C1315,Customers!$A$2:$F$301,3,FALSE())</f>
        <v/>
      </c>
      <c r="Q1315" s="55">
        <f>UPPER(TRIM(K1315))</f>
        <v/>
      </c>
      <c r="R1315" s="55">
        <f>(G1315-O1315)/G1315</f>
        <v/>
      </c>
      <c r="S1315" s="55">
        <f>VLOOKUP(D1315,Products!$A$2:$F$61,6,FALSE())</f>
        <v/>
      </c>
    </row>
    <row r="1316" ht="15" customHeight="1" s="56">
      <c r="A1316" s="55">
        <f>Orders!A1316</f>
        <v/>
      </c>
      <c r="B1316" s="103">
        <f>Orders!B1316</f>
        <v/>
      </c>
      <c r="C1316" s="55">
        <f>Orders!C1316</f>
        <v/>
      </c>
      <c r="D1316" s="55">
        <f>Orders!D1316</f>
        <v/>
      </c>
      <c r="E1316" s="55">
        <f>Orders!E1316</f>
        <v/>
      </c>
      <c r="F1316" s="55">
        <f>Orders!F1316</f>
        <v/>
      </c>
      <c r="G1316" s="55">
        <f>Orders!G1316</f>
        <v/>
      </c>
      <c r="H1316" s="55">
        <f>Orders!H1316</f>
        <v/>
      </c>
      <c r="I1316" s="55">
        <f>Orders!I1316</f>
        <v/>
      </c>
      <c r="J1316" s="55">
        <f>Orders!J1316</f>
        <v/>
      </c>
      <c r="K1316" s="55">
        <f>Orders!K1316</f>
        <v/>
      </c>
      <c r="L1316" s="55">
        <f>VLOOKUP(D1316,Products!$A$2:$F$61,3,FALSE())</f>
        <v/>
      </c>
      <c r="M1316" s="55">
        <f>VLOOKUP(C1316,Customers!$A$2:$F$301,5,FALSE())</f>
        <v/>
      </c>
      <c r="N1316" s="55">
        <f>VLOOKUP(E1316,Sales_Reps!$A$2:$E$31,3,FALSE())</f>
        <v/>
      </c>
      <c r="O1316" s="55">
        <f>VLOOKUP(D1316,Products!$A$2:$F$61,4,FALSE())</f>
        <v/>
      </c>
      <c r="P1316" s="55">
        <f>VLOOKUP(C1316,Customers!$A$2:$F$301,3,FALSE())</f>
        <v/>
      </c>
      <c r="Q1316" s="55">
        <f>UPPER(TRIM(K1316))</f>
        <v/>
      </c>
      <c r="R1316" s="55">
        <f>(G1316-O1316)/G1316</f>
        <v/>
      </c>
      <c r="S1316" s="55">
        <f>VLOOKUP(D1316,Products!$A$2:$F$61,6,FALSE())</f>
        <v/>
      </c>
    </row>
    <row r="1317" ht="15" customHeight="1" s="56">
      <c r="A1317" s="55">
        <f>Orders!A1317</f>
        <v/>
      </c>
      <c r="B1317" s="103">
        <f>Orders!B1317</f>
        <v/>
      </c>
      <c r="C1317" s="55">
        <f>Orders!C1317</f>
        <v/>
      </c>
      <c r="D1317" s="55">
        <f>Orders!D1317</f>
        <v/>
      </c>
      <c r="E1317" s="55">
        <f>Orders!E1317</f>
        <v/>
      </c>
      <c r="F1317" s="55">
        <f>Orders!F1317</f>
        <v/>
      </c>
      <c r="G1317" s="55">
        <f>Orders!G1317</f>
        <v/>
      </c>
      <c r="H1317" s="55">
        <f>Orders!H1317</f>
        <v/>
      </c>
      <c r="I1317" s="55">
        <f>Orders!I1317</f>
        <v/>
      </c>
      <c r="J1317" s="55">
        <f>Orders!J1317</f>
        <v/>
      </c>
      <c r="K1317" s="55">
        <f>Orders!K1317</f>
        <v/>
      </c>
      <c r="L1317" s="55">
        <f>VLOOKUP(D1317,Products!$A$2:$F$61,3,FALSE())</f>
        <v/>
      </c>
      <c r="M1317" s="55">
        <f>VLOOKUP(C1317,Customers!$A$2:$F$301,5,FALSE())</f>
        <v/>
      </c>
      <c r="N1317" s="55">
        <f>VLOOKUP(E1317,Sales_Reps!$A$2:$E$31,3,FALSE())</f>
        <v/>
      </c>
      <c r="O1317" s="55">
        <f>VLOOKUP(D1317,Products!$A$2:$F$61,4,FALSE())</f>
        <v/>
      </c>
      <c r="P1317" s="55">
        <f>VLOOKUP(C1317,Customers!$A$2:$F$301,3,FALSE())</f>
        <v/>
      </c>
      <c r="Q1317" s="55">
        <f>UPPER(TRIM(K1317))</f>
        <v/>
      </c>
      <c r="R1317" s="55">
        <f>(G1317-O1317)/G1317</f>
        <v/>
      </c>
      <c r="S1317" s="55">
        <f>VLOOKUP(D1317,Products!$A$2:$F$61,6,FALSE())</f>
        <v/>
      </c>
    </row>
    <row r="1318" ht="15" customHeight="1" s="56">
      <c r="A1318" s="55">
        <f>Orders!A1318</f>
        <v/>
      </c>
      <c r="B1318" s="103">
        <f>Orders!B1318</f>
        <v/>
      </c>
      <c r="C1318" s="55">
        <f>Orders!C1318</f>
        <v/>
      </c>
      <c r="D1318" s="55">
        <f>Orders!D1318</f>
        <v/>
      </c>
      <c r="E1318" s="55">
        <f>Orders!E1318</f>
        <v/>
      </c>
      <c r="F1318" s="55">
        <f>Orders!F1318</f>
        <v/>
      </c>
      <c r="G1318" s="55">
        <f>Orders!G1318</f>
        <v/>
      </c>
      <c r="H1318" s="55">
        <f>Orders!H1318</f>
        <v/>
      </c>
      <c r="I1318" s="55">
        <f>Orders!I1318</f>
        <v/>
      </c>
      <c r="J1318" s="55">
        <f>Orders!J1318</f>
        <v/>
      </c>
      <c r="K1318" s="55">
        <f>Orders!K1318</f>
        <v/>
      </c>
      <c r="L1318" s="55">
        <f>VLOOKUP(D1318,Products!$A$2:$F$61,3,FALSE())</f>
        <v/>
      </c>
      <c r="M1318" s="55">
        <f>VLOOKUP(C1318,Customers!$A$2:$F$301,5,FALSE())</f>
        <v/>
      </c>
      <c r="N1318" s="55">
        <f>VLOOKUP(E1318,Sales_Reps!$A$2:$E$31,3,FALSE())</f>
        <v/>
      </c>
      <c r="O1318" s="55">
        <f>VLOOKUP(D1318,Products!$A$2:$F$61,4,FALSE())</f>
        <v/>
      </c>
      <c r="P1318" s="55">
        <f>VLOOKUP(C1318,Customers!$A$2:$F$301,3,FALSE())</f>
        <v/>
      </c>
      <c r="Q1318" s="55">
        <f>UPPER(TRIM(K1318))</f>
        <v/>
      </c>
      <c r="R1318" s="55">
        <f>(G1318-O1318)/G1318</f>
        <v/>
      </c>
      <c r="S1318" s="55">
        <f>VLOOKUP(D1318,Products!$A$2:$F$61,6,FALSE())</f>
        <v/>
      </c>
    </row>
    <row r="1319" ht="15" customHeight="1" s="56">
      <c r="A1319" s="55">
        <f>Orders!A1319</f>
        <v/>
      </c>
      <c r="B1319" s="103">
        <f>Orders!B1319</f>
        <v/>
      </c>
      <c r="C1319" s="55">
        <f>Orders!C1319</f>
        <v/>
      </c>
      <c r="D1319" s="55">
        <f>Orders!D1319</f>
        <v/>
      </c>
      <c r="E1319" s="55">
        <f>Orders!E1319</f>
        <v/>
      </c>
      <c r="F1319" s="55">
        <f>Orders!F1319</f>
        <v/>
      </c>
      <c r="G1319" s="55">
        <f>Orders!G1319</f>
        <v/>
      </c>
      <c r="H1319" s="55">
        <f>Orders!H1319</f>
        <v/>
      </c>
      <c r="I1319" s="55">
        <f>Orders!I1319</f>
        <v/>
      </c>
      <c r="J1319" s="55">
        <f>Orders!J1319</f>
        <v/>
      </c>
      <c r="K1319" s="55">
        <f>Orders!K1319</f>
        <v/>
      </c>
      <c r="L1319" s="55">
        <f>VLOOKUP(D1319,Products!$A$2:$F$61,3,FALSE())</f>
        <v/>
      </c>
      <c r="M1319" s="55">
        <f>VLOOKUP(C1319,Customers!$A$2:$F$301,5,FALSE())</f>
        <v/>
      </c>
      <c r="N1319" s="55">
        <f>VLOOKUP(E1319,Sales_Reps!$A$2:$E$31,3,FALSE())</f>
        <v/>
      </c>
      <c r="O1319" s="55">
        <f>VLOOKUP(D1319,Products!$A$2:$F$61,4,FALSE())</f>
        <v/>
      </c>
      <c r="P1319" s="55">
        <f>VLOOKUP(C1319,Customers!$A$2:$F$301,3,FALSE())</f>
        <v/>
      </c>
      <c r="Q1319" s="55">
        <f>UPPER(TRIM(K1319))</f>
        <v/>
      </c>
      <c r="R1319" s="55">
        <f>(G1319-O1319)/G1319</f>
        <v/>
      </c>
      <c r="S1319" s="55">
        <f>VLOOKUP(D1319,Products!$A$2:$F$61,6,FALSE())</f>
        <v/>
      </c>
    </row>
    <row r="1320" ht="15" customHeight="1" s="56">
      <c r="A1320" s="55">
        <f>Orders!A1320</f>
        <v/>
      </c>
      <c r="B1320" s="103">
        <f>Orders!B1320</f>
        <v/>
      </c>
      <c r="C1320" s="55">
        <f>Orders!C1320</f>
        <v/>
      </c>
      <c r="D1320" s="55">
        <f>Orders!D1320</f>
        <v/>
      </c>
      <c r="E1320" s="55">
        <f>Orders!E1320</f>
        <v/>
      </c>
      <c r="F1320" s="55">
        <f>Orders!F1320</f>
        <v/>
      </c>
      <c r="G1320" s="55">
        <f>Orders!G1320</f>
        <v/>
      </c>
      <c r="H1320" s="55">
        <f>Orders!H1320</f>
        <v/>
      </c>
      <c r="I1320" s="55">
        <f>Orders!I1320</f>
        <v/>
      </c>
      <c r="J1320" s="55">
        <f>Orders!J1320</f>
        <v/>
      </c>
      <c r="K1320" s="55">
        <f>Orders!K1320</f>
        <v/>
      </c>
      <c r="L1320" s="55">
        <f>VLOOKUP(D1320,Products!$A$2:$F$61,3,FALSE())</f>
        <v/>
      </c>
      <c r="M1320" s="55">
        <f>VLOOKUP(C1320,Customers!$A$2:$F$301,5,FALSE())</f>
        <v/>
      </c>
      <c r="N1320" s="55">
        <f>VLOOKUP(E1320,Sales_Reps!$A$2:$E$31,3,FALSE())</f>
        <v/>
      </c>
      <c r="O1320" s="55">
        <f>VLOOKUP(D1320,Products!$A$2:$F$61,4,FALSE())</f>
        <v/>
      </c>
      <c r="P1320" s="55">
        <f>VLOOKUP(C1320,Customers!$A$2:$F$301,3,FALSE())</f>
        <v/>
      </c>
      <c r="Q1320" s="55">
        <f>UPPER(TRIM(K1320))</f>
        <v/>
      </c>
      <c r="R1320" s="55">
        <f>(G1320-O1320)/G1320</f>
        <v/>
      </c>
      <c r="S1320" s="55">
        <f>VLOOKUP(D1320,Products!$A$2:$F$61,6,FALSE())</f>
        <v/>
      </c>
    </row>
    <row r="1321" ht="15" customHeight="1" s="56">
      <c r="A1321" s="55">
        <f>Orders!A1321</f>
        <v/>
      </c>
      <c r="B1321" s="103">
        <f>Orders!B1321</f>
        <v/>
      </c>
      <c r="C1321" s="55">
        <f>Orders!C1321</f>
        <v/>
      </c>
      <c r="D1321" s="55">
        <f>Orders!D1321</f>
        <v/>
      </c>
      <c r="E1321" s="55">
        <f>Orders!E1321</f>
        <v/>
      </c>
      <c r="F1321" s="55">
        <f>Orders!F1321</f>
        <v/>
      </c>
      <c r="G1321" s="55">
        <f>Orders!G1321</f>
        <v/>
      </c>
      <c r="H1321" s="55">
        <f>Orders!H1321</f>
        <v/>
      </c>
      <c r="I1321" s="55">
        <f>Orders!I1321</f>
        <v/>
      </c>
      <c r="J1321" s="55">
        <f>Orders!J1321</f>
        <v/>
      </c>
      <c r="K1321" s="55">
        <f>Orders!K1321</f>
        <v/>
      </c>
      <c r="L1321" s="55">
        <f>VLOOKUP(D1321,Products!$A$2:$F$61,3,FALSE())</f>
        <v/>
      </c>
      <c r="M1321" s="55">
        <f>VLOOKUP(C1321,Customers!$A$2:$F$301,5,FALSE())</f>
        <v/>
      </c>
      <c r="N1321" s="55">
        <f>VLOOKUP(E1321,Sales_Reps!$A$2:$E$31,3,FALSE())</f>
        <v/>
      </c>
      <c r="O1321" s="55">
        <f>VLOOKUP(D1321,Products!$A$2:$F$61,4,FALSE())</f>
        <v/>
      </c>
      <c r="P1321" s="55">
        <f>VLOOKUP(C1321,Customers!$A$2:$F$301,3,FALSE())</f>
        <v/>
      </c>
      <c r="Q1321" s="55">
        <f>UPPER(TRIM(K1321))</f>
        <v/>
      </c>
      <c r="R1321" s="55">
        <f>(G1321-O1321)/G1321</f>
        <v/>
      </c>
      <c r="S1321" s="55">
        <f>VLOOKUP(D1321,Products!$A$2:$F$61,6,FALSE())</f>
        <v/>
      </c>
    </row>
    <row r="1322" ht="15" customHeight="1" s="56">
      <c r="A1322" s="55">
        <f>Orders!A1322</f>
        <v/>
      </c>
      <c r="B1322" s="103">
        <f>Orders!B1322</f>
        <v/>
      </c>
      <c r="C1322" s="55">
        <f>Orders!C1322</f>
        <v/>
      </c>
      <c r="D1322" s="55">
        <f>Orders!D1322</f>
        <v/>
      </c>
      <c r="E1322" s="55">
        <f>Orders!E1322</f>
        <v/>
      </c>
      <c r="F1322" s="55">
        <f>Orders!F1322</f>
        <v/>
      </c>
      <c r="G1322" s="55">
        <f>Orders!G1322</f>
        <v/>
      </c>
      <c r="H1322" s="55">
        <f>Orders!H1322</f>
        <v/>
      </c>
      <c r="I1322" s="55">
        <f>Orders!I1322</f>
        <v/>
      </c>
      <c r="J1322" s="55">
        <f>Orders!J1322</f>
        <v/>
      </c>
      <c r="K1322" s="55">
        <f>Orders!K1322</f>
        <v/>
      </c>
      <c r="L1322" s="55">
        <f>VLOOKUP(D1322,Products!$A$2:$F$61,3,FALSE())</f>
        <v/>
      </c>
      <c r="M1322" s="55">
        <f>VLOOKUP(C1322,Customers!$A$2:$F$301,5,FALSE())</f>
        <v/>
      </c>
      <c r="N1322" s="55">
        <f>VLOOKUP(E1322,Sales_Reps!$A$2:$E$31,3,FALSE())</f>
        <v/>
      </c>
      <c r="O1322" s="55">
        <f>VLOOKUP(D1322,Products!$A$2:$F$61,4,FALSE())</f>
        <v/>
      </c>
      <c r="P1322" s="55">
        <f>VLOOKUP(C1322,Customers!$A$2:$F$301,3,FALSE())</f>
        <v/>
      </c>
      <c r="Q1322" s="55">
        <f>UPPER(TRIM(K1322))</f>
        <v/>
      </c>
      <c r="R1322" s="55">
        <f>(G1322-O1322)/G1322</f>
        <v/>
      </c>
      <c r="S1322" s="55">
        <f>VLOOKUP(D1322,Products!$A$2:$F$61,6,FALSE())</f>
        <v/>
      </c>
    </row>
    <row r="1323" ht="15" customHeight="1" s="56">
      <c r="A1323" s="55">
        <f>Orders!A1323</f>
        <v/>
      </c>
      <c r="B1323" s="103">
        <f>Orders!B1323</f>
        <v/>
      </c>
      <c r="C1323" s="55">
        <f>Orders!C1323</f>
        <v/>
      </c>
      <c r="D1323" s="55">
        <f>Orders!D1323</f>
        <v/>
      </c>
      <c r="E1323" s="55">
        <f>Orders!E1323</f>
        <v/>
      </c>
      <c r="F1323" s="55">
        <f>Orders!F1323</f>
        <v/>
      </c>
      <c r="G1323" s="55">
        <f>Orders!G1323</f>
        <v/>
      </c>
      <c r="H1323" s="55">
        <f>Orders!H1323</f>
        <v/>
      </c>
      <c r="I1323" s="55">
        <f>Orders!I1323</f>
        <v/>
      </c>
      <c r="J1323" s="55">
        <f>Orders!J1323</f>
        <v/>
      </c>
      <c r="K1323" s="55">
        <f>Orders!K1323</f>
        <v/>
      </c>
      <c r="L1323" s="55">
        <f>VLOOKUP(D1323,Products!$A$2:$F$61,3,FALSE())</f>
        <v/>
      </c>
      <c r="M1323" s="55">
        <f>VLOOKUP(C1323,Customers!$A$2:$F$301,5,FALSE())</f>
        <v/>
      </c>
      <c r="N1323" s="55">
        <f>VLOOKUP(E1323,Sales_Reps!$A$2:$E$31,3,FALSE())</f>
        <v/>
      </c>
      <c r="O1323" s="55">
        <f>VLOOKUP(D1323,Products!$A$2:$F$61,4,FALSE())</f>
        <v/>
      </c>
      <c r="P1323" s="55">
        <f>VLOOKUP(C1323,Customers!$A$2:$F$301,3,FALSE())</f>
        <v/>
      </c>
      <c r="Q1323" s="55">
        <f>UPPER(TRIM(K1323))</f>
        <v/>
      </c>
      <c r="R1323" s="55">
        <f>(G1323-O1323)/G1323</f>
        <v/>
      </c>
      <c r="S1323" s="55">
        <f>VLOOKUP(D1323,Products!$A$2:$F$61,6,FALSE())</f>
        <v/>
      </c>
    </row>
    <row r="1324" ht="15" customHeight="1" s="56">
      <c r="A1324" s="55">
        <f>Orders!A1324</f>
        <v/>
      </c>
      <c r="B1324" s="103">
        <f>Orders!B1324</f>
        <v/>
      </c>
      <c r="C1324" s="55">
        <f>Orders!C1324</f>
        <v/>
      </c>
      <c r="D1324" s="55">
        <f>Orders!D1324</f>
        <v/>
      </c>
      <c r="E1324" s="55">
        <f>Orders!E1324</f>
        <v/>
      </c>
      <c r="F1324" s="55">
        <f>Orders!F1324</f>
        <v/>
      </c>
      <c r="G1324" s="55">
        <f>Orders!G1324</f>
        <v/>
      </c>
      <c r="H1324" s="55">
        <f>Orders!H1324</f>
        <v/>
      </c>
      <c r="I1324" s="55">
        <f>Orders!I1324</f>
        <v/>
      </c>
      <c r="J1324" s="55">
        <f>Orders!J1324</f>
        <v/>
      </c>
      <c r="K1324" s="55">
        <f>Orders!K1324</f>
        <v/>
      </c>
      <c r="L1324" s="55">
        <f>VLOOKUP(D1324,Products!$A$2:$F$61,3,FALSE())</f>
        <v/>
      </c>
      <c r="M1324" s="55">
        <f>VLOOKUP(C1324,Customers!$A$2:$F$301,5,FALSE())</f>
        <v/>
      </c>
      <c r="N1324" s="55">
        <f>VLOOKUP(E1324,Sales_Reps!$A$2:$E$31,3,FALSE())</f>
        <v/>
      </c>
      <c r="O1324" s="55">
        <f>VLOOKUP(D1324,Products!$A$2:$F$61,4,FALSE())</f>
        <v/>
      </c>
      <c r="P1324" s="55">
        <f>VLOOKUP(C1324,Customers!$A$2:$F$301,3,FALSE())</f>
        <v/>
      </c>
      <c r="Q1324" s="55">
        <f>UPPER(TRIM(K1324))</f>
        <v/>
      </c>
      <c r="R1324" s="55">
        <f>(G1324-O1324)/G1324</f>
        <v/>
      </c>
      <c r="S1324" s="55">
        <f>VLOOKUP(D1324,Products!$A$2:$F$61,6,FALSE())</f>
        <v/>
      </c>
    </row>
    <row r="1325" ht="15" customHeight="1" s="56">
      <c r="A1325" s="55">
        <f>Orders!A1325</f>
        <v/>
      </c>
      <c r="B1325" s="103">
        <f>Orders!B1325</f>
        <v/>
      </c>
      <c r="C1325" s="55">
        <f>Orders!C1325</f>
        <v/>
      </c>
      <c r="D1325" s="55">
        <f>Orders!D1325</f>
        <v/>
      </c>
      <c r="E1325" s="55">
        <f>Orders!E1325</f>
        <v/>
      </c>
      <c r="F1325" s="55">
        <f>Orders!F1325</f>
        <v/>
      </c>
      <c r="G1325" s="55">
        <f>Orders!G1325</f>
        <v/>
      </c>
      <c r="H1325" s="55">
        <f>Orders!H1325</f>
        <v/>
      </c>
      <c r="I1325" s="55">
        <f>Orders!I1325</f>
        <v/>
      </c>
      <c r="J1325" s="55">
        <f>Orders!J1325</f>
        <v/>
      </c>
      <c r="K1325" s="55">
        <f>Orders!K1325</f>
        <v/>
      </c>
      <c r="L1325" s="55">
        <f>VLOOKUP(D1325,Products!$A$2:$F$61,3,FALSE())</f>
        <v/>
      </c>
      <c r="M1325" s="55">
        <f>VLOOKUP(C1325,Customers!$A$2:$F$301,5,FALSE())</f>
        <v/>
      </c>
      <c r="N1325" s="55">
        <f>VLOOKUP(E1325,Sales_Reps!$A$2:$E$31,3,FALSE())</f>
        <v/>
      </c>
      <c r="O1325" s="55">
        <f>VLOOKUP(D1325,Products!$A$2:$F$61,4,FALSE())</f>
        <v/>
      </c>
      <c r="P1325" s="55">
        <f>VLOOKUP(C1325,Customers!$A$2:$F$301,3,FALSE())</f>
        <v/>
      </c>
      <c r="Q1325" s="55">
        <f>UPPER(TRIM(K1325))</f>
        <v/>
      </c>
      <c r="R1325" s="55">
        <f>(G1325-O1325)/G1325</f>
        <v/>
      </c>
      <c r="S1325" s="55">
        <f>VLOOKUP(D1325,Products!$A$2:$F$61,6,FALSE())</f>
        <v/>
      </c>
    </row>
    <row r="1326" ht="15" customHeight="1" s="56">
      <c r="A1326" s="55">
        <f>Orders!A1326</f>
        <v/>
      </c>
      <c r="B1326" s="103">
        <f>Orders!B1326</f>
        <v/>
      </c>
      <c r="C1326" s="55">
        <f>Orders!C1326</f>
        <v/>
      </c>
      <c r="D1326" s="55">
        <f>Orders!D1326</f>
        <v/>
      </c>
      <c r="E1326" s="55">
        <f>Orders!E1326</f>
        <v/>
      </c>
      <c r="F1326" s="55">
        <f>Orders!F1326</f>
        <v/>
      </c>
      <c r="G1326" s="55">
        <f>Orders!G1326</f>
        <v/>
      </c>
      <c r="H1326" s="55">
        <f>Orders!H1326</f>
        <v/>
      </c>
      <c r="I1326" s="55">
        <f>Orders!I1326</f>
        <v/>
      </c>
      <c r="J1326" s="55">
        <f>Orders!J1326</f>
        <v/>
      </c>
      <c r="K1326" s="55">
        <f>Orders!K1326</f>
        <v/>
      </c>
      <c r="L1326" s="55">
        <f>VLOOKUP(D1326,Products!$A$2:$F$61,3,FALSE())</f>
        <v/>
      </c>
      <c r="M1326" s="55">
        <f>VLOOKUP(C1326,Customers!$A$2:$F$301,5,FALSE())</f>
        <v/>
      </c>
      <c r="N1326" s="55">
        <f>VLOOKUP(E1326,Sales_Reps!$A$2:$E$31,3,FALSE())</f>
        <v/>
      </c>
      <c r="O1326" s="55">
        <f>VLOOKUP(D1326,Products!$A$2:$F$61,4,FALSE())</f>
        <v/>
      </c>
      <c r="P1326" s="55">
        <f>VLOOKUP(C1326,Customers!$A$2:$F$301,3,FALSE())</f>
        <v/>
      </c>
      <c r="Q1326" s="55">
        <f>UPPER(TRIM(K1326))</f>
        <v/>
      </c>
      <c r="R1326" s="55">
        <f>(G1326-O1326)/G1326</f>
        <v/>
      </c>
      <c r="S1326" s="55">
        <f>VLOOKUP(D1326,Products!$A$2:$F$61,6,FALSE())</f>
        <v/>
      </c>
    </row>
    <row r="1327" ht="15" customHeight="1" s="56">
      <c r="A1327" s="55">
        <f>Orders!A1327</f>
        <v/>
      </c>
      <c r="B1327" s="103">
        <f>Orders!B1327</f>
        <v/>
      </c>
      <c r="C1327" s="55">
        <f>Orders!C1327</f>
        <v/>
      </c>
      <c r="D1327" s="55">
        <f>Orders!D1327</f>
        <v/>
      </c>
      <c r="E1327" s="55">
        <f>Orders!E1327</f>
        <v/>
      </c>
      <c r="F1327" s="55">
        <f>Orders!F1327</f>
        <v/>
      </c>
      <c r="G1327" s="55">
        <f>Orders!G1327</f>
        <v/>
      </c>
      <c r="H1327" s="55">
        <f>Orders!H1327</f>
        <v/>
      </c>
      <c r="I1327" s="55">
        <f>Orders!I1327</f>
        <v/>
      </c>
      <c r="J1327" s="55">
        <f>Orders!J1327</f>
        <v/>
      </c>
      <c r="K1327" s="55">
        <f>Orders!K1327</f>
        <v/>
      </c>
      <c r="L1327" s="55">
        <f>VLOOKUP(D1327,Products!$A$2:$F$61,3,FALSE())</f>
        <v/>
      </c>
      <c r="M1327" s="55">
        <f>VLOOKUP(C1327,Customers!$A$2:$F$301,5,FALSE())</f>
        <v/>
      </c>
      <c r="N1327" s="55">
        <f>VLOOKUP(E1327,Sales_Reps!$A$2:$E$31,3,FALSE())</f>
        <v/>
      </c>
      <c r="O1327" s="55">
        <f>VLOOKUP(D1327,Products!$A$2:$F$61,4,FALSE())</f>
        <v/>
      </c>
      <c r="P1327" s="55">
        <f>VLOOKUP(C1327,Customers!$A$2:$F$301,3,FALSE())</f>
        <v/>
      </c>
      <c r="Q1327" s="55">
        <f>UPPER(TRIM(K1327))</f>
        <v/>
      </c>
      <c r="R1327" s="55">
        <f>(G1327-O1327)/G1327</f>
        <v/>
      </c>
      <c r="S1327" s="55">
        <f>VLOOKUP(D1327,Products!$A$2:$F$61,6,FALSE())</f>
        <v/>
      </c>
    </row>
    <row r="1328" ht="15" customHeight="1" s="56">
      <c r="A1328" s="55">
        <f>Orders!A1328</f>
        <v/>
      </c>
      <c r="B1328" s="103">
        <f>Orders!B1328</f>
        <v/>
      </c>
      <c r="C1328" s="55">
        <f>Orders!C1328</f>
        <v/>
      </c>
      <c r="D1328" s="55">
        <f>Orders!D1328</f>
        <v/>
      </c>
      <c r="E1328" s="55">
        <f>Orders!E1328</f>
        <v/>
      </c>
      <c r="F1328" s="55">
        <f>Orders!F1328</f>
        <v/>
      </c>
      <c r="G1328" s="55">
        <f>Orders!G1328</f>
        <v/>
      </c>
      <c r="H1328" s="55">
        <f>Orders!H1328</f>
        <v/>
      </c>
      <c r="I1328" s="55">
        <f>Orders!I1328</f>
        <v/>
      </c>
      <c r="J1328" s="55">
        <f>Orders!J1328</f>
        <v/>
      </c>
      <c r="K1328" s="55">
        <f>Orders!K1328</f>
        <v/>
      </c>
      <c r="L1328" s="55">
        <f>VLOOKUP(D1328,Products!$A$2:$F$61,3,FALSE())</f>
        <v/>
      </c>
      <c r="M1328" s="55">
        <f>VLOOKUP(C1328,Customers!$A$2:$F$301,5,FALSE())</f>
        <v/>
      </c>
      <c r="N1328" s="55">
        <f>VLOOKUP(E1328,Sales_Reps!$A$2:$E$31,3,FALSE())</f>
        <v/>
      </c>
      <c r="O1328" s="55">
        <f>VLOOKUP(D1328,Products!$A$2:$F$61,4,FALSE())</f>
        <v/>
      </c>
      <c r="P1328" s="55">
        <f>VLOOKUP(C1328,Customers!$A$2:$F$301,3,FALSE())</f>
        <v/>
      </c>
      <c r="Q1328" s="55">
        <f>UPPER(TRIM(K1328))</f>
        <v/>
      </c>
      <c r="R1328" s="55">
        <f>(G1328-O1328)/G1328</f>
        <v/>
      </c>
      <c r="S1328" s="55">
        <f>VLOOKUP(D1328,Products!$A$2:$F$61,6,FALSE())</f>
        <v/>
      </c>
    </row>
    <row r="1329" ht="15" customHeight="1" s="56">
      <c r="A1329" s="55">
        <f>Orders!A1329</f>
        <v/>
      </c>
      <c r="B1329" s="103">
        <f>Orders!B1329</f>
        <v/>
      </c>
      <c r="C1329" s="55">
        <f>Orders!C1329</f>
        <v/>
      </c>
      <c r="D1329" s="55">
        <f>Orders!D1329</f>
        <v/>
      </c>
      <c r="E1329" s="55">
        <f>Orders!E1329</f>
        <v/>
      </c>
      <c r="F1329" s="55">
        <f>Orders!F1329</f>
        <v/>
      </c>
      <c r="G1329" s="55">
        <f>Orders!G1329</f>
        <v/>
      </c>
      <c r="H1329" s="55">
        <f>Orders!H1329</f>
        <v/>
      </c>
      <c r="I1329" s="55">
        <f>Orders!I1329</f>
        <v/>
      </c>
      <c r="J1329" s="55">
        <f>Orders!J1329</f>
        <v/>
      </c>
      <c r="K1329" s="55">
        <f>Orders!K1329</f>
        <v/>
      </c>
      <c r="L1329" s="55">
        <f>VLOOKUP(D1329,Products!$A$2:$F$61,3,FALSE())</f>
        <v/>
      </c>
      <c r="M1329" s="55">
        <f>VLOOKUP(C1329,Customers!$A$2:$F$301,5,FALSE())</f>
        <v/>
      </c>
      <c r="N1329" s="55">
        <f>VLOOKUP(E1329,Sales_Reps!$A$2:$E$31,3,FALSE())</f>
        <v/>
      </c>
      <c r="O1329" s="55">
        <f>VLOOKUP(D1329,Products!$A$2:$F$61,4,FALSE())</f>
        <v/>
      </c>
      <c r="P1329" s="55">
        <f>VLOOKUP(C1329,Customers!$A$2:$F$301,3,FALSE())</f>
        <v/>
      </c>
      <c r="Q1329" s="55">
        <f>UPPER(TRIM(K1329))</f>
        <v/>
      </c>
      <c r="R1329" s="55">
        <f>(G1329-O1329)/G1329</f>
        <v/>
      </c>
      <c r="S1329" s="55">
        <f>VLOOKUP(D1329,Products!$A$2:$F$61,6,FALSE())</f>
        <v/>
      </c>
    </row>
    <row r="1330" ht="15" customHeight="1" s="56">
      <c r="A1330" s="55">
        <f>Orders!A1330</f>
        <v/>
      </c>
      <c r="B1330" s="103">
        <f>Orders!B1330</f>
        <v/>
      </c>
      <c r="C1330" s="55">
        <f>Orders!C1330</f>
        <v/>
      </c>
      <c r="D1330" s="55">
        <f>Orders!D1330</f>
        <v/>
      </c>
      <c r="E1330" s="55">
        <f>Orders!E1330</f>
        <v/>
      </c>
      <c r="F1330" s="55">
        <f>Orders!F1330</f>
        <v/>
      </c>
      <c r="G1330" s="55">
        <f>Orders!G1330</f>
        <v/>
      </c>
      <c r="H1330" s="55">
        <f>Orders!H1330</f>
        <v/>
      </c>
      <c r="I1330" s="55">
        <f>Orders!I1330</f>
        <v/>
      </c>
      <c r="J1330" s="55">
        <f>Orders!J1330</f>
        <v/>
      </c>
      <c r="K1330" s="55">
        <f>Orders!K1330</f>
        <v/>
      </c>
      <c r="L1330" s="55">
        <f>VLOOKUP(D1330,Products!$A$2:$F$61,3,FALSE())</f>
        <v/>
      </c>
      <c r="M1330" s="55">
        <f>VLOOKUP(C1330,Customers!$A$2:$F$301,5,FALSE())</f>
        <v/>
      </c>
      <c r="N1330" s="55">
        <f>VLOOKUP(E1330,Sales_Reps!$A$2:$E$31,3,FALSE())</f>
        <v/>
      </c>
      <c r="O1330" s="55">
        <f>VLOOKUP(D1330,Products!$A$2:$F$61,4,FALSE())</f>
        <v/>
      </c>
      <c r="P1330" s="55">
        <f>VLOOKUP(C1330,Customers!$A$2:$F$301,3,FALSE())</f>
        <v/>
      </c>
      <c r="Q1330" s="55">
        <f>UPPER(TRIM(K1330))</f>
        <v/>
      </c>
      <c r="R1330" s="55">
        <f>(G1330-O1330)/G1330</f>
        <v/>
      </c>
      <c r="S1330" s="55">
        <f>VLOOKUP(D1330,Products!$A$2:$F$61,6,FALSE())</f>
        <v/>
      </c>
    </row>
    <row r="1331" ht="15" customHeight="1" s="56">
      <c r="A1331" s="55">
        <f>Orders!A1331</f>
        <v/>
      </c>
      <c r="B1331" s="103">
        <f>Orders!B1331</f>
        <v/>
      </c>
      <c r="C1331" s="55">
        <f>Orders!C1331</f>
        <v/>
      </c>
      <c r="D1331" s="55">
        <f>Orders!D1331</f>
        <v/>
      </c>
      <c r="E1331" s="55">
        <f>Orders!E1331</f>
        <v/>
      </c>
      <c r="F1331" s="55">
        <f>Orders!F1331</f>
        <v/>
      </c>
      <c r="G1331" s="55">
        <f>Orders!G1331</f>
        <v/>
      </c>
      <c r="H1331" s="55">
        <f>Orders!H1331</f>
        <v/>
      </c>
      <c r="I1331" s="55">
        <f>Orders!I1331</f>
        <v/>
      </c>
      <c r="J1331" s="55">
        <f>Orders!J1331</f>
        <v/>
      </c>
      <c r="K1331" s="55">
        <f>Orders!K1331</f>
        <v/>
      </c>
      <c r="L1331" s="55">
        <f>VLOOKUP(D1331,Products!$A$2:$F$61,3,FALSE())</f>
        <v/>
      </c>
      <c r="M1331" s="55">
        <f>VLOOKUP(C1331,Customers!$A$2:$F$301,5,FALSE())</f>
        <v/>
      </c>
      <c r="N1331" s="55">
        <f>VLOOKUP(E1331,Sales_Reps!$A$2:$E$31,3,FALSE())</f>
        <v/>
      </c>
      <c r="O1331" s="55">
        <f>VLOOKUP(D1331,Products!$A$2:$F$61,4,FALSE())</f>
        <v/>
      </c>
      <c r="P1331" s="55">
        <f>VLOOKUP(C1331,Customers!$A$2:$F$301,3,FALSE())</f>
        <v/>
      </c>
      <c r="Q1331" s="55">
        <f>UPPER(TRIM(K1331))</f>
        <v/>
      </c>
      <c r="R1331" s="55">
        <f>(G1331-O1331)/G1331</f>
        <v/>
      </c>
      <c r="S1331" s="55">
        <f>VLOOKUP(D1331,Products!$A$2:$F$61,6,FALSE())</f>
        <v/>
      </c>
    </row>
    <row r="1332" ht="15" customHeight="1" s="56">
      <c r="A1332" s="55">
        <f>Orders!A1332</f>
        <v/>
      </c>
      <c r="B1332" s="103">
        <f>Orders!B1332</f>
        <v/>
      </c>
      <c r="C1332" s="55">
        <f>Orders!C1332</f>
        <v/>
      </c>
      <c r="D1332" s="55">
        <f>Orders!D1332</f>
        <v/>
      </c>
      <c r="E1332" s="55">
        <f>Orders!E1332</f>
        <v/>
      </c>
      <c r="F1332" s="55">
        <f>Orders!F1332</f>
        <v/>
      </c>
      <c r="G1332" s="55">
        <f>Orders!G1332</f>
        <v/>
      </c>
      <c r="H1332" s="55">
        <f>Orders!H1332</f>
        <v/>
      </c>
      <c r="I1332" s="55">
        <f>Orders!I1332</f>
        <v/>
      </c>
      <c r="J1332" s="55">
        <f>Orders!J1332</f>
        <v/>
      </c>
      <c r="K1332" s="55">
        <f>Orders!K1332</f>
        <v/>
      </c>
      <c r="L1332" s="55">
        <f>VLOOKUP(D1332,Products!$A$2:$F$61,3,FALSE())</f>
        <v/>
      </c>
      <c r="M1332" s="55">
        <f>VLOOKUP(C1332,Customers!$A$2:$F$301,5,FALSE())</f>
        <v/>
      </c>
      <c r="N1332" s="55">
        <f>VLOOKUP(E1332,Sales_Reps!$A$2:$E$31,3,FALSE())</f>
        <v/>
      </c>
      <c r="O1332" s="55">
        <f>VLOOKUP(D1332,Products!$A$2:$F$61,4,FALSE())</f>
        <v/>
      </c>
      <c r="P1332" s="55">
        <f>VLOOKUP(C1332,Customers!$A$2:$F$301,3,FALSE())</f>
        <v/>
      </c>
      <c r="Q1332" s="55">
        <f>UPPER(TRIM(K1332))</f>
        <v/>
      </c>
      <c r="R1332" s="55">
        <f>(G1332-O1332)/G1332</f>
        <v/>
      </c>
      <c r="S1332" s="55">
        <f>VLOOKUP(D1332,Products!$A$2:$F$61,6,FALSE())</f>
        <v/>
      </c>
    </row>
    <row r="1333" ht="15" customHeight="1" s="56">
      <c r="A1333" s="55">
        <f>Orders!A1333</f>
        <v/>
      </c>
      <c r="B1333" s="103">
        <f>Orders!B1333</f>
        <v/>
      </c>
      <c r="C1333" s="55">
        <f>Orders!C1333</f>
        <v/>
      </c>
      <c r="D1333" s="55">
        <f>Orders!D1333</f>
        <v/>
      </c>
      <c r="E1333" s="55">
        <f>Orders!E1333</f>
        <v/>
      </c>
      <c r="F1333" s="55">
        <f>Orders!F1333</f>
        <v/>
      </c>
      <c r="G1333" s="55">
        <f>Orders!G1333</f>
        <v/>
      </c>
      <c r="H1333" s="55">
        <f>Orders!H1333</f>
        <v/>
      </c>
      <c r="I1333" s="55">
        <f>Orders!I1333</f>
        <v/>
      </c>
      <c r="J1333" s="55">
        <f>Orders!J1333</f>
        <v/>
      </c>
      <c r="K1333" s="55">
        <f>Orders!K1333</f>
        <v/>
      </c>
      <c r="L1333" s="55">
        <f>VLOOKUP(D1333,Products!$A$2:$F$61,3,FALSE())</f>
        <v/>
      </c>
      <c r="M1333" s="55">
        <f>VLOOKUP(C1333,Customers!$A$2:$F$301,5,FALSE())</f>
        <v/>
      </c>
      <c r="N1333" s="55">
        <f>VLOOKUP(E1333,Sales_Reps!$A$2:$E$31,3,FALSE())</f>
        <v/>
      </c>
      <c r="O1333" s="55">
        <f>VLOOKUP(D1333,Products!$A$2:$F$61,4,FALSE())</f>
        <v/>
      </c>
      <c r="P1333" s="55">
        <f>VLOOKUP(C1333,Customers!$A$2:$F$301,3,FALSE())</f>
        <v/>
      </c>
      <c r="Q1333" s="55">
        <f>UPPER(TRIM(K1333))</f>
        <v/>
      </c>
      <c r="R1333" s="55">
        <f>(G1333-O1333)/G1333</f>
        <v/>
      </c>
      <c r="S1333" s="55">
        <f>VLOOKUP(D1333,Products!$A$2:$F$61,6,FALSE())</f>
        <v/>
      </c>
    </row>
    <row r="1334" ht="15" customHeight="1" s="56">
      <c r="A1334" s="55">
        <f>Orders!A1334</f>
        <v/>
      </c>
      <c r="B1334" s="103">
        <f>Orders!B1334</f>
        <v/>
      </c>
      <c r="C1334" s="55">
        <f>Orders!C1334</f>
        <v/>
      </c>
      <c r="D1334" s="55">
        <f>Orders!D1334</f>
        <v/>
      </c>
      <c r="E1334" s="55">
        <f>Orders!E1334</f>
        <v/>
      </c>
      <c r="F1334" s="55">
        <f>Orders!F1334</f>
        <v/>
      </c>
      <c r="G1334" s="55">
        <f>Orders!G1334</f>
        <v/>
      </c>
      <c r="H1334" s="55">
        <f>Orders!H1334</f>
        <v/>
      </c>
      <c r="I1334" s="55">
        <f>Orders!I1334</f>
        <v/>
      </c>
      <c r="J1334" s="55">
        <f>Orders!J1334</f>
        <v/>
      </c>
      <c r="K1334" s="55">
        <f>Orders!K1334</f>
        <v/>
      </c>
      <c r="L1334" s="55">
        <f>VLOOKUP(D1334,Products!$A$2:$F$61,3,FALSE())</f>
        <v/>
      </c>
      <c r="M1334" s="55">
        <f>VLOOKUP(C1334,Customers!$A$2:$F$301,5,FALSE())</f>
        <v/>
      </c>
      <c r="N1334" s="55">
        <f>VLOOKUP(E1334,Sales_Reps!$A$2:$E$31,3,FALSE())</f>
        <v/>
      </c>
      <c r="O1334" s="55">
        <f>VLOOKUP(D1334,Products!$A$2:$F$61,4,FALSE())</f>
        <v/>
      </c>
      <c r="P1334" s="55">
        <f>VLOOKUP(C1334,Customers!$A$2:$F$301,3,FALSE())</f>
        <v/>
      </c>
      <c r="Q1334" s="55">
        <f>UPPER(TRIM(K1334))</f>
        <v/>
      </c>
      <c r="R1334" s="55">
        <f>(G1334-O1334)/G1334</f>
        <v/>
      </c>
      <c r="S1334" s="55">
        <f>VLOOKUP(D1334,Products!$A$2:$F$61,6,FALSE())</f>
        <v/>
      </c>
    </row>
    <row r="1335" ht="15" customHeight="1" s="56">
      <c r="A1335" s="55">
        <f>Orders!A1335</f>
        <v/>
      </c>
      <c r="B1335" s="103">
        <f>Orders!B1335</f>
        <v/>
      </c>
      <c r="C1335" s="55">
        <f>Orders!C1335</f>
        <v/>
      </c>
      <c r="D1335" s="55">
        <f>Orders!D1335</f>
        <v/>
      </c>
      <c r="E1335" s="55">
        <f>Orders!E1335</f>
        <v/>
      </c>
      <c r="F1335" s="55">
        <f>Orders!F1335</f>
        <v/>
      </c>
      <c r="G1335" s="55">
        <f>Orders!G1335</f>
        <v/>
      </c>
      <c r="H1335" s="55">
        <f>Orders!H1335</f>
        <v/>
      </c>
      <c r="I1335" s="55">
        <f>Orders!I1335</f>
        <v/>
      </c>
      <c r="J1335" s="55">
        <f>Orders!J1335</f>
        <v/>
      </c>
      <c r="K1335" s="55">
        <f>Orders!K1335</f>
        <v/>
      </c>
      <c r="L1335" s="55">
        <f>VLOOKUP(D1335,Products!$A$2:$F$61,3,FALSE())</f>
        <v/>
      </c>
      <c r="M1335" s="55">
        <f>VLOOKUP(C1335,Customers!$A$2:$F$301,5,FALSE())</f>
        <v/>
      </c>
      <c r="N1335" s="55">
        <f>VLOOKUP(E1335,Sales_Reps!$A$2:$E$31,3,FALSE())</f>
        <v/>
      </c>
      <c r="O1335" s="55">
        <f>VLOOKUP(D1335,Products!$A$2:$F$61,4,FALSE())</f>
        <v/>
      </c>
      <c r="P1335" s="55">
        <f>VLOOKUP(C1335,Customers!$A$2:$F$301,3,FALSE())</f>
        <v/>
      </c>
      <c r="Q1335" s="55">
        <f>UPPER(TRIM(K1335))</f>
        <v/>
      </c>
      <c r="R1335" s="55">
        <f>(G1335-O1335)/G1335</f>
        <v/>
      </c>
      <c r="S1335" s="55">
        <f>VLOOKUP(D1335,Products!$A$2:$F$61,6,FALSE())</f>
        <v/>
      </c>
    </row>
    <row r="1336" ht="15" customHeight="1" s="56">
      <c r="A1336" s="55">
        <f>Orders!A1336</f>
        <v/>
      </c>
      <c r="B1336" s="103">
        <f>Orders!B1336</f>
        <v/>
      </c>
      <c r="C1336" s="55">
        <f>Orders!C1336</f>
        <v/>
      </c>
      <c r="D1336" s="55">
        <f>Orders!D1336</f>
        <v/>
      </c>
      <c r="E1336" s="55">
        <f>Orders!E1336</f>
        <v/>
      </c>
      <c r="F1336" s="55">
        <f>Orders!F1336</f>
        <v/>
      </c>
      <c r="G1336" s="55">
        <f>Orders!G1336</f>
        <v/>
      </c>
      <c r="H1336" s="55">
        <f>Orders!H1336</f>
        <v/>
      </c>
      <c r="I1336" s="55">
        <f>Orders!I1336</f>
        <v/>
      </c>
      <c r="J1336" s="55">
        <f>Orders!J1336</f>
        <v/>
      </c>
      <c r="K1336" s="55">
        <f>Orders!K1336</f>
        <v/>
      </c>
      <c r="L1336" s="55">
        <f>VLOOKUP(D1336,Products!$A$2:$F$61,3,FALSE())</f>
        <v/>
      </c>
      <c r="M1336" s="55">
        <f>VLOOKUP(C1336,Customers!$A$2:$F$301,5,FALSE())</f>
        <v/>
      </c>
      <c r="N1336" s="55">
        <f>VLOOKUP(E1336,Sales_Reps!$A$2:$E$31,3,FALSE())</f>
        <v/>
      </c>
      <c r="O1336" s="55">
        <f>VLOOKUP(D1336,Products!$A$2:$F$61,4,FALSE())</f>
        <v/>
      </c>
      <c r="P1336" s="55">
        <f>VLOOKUP(C1336,Customers!$A$2:$F$301,3,FALSE())</f>
        <v/>
      </c>
      <c r="Q1336" s="55">
        <f>UPPER(TRIM(K1336))</f>
        <v/>
      </c>
      <c r="R1336" s="55">
        <f>(G1336-O1336)/G1336</f>
        <v/>
      </c>
      <c r="S1336" s="55">
        <f>VLOOKUP(D1336,Products!$A$2:$F$61,6,FALSE())</f>
        <v/>
      </c>
    </row>
    <row r="1337" ht="15" customHeight="1" s="56">
      <c r="A1337" s="55">
        <f>Orders!A1337</f>
        <v/>
      </c>
      <c r="B1337" s="103">
        <f>Orders!B1337</f>
        <v/>
      </c>
      <c r="C1337" s="55">
        <f>Orders!C1337</f>
        <v/>
      </c>
      <c r="D1337" s="55">
        <f>Orders!D1337</f>
        <v/>
      </c>
      <c r="E1337" s="55">
        <f>Orders!E1337</f>
        <v/>
      </c>
      <c r="F1337" s="55">
        <f>Orders!F1337</f>
        <v/>
      </c>
      <c r="G1337" s="55">
        <f>Orders!G1337</f>
        <v/>
      </c>
      <c r="H1337" s="55">
        <f>Orders!H1337</f>
        <v/>
      </c>
      <c r="I1337" s="55">
        <f>Orders!I1337</f>
        <v/>
      </c>
      <c r="J1337" s="55">
        <f>Orders!J1337</f>
        <v/>
      </c>
      <c r="K1337" s="55">
        <f>Orders!K1337</f>
        <v/>
      </c>
      <c r="L1337" s="55">
        <f>VLOOKUP(D1337,Products!$A$2:$F$61,3,FALSE())</f>
        <v/>
      </c>
      <c r="M1337" s="55">
        <f>VLOOKUP(C1337,Customers!$A$2:$F$301,5,FALSE())</f>
        <v/>
      </c>
      <c r="N1337" s="55">
        <f>VLOOKUP(E1337,Sales_Reps!$A$2:$E$31,3,FALSE())</f>
        <v/>
      </c>
      <c r="O1337" s="55">
        <f>VLOOKUP(D1337,Products!$A$2:$F$61,4,FALSE())</f>
        <v/>
      </c>
      <c r="P1337" s="55">
        <f>VLOOKUP(C1337,Customers!$A$2:$F$301,3,FALSE())</f>
        <v/>
      </c>
      <c r="Q1337" s="55">
        <f>UPPER(TRIM(K1337))</f>
        <v/>
      </c>
      <c r="R1337" s="55">
        <f>(G1337-O1337)/G1337</f>
        <v/>
      </c>
      <c r="S1337" s="55">
        <f>VLOOKUP(D1337,Products!$A$2:$F$61,6,FALSE())</f>
        <v/>
      </c>
    </row>
    <row r="1338" ht="15" customHeight="1" s="56">
      <c r="A1338" s="55">
        <f>Orders!A1338</f>
        <v/>
      </c>
      <c r="B1338" s="103">
        <f>Orders!B1338</f>
        <v/>
      </c>
      <c r="C1338" s="55">
        <f>Orders!C1338</f>
        <v/>
      </c>
      <c r="D1338" s="55">
        <f>Orders!D1338</f>
        <v/>
      </c>
      <c r="E1338" s="55">
        <f>Orders!E1338</f>
        <v/>
      </c>
      <c r="F1338" s="55">
        <f>Orders!F1338</f>
        <v/>
      </c>
      <c r="G1338" s="55">
        <f>Orders!G1338</f>
        <v/>
      </c>
      <c r="H1338" s="55">
        <f>Orders!H1338</f>
        <v/>
      </c>
      <c r="I1338" s="55">
        <f>Orders!I1338</f>
        <v/>
      </c>
      <c r="J1338" s="55">
        <f>Orders!J1338</f>
        <v/>
      </c>
      <c r="K1338" s="55">
        <f>Orders!K1338</f>
        <v/>
      </c>
      <c r="L1338" s="55">
        <f>VLOOKUP(D1338,Products!$A$2:$F$61,3,FALSE())</f>
        <v/>
      </c>
      <c r="M1338" s="55">
        <f>VLOOKUP(C1338,Customers!$A$2:$F$301,5,FALSE())</f>
        <v/>
      </c>
      <c r="N1338" s="55">
        <f>VLOOKUP(E1338,Sales_Reps!$A$2:$E$31,3,FALSE())</f>
        <v/>
      </c>
      <c r="O1338" s="55">
        <f>VLOOKUP(D1338,Products!$A$2:$F$61,4,FALSE())</f>
        <v/>
      </c>
      <c r="P1338" s="55">
        <f>VLOOKUP(C1338,Customers!$A$2:$F$301,3,FALSE())</f>
        <v/>
      </c>
      <c r="Q1338" s="55">
        <f>UPPER(TRIM(K1338))</f>
        <v/>
      </c>
      <c r="R1338" s="55">
        <f>(G1338-O1338)/G1338</f>
        <v/>
      </c>
      <c r="S1338" s="55">
        <f>VLOOKUP(D1338,Products!$A$2:$F$61,6,FALSE())</f>
        <v/>
      </c>
    </row>
    <row r="1339" ht="15" customHeight="1" s="56">
      <c r="A1339" s="55">
        <f>Orders!A1339</f>
        <v/>
      </c>
      <c r="B1339" s="103">
        <f>Orders!B1339</f>
        <v/>
      </c>
      <c r="C1339" s="55">
        <f>Orders!C1339</f>
        <v/>
      </c>
      <c r="D1339" s="55">
        <f>Orders!D1339</f>
        <v/>
      </c>
      <c r="E1339" s="55">
        <f>Orders!E1339</f>
        <v/>
      </c>
      <c r="F1339" s="55">
        <f>Orders!F1339</f>
        <v/>
      </c>
      <c r="G1339" s="55">
        <f>Orders!G1339</f>
        <v/>
      </c>
      <c r="H1339" s="55">
        <f>Orders!H1339</f>
        <v/>
      </c>
      <c r="I1339" s="55">
        <f>Orders!I1339</f>
        <v/>
      </c>
      <c r="J1339" s="55">
        <f>Orders!J1339</f>
        <v/>
      </c>
      <c r="K1339" s="55">
        <f>Orders!K1339</f>
        <v/>
      </c>
      <c r="L1339" s="55">
        <f>VLOOKUP(D1339,Products!$A$2:$F$61,3,FALSE())</f>
        <v/>
      </c>
      <c r="M1339" s="55">
        <f>VLOOKUP(C1339,Customers!$A$2:$F$301,5,FALSE())</f>
        <v/>
      </c>
      <c r="N1339" s="55">
        <f>VLOOKUP(E1339,Sales_Reps!$A$2:$E$31,3,FALSE())</f>
        <v/>
      </c>
      <c r="O1339" s="55">
        <f>VLOOKUP(D1339,Products!$A$2:$F$61,4,FALSE())</f>
        <v/>
      </c>
      <c r="P1339" s="55">
        <f>VLOOKUP(C1339,Customers!$A$2:$F$301,3,FALSE())</f>
        <v/>
      </c>
      <c r="Q1339" s="55">
        <f>UPPER(TRIM(K1339))</f>
        <v/>
      </c>
      <c r="R1339" s="55">
        <f>(G1339-O1339)/G1339</f>
        <v/>
      </c>
      <c r="S1339" s="55">
        <f>VLOOKUP(D1339,Products!$A$2:$F$61,6,FALSE())</f>
        <v/>
      </c>
    </row>
    <row r="1340" ht="15" customHeight="1" s="56">
      <c r="A1340" s="55">
        <f>Orders!A1340</f>
        <v/>
      </c>
      <c r="B1340" s="103">
        <f>Orders!B1340</f>
        <v/>
      </c>
      <c r="C1340" s="55">
        <f>Orders!C1340</f>
        <v/>
      </c>
      <c r="D1340" s="55">
        <f>Orders!D1340</f>
        <v/>
      </c>
      <c r="E1340" s="55">
        <f>Orders!E1340</f>
        <v/>
      </c>
      <c r="F1340" s="55">
        <f>Orders!F1340</f>
        <v/>
      </c>
      <c r="G1340" s="55">
        <f>Orders!G1340</f>
        <v/>
      </c>
      <c r="H1340" s="55">
        <f>Orders!H1340</f>
        <v/>
      </c>
      <c r="I1340" s="55">
        <f>Orders!I1340</f>
        <v/>
      </c>
      <c r="J1340" s="55">
        <f>Orders!J1340</f>
        <v/>
      </c>
      <c r="K1340" s="55">
        <f>Orders!K1340</f>
        <v/>
      </c>
      <c r="L1340" s="55">
        <f>VLOOKUP(D1340,Products!$A$2:$F$61,3,FALSE())</f>
        <v/>
      </c>
      <c r="M1340" s="55">
        <f>VLOOKUP(C1340,Customers!$A$2:$F$301,5,FALSE())</f>
        <v/>
      </c>
      <c r="N1340" s="55">
        <f>VLOOKUP(E1340,Sales_Reps!$A$2:$E$31,3,FALSE())</f>
        <v/>
      </c>
      <c r="O1340" s="55">
        <f>VLOOKUP(D1340,Products!$A$2:$F$61,4,FALSE())</f>
        <v/>
      </c>
      <c r="P1340" s="55">
        <f>VLOOKUP(C1340,Customers!$A$2:$F$301,3,FALSE())</f>
        <v/>
      </c>
      <c r="Q1340" s="55">
        <f>UPPER(TRIM(K1340))</f>
        <v/>
      </c>
      <c r="R1340" s="55">
        <f>(G1340-O1340)/G1340</f>
        <v/>
      </c>
      <c r="S1340" s="55">
        <f>VLOOKUP(D1340,Products!$A$2:$F$61,6,FALSE())</f>
        <v/>
      </c>
    </row>
    <row r="1341" ht="15" customHeight="1" s="56">
      <c r="A1341" s="55">
        <f>Orders!A1341</f>
        <v/>
      </c>
      <c r="B1341" s="103">
        <f>Orders!B1341</f>
        <v/>
      </c>
      <c r="C1341" s="55">
        <f>Orders!C1341</f>
        <v/>
      </c>
      <c r="D1341" s="55">
        <f>Orders!D1341</f>
        <v/>
      </c>
      <c r="E1341" s="55">
        <f>Orders!E1341</f>
        <v/>
      </c>
      <c r="F1341" s="55">
        <f>Orders!F1341</f>
        <v/>
      </c>
      <c r="G1341" s="55">
        <f>Orders!G1341</f>
        <v/>
      </c>
      <c r="H1341" s="55">
        <f>Orders!H1341</f>
        <v/>
      </c>
      <c r="I1341" s="55">
        <f>Orders!I1341</f>
        <v/>
      </c>
      <c r="J1341" s="55">
        <f>Orders!J1341</f>
        <v/>
      </c>
      <c r="K1341" s="55">
        <f>Orders!K1341</f>
        <v/>
      </c>
      <c r="L1341" s="55">
        <f>VLOOKUP(D1341,Products!$A$2:$F$61,3,FALSE())</f>
        <v/>
      </c>
      <c r="M1341" s="55">
        <f>VLOOKUP(C1341,Customers!$A$2:$F$301,5,FALSE())</f>
        <v/>
      </c>
      <c r="N1341" s="55">
        <f>VLOOKUP(E1341,Sales_Reps!$A$2:$E$31,3,FALSE())</f>
        <v/>
      </c>
      <c r="O1341" s="55">
        <f>VLOOKUP(D1341,Products!$A$2:$F$61,4,FALSE())</f>
        <v/>
      </c>
      <c r="P1341" s="55">
        <f>VLOOKUP(C1341,Customers!$A$2:$F$301,3,FALSE())</f>
        <v/>
      </c>
      <c r="Q1341" s="55">
        <f>UPPER(TRIM(K1341))</f>
        <v/>
      </c>
      <c r="R1341" s="55">
        <f>(G1341-O1341)/G1341</f>
        <v/>
      </c>
      <c r="S1341" s="55">
        <f>VLOOKUP(D1341,Products!$A$2:$F$61,6,FALSE())</f>
        <v/>
      </c>
    </row>
    <row r="1342" ht="15" customHeight="1" s="56">
      <c r="A1342" s="55">
        <f>Orders!A1342</f>
        <v/>
      </c>
      <c r="B1342" s="103">
        <f>Orders!B1342</f>
        <v/>
      </c>
      <c r="C1342" s="55">
        <f>Orders!C1342</f>
        <v/>
      </c>
      <c r="D1342" s="55">
        <f>Orders!D1342</f>
        <v/>
      </c>
      <c r="E1342" s="55">
        <f>Orders!E1342</f>
        <v/>
      </c>
      <c r="F1342" s="55">
        <f>Orders!F1342</f>
        <v/>
      </c>
      <c r="G1342" s="55">
        <f>Orders!G1342</f>
        <v/>
      </c>
      <c r="H1342" s="55">
        <f>Orders!H1342</f>
        <v/>
      </c>
      <c r="I1342" s="55">
        <f>Orders!I1342</f>
        <v/>
      </c>
      <c r="J1342" s="55">
        <f>Orders!J1342</f>
        <v/>
      </c>
      <c r="K1342" s="55">
        <f>Orders!K1342</f>
        <v/>
      </c>
      <c r="L1342" s="55">
        <f>VLOOKUP(D1342,Products!$A$2:$F$61,3,FALSE())</f>
        <v/>
      </c>
      <c r="M1342" s="55">
        <f>VLOOKUP(C1342,Customers!$A$2:$F$301,5,FALSE())</f>
        <v/>
      </c>
      <c r="N1342" s="55">
        <f>VLOOKUP(E1342,Sales_Reps!$A$2:$E$31,3,FALSE())</f>
        <v/>
      </c>
      <c r="O1342" s="55">
        <f>VLOOKUP(D1342,Products!$A$2:$F$61,4,FALSE())</f>
        <v/>
      </c>
      <c r="P1342" s="55">
        <f>VLOOKUP(C1342,Customers!$A$2:$F$301,3,FALSE())</f>
        <v/>
      </c>
      <c r="Q1342" s="55">
        <f>UPPER(TRIM(K1342))</f>
        <v/>
      </c>
      <c r="R1342" s="55">
        <f>(G1342-O1342)/G1342</f>
        <v/>
      </c>
      <c r="S1342" s="55">
        <f>VLOOKUP(D1342,Products!$A$2:$F$61,6,FALSE())</f>
        <v/>
      </c>
    </row>
    <row r="1343" ht="15" customHeight="1" s="56">
      <c r="A1343" s="55">
        <f>Orders!A1343</f>
        <v/>
      </c>
      <c r="B1343" s="103">
        <f>Orders!B1343</f>
        <v/>
      </c>
      <c r="C1343" s="55">
        <f>Orders!C1343</f>
        <v/>
      </c>
      <c r="D1343" s="55">
        <f>Orders!D1343</f>
        <v/>
      </c>
      <c r="E1343" s="55">
        <f>Orders!E1343</f>
        <v/>
      </c>
      <c r="F1343" s="55">
        <f>Orders!F1343</f>
        <v/>
      </c>
      <c r="G1343" s="55">
        <f>Orders!G1343</f>
        <v/>
      </c>
      <c r="H1343" s="55">
        <f>Orders!H1343</f>
        <v/>
      </c>
      <c r="I1343" s="55">
        <f>Orders!I1343</f>
        <v/>
      </c>
      <c r="J1343" s="55">
        <f>Orders!J1343</f>
        <v/>
      </c>
      <c r="K1343" s="55">
        <f>Orders!K1343</f>
        <v/>
      </c>
      <c r="L1343" s="55">
        <f>VLOOKUP(D1343,Products!$A$2:$F$61,3,FALSE())</f>
        <v/>
      </c>
      <c r="M1343" s="55">
        <f>VLOOKUP(C1343,Customers!$A$2:$F$301,5,FALSE())</f>
        <v/>
      </c>
      <c r="N1343" s="55">
        <f>VLOOKUP(E1343,Sales_Reps!$A$2:$E$31,3,FALSE())</f>
        <v/>
      </c>
      <c r="O1343" s="55">
        <f>VLOOKUP(D1343,Products!$A$2:$F$61,4,FALSE())</f>
        <v/>
      </c>
      <c r="P1343" s="55">
        <f>VLOOKUP(C1343,Customers!$A$2:$F$301,3,FALSE())</f>
        <v/>
      </c>
      <c r="Q1343" s="55">
        <f>UPPER(TRIM(K1343))</f>
        <v/>
      </c>
      <c r="R1343" s="55">
        <f>(G1343-O1343)/G1343</f>
        <v/>
      </c>
      <c r="S1343" s="55">
        <f>VLOOKUP(D1343,Products!$A$2:$F$61,6,FALSE())</f>
        <v/>
      </c>
    </row>
    <row r="1344" ht="15" customHeight="1" s="56">
      <c r="A1344" s="55">
        <f>Orders!A1344</f>
        <v/>
      </c>
      <c r="B1344" s="103">
        <f>Orders!B1344</f>
        <v/>
      </c>
      <c r="C1344" s="55">
        <f>Orders!C1344</f>
        <v/>
      </c>
      <c r="D1344" s="55">
        <f>Orders!D1344</f>
        <v/>
      </c>
      <c r="E1344" s="55">
        <f>Orders!E1344</f>
        <v/>
      </c>
      <c r="F1344" s="55">
        <f>Orders!F1344</f>
        <v/>
      </c>
      <c r="G1344" s="55">
        <f>Orders!G1344</f>
        <v/>
      </c>
      <c r="H1344" s="55">
        <f>Orders!H1344</f>
        <v/>
      </c>
      <c r="I1344" s="55">
        <f>Orders!I1344</f>
        <v/>
      </c>
      <c r="J1344" s="55">
        <f>Orders!J1344</f>
        <v/>
      </c>
      <c r="K1344" s="55">
        <f>Orders!K1344</f>
        <v/>
      </c>
      <c r="L1344" s="55">
        <f>VLOOKUP(D1344,Products!$A$2:$F$61,3,FALSE())</f>
        <v/>
      </c>
      <c r="M1344" s="55">
        <f>VLOOKUP(C1344,Customers!$A$2:$F$301,5,FALSE())</f>
        <v/>
      </c>
      <c r="N1344" s="55">
        <f>VLOOKUP(E1344,Sales_Reps!$A$2:$E$31,3,FALSE())</f>
        <v/>
      </c>
      <c r="O1344" s="55">
        <f>VLOOKUP(D1344,Products!$A$2:$F$61,4,FALSE())</f>
        <v/>
      </c>
      <c r="P1344" s="55">
        <f>VLOOKUP(C1344,Customers!$A$2:$F$301,3,FALSE())</f>
        <v/>
      </c>
      <c r="Q1344" s="55">
        <f>UPPER(TRIM(K1344))</f>
        <v/>
      </c>
      <c r="R1344" s="55">
        <f>(G1344-O1344)/G1344</f>
        <v/>
      </c>
      <c r="S1344" s="55">
        <f>VLOOKUP(D1344,Products!$A$2:$F$61,6,FALSE())</f>
        <v/>
      </c>
    </row>
    <row r="1345" ht="15" customHeight="1" s="56">
      <c r="A1345" s="55">
        <f>Orders!A1345</f>
        <v/>
      </c>
      <c r="B1345" s="103">
        <f>Orders!B1345</f>
        <v/>
      </c>
      <c r="C1345" s="55">
        <f>Orders!C1345</f>
        <v/>
      </c>
      <c r="D1345" s="55">
        <f>Orders!D1345</f>
        <v/>
      </c>
      <c r="E1345" s="55">
        <f>Orders!E1345</f>
        <v/>
      </c>
      <c r="F1345" s="55">
        <f>Orders!F1345</f>
        <v/>
      </c>
      <c r="G1345" s="55">
        <f>Orders!G1345</f>
        <v/>
      </c>
      <c r="H1345" s="55">
        <f>Orders!H1345</f>
        <v/>
      </c>
      <c r="I1345" s="55">
        <f>Orders!I1345</f>
        <v/>
      </c>
      <c r="J1345" s="55">
        <f>Orders!J1345</f>
        <v/>
      </c>
      <c r="K1345" s="55">
        <f>Orders!K1345</f>
        <v/>
      </c>
      <c r="L1345" s="55">
        <f>VLOOKUP(D1345,Products!$A$2:$F$61,3,FALSE())</f>
        <v/>
      </c>
      <c r="M1345" s="55">
        <f>VLOOKUP(C1345,Customers!$A$2:$F$301,5,FALSE())</f>
        <v/>
      </c>
      <c r="N1345" s="55">
        <f>VLOOKUP(E1345,Sales_Reps!$A$2:$E$31,3,FALSE())</f>
        <v/>
      </c>
      <c r="O1345" s="55">
        <f>VLOOKUP(D1345,Products!$A$2:$F$61,4,FALSE())</f>
        <v/>
      </c>
      <c r="P1345" s="55">
        <f>VLOOKUP(C1345,Customers!$A$2:$F$301,3,FALSE())</f>
        <v/>
      </c>
      <c r="Q1345" s="55">
        <f>UPPER(TRIM(K1345))</f>
        <v/>
      </c>
      <c r="R1345" s="55">
        <f>(G1345-O1345)/G1345</f>
        <v/>
      </c>
      <c r="S1345" s="55">
        <f>VLOOKUP(D1345,Products!$A$2:$F$61,6,FALSE())</f>
        <v/>
      </c>
    </row>
    <row r="1346" ht="15" customHeight="1" s="56">
      <c r="A1346" s="55">
        <f>Orders!A1346</f>
        <v/>
      </c>
      <c r="B1346" s="103">
        <f>Orders!B1346</f>
        <v/>
      </c>
      <c r="C1346" s="55">
        <f>Orders!C1346</f>
        <v/>
      </c>
      <c r="D1346" s="55">
        <f>Orders!D1346</f>
        <v/>
      </c>
      <c r="E1346" s="55">
        <f>Orders!E1346</f>
        <v/>
      </c>
      <c r="F1346" s="55">
        <f>Orders!F1346</f>
        <v/>
      </c>
      <c r="G1346" s="55">
        <f>Orders!G1346</f>
        <v/>
      </c>
      <c r="H1346" s="55">
        <f>Orders!H1346</f>
        <v/>
      </c>
      <c r="I1346" s="55">
        <f>Orders!I1346</f>
        <v/>
      </c>
      <c r="J1346" s="55">
        <f>Orders!J1346</f>
        <v/>
      </c>
      <c r="K1346" s="55">
        <f>Orders!K1346</f>
        <v/>
      </c>
      <c r="L1346" s="55">
        <f>VLOOKUP(D1346,Products!$A$2:$F$61,3,FALSE())</f>
        <v/>
      </c>
      <c r="M1346" s="55">
        <f>VLOOKUP(C1346,Customers!$A$2:$F$301,5,FALSE())</f>
        <v/>
      </c>
      <c r="N1346" s="55">
        <f>VLOOKUP(E1346,Sales_Reps!$A$2:$E$31,3,FALSE())</f>
        <v/>
      </c>
      <c r="O1346" s="55">
        <f>VLOOKUP(D1346,Products!$A$2:$F$61,4,FALSE())</f>
        <v/>
      </c>
      <c r="P1346" s="55">
        <f>VLOOKUP(C1346,Customers!$A$2:$F$301,3,FALSE())</f>
        <v/>
      </c>
      <c r="Q1346" s="55">
        <f>UPPER(TRIM(K1346))</f>
        <v/>
      </c>
      <c r="R1346" s="55">
        <f>(G1346-O1346)/G1346</f>
        <v/>
      </c>
      <c r="S1346" s="55">
        <f>VLOOKUP(D1346,Products!$A$2:$F$61,6,FALSE())</f>
        <v/>
      </c>
    </row>
    <row r="1347" ht="15" customHeight="1" s="56">
      <c r="A1347" s="55">
        <f>Orders!A1347</f>
        <v/>
      </c>
      <c r="B1347" s="103">
        <f>Orders!B1347</f>
        <v/>
      </c>
      <c r="C1347" s="55">
        <f>Orders!C1347</f>
        <v/>
      </c>
      <c r="D1347" s="55">
        <f>Orders!D1347</f>
        <v/>
      </c>
      <c r="E1347" s="55">
        <f>Orders!E1347</f>
        <v/>
      </c>
      <c r="F1347" s="55">
        <f>Orders!F1347</f>
        <v/>
      </c>
      <c r="G1347" s="55">
        <f>Orders!G1347</f>
        <v/>
      </c>
      <c r="H1347" s="55">
        <f>Orders!H1347</f>
        <v/>
      </c>
      <c r="I1347" s="55">
        <f>Orders!I1347</f>
        <v/>
      </c>
      <c r="J1347" s="55">
        <f>Orders!J1347</f>
        <v/>
      </c>
      <c r="K1347" s="55">
        <f>Orders!K1347</f>
        <v/>
      </c>
      <c r="L1347" s="55">
        <f>VLOOKUP(D1347,Products!$A$2:$F$61,3,FALSE())</f>
        <v/>
      </c>
      <c r="M1347" s="55">
        <f>VLOOKUP(C1347,Customers!$A$2:$F$301,5,FALSE())</f>
        <v/>
      </c>
      <c r="N1347" s="55">
        <f>VLOOKUP(E1347,Sales_Reps!$A$2:$E$31,3,FALSE())</f>
        <v/>
      </c>
      <c r="O1347" s="55">
        <f>VLOOKUP(D1347,Products!$A$2:$F$61,4,FALSE())</f>
        <v/>
      </c>
      <c r="P1347" s="55">
        <f>VLOOKUP(C1347,Customers!$A$2:$F$301,3,FALSE())</f>
        <v/>
      </c>
      <c r="Q1347" s="55">
        <f>UPPER(TRIM(K1347))</f>
        <v/>
      </c>
      <c r="R1347" s="55">
        <f>(G1347-O1347)/G1347</f>
        <v/>
      </c>
      <c r="S1347" s="55">
        <f>VLOOKUP(D1347,Products!$A$2:$F$61,6,FALSE())</f>
        <v/>
      </c>
    </row>
    <row r="1348" ht="15" customHeight="1" s="56">
      <c r="A1348" s="55">
        <f>Orders!A1348</f>
        <v/>
      </c>
      <c r="B1348" s="103">
        <f>Orders!B1348</f>
        <v/>
      </c>
      <c r="C1348" s="55">
        <f>Orders!C1348</f>
        <v/>
      </c>
      <c r="D1348" s="55">
        <f>Orders!D1348</f>
        <v/>
      </c>
      <c r="E1348" s="55">
        <f>Orders!E1348</f>
        <v/>
      </c>
      <c r="F1348" s="55">
        <f>Orders!F1348</f>
        <v/>
      </c>
      <c r="G1348" s="55">
        <f>Orders!G1348</f>
        <v/>
      </c>
      <c r="H1348" s="55">
        <f>Orders!H1348</f>
        <v/>
      </c>
      <c r="I1348" s="55">
        <f>Orders!I1348</f>
        <v/>
      </c>
      <c r="J1348" s="55">
        <f>Orders!J1348</f>
        <v/>
      </c>
      <c r="K1348" s="55">
        <f>Orders!K1348</f>
        <v/>
      </c>
      <c r="L1348" s="55">
        <f>VLOOKUP(D1348,Products!$A$2:$F$61,3,FALSE())</f>
        <v/>
      </c>
      <c r="M1348" s="55">
        <f>VLOOKUP(C1348,Customers!$A$2:$F$301,5,FALSE())</f>
        <v/>
      </c>
      <c r="N1348" s="55">
        <f>VLOOKUP(E1348,Sales_Reps!$A$2:$E$31,3,FALSE())</f>
        <v/>
      </c>
      <c r="O1348" s="55">
        <f>VLOOKUP(D1348,Products!$A$2:$F$61,4,FALSE())</f>
        <v/>
      </c>
      <c r="P1348" s="55">
        <f>VLOOKUP(C1348,Customers!$A$2:$F$301,3,FALSE())</f>
        <v/>
      </c>
      <c r="Q1348" s="55">
        <f>UPPER(TRIM(K1348))</f>
        <v/>
      </c>
      <c r="R1348" s="55">
        <f>(G1348-O1348)/G1348</f>
        <v/>
      </c>
      <c r="S1348" s="55">
        <f>VLOOKUP(D1348,Products!$A$2:$F$61,6,FALSE())</f>
        <v/>
      </c>
    </row>
    <row r="1349" ht="15" customHeight="1" s="56">
      <c r="A1349" s="55">
        <f>Orders!A1349</f>
        <v/>
      </c>
      <c r="B1349" s="103">
        <f>Orders!B1349</f>
        <v/>
      </c>
      <c r="C1349" s="55">
        <f>Orders!C1349</f>
        <v/>
      </c>
      <c r="D1349" s="55">
        <f>Orders!D1349</f>
        <v/>
      </c>
      <c r="E1349" s="55">
        <f>Orders!E1349</f>
        <v/>
      </c>
      <c r="F1349" s="55">
        <f>Orders!F1349</f>
        <v/>
      </c>
      <c r="G1349" s="55">
        <f>Orders!G1349</f>
        <v/>
      </c>
      <c r="H1349" s="55">
        <f>Orders!H1349</f>
        <v/>
      </c>
      <c r="I1349" s="55">
        <f>Orders!I1349</f>
        <v/>
      </c>
      <c r="J1349" s="55">
        <f>Orders!J1349</f>
        <v/>
      </c>
      <c r="K1349" s="55">
        <f>Orders!K1349</f>
        <v/>
      </c>
      <c r="L1349" s="55">
        <f>VLOOKUP(D1349,Products!$A$2:$F$61,3,FALSE())</f>
        <v/>
      </c>
      <c r="M1349" s="55">
        <f>VLOOKUP(C1349,Customers!$A$2:$F$301,5,FALSE())</f>
        <v/>
      </c>
      <c r="N1349" s="55">
        <f>VLOOKUP(E1349,Sales_Reps!$A$2:$E$31,3,FALSE())</f>
        <v/>
      </c>
      <c r="O1349" s="55">
        <f>VLOOKUP(D1349,Products!$A$2:$F$61,4,FALSE())</f>
        <v/>
      </c>
      <c r="P1349" s="55">
        <f>VLOOKUP(C1349,Customers!$A$2:$F$301,3,FALSE())</f>
        <v/>
      </c>
      <c r="Q1349" s="55">
        <f>UPPER(TRIM(K1349))</f>
        <v/>
      </c>
      <c r="R1349" s="55">
        <f>(G1349-O1349)/G1349</f>
        <v/>
      </c>
      <c r="S1349" s="55">
        <f>VLOOKUP(D1349,Products!$A$2:$F$61,6,FALSE())</f>
        <v/>
      </c>
    </row>
    <row r="1350" ht="15" customHeight="1" s="56">
      <c r="A1350" s="55">
        <f>Orders!A1350</f>
        <v/>
      </c>
      <c r="B1350" s="103">
        <f>Orders!B1350</f>
        <v/>
      </c>
      <c r="C1350" s="55">
        <f>Orders!C1350</f>
        <v/>
      </c>
      <c r="D1350" s="55">
        <f>Orders!D1350</f>
        <v/>
      </c>
      <c r="E1350" s="55">
        <f>Orders!E1350</f>
        <v/>
      </c>
      <c r="F1350" s="55">
        <f>Orders!F1350</f>
        <v/>
      </c>
      <c r="G1350" s="55">
        <f>Orders!G1350</f>
        <v/>
      </c>
      <c r="H1350" s="55">
        <f>Orders!H1350</f>
        <v/>
      </c>
      <c r="I1350" s="55">
        <f>Orders!I1350</f>
        <v/>
      </c>
      <c r="J1350" s="55">
        <f>Orders!J1350</f>
        <v/>
      </c>
      <c r="K1350" s="55">
        <f>Orders!K1350</f>
        <v/>
      </c>
      <c r="L1350" s="55">
        <f>VLOOKUP(D1350,Products!$A$2:$F$61,3,FALSE())</f>
        <v/>
      </c>
      <c r="M1350" s="55">
        <f>VLOOKUP(C1350,Customers!$A$2:$F$301,5,FALSE())</f>
        <v/>
      </c>
      <c r="N1350" s="55">
        <f>VLOOKUP(E1350,Sales_Reps!$A$2:$E$31,3,FALSE())</f>
        <v/>
      </c>
      <c r="O1350" s="55">
        <f>VLOOKUP(D1350,Products!$A$2:$F$61,4,FALSE())</f>
        <v/>
      </c>
      <c r="P1350" s="55">
        <f>VLOOKUP(C1350,Customers!$A$2:$F$301,3,FALSE())</f>
        <v/>
      </c>
      <c r="Q1350" s="55">
        <f>UPPER(TRIM(K1350))</f>
        <v/>
      </c>
      <c r="R1350" s="55">
        <f>(G1350-O1350)/G1350</f>
        <v/>
      </c>
      <c r="S1350" s="55">
        <f>VLOOKUP(D1350,Products!$A$2:$F$61,6,FALSE())</f>
        <v/>
      </c>
    </row>
    <row r="1351" ht="15" customHeight="1" s="56">
      <c r="A1351" s="55">
        <f>Orders!A1351</f>
        <v/>
      </c>
      <c r="B1351" s="103">
        <f>Orders!B1351</f>
        <v/>
      </c>
      <c r="C1351" s="55">
        <f>Orders!C1351</f>
        <v/>
      </c>
      <c r="D1351" s="55">
        <f>Orders!D1351</f>
        <v/>
      </c>
      <c r="E1351" s="55">
        <f>Orders!E1351</f>
        <v/>
      </c>
      <c r="F1351" s="55">
        <f>Orders!F1351</f>
        <v/>
      </c>
      <c r="G1351" s="55">
        <f>Orders!G1351</f>
        <v/>
      </c>
      <c r="H1351" s="55">
        <f>Orders!H1351</f>
        <v/>
      </c>
      <c r="I1351" s="55">
        <f>Orders!I1351</f>
        <v/>
      </c>
      <c r="J1351" s="55">
        <f>Orders!J1351</f>
        <v/>
      </c>
      <c r="K1351" s="55">
        <f>Orders!K1351</f>
        <v/>
      </c>
      <c r="L1351" s="55">
        <f>VLOOKUP(D1351,Products!$A$2:$F$61,3,FALSE())</f>
        <v/>
      </c>
      <c r="M1351" s="55">
        <f>VLOOKUP(C1351,Customers!$A$2:$F$301,5,FALSE())</f>
        <v/>
      </c>
      <c r="N1351" s="55">
        <f>VLOOKUP(E1351,Sales_Reps!$A$2:$E$31,3,FALSE())</f>
        <v/>
      </c>
      <c r="O1351" s="55">
        <f>VLOOKUP(D1351,Products!$A$2:$F$61,4,FALSE())</f>
        <v/>
      </c>
      <c r="P1351" s="55">
        <f>VLOOKUP(C1351,Customers!$A$2:$F$301,3,FALSE())</f>
        <v/>
      </c>
      <c r="Q1351" s="55">
        <f>UPPER(TRIM(K1351))</f>
        <v/>
      </c>
      <c r="R1351" s="55">
        <f>(G1351-O1351)/G1351</f>
        <v/>
      </c>
      <c r="S1351" s="55">
        <f>VLOOKUP(D1351,Products!$A$2:$F$61,6,FALSE())</f>
        <v/>
      </c>
    </row>
    <row r="1352" ht="15" customHeight="1" s="56">
      <c r="A1352" s="55">
        <f>Orders!A1352</f>
        <v/>
      </c>
      <c r="B1352" s="103">
        <f>Orders!B1352</f>
        <v/>
      </c>
      <c r="C1352" s="55">
        <f>Orders!C1352</f>
        <v/>
      </c>
      <c r="D1352" s="55">
        <f>Orders!D1352</f>
        <v/>
      </c>
      <c r="E1352" s="55">
        <f>Orders!E1352</f>
        <v/>
      </c>
      <c r="F1352" s="55">
        <f>Orders!F1352</f>
        <v/>
      </c>
      <c r="G1352" s="55">
        <f>Orders!G1352</f>
        <v/>
      </c>
      <c r="H1352" s="55">
        <f>Orders!H1352</f>
        <v/>
      </c>
      <c r="I1352" s="55">
        <f>Orders!I1352</f>
        <v/>
      </c>
      <c r="J1352" s="55">
        <f>Orders!J1352</f>
        <v/>
      </c>
      <c r="K1352" s="55">
        <f>Orders!K1352</f>
        <v/>
      </c>
      <c r="L1352" s="55">
        <f>VLOOKUP(D1352,Products!$A$2:$F$61,3,FALSE())</f>
        <v/>
      </c>
      <c r="M1352" s="55">
        <f>VLOOKUP(C1352,Customers!$A$2:$F$301,5,FALSE())</f>
        <v/>
      </c>
      <c r="N1352" s="55">
        <f>VLOOKUP(E1352,Sales_Reps!$A$2:$E$31,3,FALSE())</f>
        <v/>
      </c>
      <c r="O1352" s="55">
        <f>VLOOKUP(D1352,Products!$A$2:$F$61,4,FALSE())</f>
        <v/>
      </c>
      <c r="P1352" s="55">
        <f>VLOOKUP(C1352,Customers!$A$2:$F$301,3,FALSE())</f>
        <v/>
      </c>
      <c r="Q1352" s="55">
        <f>UPPER(TRIM(K1352))</f>
        <v/>
      </c>
      <c r="R1352" s="55">
        <f>(G1352-O1352)/G1352</f>
        <v/>
      </c>
      <c r="S1352" s="55">
        <f>VLOOKUP(D1352,Products!$A$2:$F$61,6,FALSE())</f>
        <v/>
      </c>
    </row>
    <row r="1353" ht="15" customHeight="1" s="56">
      <c r="A1353" s="55">
        <f>Orders!A1353</f>
        <v/>
      </c>
      <c r="B1353" s="103">
        <f>Orders!B1353</f>
        <v/>
      </c>
      <c r="C1353" s="55">
        <f>Orders!C1353</f>
        <v/>
      </c>
      <c r="D1353" s="55">
        <f>Orders!D1353</f>
        <v/>
      </c>
      <c r="E1353" s="55">
        <f>Orders!E1353</f>
        <v/>
      </c>
      <c r="F1353" s="55">
        <f>Orders!F1353</f>
        <v/>
      </c>
      <c r="G1353" s="55">
        <f>Orders!G1353</f>
        <v/>
      </c>
      <c r="H1353" s="55">
        <f>Orders!H1353</f>
        <v/>
      </c>
      <c r="I1353" s="55">
        <f>Orders!I1353</f>
        <v/>
      </c>
      <c r="J1353" s="55">
        <f>Orders!J1353</f>
        <v/>
      </c>
      <c r="K1353" s="55">
        <f>Orders!K1353</f>
        <v/>
      </c>
      <c r="L1353" s="55">
        <f>VLOOKUP(D1353,Products!$A$2:$F$61,3,FALSE())</f>
        <v/>
      </c>
      <c r="M1353" s="55">
        <f>VLOOKUP(C1353,Customers!$A$2:$F$301,5,FALSE())</f>
        <v/>
      </c>
      <c r="N1353" s="55">
        <f>VLOOKUP(E1353,Sales_Reps!$A$2:$E$31,3,FALSE())</f>
        <v/>
      </c>
      <c r="O1353" s="55">
        <f>VLOOKUP(D1353,Products!$A$2:$F$61,4,FALSE())</f>
        <v/>
      </c>
      <c r="P1353" s="55">
        <f>VLOOKUP(C1353,Customers!$A$2:$F$301,3,FALSE())</f>
        <v/>
      </c>
      <c r="Q1353" s="55">
        <f>UPPER(TRIM(K1353))</f>
        <v/>
      </c>
      <c r="R1353" s="55">
        <f>(G1353-O1353)/G1353</f>
        <v/>
      </c>
      <c r="S1353" s="55">
        <f>VLOOKUP(D1353,Products!$A$2:$F$61,6,FALSE())</f>
        <v/>
      </c>
    </row>
    <row r="1354" ht="15" customHeight="1" s="56">
      <c r="A1354" s="55">
        <f>Orders!A1354</f>
        <v/>
      </c>
      <c r="B1354" s="103">
        <f>Orders!B1354</f>
        <v/>
      </c>
      <c r="C1354" s="55">
        <f>Orders!C1354</f>
        <v/>
      </c>
      <c r="D1354" s="55">
        <f>Orders!D1354</f>
        <v/>
      </c>
      <c r="E1354" s="55">
        <f>Orders!E1354</f>
        <v/>
      </c>
      <c r="F1354" s="55">
        <f>Orders!F1354</f>
        <v/>
      </c>
      <c r="G1354" s="55">
        <f>Orders!G1354</f>
        <v/>
      </c>
      <c r="H1354" s="55">
        <f>Orders!H1354</f>
        <v/>
      </c>
      <c r="I1354" s="55">
        <f>Orders!I1354</f>
        <v/>
      </c>
      <c r="J1354" s="55">
        <f>Orders!J1354</f>
        <v/>
      </c>
      <c r="K1354" s="55">
        <f>Orders!K1354</f>
        <v/>
      </c>
      <c r="L1354" s="55">
        <f>VLOOKUP(D1354,Products!$A$2:$F$61,3,FALSE())</f>
        <v/>
      </c>
      <c r="M1354" s="55">
        <f>VLOOKUP(C1354,Customers!$A$2:$F$301,5,FALSE())</f>
        <v/>
      </c>
      <c r="N1354" s="55">
        <f>VLOOKUP(E1354,Sales_Reps!$A$2:$E$31,3,FALSE())</f>
        <v/>
      </c>
      <c r="O1354" s="55">
        <f>VLOOKUP(D1354,Products!$A$2:$F$61,4,FALSE())</f>
        <v/>
      </c>
      <c r="P1354" s="55">
        <f>VLOOKUP(C1354,Customers!$A$2:$F$301,3,FALSE())</f>
        <v/>
      </c>
      <c r="Q1354" s="55">
        <f>UPPER(TRIM(K1354))</f>
        <v/>
      </c>
      <c r="R1354" s="55">
        <f>(G1354-O1354)/G1354</f>
        <v/>
      </c>
      <c r="S1354" s="55">
        <f>VLOOKUP(D1354,Products!$A$2:$F$61,6,FALSE())</f>
        <v/>
      </c>
    </row>
    <row r="1355" ht="15" customHeight="1" s="56">
      <c r="A1355" s="55">
        <f>Orders!A1355</f>
        <v/>
      </c>
      <c r="B1355" s="103">
        <f>Orders!B1355</f>
        <v/>
      </c>
      <c r="C1355" s="55">
        <f>Orders!C1355</f>
        <v/>
      </c>
      <c r="D1355" s="55">
        <f>Orders!D1355</f>
        <v/>
      </c>
      <c r="E1355" s="55">
        <f>Orders!E1355</f>
        <v/>
      </c>
      <c r="F1355" s="55">
        <f>Orders!F1355</f>
        <v/>
      </c>
      <c r="G1355" s="55">
        <f>Orders!G1355</f>
        <v/>
      </c>
      <c r="H1355" s="55">
        <f>Orders!H1355</f>
        <v/>
      </c>
      <c r="I1355" s="55">
        <f>Orders!I1355</f>
        <v/>
      </c>
      <c r="J1355" s="55">
        <f>Orders!J1355</f>
        <v/>
      </c>
      <c r="K1355" s="55">
        <f>Orders!K1355</f>
        <v/>
      </c>
      <c r="L1355" s="55">
        <f>VLOOKUP(D1355,Products!$A$2:$F$61,3,FALSE())</f>
        <v/>
      </c>
      <c r="M1355" s="55">
        <f>VLOOKUP(C1355,Customers!$A$2:$F$301,5,FALSE())</f>
        <v/>
      </c>
      <c r="N1355" s="55">
        <f>VLOOKUP(E1355,Sales_Reps!$A$2:$E$31,3,FALSE())</f>
        <v/>
      </c>
      <c r="O1355" s="55">
        <f>VLOOKUP(D1355,Products!$A$2:$F$61,4,FALSE())</f>
        <v/>
      </c>
      <c r="P1355" s="55">
        <f>VLOOKUP(C1355,Customers!$A$2:$F$301,3,FALSE())</f>
        <v/>
      </c>
      <c r="Q1355" s="55">
        <f>UPPER(TRIM(K1355))</f>
        <v/>
      </c>
      <c r="R1355" s="55">
        <f>(G1355-O1355)/G1355</f>
        <v/>
      </c>
      <c r="S1355" s="55">
        <f>VLOOKUP(D1355,Products!$A$2:$F$61,6,FALSE())</f>
        <v/>
      </c>
    </row>
    <row r="1356" ht="15" customHeight="1" s="56">
      <c r="A1356" s="55">
        <f>Orders!A1356</f>
        <v/>
      </c>
      <c r="B1356" s="103">
        <f>Orders!B1356</f>
        <v/>
      </c>
      <c r="C1356" s="55">
        <f>Orders!C1356</f>
        <v/>
      </c>
      <c r="D1356" s="55">
        <f>Orders!D1356</f>
        <v/>
      </c>
      <c r="E1356" s="55">
        <f>Orders!E1356</f>
        <v/>
      </c>
      <c r="F1356" s="55">
        <f>Orders!F1356</f>
        <v/>
      </c>
      <c r="G1356" s="55">
        <f>Orders!G1356</f>
        <v/>
      </c>
      <c r="H1356" s="55">
        <f>Orders!H1356</f>
        <v/>
      </c>
      <c r="I1356" s="55">
        <f>Orders!I1356</f>
        <v/>
      </c>
      <c r="J1356" s="55">
        <f>Orders!J1356</f>
        <v/>
      </c>
      <c r="K1356" s="55">
        <f>Orders!K1356</f>
        <v/>
      </c>
      <c r="L1356" s="55">
        <f>VLOOKUP(D1356,Products!$A$2:$F$61,3,FALSE())</f>
        <v/>
      </c>
      <c r="M1356" s="55">
        <f>VLOOKUP(C1356,Customers!$A$2:$F$301,5,FALSE())</f>
        <v/>
      </c>
      <c r="N1356" s="55">
        <f>VLOOKUP(E1356,Sales_Reps!$A$2:$E$31,3,FALSE())</f>
        <v/>
      </c>
      <c r="O1356" s="55">
        <f>VLOOKUP(D1356,Products!$A$2:$F$61,4,FALSE())</f>
        <v/>
      </c>
      <c r="P1356" s="55">
        <f>VLOOKUP(C1356,Customers!$A$2:$F$301,3,FALSE())</f>
        <v/>
      </c>
      <c r="Q1356" s="55">
        <f>UPPER(TRIM(K1356))</f>
        <v/>
      </c>
      <c r="R1356" s="55">
        <f>(G1356-O1356)/G1356</f>
        <v/>
      </c>
      <c r="S1356" s="55">
        <f>VLOOKUP(D1356,Products!$A$2:$F$61,6,FALSE())</f>
        <v/>
      </c>
    </row>
    <row r="1357" ht="15" customHeight="1" s="56">
      <c r="A1357" s="55">
        <f>Orders!A1357</f>
        <v/>
      </c>
      <c r="B1357" s="103">
        <f>Orders!B1357</f>
        <v/>
      </c>
      <c r="C1357" s="55">
        <f>Orders!C1357</f>
        <v/>
      </c>
      <c r="D1357" s="55">
        <f>Orders!D1357</f>
        <v/>
      </c>
      <c r="E1357" s="55">
        <f>Orders!E1357</f>
        <v/>
      </c>
      <c r="F1357" s="55">
        <f>Orders!F1357</f>
        <v/>
      </c>
      <c r="G1357" s="55">
        <f>Orders!G1357</f>
        <v/>
      </c>
      <c r="H1357" s="55">
        <f>Orders!H1357</f>
        <v/>
      </c>
      <c r="I1357" s="55">
        <f>Orders!I1357</f>
        <v/>
      </c>
      <c r="J1357" s="55">
        <f>Orders!J1357</f>
        <v/>
      </c>
      <c r="K1357" s="55">
        <f>Orders!K1357</f>
        <v/>
      </c>
      <c r="L1357" s="55">
        <f>VLOOKUP(D1357,Products!$A$2:$F$61,3,FALSE())</f>
        <v/>
      </c>
      <c r="M1357" s="55">
        <f>VLOOKUP(C1357,Customers!$A$2:$F$301,5,FALSE())</f>
        <v/>
      </c>
      <c r="N1357" s="55">
        <f>VLOOKUP(E1357,Sales_Reps!$A$2:$E$31,3,FALSE())</f>
        <v/>
      </c>
      <c r="O1357" s="55">
        <f>VLOOKUP(D1357,Products!$A$2:$F$61,4,FALSE())</f>
        <v/>
      </c>
      <c r="P1357" s="55">
        <f>VLOOKUP(C1357,Customers!$A$2:$F$301,3,FALSE())</f>
        <v/>
      </c>
      <c r="Q1357" s="55">
        <f>UPPER(TRIM(K1357))</f>
        <v/>
      </c>
      <c r="R1357" s="55">
        <f>(G1357-O1357)/G1357</f>
        <v/>
      </c>
      <c r="S1357" s="55">
        <f>VLOOKUP(D1357,Products!$A$2:$F$61,6,FALSE())</f>
        <v/>
      </c>
    </row>
    <row r="1358" ht="15" customHeight="1" s="56">
      <c r="A1358" s="55">
        <f>Orders!A1358</f>
        <v/>
      </c>
      <c r="B1358" s="103">
        <f>Orders!B1358</f>
        <v/>
      </c>
      <c r="C1358" s="55">
        <f>Orders!C1358</f>
        <v/>
      </c>
      <c r="D1358" s="55">
        <f>Orders!D1358</f>
        <v/>
      </c>
      <c r="E1358" s="55">
        <f>Orders!E1358</f>
        <v/>
      </c>
      <c r="F1358" s="55">
        <f>Orders!F1358</f>
        <v/>
      </c>
      <c r="G1358" s="55">
        <f>Orders!G1358</f>
        <v/>
      </c>
      <c r="H1358" s="55">
        <f>Orders!H1358</f>
        <v/>
      </c>
      <c r="I1358" s="55">
        <f>Orders!I1358</f>
        <v/>
      </c>
      <c r="J1358" s="55">
        <f>Orders!J1358</f>
        <v/>
      </c>
      <c r="K1358" s="55">
        <f>Orders!K1358</f>
        <v/>
      </c>
      <c r="L1358" s="55">
        <f>VLOOKUP(D1358,Products!$A$2:$F$61,3,FALSE())</f>
        <v/>
      </c>
      <c r="M1358" s="55">
        <f>VLOOKUP(C1358,Customers!$A$2:$F$301,5,FALSE())</f>
        <v/>
      </c>
      <c r="N1358" s="55">
        <f>VLOOKUP(E1358,Sales_Reps!$A$2:$E$31,3,FALSE())</f>
        <v/>
      </c>
      <c r="O1358" s="55">
        <f>VLOOKUP(D1358,Products!$A$2:$F$61,4,FALSE())</f>
        <v/>
      </c>
      <c r="P1358" s="55">
        <f>VLOOKUP(C1358,Customers!$A$2:$F$301,3,FALSE())</f>
        <v/>
      </c>
      <c r="Q1358" s="55">
        <f>UPPER(TRIM(K1358))</f>
        <v/>
      </c>
      <c r="R1358" s="55">
        <f>(G1358-O1358)/G1358</f>
        <v/>
      </c>
      <c r="S1358" s="55">
        <f>VLOOKUP(D1358,Products!$A$2:$F$61,6,FALSE())</f>
        <v/>
      </c>
    </row>
    <row r="1359" ht="15" customHeight="1" s="56">
      <c r="A1359" s="55">
        <f>Orders!A1359</f>
        <v/>
      </c>
      <c r="B1359" s="103">
        <f>Orders!B1359</f>
        <v/>
      </c>
      <c r="C1359" s="55">
        <f>Orders!C1359</f>
        <v/>
      </c>
      <c r="D1359" s="55">
        <f>Orders!D1359</f>
        <v/>
      </c>
      <c r="E1359" s="55">
        <f>Orders!E1359</f>
        <v/>
      </c>
      <c r="F1359" s="55">
        <f>Orders!F1359</f>
        <v/>
      </c>
      <c r="G1359" s="55">
        <f>Orders!G1359</f>
        <v/>
      </c>
      <c r="H1359" s="55">
        <f>Orders!H1359</f>
        <v/>
      </c>
      <c r="I1359" s="55">
        <f>Orders!I1359</f>
        <v/>
      </c>
      <c r="J1359" s="55">
        <f>Orders!J1359</f>
        <v/>
      </c>
      <c r="K1359" s="55">
        <f>Orders!K1359</f>
        <v/>
      </c>
      <c r="L1359" s="55">
        <f>VLOOKUP(D1359,Products!$A$2:$F$61,3,FALSE())</f>
        <v/>
      </c>
      <c r="M1359" s="55">
        <f>VLOOKUP(C1359,Customers!$A$2:$F$301,5,FALSE())</f>
        <v/>
      </c>
      <c r="N1359" s="55">
        <f>VLOOKUP(E1359,Sales_Reps!$A$2:$E$31,3,FALSE())</f>
        <v/>
      </c>
      <c r="O1359" s="55">
        <f>VLOOKUP(D1359,Products!$A$2:$F$61,4,FALSE())</f>
        <v/>
      </c>
      <c r="P1359" s="55">
        <f>VLOOKUP(C1359,Customers!$A$2:$F$301,3,FALSE())</f>
        <v/>
      </c>
      <c r="Q1359" s="55">
        <f>UPPER(TRIM(K1359))</f>
        <v/>
      </c>
      <c r="R1359" s="55">
        <f>(G1359-O1359)/G1359</f>
        <v/>
      </c>
      <c r="S1359" s="55">
        <f>VLOOKUP(D1359,Products!$A$2:$F$61,6,FALSE())</f>
        <v/>
      </c>
    </row>
    <row r="1360" ht="15" customHeight="1" s="56">
      <c r="A1360" s="55">
        <f>Orders!A1360</f>
        <v/>
      </c>
      <c r="B1360" s="103">
        <f>Orders!B1360</f>
        <v/>
      </c>
      <c r="C1360" s="55">
        <f>Orders!C1360</f>
        <v/>
      </c>
      <c r="D1360" s="55">
        <f>Orders!D1360</f>
        <v/>
      </c>
      <c r="E1360" s="55">
        <f>Orders!E1360</f>
        <v/>
      </c>
      <c r="F1360" s="55">
        <f>Orders!F1360</f>
        <v/>
      </c>
      <c r="G1360" s="55">
        <f>Orders!G1360</f>
        <v/>
      </c>
      <c r="H1360" s="55">
        <f>Orders!H1360</f>
        <v/>
      </c>
      <c r="I1360" s="55">
        <f>Orders!I1360</f>
        <v/>
      </c>
      <c r="J1360" s="55">
        <f>Orders!J1360</f>
        <v/>
      </c>
      <c r="K1360" s="55">
        <f>Orders!K1360</f>
        <v/>
      </c>
      <c r="L1360" s="55">
        <f>VLOOKUP(D1360,Products!$A$2:$F$61,3,FALSE())</f>
        <v/>
      </c>
      <c r="M1360" s="55">
        <f>VLOOKUP(C1360,Customers!$A$2:$F$301,5,FALSE())</f>
        <v/>
      </c>
      <c r="N1360" s="55">
        <f>VLOOKUP(E1360,Sales_Reps!$A$2:$E$31,3,FALSE())</f>
        <v/>
      </c>
      <c r="O1360" s="55">
        <f>VLOOKUP(D1360,Products!$A$2:$F$61,4,FALSE())</f>
        <v/>
      </c>
      <c r="P1360" s="55">
        <f>VLOOKUP(C1360,Customers!$A$2:$F$301,3,FALSE())</f>
        <v/>
      </c>
      <c r="Q1360" s="55">
        <f>UPPER(TRIM(K1360))</f>
        <v/>
      </c>
      <c r="R1360" s="55">
        <f>(G1360-O1360)/G1360</f>
        <v/>
      </c>
      <c r="S1360" s="55">
        <f>VLOOKUP(D1360,Products!$A$2:$F$61,6,FALSE())</f>
        <v/>
      </c>
    </row>
    <row r="1361" ht="15" customHeight="1" s="56">
      <c r="A1361" s="55">
        <f>Orders!A1361</f>
        <v/>
      </c>
      <c r="B1361" s="103">
        <f>Orders!B1361</f>
        <v/>
      </c>
      <c r="C1361" s="55">
        <f>Orders!C1361</f>
        <v/>
      </c>
      <c r="D1361" s="55">
        <f>Orders!D1361</f>
        <v/>
      </c>
      <c r="E1361" s="55">
        <f>Orders!E1361</f>
        <v/>
      </c>
      <c r="F1361" s="55">
        <f>Orders!F1361</f>
        <v/>
      </c>
      <c r="G1361" s="55">
        <f>Orders!G1361</f>
        <v/>
      </c>
      <c r="H1361" s="55">
        <f>Orders!H1361</f>
        <v/>
      </c>
      <c r="I1361" s="55">
        <f>Orders!I1361</f>
        <v/>
      </c>
      <c r="J1361" s="55">
        <f>Orders!J1361</f>
        <v/>
      </c>
      <c r="K1361" s="55">
        <f>Orders!K1361</f>
        <v/>
      </c>
      <c r="L1361" s="55">
        <f>VLOOKUP(D1361,Products!$A$2:$F$61,3,FALSE())</f>
        <v/>
      </c>
      <c r="M1361" s="55">
        <f>VLOOKUP(C1361,Customers!$A$2:$F$301,5,FALSE())</f>
        <v/>
      </c>
      <c r="N1361" s="55">
        <f>VLOOKUP(E1361,Sales_Reps!$A$2:$E$31,3,FALSE())</f>
        <v/>
      </c>
      <c r="O1361" s="55">
        <f>VLOOKUP(D1361,Products!$A$2:$F$61,4,FALSE())</f>
        <v/>
      </c>
      <c r="P1361" s="55">
        <f>VLOOKUP(C1361,Customers!$A$2:$F$301,3,FALSE())</f>
        <v/>
      </c>
      <c r="Q1361" s="55">
        <f>UPPER(TRIM(K1361))</f>
        <v/>
      </c>
      <c r="R1361" s="55">
        <f>(G1361-O1361)/G1361</f>
        <v/>
      </c>
      <c r="S1361" s="55">
        <f>VLOOKUP(D1361,Products!$A$2:$F$61,6,FALSE())</f>
        <v/>
      </c>
    </row>
    <row r="1362" ht="15" customHeight="1" s="56">
      <c r="A1362" s="55">
        <f>Orders!A1362</f>
        <v/>
      </c>
      <c r="B1362" s="103">
        <f>Orders!B1362</f>
        <v/>
      </c>
      <c r="C1362" s="55">
        <f>Orders!C1362</f>
        <v/>
      </c>
      <c r="D1362" s="55">
        <f>Orders!D1362</f>
        <v/>
      </c>
      <c r="E1362" s="55">
        <f>Orders!E1362</f>
        <v/>
      </c>
      <c r="F1362" s="55">
        <f>Orders!F1362</f>
        <v/>
      </c>
      <c r="G1362" s="55">
        <f>Orders!G1362</f>
        <v/>
      </c>
      <c r="H1362" s="55">
        <f>Orders!H1362</f>
        <v/>
      </c>
      <c r="I1362" s="55">
        <f>Orders!I1362</f>
        <v/>
      </c>
      <c r="J1362" s="55">
        <f>Orders!J1362</f>
        <v/>
      </c>
      <c r="K1362" s="55">
        <f>Orders!K1362</f>
        <v/>
      </c>
      <c r="L1362" s="55">
        <f>VLOOKUP(D1362,Products!$A$2:$F$61,3,FALSE())</f>
        <v/>
      </c>
      <c r="M1362" s="55">
        <f>VLOOKUP(C1362,Customers!$A$2:$F$301,5,FALSE())</f>
        <v/>
      </c>
      <c r="N1362" s="55">
        <f>VLOOKUP(E1362,Sales_Reps!$A$2:$E$31,3,FALSE())</f>
        <v/>
      </c>
      <c r="O1362" s="55">
        <f>VLOOKUP(D1362,Products!$A$2:$F$61,4,FALSE())</f>
        <v/>
      </c>
      <c r="P1362" s="55">
        <f>VLOOKUP(C1362,Customers!$A$2:$F$301,3,FALSE())</f>
        <v/>
      </c>
      <c r="Q1362" s="55">
        <f>UPPER(TRIM(K1362))</f>
        <v/>
      </c>
      <c r="R1362" s="55">
        <f>(G1362-O1362)/G1362</f>
        <v/>
      </c>
      <c r="S1362" s="55">
        <f>VLOOKUP(D1362,Products!$A$2:$F$61,6,FALSE())</f>
        <v/>
      </c>
    </row>
    <row r="1363" ht="15" customHeight="1" s="56">
      <c r="A1363" s="55">
        <f>Orders!A1363</f>
        <v/>
      </c>
      <c r="B1363" s="103">
        <f>Orders!B1363</f>
        <v/>
      </c>
      <c r="C1363" s="55">
        <f>Orders!C1363</f>
        <v/>
      </c>
      <c r="D1363" s="55">
        <f>Orders!D1363</f>
        <v/>
      </c>
      <c r="E1363" s="55">
        <f>Orders!E1363</f>
        <v/>
      </c>
      <c r="F1363" s="55">
        <f>Orders!F1363</f>
        <v/>
      </c>
      <c r="G1363" s="55">
        <f>Orders!G1363</f>
        <v/>
      </c>
      <c r="H1363" s="55">
        <f>Orders!H1363</f>
        <v/>
      </c>
      <c r="I1363" s="55">
        <f>Orders!I1363</f>
        <v/>
      </c>
      <c r="J1363" s="55">
        <f>Orders!J1363</f>
        <v/>
      </c>
      <c r="K1363" s="55">
        <f>Orders!K1363</f>
        <v/>
      </c>
      <c r="L1363" s="55">
        <f>VLOOKUP(D1363,Products!$A$2:$F$61,3,FALSE())</f>
        <v/>
      </c>
      <c r="M1363" s="55">
        <f>VLOOKUP(C1363,Customers!$A$2:$F$301,5,FALSE())</f>
        <v/>
      </c>
      <c r="N1363" s="55">
        <f>VLOOKUP(E1363,Sales_Reps!$A$2:$E$31,3,FALSE())</f>
        <v/>
      </c>
      <c r="O1363" s="55">
        <f>VLOOKUP(D1363,Products!$A$2:$F$61,4,FALSE())</f>
        <v/>
      </c>
      <c r="P1363" s="55">
        <f>VLOOKUP(C1363,Customers!$A$2:$F$301,3,FALSE())</f>
        <v/>
      </c>
      <c r="Q1363" s="55">
        <f>UPPER(TRIM(K1363))</f>
        <v/>
      </c>
      <c r="R1363" s="55">
        <f>(G1363-O1363)/G1363</f>
        <v/>
      </c>
      <c r="S1363" s="55">
        <f>VLOOKUP(D1363,Products!$A$2:$F$61,6,FALSE())</f>
        <v/>
      </c>
    </row>
    <row r="1364" ht="15" customHeight="1" s="56">
      <c r="A1364" s="55">
        <f>Orders!A1364</f>
        <v/>
      </c>
      <c r="B1364" s="103">
        <f>Orders!B1364</f>
        <v/>
      </c>
      <c r="C1364" s="55">
        <f>Orders!C1364</f>
        <v/>
      </c>
      <c r="D1364" s="55">
        <f>Orders!D1364</f>
        <v/>
      </c>
      <c r="E1364" s="55">
        <f>Orders!E1364</f>
        <v/>
      </c>
      <c r="F1364" s="55">
        <f>Orders!F1364</f>
        <v/>
      </c>
      <c r="G1364" s="55">
        <f>Orders!G1364</f>
        <v/>
      </c>
      <c r="H1364" s="55">
        <f>Orders!H1364</f>
        <v/>
      </c>
      <c r="I1364" s="55">
        <f>Orders!I1364</f>
        <v/>
      </c>
      <c r="J1364" s="55">
        <f>Orders!J1364</f>
        <v/>
      </c>
      <c r="K1364" s="55">
        <f>Orders!K1364</f>
        <v/>
      </c>
      <c r="L1364" s="55">
        <f>VLOOKUP(D1364,Products!$A$2:$F$61,3,FALSE())</f>
        <v/>
      </c>
      <c r="M1364" s="55">
        <f>VLOOKUP(C1364,Customers!$A$2:$F$301,5,FALSE())</f>
        <v/>
      </c>
      <c r="N1364" s="55">
        <f>VLOOKUP(E1364,Sales_Reps!$A$2:$E$31,3,FALSE())</f>
        <v/>
      </c>
      <c r="O1364" s="55">
        <f>VLOOKUP(D1364,Products!$A$2:$F$61,4,FALSE())</f>
        <v/>
      </c>
      <c r="P1364" s="55">
        <f>VLOOKUP(C1364,Customers!$A$2:$F$301,3,FALSE())</f>
        <v/>
      </c>
      <c r="Q1364" s="55">
        <f>UPPER(TRIM(K1364))</f>
        <v/>
      </c>
      <c r="R1364" s="55">
        <f>(G1364-O1364)/G1364</f>
        <v/>
      </c>
      <c r="S1364" s="55">
        <f>VLOOKUP(D1364,Products!$A$2:$F$61,6,FALSE())</f>
        <v/>
      </c>
    </row>
    <row r="1365" ht="15" customHeight="1" s="56">
      <c r="A1365" s="55">
        <f>Orders!A1365</f>
        <v/>
      </c>
      <c r="B1365" s="103">
        <f>Orders!B1365</f>
        <v/>
      </c>
      <c r="C1365" s="55">
        <f>Orders!C1365</f>
        <v/>
      </c>
      <c r="D1365" s="55">
        <f>Orders!D1365</f>
        <v/>
      </c>
      <c r="E1365" s="55">
        <f>Orders!E1365</f>
        <v/>
      </c>
      <c r="F1365" s="55">
        <f>Orders!F1365</f>
        <v/>
      </c>
      <c r="G1365" s="55">
        <f>Orders!G1365</f>
        <v/>
      </c>
      <c r="H1365" s="55">
        <f>Orders!H1365</f>
        <v/>
      </c>
      <c r="I1365" s="55">
        <f>Orders!I1365</f>
        <v/>
      </c>
      <c r="J1365" s="55">
        <f>Orders!J1365</f>
        <v/>
      </c>
      <c r="K1365" s="55">
        <f>Orders!K1365</f>
        <v/>
      </c>
      <c r="L1365" s="55">
        <f>VLOOKUP(D1365,Products!$A$2:$F$61,3,FALSE())</f>
        <v/>
      </c>
      <c r="M1365" s="55">
        <f>VLOOKUP(C1365,Customers!$A$2:$F$301,5,FALSE())</f>
        <v/>
      </c>
      <c r="N1365" s="55">
        <f>VLOOKUP(E1365,Sales_Reps!$A$2:$E$31,3,FALSE())</f>
        <v/>
      </c>
      <c r="O1365" s="55">
        <f>VLOOKUP(D1365,Products!$A$2:$F$61,4,FALSE())</f>
        <v/>
      </c>
      <c r="P1365" s="55">
        <f>VLOOKUP(C1365,Customers!$A$2:$F$301,3,FALSE())</f>
        <v/>
      </c>
      <c r="Q1365" s="55">
        <f>UPPER(TRIM(K1365))</f>
        <v/>
      </c>
      <c r="R1365" s="55">
        <f>(G1365-O1365)/G1365</f>
        <v/>
      </c>
      <c r="S1365" s="55">
        <f>VLOOKUP(D1365,Products!$A$2:$F$61,6,FALSE())</f>
        <v/>
      </c>
    </row>
    <row r="1366" ht="15" customHeight="1" s="56">
      <c r="A1366" s="55">
        <f>Orders!A1366</f>
        <v/>
      </c>
      <c r="B1366" s="103">
        <f>Orders!B1366</f>
        <v/>
      </c>
      <c r="C1366" s="55">
        <f>Orders!C1366</f>
        <v/>
      </c>
      <c r="D1366" s="55">
        <f>Orders!D1366</f>
        <v/>
      </c>
      <c r="E1366" s="55">
        <f>Orders!E1366</f>
        <v/>
      </c>
      <c r="F1366" s="55">
        <f>Orders!F1366</f>
        <v/>
      </c>
      <c r="G1366" s="55">
        <f>Orders!G1366</f>
        <v/>
      </c>
      <c r="H1366" s="55">
        <f>Orders!H1366</f>
        <v/>
      </c>
      <c r="I1366" s="55">
        <f>Orders!I1366</f>
        <v/>
      </c>
      <c r="J1366" s="55">
        <f>Orders!J1366</f>
        <v/>
      </c>
      <c r="K1366" s="55">
        <f>Orders!K1366</f>
        <v/>
      </c>
      <c r="L1366" s="55">
        <f>VLOOKUP(D1366,Products!$A$2:$F$61,3,FALSE())</f>
        <v/>
      </c>
      <c r="M1366" s="55">
        <f>VLOOKUP(C1366,Customers!$A$2:$F$301,5,FALSE())</f>
        <v/>
      </c>
      <c r="N1366" s="55">
        <f>VLOOKUP(E1366,Sales_Reps!$A$2:$E$31,3,FALSE())</f>
        <v/>
      </c>
      <c r="O1366" s="55">
        <f>VLOOKUP(D1366,Products!$A$2:$F$61,4,FALSE())</f>
        <v/>
      </c>
      <c r="P1366" s="55">
        <f>VLOOKUP(C1366,Customers!$A$2:$F$301,3,FALSE())</f>
        <v/>
      </c>
      <c r="Q1366" s="55">
        <f>UPPER(TRIM(K1366))</f>
        <v/>
      </c>
      <c r="R1366" s="55">
        <f>(G1366-O1366)/G1366</f>
        <v/>
      </c>
      <c r="S1366" s="55">
        <f>VLOOKUP(D1366,Products!$A$2:$F$61,6,FALSE())</f>
        <v/>
      </c>
    </row>
    <row r="1367" ht="15" customHeight="1" s="56">
      <c r="A1367" s="55">
        <f>Orders!A1367</f>
        <v/>
      </c>
      <c r="B1367" s="103">
        <f>Orders!B1367</f>
        <v/>
      </c>
      <c r="C1367" s="55">
        <f>Orders!C1367</f>
        <v/>
      </c>
      <c r="D1367" s="55">
        <f>Orders!D1367</f>
        <v/>
      </c>
      <c r="E1367" s="55">
        <f>Orders!E1367</f>
        <v/>
      </c>
      <c r="F1367" s="55">
        <f>Orders!F1367</f>
        <v/>
      </c>
      <c r="G1367" s="55">
        <f>Orders!G1367</f>
        <v/>
      </c>
      <c r="H1367" s="55">
        <f>Orders!H1367</f>
        <v/>
      </c>
      <c r="I1367" s="55">
        <f>Orders!I1367</f>
        <v/>
      </c>
      <c r="J1367" s="55">
        <f>Orders!J1367</f>
        <v/>
      </c>
      <c r="K1367" s="55">
        <f>Orders!K1367</f>
        <v/>
      </c>
      <c r="L1367" s="55">
        <f>VLOOKUP(D1367,Products!$A$2:$F$61,3,FALSE())</f>
        <v/>
      </c>
      <c r="M1367" s="55">
        <f>VLOOKUP(C1367,Customers!$A$2:$F$301,5,FALSE())</f>
        <v/>
      </c>
      <c r="N1367" s="55">
        <f>VLOOKUP(E1367,Sales_Reps!$A$2:$E$31,3,FALSE())</f>
        <v/>
      </c>
      <c r="O1367" s="55">
        <f>VLOOKUP(D1367,Products!$A$2:$F$61,4,FALSE())</f>
        <v/>
      </c>
      <c r="P1367" s="55">
        <f>VLOOKUP(C1367,Customers!$A$2:$F$301,3,FALSE())</f>
        <v/>
      </c>
      <c r="Q1367" s="55">
        <f>UPPER(TRIM(K1367))</f>
        <v/>
      </c>
      <c r="R1367" s="55">
        <f>(G1367-O1367)/G1367</f>
        <v/>
      </c>
      <c r="S1367" s="55">
        <f>VLOOKUP(D1367,Products!$A$2:$F$61,6,FALSE())</f>
        <v/>
      </c>
    </row>
    <row r="1368" ht="15" customHeight="1" s="56">
      <c r="A1368" s="55">
        <f>Orders!A1368</f>
        <v/>
      </c>
      <c r="B1368" s="103">
        <f>Orders!B1368</f>
        <v/>
      </c>
      <c r="C1368" s="55">
        <f>Orders!C1368</f>
        <v/>
      </c>
      <c r="D1368" s="55">
        <f>Orders!D1368</f>
        <v/>
      </c>
      <c r="E1368" s="55">
        <f>Orders!E1368</f>
        <v/>
      </c>
      <c r="F1368" s="55">
        <f>Orders!F1368</f>
        <v/>
      </c>
      <c r="G1368" s="55">
        <f>Orders!G1368</f>
        <v/>
      </c>
      <c r="H1368" s="55">
        <f>Orders!H1368</f>
        <v/>
      </c>
      <c r="I1368" s="55">
        <f>Orders!I1368</f>
        <v/>
      </c>
      <c r="J1368" s="55">
        <f>Orders!J1368</f>
        <v/>
      </c>
      <c r="K1368" s="55">
        <f>Orders!K1368</f>
        <v/>
      </c>
      <c r="L1368" s="55">
        <f>VLOOKUP(D1368,Products!$A$2:$F$61,3,FALSE())</f>
        <v/>
      </c>
      <c r="M1368" s="55">
        <f>VLOOKUP(C1368,Customers!$A$2:$F$301,5,FALSE())</f>
        <v/>
      </c>
      <c r="N1368" s="55">
        <f>VLOOKUP(E1368,Sales_Reps!$A$2:$E$31,3,FALSE())</f>
        <v/>
      </c>
      <c r="O1368" s="55">
        <f>VLOOKUP(D1368,Products!$A$2:$F$61,4,FALSE())</f>
        <v/>
      </c>
      <c r="P1368" s="55">
        <f>VLOOKUP(C1368,Customers!$A$2:$F$301,3,FALSE())</f>
        <v/>
      </c>
      <c r="Q1368" s="55">
        <f>UPPER(TRIM(K1368))</f>
        <v/>
      </c>
      <c r="R1368" s="55">
        <f>(G1368-O1368)/G1368</f>
        <v/>
      </c>
      <c r="S1368" s="55">
        <f>VLOOKUP(D1368,Products!$A$2:$F$61,6,FALSE())</f>
        <v/>
      </c>
    </row>
    <row r="1369" ht="15" customHeight="1" s="56">
      <c r="A1369" s="55">
        <f>Orders!A1369</f>
        <v/>
      </c>
      <c r="B1369" s="103">
        <f>Orders!B1369</f>
        <v/>
      </c>
      <c r="C1369" s="55">
        <f>Orders!C1369</f>
        <v/>
      </c>
      <c r="D1369" s="55">
        <f>Orders!D1369</f>
        <v/>
      </c>
      <c r="E1369" s="55">
        <f>Orders!E1369</f>
        <v/>
      </c>
      <c r="F1369" s="55">
        <f>Orders!F1369</f>
        <v/>
      </c>
      <c r="G1369" s="55">
        <f>Orders!G1369</f>
        <v/>
      </c>
      <c r="H1369" s="55">
        <f>Orders!H1369</f>
        <v/>
      </c>
      <c r="I1369" s="55">
        <f>Orders!I1369</f>
        <v/>
      </c>
      <c r="J1369" s="55">
        <f>Orders!J1369</f>
        <v/>
      </c>
      <c r="K1369" s="55">
        <f>Orders!K1369</f>
        <v/>
      </c>
      <c r="L1369" s="55">
        <f>VLOOKUP(D1369,Products!$A$2:$F$61,3,FALSE())</f>
        <v/>
      </c>
      <c r="M1369" s="55">
        <f>VLOOKUP(C1369,Customers!$A$2:$F$301,5,FALSE())</f>
        <v/>
      </c>
      <c r="N1369" s="55">
        <f>VLOOKUP(E1369,Sales_Reps!$A$2:$E$31,3,FALSE())</f>
        <v/>
      </c>
      <c r="O1369" s="55">
        <f>VLOOKUP(D1369,Products!$A$2:$F$61,4,FALSE())</f>
        <v/>
      </c>
      <c r="P1369" s="55">
        <f>VLOOKUP(C1369,Customers!$A$2:$F$301,3,FALSE())</f>
        <v/>
      </c>
      <c r="Q1369" s="55">
        <f>UPPER(TRIM(K1369))</f>
        <v/>
      </c>
      <c r="R1369" s="55">
        <f>(G1369-O1369)/G1369</f>
        <v/>
      </c>
      <c r="S1369" s="55">
        <f>VLOOKUP(D1369,Products!$A$2:$F$61,6,FALSE())</f>
        <v/>
      </c>
    </row>
    <row r="1370" ht="15" customHeight="1" s="56">
      <c r="A1370" s="55">
        <f>Orders!A1370</f>
        <v/>
      </c>
      <c r="B1370" s="103">
        <f>Orders!B1370</f>
        <v/>
      </c>
      <c r="C1370" s="55">
        <f>Orders!C1370</f>
        <v/>
      </c>
      <c r="D1370" s="55">
        <f>Orders!D1370</f>
        <v/>
      </c>
      <c r="E1370" s="55">
        <f>Orders!E1370</f>
        <v/>
      </c>
      <c r="F1370" s="55">
        <f>Orders!F1370</f>
        <v/>
      </c>
      <c r="G1370" s="55">
        <f>Orders!G1370</f>
        <v/>
      </c>
      <c r="H1370" s="55">
        <f>Orders!H1370</f>
        <v/>
      </c>
      <c r="I1370" s="55">
        <f>Orders!I1370</f>
        <v/>
      </c>
      <c r="J1370" s="55">
        <f>Orders!J1370</f>
        <v/>
      </c>
      <c r="K1370" s="55">
        <f>Orders!K1370</f>
        <v/>
      </c>
      <c r="L1370" s="55">
        <f>VLOOKUP(D1370,Products!$A$2:$F$61,3,FALSE())</f>
        <v/>
      </c>
      <c r="M1370" s="55">
        <f>VLOOKUP(C1370,Customers!$A$2:$F$301,5,FALSE())</f>
        <v/>
      </c>
      <c r="N1370" s="55">
        <f>VLOOKUP(E1370,Sales_Reps!$A$2:$E$31,3,FALSE())</f>
        <v/>
      </c>
      <c r="O1370" s="55">
        <f>VLOOKUP(D1370,Products!$A$2:$F$61,4,FALSE())</f>
        <v/>
      </c>
      <c r="P1370" s="55">
        <f>VLOOKUP(C1370,Customers!$A$2:$F$301,3,FALSE())</f>
        <v/>
      </c>
      <c r="Q1370" s="55">
        <f>UPPER(TRIM(K1370))</f>
        <v/>
      </c>
      <c r="R1370" s="55">
        <f>(G1370-O1370)/G1370</f>
        <v/>
      </c>
      <c r="S1370" s="55">
        <f>VLOOKUP(D1370,Products!$A$2:$F$61,6,FALSE())</f>
        <v/>
      </c>
    </row>
    <row r="1371" ht="15" customHeight="1" s="56">
      <c r="A1371" s="55">
        <f>Orders!A1371</f>
        <v/>
      </c>
      <c r="B1371" s="103">
        <f>Orders!B1371</f>
        <v/>
      </c>
      <c r="C1371" s="55">
        <f>Orders!C1371</f>
        <v/>
      </c>
      <c r="D1371" s="55">
        <f>Orders!D1371</f>
        <v/>
      </c>
      <c r="E1371" s="55">
        <f>Orders!E1371</f>
        <v/>
      </c>
      <c r="F1371" s="55">
        <f>Orders!F1371</f>
        <v/>
      </c>
      <c r="G1371" s="55">
        <f>Orders!G1371</f>
        <v/>
      </c>
      <c r="H1371" s="55">
        <f>Orders!H1371</f>
        <v/>
      </c>
      <c r="I1371" s="55">
        <f>Orders!I1371</f>
        <v/>
      </c>
      <c r="J1371" s="55">
        <f>Orders!J1371</f>
        <v/>
      </c>
      <c r="K1371" s="55">
        <f>Orders!K1371</f>
        <v/>
      </c>
      <c r="L1371" s="55">
        <f>VLOOKUP(D1371,Products!$A$2:$F$61,3,FALSE())</f>
        <v/>
      </c>
      <c r="M1371" s="55">
        <f>VLOOKUP(C1371,Customers!$A$2:$F$301,5,FALSE())</f>
        <v/>
      </c>
      <c r="N1371" s="55">
        <f>VLOOKUP(E1371,Sales_Reps!$A$2:$E$31,3,FALSE())</f>
        <v/>
      </c>
      <c r="O1371" s="55">
        <f>VLOOKUP(D1371,Products!$A$2:$F$61,4,FALSE())</f>
        <v/>
      </c>
      <c r="P1371" s="55">
        <f>VLOOKUP(C1371,Customers!$A$2:$F$301,3,FALSE())</f>
        <v/>
      </c>
      <c r="Q1371" s="55">
        <f>UPPER(TRIM(K1371))</f>
        <v/>
      </c>
      <c r="R1371" s="55">
        <f>(G1371-O1371)/G1371</f>
        <v/>
      </c>
      <c r="S1371" s="55">
        <f>VLOOKUP(D1371,Products!$A$2:$F$61,6,FALSE())</f>
        <v/>
      </c>
    </row>
    <row r="1372" ht="15" customHeight="1" s="56">
      <c r="A1372" s="55">
        <f>Orders!A1372</f>
        <v/>
      </c>
      <c r="B1372" s="103">
        <f>Orders!B1372</f>
        <v/>
      </c>
      <c r="C1372" s="55">
        <f>Orders!C1372</f>
        <v/>
      </c>
      <c r="D1372" s="55">
        <f>Orders!D1372</f>
        <v/>
      </c>
      <c r="E1372" s="55">
        <f>Orders!E1372</f>
        <v/>
      </c>
      <c r="F1372" s="55">
        <f>Orders!F1372</f>
        <v/>
      </c>
      <c r="G1372" s="55">
        <f>Orders!G1372</f>
        <v/>
      </c>
      <c r="H1372" s="55">
        <f>Orders!H1372</f>
        <v/>
      </c>
      <c r="I1372" s="55">
        <f>Orders!I1372</f>
        <v/>
      </c>
      <c r="J1372" s="55">
        <f>Orders!J1372</f>
        <v/>
      </c>
      <c r="K1372" s="55">
        <f>Orders!K1372</f>
        <v/>
      </c>
      <c r="L1372" s="55">
        <f>VLOOKUP(D1372,Products!$A$2:$F$61,3,FALSE())</f>
        <v/>
      </c>
      <c r="M1372" s="55">
        <f>VLOOKUP(C1372,Customers!$A$2:$F$301,5,FALSE())</f>
        <v/>
      </c>
      <c r="N1372" s="55">
        <f>VLOOKUP(E1372,Sales_Reps!$A$2:$E$31,3,FALSE())</f>
        <v/>
      </c>
      <c r="O1372" s="55">
        <f>VLOOKUP(D1372,Products!$A$2:$F$61,4,FALSE())</f>
        <v/>
      </c>
      <c r="P1372" s="55">
        <f>VLOOKUP(C1372,Customers!$A$2:$F$301,3,FALSE())</f>
        <v/>
      </c>
      <c r="Q1372" s="55">
        <f>UPPER(TRIM(K1372))</f>
        <v/>
      </c>
      <c r="R1372" s="55">
        <f>(G1372-O1372)/G1372</f>
        <v/>
      </c>
      <c r="S1372" s="55">
        <f>VLOOKUP(D1372,Products!$A$2:$F$61,6,FALSE())</f>
        <v/>
      </c>
    </row>
    <row r="1373" ht="15" customHeight="1" s="56">
      <c r="A1373" s="55">
        <f>Orders!A1373</f>
        <v/>
      </c>
      <c r="B1373" s="103">
        <f>Orders!B1373</f>
        <v/>
      </c>
      <c r="C1373" s="55">
        <f>Orders!C1373</f>
        <v/>
      </c>
      <c r="D1373" s="55">
        <f>Orders!D1373</f>
        <v/>
      </c>
      <c r="E1373" s="55">
        <f>Orders!E1373</f>
        <v/>
      </c>
      <c r="F1373" s="55">
        <f>Orders!F1373</f>
        <v/>
      </c>
      <c r="G1373" s="55">
        <f>Orders!G1373</f>
        <v/>
      </c>
      <c r="H1373" s="55">
        <f>Orders!H1373</f>
        <v/>
      </c>
      <c r="I1373" s="55">
        <f>Orders!I1373</f>
        <v/>
      </c>
      <c r="J1373" s="55">
        <f>Orders!J1373</f>
        <v/>
      </c>
      <c r="K1373" s="55">
        <f>Orders!K1373</f>
        <v/>
      </c>
      <c r="L1373" s="55">
        <f>VLOOKUP(D1373,Products!$A$2:$F$61,3,FALSE())</f>
        <v/>
      </c>
      <c r="M1373" s="55">
        <f>VLOOKUP(C1373,Customers!$A$2:$F$301,5,FALSE())</f>
        <v/>
      </c>
      <c r="N1373" s="55">
        <f>VLOOKUP(E1373,Sales_Reps!$A$2:$E$31,3,FALSE())</f>
        <v/>
      </c>
      <c r="O1373" s="55">
        <f>VLOOKUP(D1373,Products!$A$2:$F$61,4,FALSE())</f>
        <v/>
      </c>
      <c r="P1373" s="55">
        <f>VLOOKUP(C1373,Customers!$A$2:$F$301,3,FALSE())</f>
        <v/>
      </c>
      <c r="Q1373" s="55">
        <f>UPPER(TRIM(K1373))</f>
        <v/>
      </c>
      <c r="R1373" s="55">
        <f>(G1373-O1373)/G1373</f>
        <v/>
      </c>
      <c r="S1373" s="55">
        <f>VLOOKUP(D1373,Products!$A$2:$F$61,6,FALSE())</f>
        <v/>
      </c>
    </row>
    <row r="1374" ht="15" customHeight="1" s="56">
      <c r="A1374" s="55">
        <f>Orders!A1374</f>
        <v/>
      </c>
      <c r="B1374" s="103">
        <f>Orders!B1374</f>
        <v/>
      </c>
      <c r="C1374" s="55">
        <f>Orders!C1374</f>
        <v/>
      </c>
      <c r="D1374" s="55">
        <f>Orders!D1374</f>
        <v/>
      </c>
      <c r="E1374" s="55">
        <f>Orders!E1374</f>
        <v/>
      </c>
      <c r="F1374" s="55">
        <f>Orders!F1374</f>
        <v/>
      </c>
      <c r="G1374" s="55">
        <f>Orders!G1374</f>
        <v/>
      </c>
      <c r="H1374" s="55">
        <f>Orders!H1374</f>
        <v/>
      </c>
      <c r="I1374" s="55">
        <f>Orders!I1374</f>
        <v/>
      </c>
      <c r="J1374" s="55">
        <f>Orders!J1374</f>
        <v/>
      </c>
      <c r="K1374" s="55">
        <f>Orders!K1374</f>
        <v/>
      </c>
      <c r="L1374" s="55">
        <f>VLOOKUP(D1374,Products!$A$2:$F$61,3,FALSE())</f>
        <v/>
      </c>
      <c r="M1374" s="55">
        <f>VLOOKUP(C1374,Customers!$A$2:$F$301,5,FALSE())</f>
        <v/>
      </c>
      <c r="N1374" s="55">
        <f>VLOOKUP(E1374,Sales_Reps!$A$2:$E$31,3,FALSE())</f>
        <v/>
      </c>
      <c r="O1374" s="55">
        <f>VLOOKUP(D1374,Products!$A$2:$F$61,4,FALSE())</f>
        <v/>
      </c>
      <c r="P1374" s="55">
        <f>VLOOKUP(C1374,Customers!$A$2:$F$301,3,FALSE())</f>
        <v/>
      </c>
      <c r="Q1374" s="55">
        <f>UPPER(TRIM(K1374))</f>
        <v/>
      </c>
      <c r="R1374" s="55">
        <f>(G1374-O1374)/G1374</f>
        <v/>
      </c>
      <c r="S1374" s="55">
        <f>VLOOKUP(D1374,Products!$A$2:$F$61,6,FALSE())</f>
        <v/>
      </c>
    </row>
    <row r="1375" ht="15" customHeight="1" s="56">
      <c r="A1375" s="55">
        <f>Orders!A1375</f>
        <v/>
      </c>
      <c r="B1375" s="103">
        <f>Orders!B1375</f>
        <v/>
      </c>
      <c r="C1375" s="55">
        <f>Orders!C1375</f>
        <v/>
      </c>
      <c r="D1375" s="55">
        <f>Orders!D1375</f>
        <v/>
      </c>
      <c r="E1375" s="55">
        <f>Orders!E1375</f>
        <v/>
      </c>
      <c r="F1375" s="55">
        <f>Orders!F1375</f>
        <v/>
      </c>
      <c r="G1375" s="55">
        <f>Orders!G1375</f>
        <v/>
      </c>
      <c r="H1375" s="55">
        <f>Orders!H1375</f>
        <v/>
      </c>
      <c r="I1375" s="55">
        <f>Orders!I1375</f>
        <v/>
      </c>
      <c r="J1375" s="55">
        <f>Orders!J1375</f>
        <v/>
      </c>
      <c r="K1375" s="55">
        <f>Orders!K1375</f>
        <v/>
      </c>
      <c r="L1375" s="55">
        <f>VLOOKUP(D1375,Products!$A$2:$F$61,3,FALSE())</f>
        <v/>
      </c>
      <c r="M1375" s="55">
        <f>VLOOKUP(C1375,Customers!$A$2:$F$301,5,FALSE())</f>
        <v/>
      </c>
      <c r="N1375" s="55">
        <f>VLOOKUP(E1375,Sales_Reps!$A$2:$E$31,3,FALSE())</f>
        <v/>
      </c>
      <c r="O1375" s="55">
        <f>VLOOKUP(D1375,Products!$A$2:$F$61,4,FALSE())</f>
        <v/>
      </c>
      <c r="P1375" s="55">
        <f>VLOOKUP(C1375,Customers!$A$2:$F$301,3,FALSE())</f>
        <v/>
      </c>
      <c r="Q1375" s="55">
        <f>UPPER(TRIM(K1375))</f>
        <v/>
      </c>
      <c r="R1375" s="55">
        <f>(G1375-O1375)/G1375</f>
        <v/>
      </c>
      <c r="S1375" s="55">
        <f>VLOOKUP(D1375,Products!$A$2:$F$61,6,FALSE())</f>
        <v/>
      </c>
    </row>
    <row r="1376" ht="15" customHeight="1" s="56">
      <c r="A1376" s="55">
        <f>Orders!A1376</f>
        <v/>
      </c>
      <c r="B1376" s="103">
        <f>Orders!B1376</f>
        <v/>
      </c>
      <c r="C1376" s="55">
        <f>Orders!C1376</f>
        <v/>
      </c>
      <c r="D1376" s="55">
        <f>Orders!D1376</f>
        <v/>
      </c>
      <c r="E1376" s="55">
        <f>Orders!E1376</f>
        <v/>
      </c>
      <c r="F1376" s="55">
        <f>Orders!F1376</f>
        <v/>
      </c>
      <c r="G1376" s="55">
        <f>Orders!G1376</f>
        <v/>
      </c>
      <c r="H1376" s="55">
        <f>Orders!H1376</f>
        <v/>
      </c>
      <c r="I1376" s="55">
        <f>Orders!I1376</f>
        <v/>
      </c>
      <c r="J1376" s="55">
        <f>Orders!J1376</f>
        <v/>
      </c>
      <c r="K1376" s="55">
        <f>Orders!K1376</f>
        <v/>
      </c>
      <c r="L1376" s="55">
        <f>VLOOKUP(D1376,Products!$A$2:$F$61,3,FALSE())</f>
        <v/>
      </c>
      <c r="M1376" s="55">
        <f>VLOOKUP(C1376,Customers!$A$2:$F$301,5,FALSE())</f>
        <v/>
      </c>
      <c r="N1376" s="55">
        <f>VLOOKUP(E1376,Sales_Reps!$A$2:$E$31,3,FALSE())</f>
        <v/>
      </c>
      <c r="O1376" s="55">
        <f>VLOOKUP(D1376,Products!$A$2:$F$61,4,FALSE())</f>
        <v/>
      </c>
      <c r="P1376" s="55">
        <f>VLOOKUP(C1376,Customers!$A$2:$F$301,3,FALSE())</f>
        <v/>
      </c>
      <c r="Q1376" s="55">
        <f>UPPER(TRIM(K1376))</f>
        <v/>
      </c>
      <c r="R1376" s="55">
        <f>(G1376-O1376)/G1376</f>
        <v/>
      </c>
      <c r="S1376" s="55">
        <f>VLOOKUP(D1376,Products!$A$2:$F$61,6,FALSE())</f>
        <v/>
      </c>
    </row>
    <row r="1377" ht="15" customHeight="1" s="56">
      <c r="A1377" s="55">
        <f>Orders!A1377</f>
        <v/>
      </c>
      <c r="B1377" s="103">
        <f>Orders!B1377</f>
        <v/>
      </c>
      <c r="C1377" s="55">
        <f>Orders!C1377</f>
        <v/>
      </c>
      <c r="D1377" s="55">
        <f>Orders!D1377</f>
        <v/>
      </c>
      <c r="E1377" s="55">
        <f>Orders!E1377</f>
        <v/>
      </c>
      <c r="F1377" s="55">
        <f>Orders!F1377</f>
        <v/>
      </c>
      <c r="G1377" s="55">
        <f>Orders!G1377</f>
        <v/>
      </c>
      <c r="H1377" s="55">
        <f>Orders!H1377</f>
        <v/>
      </c>
      <c r="I1377" s="55">
        <f>Orders!I1377</f>
        <v/>
      </c>
      <c r="J1377" s="55">
        <f>Orders!J1377</f>
        <v/>
      </c>
      <c r="K1377" s="55">
        <f>Orders!K1377</f>
        <v/>
      </c>
      <c r="L1377" s="55">
        <f>VLOOKUP(D1377,Products!$A$2:$F$61,3,FALSE())</f>
        <v/>
      </c>
      <c r="M1377" s="55">
        <f>VLOOKUP(C1377,Customers!$A$2:$F$301,5,FALSE())</f>
        <v/>
      </c>
      <c r="N1377" s="55">
        <f>VLOOKUP(E1377,Sales_Reps!$A$2:$E$31,3,FALSE())</f>
        <v/>
      </c>
      <c r="O1377" s="55">
        <f>VLOOKUP(D1377,Products!$A$2:$F$61,4,FALSE())</f>
        <v/>
      </c>
      <c r="P1377" s="55">
        <f>VLOOKUP(C1377,Customers!$A$2:$F$301,3,FALSE())</f>
        <v/>
      </c>
      <c r="Q1377" s="55">
        <f>UPPER(TRIM(K1377))</f>
        <v/>
      </c>
      <c r="R1377" s="55">
        <f>(G1377-O1377)/G1377</f>
        <v/>
      </c>
      <c r="S1377" s="55">
        <f>VLOOKUP(D1377,Products!$A$2:$F$61,6,FALSE())</f>
        <v/>
      </c>
    </row>
    <row r="1378" ht="15" customHeight="1" s="56">
      <c r="A1378" s="55">
        <f>Orders!A1378</f>
        <v/>
      </c>
      <c r="B1378" s="103">
        <f>Orders!B1378</f>
        <v/>
      </c>
      <c r="C1378" s="55">
        <f>Orders!C1378</f>
        <v/>
      </c>
      <c r="D1378" s="55">
        <f>Orders!D1378</f>
        <v/>
      </c>
      <c r="E1378" s="55">
        <f>Orders!E1378</f>
        <v/>
      </c>
      <c r="F1378" s="55">
        <f>Orders!F1378</f>
        <v/>
      </c>
      <c r="G1378" s="55">
        <f>Orders!G1378</f>
        <v/>
      </c>
      <c r="H1378" s="55">
        <f>Orders!H1378</f>
        <v/>
      </c>
      <c r="I1378" s="55">
        <f>Orders!I1378</f>
        <v/>
      </c>
      <c r="J1378" s="55">
        <f>Orders!J1378</f>
        <v/>
      </c>
      <c r="K1378" s="55">
        <f>Orders!K1378</f>
        <v/>
      </c>
      <c r="L1378" s="55">
        <f>VLOOKUP(D1378,Products!$A$2:$F$61,3,FALSE())</f>
        <v/>
      </c>
      <c r="M1378" s="55">
        <f>VLOOKUP(C1378,Customers!$A$2:$F$301,5,FALSE())</f>
        <v/>
      </c>
      <c r="N1378" s="55">
        <f>VLOOKUP(E1378,Sales_Reps!$A$2:$E$31,3,FALSE())</f>
        <v/>
      </c>
      <c r="O1378" s="55">
        <f>VLOOKUP(D1378,Products!$A$2:$F$61,4,FALSE())</f>
        <v/>
      </c>
      <c r="P1378" s="55">
        <f>VLOOKUP(C1378,Customers!$A$2:$F$301,3,FALSE())</f>
        <v/>
      </c>
      <c r="Q1378" s="55">
        <f>UPPER(TRIM(K1378))</f>
        <v/>
      </c>
      <c r="R1378" s="55">
        <f>(G1378-O1378)/G1378</f>
        <v/>
      </c>
      <c r="S1378" s="55">
        <f>VLOOKUP(D1378,Products!$A$2:$F$61,6,FALSE())</f>
        <v/>
      </c>
    </row>
    <row r="1379" ht="15" customHeight="1" s="56">
      <c r="A1379" s="55">
        <f>Orders!A1379</f>
        <v/>
      </c>
      <c r="B1379" s="103">
        <f>Orders!B1379</f>
        <v/>
      </c>
      <c r="C1379" s="55">
        <f>Orders!C1379</f>
        <v/>
      </c>
      <c r="D1379" s="55">
        <f>Orders!D1379</f>
        <v/>
      </c>
      <c r="E1379" s="55">
        <f>Orders!E1379</f>
        <v/>
      </c>
      <c r="F1379" s="55">
        <f>Orders!F1379</f>
        <v/>
      </c>
      <c r="G1379" s="55">
        <f>Orders!G1379</f>
        <v/>
      </c>
      <c r="H1379" s="55">
        <f>Orders!H1379</f>
        <v/>
      </c>
      <c r="I1379" s="55">
        <f>Orders!I1379</f>
        <v/>
      </c>
      <c r="J1379" s="55">
        <f>Orders!J1379</f>
        <v/>
      </c>
      <c r="K1379" s="55">
        <f>Orders!K1379</f>
        <v/>
      </c>
      <c r="L1379" s="55">
        <f>VLOOKUP(D1379,Products!$A$2:$F$61,3,FALSE())</f>
        <v/>
      </c>
      <c r="M1379" s="55">
        <f>VLOOKUP(C1379,Customers!$A$2:$F$301,5,FALSE())</f>
        <v/>
      </c>
      <c r="N1379" s="55">
        <f>VLOOKUP(E1379,Sales_Reps!$A$2:$E$31,3,FALSE())</f>
        <v/>
      </c>
      <c r="O1379" s="55">
        <f>VLOOKUP(D1379,Products!$A$2:$F$61,4,FALSE())</f>
        <v/>
      </c>
      <c r="P1379" s="55">
        <f>VLOOKUP(C1379,Customers!$A$2:$F$301,3,FALSE())</f>
        <v/>
      </c>
      <c r="Q1379" s="55">
        <f>UPPER(TRIM(K1379))</f>
        <v/>
      </c>
      <c r="R1379" s="55">
        <f>(G1379-O1379)/G1379</f>
        <v/>
      </c>
      <c r="S1379" s="55">
        <f>VLOOKUP(D1379,Products!$A$2:$F$61,6,FALSE())</f>
        <v/>
      </c>
    </row>
    <row r="1380" ht="15" customHeight="1" s="56">
      <c r="A1380" s="55">
        <f>Orders!A1380</f>
        <v/>
      </c>
      <c r="B1380" s="103">
        <f>Orders!B1380</f>
        <v/>
      </c>
      <c r="C1380" s="55">
        <f>Orders!C1380</f>
        <v/>
      </c>
      <c r="D1380" s="55">
        <f>Orders!D1380</f>
        <v/>
      </c>
      <c r="E1380" s="55">
        <f>Orders!E1380</f>
        <v/>
      </c>
      <c r="F1380" s="55">
        <f>Orders!F1380</f>
        <v/>
      </c>
      <c r="G1380" s="55">
        <f>Orders!G1380</f>
        <v/>
      </c>
      <c r="H1380" s="55">
        <f>Orders!H1380</f>
        <v/>
      </c>
      <c r="I1380" s="55">
        <f>Orders!I1380</f>
        <v/>
      </c>
      <c r="J1380" s="55">
        <f>Orders!J1380</f>
        <v/>
      </c>
      <c r="K1380" s="55">
        <f>Orders!K1380</f>
        <v/>
      </c>
      <c r="L1380" s="55">
        <f>VLOOKUP(D1380,Products!$A$2:$F$61,3,FALSE())</f>
        <v/>
      </c>
      <c r="M1380" s="55">
        <f>VLOOKUP(C1380,Customers!$A$2:$F$301,5,FALSE())</f>
        <v/>
      </c>
      <c r="N1380" s="55">
        <f>VLOOKUP(E1380,Sales_Reps!$A$2:$E$31,3,FALSE())</f>
        <v/>
      </c>
      <c r="O1380" s="55">
        <f>VLOOKUP(D1380,Products!$A$2:$F$61,4,FALSE())</f>
        <v/>
      </c>
      <c r="P1380" s="55">
        <f>VLOOKUP(C1380,Customers!$A$2:$F$301,3,FALSE())</f>
        <v/>
      </c>
      <c r="Q1380" s="55">
        <f>UPPER(TRIM(K1380))</f>
        <v/>
      </c>
      <c r="R1380" s="55">
        <f>(G1380-O1380)/G1380</f>
        <v/>
      </c>
      <c r="S1380" s="55">
        <f>VLOOKUP(D1380,Products!$A$2:$F$61,6,FALSE())</f>
        <v/>
      </c>
    </row>
    <row r="1381" ht="15" customHeight="1" s="56">
      <c r="A1381" s="55">
        <f>Orders!A1381</f>
        <v/>
      </c>
      <c r="B1381" s="103">
        <f>Orders!B1381</f>
        <v/>
      </c>
      <c r="C1381" s="55">
        <f>Orders!C1381</f>
        <v/>
      </c>
      <c r="D1381" s="55">
        <f>Orders!D1381</f>
        <v/>
      </c>
      <c r="E1381" s="55">
        <f>Orders!E1381</f>
        <v/>
      </c>
      <c r="F1381" s="55">
        <f>Orders!F1381</f>
        <v/>
      </c>
      <c r="G1381" s="55">
        <f>Orders!G1381</f>
        <v/>
      </c>
      <c r="H1381" s="55">
        <f>Orders!H1381</f>
        <v/>
      </c>
      <c r="I1381" s="55">
        <f>Orders!I1381</f>
        <v/>
      </c>
      <c r="J1381" s="55">
        <f>Orders!J1381</f>
        <v/>
      </c>
      <c r="K1381" s="55">
        <f>Orders!K1381</f>
        <v/>
      </c>
      <c r="L1381" s="55">
        <f>VLOOKUP(D1381,Products!$A$2:$F$61,3,FALSE())</f>
        <v/>
      </c>
      <c r="M1381" s="55">
        <f>VLOOKUP(C1381,Customers!$A$2:$F$301,5,FALSE())</f>
        <v/>
      </c>
      <c r="N1381" s="55">
        <f>VLOOKUP(E1381,Sales_Reps!$A$2:$E$31,3,FALSE())</f>
        <v/>
      </c>
      <c r="O1381" s="55">
        <f>VLOOKUP(D1381,Products!$A$2:$F$61,4,FALSE())</f>
        <v/>
      </c>
      <c r="P1381" s="55">
        <f>VLOOKUP(C1381,Customers!$A$2:$F$301,3,FALSE())</f>
        <v/>
      </c>
      <c r="Q1381" s="55">
        <f>UPPER(TRIM(K1381))</f>
        <v/>
      </c>
      <c r="R1381" s="55">
        <f>(G1381-O1381)/G1381</f>
        <v/>
      </c>
      <c r="S1381" s="55">
        <f>VLOOKUP(D1381,Products!$A$2:$F$61,6,FALSE())</f>
        <v/>
      </c>
    </row>
    <row r="1382" ht="15" customHeight="1" s="56">
      <c r="A1382" s="55">
        <f>Orders!A1382</f>
        <v/>
      </c>
      <c r="B1382" s="103">
        <f>Orders!B1382</f>
        <v/>
      </c>
      <c r="C1382" s="55">
        <f>Orders!C1382</f>
        <v/>
      </c>
      <c r="D1382" s="55">
        <f>Orders!D1382</f>
        <v/>
      </c>
      <c r="E1382" s="55">
        <f>Orders!E1382</f>
        <v/>
      </c>
      <c r="F1382" s="55">
        <f>Orders!F1382</f>
        <v/>
      </c>
      <c r="G1382" s="55">
        <f>Orders!G1382</f>
        <v/>
      </c>
      <c r="H1382" s="55">
        <f>Orders!H1382</f>
        <v/>
      </c>
      <c r="I1382" s="55">
        <f>Orders!I1382</f>
        <v/>
      </c>
      <c r="J1382" s="55">
        <f>Orders!J1382</f>
        <v/>
      </c>
      <c r="K1382" s="55">
        <f>Orders!K1382</f>
        <v/>
      </c>
      <c r="L1382" s="55">
        <f>VLOOKUP(D1382,Products!$A$2:$F$61,3,FALSE())</f>
        <v/>
      </c>
      <c r="M1382" s="55">
        <f>VLOOKUP(C1382,Customers!$A$2:$F$301,5,FALSE())</f>
        <v/>
      </c>
      <c r="N1382" s="55">
        <f>VLOOKUP(E1382,Sales_Reps!$A$2:$E$31,3,FALSE())</f>
        <v/>
      </c>
      <c r="O1382" s="55">
        <f>VLOOKUP(D1382,Products!$A$2:$F$61,4,FALSE())</f>
        <v/>
      </c>
      <c r="P1382" s="55">
        <f>VLOOKUP(C1382,Customers!$A$2:$F$301,3,FALSE())</f>
        <v/>
      </c>
      <c r="Q1382" s="55">
        <f>UPPER(TRIM(K1382))</f>
        <v/>
      </c>
      <c r="R1382" s="55">
        <f>(G1382-O1382)/G1382</f>
        <v/>
      </c>
      <c r="S1382" s="55">
        <f>VLOOKUP(D1382,Products!$A$2:$F$61,6,FALSE())</f>
        <v/>
      </c>
    </row>
    <row r="1383" ht="15" customHeight="1" s="56">
      <c r="A1383" s="55">
        <f>Orders!A1383</f>
        <v/>
      </c>
      <c r="B1383" s="103">
        <f>Orders!B1383</f>
        <v/>
      </c>
      <c r="C1383" s="55">
        <f>Orders!C1383</f>
        <v/>
      </c>
      <c r="D1383" s="55">
        <f>Orders!D1383</f>
        <v/>
      </c>
      <c r="E1383" s="55">
        <f>Orders!E1383</f>
        <v/>
      </c>
      <c r="F1383" s="55">
        <f>Orders!F1383</f>
        <v/>
      </c>
      <c r="G1383" s="55">
        <f>Orders!G1383</f>
        <v/>
      </c>
      <c r="H1383" s="55">
        <f>Orders!H1383</f>
        <v/>
      </c>
      <c r="I1383" s="55">
        <f>Orders!I1383</f>
        <v/>
      </c>
      <c r="J1383" s="55">
        <f>Orders!J1383</f>
        <v/>
      </c>
      <c r="K1383" s="55">
        <f>Orders!K1383</f>
        <v/>
      </c>
      <c r="L1383" s="55">
        <f>VLOOKUP(D1383,Products!$A$2:$F$61,3,FALSE())</f>
        <v/>
      </c>
      <c r="M1383" s="55">
        <f>VLOOKUP(C1383,Customers!$A$2:$F$301,5,FALSE())</f>
        <v/>
      </c>
      <c r="N1383" s="55">
        <f>VLOOKUP(E1383,Sales_Reps!$A$2:$E$31,3,FALSE())</f>
        <v/>
      </c>
      <c r="O1383" s="55">
        <f>VLOOKUP(D1383,Products!$A$2:$F$61,4,FALSE())</f>
        <v/>
      </c>
      <c r="P1383" s="55">
        <f>VLOOKUP(C1383,Customers!$A$2:$F$301,3,FALSE())</f>
        <v/>
      </c>
      <c r="Q1383" s="55">
        <f>UPPER(TRIM(K1383))</f>
        <v/>
      </c>
      <c r="R1383" s="55">
        <f>(G1383-O1383)/G1383</f>
        <v/>
      </c>
      <c r="S1383" s="55">
        <f>VLOOKUP(D1383,Products!$A$2:$F$61,6,FALSE())</f>
        <v/>
      </c>
    </row>
    <row r="1384" ht="15" customHeight="1" s="56">
      <c r="A1384" s="55">
        <f>Orders!A1384</f>
        <v/>
      </c>
      <c r="B1384" s="103">
        <f>Orders!B1384</f>
        <v/>
      </c>
      <c r="C1384" s="55">
        <f>Orders!C1384</f>
        <v/>
      </c>
      <c r="D1384" s="55">
        <f>Orders!D1384</f>
        <v/>
      </c>
      <c r="E1384" s="55">
        <f>Orders!E1384</f>
        <v/>
      </c>
      <c r="F1384" s="55">
        <f>Orders!F1384</f>
        <v/>
      </c>
      <c r="G1384" s="55">
        <f>Orders!G1384</f>
        <v/>
      </c>
      <c r="H1384" s="55">
        <f>Orders!H1384</f>
        <v/>
      </c>
      <c r="I1384" s="55">
        <f>Orders!I1384</f>
        <v/>
      </c>
      <c r="J1384" s="55">
        <f>Orders!J1384</f>
        <v/>
      </c>
      <c r="K1384" s="55">
        <f>Orders!K1384</f>
        <v/>
      </c>
      <c r="L1384" s="55">
        <f>VLOOKUP(D1384,Products!$A$2:$F$61,3,FALSE())</f>
        <v/>
      </c>
      <c r="M1384" s="55">
        <f>VLOOKUP(C1384,Customers!$A$2:$F$301,5,FALSE())</f>
        <v/>
      </c>
      <c r="N1384" s="55">
        <f>VLOOKUP(E1384,Sales_Reps!$A$2:$E$31,3,FALSE())</f>
        <v/>
      </c>
      <c r="O1384" s="55">
        <f>VLOOKUP(D1384,Products!$A$2:$F$61,4,FALSE())</f>
        <v/>
      </c>
      <c r="P1384" s="55">
        <f>VLOOKUP(C1384,Customers!$A$2:$F$301,3,FALSE())</f>
        <v/>
      </c>
      <c r="Q1384" s="55">
        <f>UPPER(TRIM(K1384))</f>
        <v/>
      </c>
      <c r="R1384" s="55">
        <f>(G1384-O1384)/G1384</f>
        <v/>
      </c>
      <c r="S1384" s="55">
        <f>VLOOKUP(D1384,Products!$A$2:$F$61,6,FALSE())</f>
        <v/>
      </c>
    </row>
    <row r="1385" ht="15" customHeight="1" s="56">
      <c r="A1385" s="55">
        <f>Orders!A1385</f>
        <v/>
      </c>
      <c r="B1385" s="103">
        <f>Orders!B1385</f>
        <v/>
      </c>
      <c r="C1385" s="55">
        <f>Orders!C1385</f>
        <v/>
      </c>
      <c r="D1385" s="55">
        <f>Orders!D1385</f>
        <v/>
      </c>
      <c r="E1385" s="55">
        <f>Orders!E1385</f>
        <v/>
      </c>
      <c r="F1385" s="55">
        <f>Orders!F1385</f>
        <v/>
      </c>
      <c r="G1385" s="55">
        <f>Orders!G1385</f>
        <v/>
      </c>
      <c r="H1385" s="55">
        <f>Orders!H1385</f>
        <v/>
      </c>
      <c r="I1385" s="55">
        <f>Orders!I1385</f>
        <v/>
      </c>
      <c r="J1385" s="55">
        <f>Orders!J1385</f>
        <v/>
      </c>
      <c r="K1385" s="55">
        <f>Orders!K1385</f>
        <v/>
      </c>
      <c r="L1385" s="55">
        <f>VLOOKUP(D1385,Products!$A$2:$F$61,3,FALSE())</f>
        <v/>
      </c>
      <c r="M1385" s="55">
        <f>VLOOKUP(C1385,Customers!$A$2:$F$301,5,FALSE())</f>
        <v/>
      </c>
      <c r="N1385" s="55">
        <f>VLOOKUP(E1385,Sales_Reps!$A$2:$E$31,3,FALSE())</f>
        <v/>
      </c>
      <c r="O1385" s="55">
        <f>VLOOKUP(D1385,Products!$A$2:$F$61,4,FALSE())</f>
        <v/>
      </c>
      <c r="P1385" s="55">
        <f>VLOOKUP(C1385,Customers!$A$2:$F$301,3,FALSE())</f>
        <v/>
      </c>
      <c r="Q1385" s="55">
        <f>UPPER(TRIM(K1385))</f>
        <v/>
      </c>
      <c r="R1385" s="55">
        <f>(G1385-O1385)/G1385</f>
        <v/>
      </c>
      <c r="S1385" s="55">
        <f>VLOOKUP(D1385,Products!$A$2:$F$61,6,FALSE())</f>
        <v/>
      </c>
    </row>
    <row r="1386" ht="15" customHeight="1" s="56">
      <c r="A1386" s="55">
        <f>Orders!A1386</f>
        <v/>
      </c>
      <c r="B1386" s="103">
        <f>Orders!B1386</f>
        <v/>
      </c>
      <c r="C1386" s="55">
        <f>Orders!C1386</f>
        <v/>
      </c>
      <c r="D1386" s="55">
        <f>Orders!D1386</f>
        <v/>
      </c>
      <c r="E1386" s="55">
        <f>Orders!E1386</f>
        <v/>
      </c>
      <c r="F1386" s="55">
        <f>Orders!F1386</f>
        <v/>
      </c>
      <c r="G1386" s="55">
        <f>Orders!G1386</f>
        <v/>
      </c>
      <c r="H1386" s="55">
        <f>Orders!H1386</f>
        <v/>
      </c>
      <c r="I1386" s="55">
        <f>Orders!I1386</f>
        <v/>
      </c>
      <c r="J1386" s="55">
        <f>Orders!J1386</f>
        <v/>
      </c>
      <c r="K1386" s="55">
        <f>Orders!K1386</f>
        <v/>
      </c>
      <c r="L1386" s="55">
        <f>VLOOKUP(D1386,Products!$A$2:$F$61,3,FALSE())</f>
        <v/>
      </c>
      <c r="M1386" s="55">
        <f>VLOOKUP(C1386,Customers!$A$2:$F$301,5,FALSE())</f>
        <v/>
      </c>
      <c r="N1386" s="55">
        <f>VLOOKUP(E1386,Sales_Reps!$A$2:$E$31,3,FALSE())</f>
        <v/>
      </c>
      <c r="O1386" s="55">
        <f>VLOOKUP(D1386,Products!$A$2:$F$61,4,FALSE())</f>
        <v/>
      </c>
      <c r="P1386" s="55">
        <f>VLOOKUP(C1386,Customers!$A$2:$F$301,3,FALSE())</f>
        <v/>
      </c>
      <c r="Q1386" s="55">
        <f>UPPER(TRIM(K1386))</f>
        <v/>
      </c>
      <c r="R1386" s="55">
        <f>(G1386-O1386)/G1386</f>
        <v/>
      </c>
      <c r="S1386" s="55">
        <f>VLOOKUP(D1386,Products!$A$2:$F$61,6,FALSE())</f>
        <v/>
      </c>
    </row>
    <row r="1387" ht="15" customHeight="1" s="56">
      <c r="A1387" s="55">
        <f>Orders!A1387</f>
        <v/>
      </c>
      <c r="B1387" s="103">
        <f>Orders!B1387</f>
        <v/>
      </c>
      <c r="C1387" s="55">
        <f>Orders!C1387</f>
        <v/>
      </c>
      <c r="D1387" s="55">
        <f>Orders!D1387</f>
        <v/>
      </c>
      <c r="E1387" s="55">
        <f>Orders!E1387</f>
        <v/>
      </c>
      <c r="F1387" s="55">
        <f>Orders!F1387</f>
        <v/>
      </c>
      <c r="G1387" s="55">
        <f>Orders!G1387</f>
        <v/>
      </c>
      <c r="H1387" s="55">
        <f>Orders!H1387</f>
        <v/>
      </c>
      <c r="I1387" s="55">
        <f>Orders!I1387</f>
        <v/>
      </c>
      <c r="J1387" s="55">
        <f>Orders!J1387</f>
        <v/>
      </c>
      <c r="K1387" s="55">
        <f>Orders!K1387</f>
        <v/>
      </c>
      <c r="L1387" s="55">
        <f>VLOOKUP(D1387,Products!$A$2:$F$61,3,FALSE())</f>
        <v/>
      </c>
      <c r="M1387" s="55">
        <f>VLOOKUP(C1387,Customers!$A$2:$F$301,5,FALSE())</f>
        <v/>
      </c>
      <c r="N1387" s="55">
        <f>VLOOKUP(E1387,Sales_Reps!$A$2:$E$31,3,FALSE())</f>
        <v/>
      </c>
      <c r="O1387" s="55">
        <f>VLOOKUP(D1387,Products!$A$2:$F$61,4,FALSE())</f>
        <v/>
      </c>
      <c r="P1387" s="55">
        <f>VLOOKUP(C1387,Customers!$A$2:$F$301,3,FALSE())</f>
        <v/>
      </c>
      <c r="Q1387" s="55">
        <f>UPPER(TRIM(K1387))</f>
        <v/>
      </c>
      <c r="R1387" s="55">
        <f>(G1387-O1387)/G1387</f>
        <v/>
      </c>
      <c r="S1387" s="55">
        <f>VLOOKUP(D1387,Products!$A$2:$F$61,6,FALSE())</f>
        <v/>
      </c>
    </row>
    <row r="1388" ht="15" customHeight="1" s="56">
      <c r="A1388" s="55">
        <f>Orders!A1388</f>
        <v/>
      </c>
      <c r="B1388" s="103">
        <f>Orders!B1388</f>
        <v/>
      </c>
      <c r="C1388" s="55">
        <f>Orders!C1388</f>
        <v/>
      </c>
      <c r="D1388" s="55">
        <f>Orders!D1388</f>
        <v/>
      </c>
      <c r="E1388" s="55">
        <f>Orders!E1388</f>
        <v/>
      </c>
      <c r="F1388" s="55">
        <f>Orders!F1388</f>
        <v/>
      </c>
      <c r="G1388" s="55">
        <f>Orders!G1388</f>
        <v/>
      </c>
      <c r="H1388" s="55">
        <f>Orders!H1388</f>
        <v/>
      </c>
      <c r="I1388" s="55">
        <f>Orders!I1388</f>
        <v/>
      </c>
      <c r="J1388" s="55">
        <f>Orders!J1388</f>
        <v/>
      </c>
      <c r="K1388" s="55">
        <f>Orders!K1388</f>
        <v/>
      </c>
      <c r="L1388" s="55">
        <f>VLOOKUP(D1388,Products!$A$2:$F$61,3,FALSE())</f>
        <v/>
      </c>
      <c r="M1388" s="55">
        <f>VLOOKUP(C1388,Customers!$A$2:$F$301,5,FALSE())</f>
        <v/>
      </c>
      <c r="N1388" s="55">
        <f>VLOOKUP(E1388,Sales_Reps!$A$2:$E$31,3,FALSE())</f>
        <v/>
      </c>
      <c r="O1388" s="55">
        <f>VLOOKUP(D1388,Products!$A$2:$F$61,4,FALSE())</f>
        <v/>
      </c>
      <c r="P1388" s="55">
        <f>VLOOKUP(C1388,Customers!$A$2:$F$301,3,FALSE())</f>
        <v/>
      </c>
      <c r="Q1388" s="55">
        <f>UPPER(TRIM(K1388))</f>
        <v/>
      </c>
      <c r="R1388" s="55">
        <f>(G1388-O1388)/G1388</f>
        <v/>
      </c>
      <c r="S1388" s="55">
        <f>VLOOKUP(D1388,Products!$A$2:$F$61,6,FALSE())</f>
        <v/>
      </c>
    </row>
    <row r="1389" ht="15" customHeight="1" s="56">
      <c r="A1389" s="55">
        <f>Orders!A1389</f>
        <v/>
      </c>
      <c r="B1389" s="103">
        <f>Orders!B1389</f>
        <v/>
      </c>
      <c r="C1389" s="55">
        <f>Orders!C1389</f>
        <v/>
      </c>
      <c r="D1389" s="55">
        <f>Orders!D1389</f>
        <v/>
      </c>
      <c r="E1389" s="55">
        <f>Orders!E1389</f>
        <v/>
      </c>
      <c r="F1389" s="55">
        <f>Orders!F1389</f>
        <v/>
      </c>
      <c r="G1389" s="55">
        <f>Orders!G1389</f>
        <v/>
      </c>
      <c r="H1389" s="55">
        <f>Orders!H1389</f>
        <v/>
      </c>
      <c r="I1389" s="55">
        <f>Orders!I1389</f>
        <v/>
      </c>
      <c r="J1389" s="55">
        <f>Orders!J1389</f>
        <v/>
      </c>
      <c r="K1389" s="55">
        <f>Orders!K1389</f>
        <v/>
      </c>
      <c r="L1389" s="55">
        <f>VLOOKUP(D1389,Products!$A$2:$F$61,3,FALSE())</f>
        <v/>
      </c>
      <c r="M1389" s="55">
        <f>VLOOKUP(C1389,Customers!$A$2:$F$301,5,FALSE())</f>
        <v/>
      </c>
      <c r="N1389" s="55">
        <f>VLOOKUP(E1389,Sales_Reps!$A$2:$E$31,3,FALSE())</f>
        <v/>
      </c>
      <c r="O1389" s="55">
        <f>VLOOKUP(D1389,Products!$A$2:$F$61,4,FALSE())</f>
        <v/>
      </c>
      <c r="P1389" s="55">
        <f>VLOOKUP(C1389,Customers!$A$2:$F$301,3,FALSE())</f>
        <v/>
      </c>
      <c r="Q1389" s="55">
        <f>UPPER(TRIM(K1389))</f>
        <v/>
      </c>
      <c r="R1389" s="55">
        <f>(G1389-O1389)/G1389</f>
        <v/>
      </c>
      <c r="S1389" s="55">
        <f>VLOOKUP(D1389,Products!$A$2:$F$61,6,FALSE())</f>
        <v/>
      </c>
    </row>
    <row r="1390" ht="15" customHeight="1" s="56">
      <c r="A1390" s="55">
        <f>Orders!A1390</f>
        <v/>
      </c>
      <c r="B1390" s="103">
        <f>Orders!B1390</f>
        <v/>
      </c>
      <c r="C1390" s="55">
        <f>Orders!C1390</f>
        <v/>
      </c>
      <c r="D1390" s="55">
        <f>Orders!D1390</f>
        <v/>
      </c>
      <c r="E1390" s="55">
        <f>Orders!E1390</f>
        <v/>
      </c>
      <c r="F1390" s="55">
        <f>Orders!F1390</f>
        <v/>
      </c>
      <c r="G1390" s="55">
        <f>Orders!G1390</f>
        <v/>
      </c>
      <c r="H1390" s="55">
        <f>Orders!H1390</f>
        <v/>
      </c>
      <c r="I1390" s="55">
        <f>Orders!I1390</f>
        <v/>
      </c>
      <c r="J1390" s="55">
        <f>Orders!J1390</f>
        <v/>
      </c>
      <c r="K1390" s="55">
        <f>Orders!K1390</f>
        <v/>
      </c>
      <c r="L1390" s="55">
        <f>VLOOKUP(D1390,Products!$A$2:$F$61,3,FALSE())</f>
        <v/>
      </c>
      <c r="M1390" s="55">
        <f>VLOOKUP(C1390,Customers!$A$2:$F$301,5,FALSE())</f>
        <v/>
      </c>
      <c r="N1390" s="55">
        <f>VLOOKUP(E1390,Sales_Reps!$A$2:$E$31,3,FALSE())</f>
        <v/>
      </c>
      <c r="O1390" s="55">
        <f>VLOOKUP(D1390,Products!$A$2:$F$61,4,FALSE())</f>
        <v/>
      </c>
      <c r="P1390" s="55">
        <f>VLOOKUP(C1390,Customers!$A$2:$F$301,3,FALSE())</f>
        <v/>
      </c>
      <c r="Q1390" s="55">
        <f>UPPER(TRIM(K1390))</f>
        <v/>
      </c>
      <c r="R1390" s="55">
        <f>(G1390-O1390)/G1390</f>
        <v/>
      </c>
      <c r="S1390" s="55">
        <f>VLOOKUP(D1390,Products!$A$2:$F$61,6,FALSE())</f>
        <v/>
      </c>
    </row>
    <row r="1391" ht="15" customHeight="1" s="56">
      <c r="A1391" s="55">
        <f>Orders!A1391</f>
        <v/>
      </c>
      <c r="B1391" s="103">
        <f>Orders!B1391</f>
        <v/>
      </c>
      <c r="C1391" s="55">
        <f>Orders!C1391</f>
        <v/>
      </c>
      <c r="D1391" s="55">
        <f>Orders!D1391</f>
        <v/>
      </c>
      <c r="E1391" s="55">
        <f>Orders!E1391</f>
        <v/>
      </c>
      <c r="F1391" s="55">
        <f>Orders!F1391</f>
        <v/>
      </c>
      <c r="G1391" s="55">
        <f>Orders!G1391</f>
        <v/>
      </c>
      <c r="H1391" s="55">
        <f>Orders!H1391</f>
        <v/>
      </c>
      <c r="I1391" s="55">
        <f>Orders!I1391</f>
        <v/>
      </c>
      <c r="J1391" s="55">
        <f>Orders!J1391</f>
        <v/>
      </c>
      <c r="K1391" s="55">
        <f>Orders!K1391</f>
        <v/>
      </c>
      <c r="L1391" s="55">
        <f>VLOOKUP(D1391,Products!$A$2:$F$61,3,FALSE())</f>
        <v/>
      </c>
      <c r="M1391" s="55">
        <f>VLOOKUP(C1391,Customers!$A$2:$F$301,5,FALSE())</f>
        <v/>
      </c>
      <c r="N1391" s="55">
        <f>VLOOKUP(E1391,Sales_Reps!$A$2:$E$31,3,FALSE())</f>
        <v/>
      </c>
      <c r="O1391" s="55">
        <f>VLOOKUP(D1391,Products!$A$2:$F$61,4,FALSE())</f>
        <v/>
      </c>
      <c r="P1391" s="55">
        <f>VLOOKUP(C1391,Customers!$A$2:$F$301,3,FALSE())</f>
        <v/>
      </c>
      <c r="Q1391" s="55">
        <f>UPPER(TRIM(K1391))</f>
        <v/>
      </c>
      <c r="R1391" s="55">
        <f>(G1391-O1391)/G1391</f>
        <v/>
      </c>
      <c r="S1391" s="55">
        <f>VLOOKUP(D1391,Products!$A$2:$F$61,6,FALSE())</f>
        <v/>
      </c>
    </row>
    <row r="1392" ht="15" customHeight="1" s="56">
      <c r="A1392" s="55">
        <f>Orders!A1392</f>
        <v/>
      </c>
      <c r="B1392" s="103">
        <f>Orders!B1392</f>
        <v/>
      </c>
      <c r="C1392" s="55">
        <f>Orders!C1392</f>
        <v/>
      </c>
      <c r="D1392" s="55">
        <f>Orders!D1392</f>
        <v/>
      </c>
      <c r="E1392" s="55">
        <f>Orders!E1392</f>
        <v/>
      </c>
      <c r="F1392" s="55">
        <f>Orders!F1392</f>
        <v/>
      </c>
      <c r="G1392" s="55">
        <f>Orders!G1392</f>
        <v/>
      </c>
      <c r="H1392" s="55">
        <f>Orders!H1392</f>
        <v/>
      </c>
      <c r="I1392" s="55">
        <f>Orders!I1392</f>
        <v/>
      </c>
      <c r="J1392" s="55">
        <f>Orders!J1392</f>
        <v/>
      </c>
      <c r="K1392" s="55">
        <f>Orders!K1392</f>
        <v/>
      </c>
      <c r="L1392" s="55">
        <f>VLOOKUP(D1392,Products!$A$2:$F$61,3,FALSE())</f>
        <v/>
      </c>
      <c r="M1392" s="55">
        <f>VLOOKUP(C1392,Customers!$A$2:$F$301,5,FALSE())</f>
        <v/>
      </c>
      <c r="N1392" s="55">
        <f>VLOOKUP(E1392,Sales_Reps!$A$2:$E$31,3,FALSE())</f>
        <v/>
      </c>
      <c r="O1392" s="55">
        <f>VLOOKUP(D1392,Products!$A$2:$F$61,4,FALSE())</f>
        <v/>
      </c>
      <c r="P1392" s="55">
        <f>VLOOKUP(C1392,Customers!$A$2:$F$301,3,FALSE())</f>
        <v/>
      </c>
      <c r="Q1392" s="55">
        <f>UPPER(TRIM(K1392))</f>
        <v/>
      </c>
      <c r="R1392" s="55">
        <f>(G1392-O1392)/G1392</f>
        <v/>
      </c>
      <c r="S1392" s="55">
        <f>VLOOKUP(D1392,Products!$A$2:$F$61,6,FALSE())</f>
        <v/>
      </c>
    </row>
    <row r="1393" ht="15" customHeight="1" s="56">
      <c r="A1393" s="55">
        <f>Orders!A1393</f>
        <v/>
      </c>
      <c r="B1393" s="103">
        <f>Orders!B1393</f>
        <v/>
      </c>
      <c r="C1393" s="55">
        <f>Orders!C1393</f>
        <v/>
      </c>
      <c r="D1393" s="55">
        <f>Orders!D1393</f>
        <v/>
      </c>
      <c r="E1393" s="55">
        <f>Orders!E1393</f>
        <v/>
      </c>
      <c r="F1393" s="55">
        <f>Orders!F1393</f>
        <v/>
      </c>
      <c r="G1393" s="55">
        <f>Orders!G1393</f>
        <v/>
      </c>
      <c r="H1393" s="55">
        <f>Orders!H1393</f>
        <v/>
      </c>
      <c r="I1393" s="55">
        <f>Orders!I1393</f>
        <v/>
      </c>
      <c r="J1393" s="55">
        <f>Orders!J1393</f>
        <v/>
      </c>
      <c r="K1393" s="55">
        <f>Orders!K1393</f>
        <v/>
      </c>
      <c r="L1393" s="55">
        <f>VLOOKUP(D1393,Products!$A$2:$F$61,3,FALSE())</f>
        <v/>
      </c>
      <c r="M1393" s="55">
        <f>VLOOKUP(C1393,Customers!$A$2:$F$301,5,FALSE())</f>
        <v/>
      </c>
      <c r="N1393" s="55">
        <f>VLOOKUP(E1393,Sales_Reps!$A$2:$E$31,3,FALSE())</f>
        <v/>
      </c>
      <c r="O1393" s="55">
        <f>VLOOKUP(D1393,Products!$A$2:$F$61,4,FALSE())</f>
        <v/>
      </c>
      <c r="P1393" s="55">
        <f>VLOOKUP(C1393,Customers!$A$2:$F$301,3,FALSE())</f>
        <v/>
      </c>
      <c r="Q1393" s="55">
        <f>UPPER(TRIM(K1393))</f>
        <v/>
      </c>
      <c r="R1393" s="55">
        <f>(G1393-O1393)/G1393</f>
        <v/>
      </c>
      <c r="S1393" s="55">
        <f>VLOOKUP(D1393,Products!$A$2:$F$61,6,FALSE())</f>
        <v/>
      </c>
    </row>
    <row r="1394" ht="15" customHeight="1" s="56">
      <c r="A1394" s="55">
        <f>Orders!A1394</f>
        <v/>
      </c>
      <c r="B1394" s="103">
        <f>Orders!B1394</f>
        <v/>
      </c>
      <c r="C1394" s="55">
        <f>Orders!C1394</f>
        <v/>
      </c>
      <c r="D1394" s="55">
        <f>Orders!D1394</f>
        <v/>
      </c>
      <c r="E1394" s="55">
        <f>Orders!E1394</f>
        <v/>
      </c>
      <c r="F1394" s="55">
        <f>Orders!F1394</f>
        <v/>
      </c>
      <c r="G1394" s="55">
        <f>Orders!G1394</f>
        <v/>
      </c>
      <c r="H1394" s="55">
        <f>Orders!H1394</f>
        <v/>
      </c>
      <c r="I1394" s="55">
        <f>Orders!I1394</f>
        <v/>
      </c>
      <c r="J1394" s="55">
        <f>Orders!J1394</f>
        <v/>
      </c>
      <c r="K1394" s="55">
        <f>Orders!K1394</f>
        <v/>
      </c>
      <c r="L1394" s="55">
        <f>VLOOKUP(D1394,Products!$A$2:$F$61,3,FALSE())</f>
        <v/>
      </c>
      <c r="M1394" s="55">
        <f>VLOOKUP(C1394,Customers!$A$2:$F$301,5,FALSE())</f>
        <v/>
      </c>
      <c r="N1394" s="55">
        <f>VLOOKUP(E1394,Sales_Reps!$A$2:$E$31,3,FALSE())</f>
        <v/>
      </c>
      <c r="O1394" s="55">
        <f>VLOOKUP(D1394,Products!$A$2:$F$61,4,FALSE())</f>
        <v/>
      </c>
      <c r="P1394" s="55">
        <f>VLOOKUP(C1394,Customers!$A$2:$F$301,3,FALSE())</f>
        <v/>
      </c>
      <c r="Q1394" s="55">
        <f>UPPER(TRIM(K1394))</f>
        <v/>
      </c>
      <c r="R1394" s="55">
        <f>(G1394-O1394)/G1394</f>
        <v/>
      </c>
      <c r="S1394" s="55">
        <f>VLOOKUP(D1394,Products!$A$2:$F$61,6,FALSE())</f>
        <v/>
      </c>
    </row>
    <row r="1395" ht="15" customHeight="1" s="56">
      <c r="A1395" s="55">
        <f>Orders!A1395</f>
        <v/>
      </c>
      <c r="B1395" s="103">
        <f>Orders!B1395</f>
        <v/>
      </c>
      <c r="C1395" s="55">
        <f>Orders!C1395</f>
        <v/>
      </c>
      <c r="D1395" s="55">
        <f>Orders!D1395</f>
        <v/>
      </c>
      <c r="E1395" s="55">
        <f>Orders!E1395</f>
        <v/>
      </c>
      <c r="F1395" s="55">
        <f>Orders!F1395</f>
        <v/>
      </c>
      <c r="G1395" s="55">
        <f>Orders!G1395</f>
        <v/>
      </c>
      <c r="H1395" s="55">
        <f>Orders!H1395</f>
        <v/>
      </c>
      <c r="I1395" s="55">
        <f>Orders!I1395</f>
        <v/>
      </c>
      <c r="J1395" s="55">
        <f>Orders!J1395</f>
        <v/>
      </c>
      <c r="K1395" s="55">
        <f>Orders!K1395</f>
        <v/>
      </c>
      <c r="L1395" s="55">
        <f>VLOOKUP(D1395,Products!$A$2:$F$61,3,FALSE())</f>
        <v/>
      </c>
      <c r="M1395" s="55">
        <f>VLOOKUP(C1395,Customers!$A$2:$F$301,5,FALSE())</f>
        <v/>
      </c>
      <c r="N1395" s="55">
        <f>VLOOKUP(E1395,Sales_Reps!$A$2:$E$31,3,FALSE())</f>
        <v/>
      </c>
      <c r="O1395" s="55">
        <f>VLOOKUP(D1395,Products!$A$2:$F$61,4,FALSE())</f>
        <v/>
      </c>
      <c r="P1395" s="55">
        <f>VLOOKUP(C1395,Customers!$A$2:$F$301,3,FALSE())</f>
        <v/>
      </c>
      <c r="Q1395" s="55">
        <f>UPPER(TRIM(K1395))</f>
        <v/>
      </c>
      <c r="R1395" s="55">
        <f>(G1395-O1395)/G1395</f>
        <v/>
      </c>
      <c r="S1395" s="55">
        <f>VLOOKUP(D1395,Products!$A$2:$F$61,6,FALSE())</f>
        <v/>
      </c>
    </row>
    <row r="1396" ht="15" customHeight="1" s="56">
      <c r="A1396" s="55">
        <f>Orders!A1396</f>
        <v/>
      </c>
      <c r="B1396" s="103">
        <f>Orders!B1396</f>
        <v/>
      </c>
      <c r="C1396" s="55">
        <f>Orders!C1396</f>
        <v/>
      </c>
      <c r="D1396" s="55">
        <f>Orders!D1396</f>
        <v/>
      </c>
      <c r="E1396" s="55">
        <f>Orders!E1396</f>
        <v/>
      </c>
      <c r="F1396" s="55">
        <f>Orders!F1396</f>
        <v/>
      </c>
      <c r="G1396" s="55">
        <f>Orders!G1396</f>
        <v/>
      </c>
      <c r="H1396" s="55">
        <f>Orders!H1396</f>
        <v/>
      </c>
      <c r="I1396" s="55">
        <f>Orders!I1396</f>
        <v/>
      </c>
      <c r="J1396" s="55">
        <f>Orders!J1396</f>
        <v/>
      </c>
      <c r="K1396" s="55">
        <f>Orders!K1396</f>
        <v/>
      </c>
      <c r="L1396" s="55">
        <f>VLOOKUP(D1396,Products!$A$2:$F$61,3,FALSE())</f>
        <v/>
      </c>
      <c r="M1396" s="55">
        <f>VLOOKUP(C1396,Customers!$A$2:$F$301,5,FALSE())</f>
        <v/>
      </c>
      <c r="N1396" s="55">
        <f>VLOOKUP(E1396,Sales_Reps!$A$2:$E$31,3,FALSE())</f>
        <v/>
      </c>
      <c r="O1396" s="55">
        <f>VLOOKUP(D1396,Products!$A$2:$F$61,4,FALSE())</f>
        <v/>
      </c>
      <c r="P1396" s="55">
        <f>VLOOKUP(C1396,Customers!$A$2:$F$301,3,FALSE())</f>
        <v/>
      </c>
      <c r="Q1396" s="55">
        <f>UPPER(TRIM(K1396))</f>
        <v/>
      </c>
      <c r="R1396" s="55">
        <f>(G1396-O1396)/G1396</f>
        <v/>
      </c>
      <c r="S1396" s="55">
        <f>VLOOKUP(D1396,Products!$A$2:$F$61,6,FALSE())</f>
        <v/>
      </c>
    </row>
    <row r="1397" ht="15" customHeight="1" s="56">
      <c r="A1397" s="55">
        <f>Orders!A1397</f>
        <v/>
      </c>
      <c r="B1397" s="103">
        <f>Orders!B1397</f>
        <v/>
      </c>
      <c r="C1397" s="55">
        <f>Orders!C1397</f>
        <v/>
      </c>
      <c r="D1397" s="55">
        <f>Orders!D1397</f>
        <v/>
      </c>
      <c r="E1397" s="55">
        <f>Orders!E1397</f>
        <v/>
      </c>
      <c r="F1397" s="55">
        <f>Orders!F1397</f>
        <v/>
      </c>
      <c r="G1397" s="55">
        <f>Orders!G1397</f>
        <v/>
      </c>
      <c r="H1397" s="55">
        <f>Orders!H1397</f>
        <v/>
      </c>
      <c r="I1397" s="55">
        <f>Orders!I1397</f>
        <v/>
      </c>
      <c r="J1397" s="55">
        <f>Orders!J1397</f>
        <v/>
      </c>
      <c r="K1397" s="55">
        <f>Orders!K1397</f>
        <v/>
      </c>
      <c r="L1397" s="55">
        <f>VLOOKUP(D1397,Products!$A$2:$F$61,3,FALSE())</f>
        <v/>
      </c>
      <c r="M1397" s="55">
        <f>VLOOKUP(C1397,Customers!$A$2:$F$301,5,FALSE())</f>
        <v/>
      </c>
      <c r="N1397" s="55">
        <f>VLOOKUP(E1397,Sales_Reps!$A$2:$E$31,3,FALSE())</f>
        <v/>
      </c>
      <c r="O1397" s="55">
        <f>VLOOKUP(D1397,Products!$A$2:$F$61,4,FALSE())</f>
        <v/>
      </c>
      <c r="P1397" s="55">
        <f>VLOOKUP(C1397,Customers!$A$2:$F$301,3,FALSE())</f>
        <v/>
      </c>
      <c r="Q1397" s="55">
        <f>UPPER(TRIM(K1397))</f>
        <v/>
      </c>
      <c r="R1397" s="55">
        <f>(G1397-O1397)/G1397</f>
        <v/>
      </c>
      <c r="S1397" s="55">
        <f>VLOOKUP(D1397,Products!$A$2:$F$61,6,FALSE())</f>
        <v/>
      </c>
    </row>
    <row r="1398" ht="15" customHeight="1" s="56">
      <c r="A1398" s="55">
        <f>Orders!A1398</f>
        <v/>
      </c>
      <c r="B1398" s="103">
        <f>Orders!B1398</f>
        <v/>
      </c>
      <c r="C1398" s="55">
        <f>Orders!C1398</f>
        <v/>
      </c>
      <c r="D1398" s="55">
        <f>Orders!D1398</f>
        <v/>
      </c>
      <c r="E1398" s="55">
        <f>Orders!E1398</f>
        <v/>
      </c>
      <c r="F1398" s="55">
        <f>Orders!F1398</f>
        <v/>
      </c>
      <c r="G1398" s="55">
        <f>Orders!G1398</f>
        <v/>
      </c>
      <c r="H1398" s="55">
        <f>Orders!H1398</f>
        <v/>
      </c>
      <c r="I1398" s="55">
        <f>Orders!I1398</f>
        <v/>
      </c>
      <c r="J1398" s="55">
        <f>Orders!J1398</f>
        <v/>
      </c>
      <c r="K1398" s="55">
        <f>Orders!K1398</f>
        <v/>
      </c>
      <c r="L1398" s="55">
        <f>VLOOKUP(D1398,Products!$A$2:$F$61,3,FALSE())</f>
        <v/>
      </c>
      <c r="M1398" s="55">
        <f>VLOOKUP(C1398,Customers!$A$2:$F$301,5,FALSE())</f>
        <v/>
      </c>
      <c r="N1398" s="55">
        <f>VLOOKUP(E1398,Sales_Reps!$A$2:$E$31,3,FALSE())</f>
        <v/>
      </c>
      <c r="O1398" s="55">
        <f>VLOOKUP(D1398,Products!$A$2:$F$61,4,FALSE())</f>
        <v/>
      </c>
      <c r="P1398" s="55">
        <f>VLOOKUP(C1398,Customers!$A$2:$F$301,3,FALSE())</f>
        <v/>
      </c>
      <c r="Q1398" s="55">
        <f>UPPER(TRIM(K1398))</f>
        <v/>
      </c>
      <c r="R1398" s="55">
        <f>(G1398-O1398)/G1398</f>
        <v/>
      </c>
      <c r="S1398" s="55">
        <f>VLOOKUP(D1398,Products!$A$2:$F$61,6,FALSE())</f>
        <v/>
      </c>
    </row>
    <row r="1399" ht="15" customHeight="1" s="56">
      <c r="A1399" s="55">
        <f>Orders!A1399</f>
        <v/>
      </c>
      <c r="B1399" s="103">
        <f>Orders!B1399</f>
        <v/>
      </c>
      <c r="C1399" s="55">
        <f>Orders!C1399</f>
        <v/>
      </c>
      <c r="D1399" s="55">
        <f>Orders!D1399</f>
        <v/>
      </c>
      <c r="E1399" s="55">
        <f>Orders!E1399</f>
        <v/>
      </c>
      <c r="F1399" s="55">
        <f>Orders!F1399</f>
        <v/>
      </c>
      <c r="G1399" s="55">
        <f>Orders!G1399</f>
        <v/>
      </c>
      <c r="H1399" s="55">
        <f>Orders!H1399</f>
        <v/>
      </c>
      <c r="I1399" s="55">
        <f>Orders!I1399</f>
        <v/>
      </c>
      <c r="J1399" s="55">
        <f>Orders!J1399</f>
        <v/>
      </c>
      <c r="K1399" s="55">
        <f>Orders!K1399</f>
        <v/>
      </c>
      <c r="L1399" s="55">
        <f>VLOOKUP(D1399,Products!$A$2:$F$61,3,FALSE())</f>
        <v/>
      </c>
      <c r="M1399" s="55">
        <f>VLOOKUP(C1399,Customers!$A$2:$F$301,5,FALSE())</f>
        <v/>
      </c>
      <c r="N1399" s="55">
        <f>VLOOKUP(E1399,Sales_Reps!$A$2:$E$31,3,FALSE())</f>
        <v/>
      </c>
      <c r="O1399" s="55">
        <f>VLOOKUP(D1399,Products!$A$2:$F$61,4,FALSE())</f>
        <v/>
      </c>
      <c r="P1399" s="55">
        <f>VLOOKUP(C1399,Customers!$A$2:$F$301,3,FALSE())</f>
        <v/>
      </c>
      <c r="Q1399" s="55">
        <f>UPPER(TRIM(K1399))</f>
        <v/>
      </c>
      <c r="R1399" s="55">
        <f>(G1399-O1399)/G1399</f>
        <v/>
      </c>
      <c r="S1399" s="55">
        <f>VLOOKUP(D1399,Products!$A$2:$F$61,6,FALSE())</f>
        <v/>
      </c>
    </row>
    <row r="1400" ht="15" customHeight="1" s="56">
      <c r="A1400" s="55">
        <f>Orders!A1400</f>
        <v/>
      </c>
      <c r="B1400" s="103">
        <f>Orders!B1400</f>
        <v/>
      </c>
      <c r="C1400" s="55">
        <f>Orders!C1400</f>
        <v/>
      </c>
      <c r="D1400" s="55">
        <f>Orders!D1400</f>
        <v/>
      </c>
      <c r="E1400" s="55">
        <f>Orders!E1400</f>
        <v/>
      </c>
      <c r="F1400" s="55">
        <f>Orders!F1400</f>
        <v/>
      </c>
      <c r="G1400" s="55">
        <f>Orders!G1400</f>
        <v/>
      </c>
      <c r="H1400" s="55">
        <f>Orders!H1400</f>
        <v/>
      </c>
      <c r="I1400" s="55">
        <f>Orders!I1400</f>
        <v/>
      </c>
      <c r="J1400" s="55">
        <f>Orders!J1400</f>
        <v/>
      </c>
      <c r="K1400" s="55">
        <f>Orders!K1400</f>
        <v/>
      </c>
      <c r="L1400" s="55">
        <f>VLOOKUP(D1400,Products!$A$2:$F$61,3,FALSE())</f>
        <v/>
      </c>
      <c r="M1400" s="55">
        <f>VLOOKUP(C1400,Customers!$A$2:$F$301,5,FALSE())</f>
        <v/>
      </c>
      <c r="N1400" s="55">
        <f>VLOOKUP(E1400,Sales_Reps!$A$2:$E$31,3,FALSE())</f>
        <v/>
      </c>
      <c r="O1400" s="55">
        <f>VLOOKUP(D1400,Products!$A$2:$F$61,4,FALSE())</f>
        <v/>
      </c>
      <c r="P1400" s="55">
        <f>VLOOKUP(C1400,Customers!$A$2:$F$301,3,FALSE())</f>
        <v/>
      </c>
      <c r="Q1400" s="55">
        <f>UPPER(TRIM(K1400))</f>
        <v/>
      </c>
      <c r="R1400" s="55">
        <f>(G1400-O1400)/G1400</f>
        <v/>
      </c>
      <c r="S1400" s="55">
        <f>VLOOKUP(D1400,Products!$A$2:$F$61,6,FALSE())</f>
        <v/>
      </c>
    </row>
    <row r="1401" ht="15" customHeight="1" s="56">
      <c r="A1401" s="55">
        <f>Orders!A1401</f>
        <v/>
      </c>
      <c r="B1401" s="103">
        <f>Orders!B1401</f>
        <v/>
      </c>
      <c r="C1401" s="55">
        <f>Orders!C1401</f>
        <v/>
      </c>
      <c r="D1401" s="55">
        <f>Orders!D1401</f>
        <v/>
      </c>
      <c r="E1401" s="55">
        <f>Orders!E1401</f>
        <v/>
      </c>
      <c r="F1401" s="55">
        <f>Orders!F1401</f>
        <v/>
      </c>
      <c r="G1401" s="55">
        <f>Orders!G1401</f>
        <v/>
      </c>
      <c r="H1401" s="55">
        <f>Orders!H1401</f>
        <v/>
      </c>
      <c r="I1401" s="55">
        <f>Orders!I1401</f>
        <v/>
      </c>
      <c r="J1401" s="55">
        <f>Orders!J1401</f>
        <v/>
      </c>
      <c r="K1401" s="55">
        <f>Orders!K1401</f>
        <v/>
      </c>
      <c r="L1401" s="55">
        <f>VLOOKUP(D1401,Products!$A$2:$F$61,3,FALSE())</f>
        <v/>
      </c>
      <c r="M1401" s="55">
        <f>VLOOKUP(C1401,Customers!$A$2:$F$301,5,FALSE())</f>
        <v/>
      </c>
      <c r="N1401" s="55">
        <f>VLOOKUP(E1401,Sales_Reps!$A$2:$E$31,3,FALSE())</f>
        <v/>
      </c>
      <c r="O1401" s="55">
        <f>VLOOKUP(D1401,Products!$A$2:$F$61,4,FALSE())</f>
        <v/>
      </c>
      <c r="P1401" s="55">
        <f>VLOOKUP(C1401,Customers!$A$2:$F$301,3,FALSE())</f>
        <v/>
      </c>
      <c r="Q1401" s="55">
        <f>UPPER(TRIM(K1401))</f>
        <v/>
      </c>
      <c r="R1401" s="55">
        <f>(G1401-O1401)/G1401</f>
        <v/>
      </c>
      <c r="S1401" s="55">
        <f>VLOOKUP(D1401,Products!$A$2:$F$61,6,FALSE())</f>
        <v/>
      </c>
    </row>
    <row r="1402" ht="15" customHeight="1" s="56">
      <c r="A1402" s="55">
        <f>Orders!A1402</f>
        <v/>
      </c>
      <c r="B1402" s="103">
        <f>Orders!B1402</f>
        <v/>
      </c>
      <c r="C1402" s="55">
        <f>Orders!C1402</f>
        <v/>
      </c>
      <c r="D1402" s="55">
        <f>Orders!D1402</f>
        <v/>
      </c>
      <c r="E1402" s="55">
        <f>Orders!E1402</f>
        <v/>
      </c>
      <c r="F1402" s="55">
        <f>Orders!F1402</f>
        <v/>
      </c>
      <c r="G1402" s="55">
        <f>Orders!G1402</f>
        <v/>
      </c>
      <c r="H1402" s="55">
        <f>Orders!H1402</f>
        <v/>
      </c>
      <c r="I1402" s="55">
        <f>Orders!I1402</f>
        <v/>
      </c>
      <c r="J1402" s="55">
        <f>Orders!J1402</f>
        <v/>
      </c>
      <c r="K1402" s="55">
        <f>Orders!K1402</f>
        <v/>
      </c>
      <c r="L1402" s="55">
        <f>VLOOKUP(D1402,Products!$A$2:$F$61,3,FALSE())</f>
        <v/>
      </c>
      <c r="M1402" s="55">
        <f>VLOOKUP(C1402,Customers!$A$2:$F$301,5,FALSE())</f>
        <v/>
      </c>
      <c r="N1402" s="55">
        <f>VLOOKUP(E1402,Sales_Reps!$A$2:$E$31,3,FALSE())</f>
        <v/>
      </c>
      <c r="O1402" s="55">
        <f>VLOOKUP(D1402,Products!$A$2:$F$61,4,FALSE())</f>
        <v/>
      </c>
      <c r="P1402" s="55">
        <f>VLOOKUP(C1402,Customers!$A$2:$F$301,3,FALSE())</f>
        <v/>
      </c>
      <c r="Q1402" s="55">
        <f>UPPER(TRIM(K1402))</f>
        <v/>
      </c>
      <c r="R1402" s="55">
        <f>(G1402-O1402)/G1402</f>
        <v/>
      </c>
      <c r="S1402" s="55">
        <f>VLOOKUP(D1402,Products!$A$2:$F$61,6,FALSE())</f>
        <v/>
      </c>
    </row>
    <row r="1403" ht="15" customHeight="1" s="56">
      <c r="A1403" s="55">
        <f>Orders!A1403</f>
        <v/>
      </c>
      <c r="B1403" s="103">
        <f>Orders!B1403</f>
        <v/>
      </c>
      <c r="C1403" s="55">
        <f>Orders!C1403</f>
        <v/>
      </c>
      <c r="D1403" s="55">
        <f>Orders!D1403</f>
        <v/>
      </c>
      <c r="E1403" s="55">
        <f>Orders!E1403</f>
        <v/>
      </c>
      <c r="F1403" s="55">
        <f>Orders!F1403</f>
        <v/>
      </c>
      <c r="G1403" s="55">
        <f>Orders!G1403</f>
        <v/>
      </c>
      <c r="H1403" s="55">
        <f>Orders!H1403</f>
        <v/>
      </c>
      <c r="I1403" s="55">
        <f>Orders!I1403</f>
        <v/>
      </c>
      <c r="J1403" s="55">
        <f>Orders!J1403</f>
        <v/>
      </c>
      <c r="K1403" s="55">
        <f>Orders!K1403</f>
        <v/>
      </c>
      <c r="L1403" s="55">
        <f>VLOOKUP(D1403,Products!$A$2:$F$61,3,FALSE())</f>
        <v/>
      </c>
      <c r="M1403" s="55">
        <f>VLOOKUP(C1403,Customers!$A$2:$F$301,5,FALSE())</f>
        <v/>
      </c>
      <c r="N1403" s="55">
        <f>VLOOKUP(E1403,Sales_Reps!$A$2:$E$31,3,FALSE())</f>
        <v/>
      </c>
      <c r="O1403" s="55">
        <f>VLOOKUP(D1403,Products!$A$2:$F$61,4,FALSE())</f>
        <v/>
      </c>
      <c r="P1403" s="55">
        <f>VLOOKUP(C1403,Customers!$A$2:$F$301,3,FALSE())</f>
        <v/>
      </c>
      <c r="Q1403" s="55">
        <f>UPPER(TRIM(K1403))</f>
        <v/>
      </c>
      <c r="R1403" s="55">
        <f>(G1403-O1403)/G1403</f>
        <v/>
      </c>
      <c r="S1403" s="55">
        <f>VLOOKUP(D1403,Products!$A$2:$F$61,6,FALSE())</f>
        <v/>
      </c>
    </row>
    <row r="1404" ht="15" customHeight="1" s="56">
      <c r="A1404" s="55">
        <f>Orders!A1404</f>
        <v/>
      </c>
      <c r="B1404" s="103">
        <f>Orders!B1404</f>
        <v/>
      </c>
      <c r="C1404" s="55">
        <f>Orders!C1404</f>
        <v/>
      </c>
      <c r="D1404" s="55">
        <f>Orders!D1404</f>
        <v/>
      </c>
      <c r="E1404" s="55">
        <f>Orders!E1404</f>
        <v/>
      </c>
      <c r="F1404" s="55">
        <f>Orders!F1404</f>
        <v/>
      </c>
      <c r="G1404" s="55">
        <f>Orders!G1404</f>
        <v/>
      </c>
      <c r="H1404" s="55">
        <f>Orders!H1404</f>
        <v/>
      </c>
      <c r="I1404" s="55">
        <f>Orders!I1404</f>
        <v/>
      </c>
      <c r="J1404" s="55">
        <f>Orders!J1404</f>
        <v/>
      </c>
      <c r="K1404" s="55">
        <f>Orders!K1404</f>
        <v/>
      </c>
      <c r="L1404" s="55">
        <f>VLOOKUP(D1404,Products!$A$2:$F$61,3,FALSE())</f>
        <v/>
      </c>
      <c r="M1404" s="55">
        <f>VLOOKUP(C1404,Customers!$A$2:$F$301,5,FALSE())</f>
        <v/>
      </c>
      <c r="N1404" s="55">
        <f>VLOOKUP(E1404,Sales_Reps!$A$2:$E$31,3,FALSE())</f>
        <v/>
      </c>
      <c r="O1404" s="55">
        <f>VLOOKUP(D1404,Products!$A$2:$F$61,4,FALSE())</f>
        <v/>
      </c>
      <c r="P1404" s="55">
        <f>VLOOKUP(C1404,Customers!$A$2:$F$301,3,FALSE())</f>
        <v/>
      </c>
      <c r="Q1404" s="55">
        <f>UPPER(TRIM(K1404))</f>
        <v/>
      </c>
      <c r="R1404" s="55">
        <f>(G1404-O1404)/G1404</f>
        <v/>
      </c>
      <c r="S1404" s="55">
        <f>VLOOKUP(D1404,Products!$A$2:$F$61,6,FALSE())</f>
        <v/>
      </c>
    </row>
    <row r="1405" ht="15" customHeight="1" s="56">
      <c r="A1405" s="55">
        <f>Orders!A1405</f>
        <v/>
      </c>
      <c r="B1405" s="103">
        <f>Orders!B1405</f>
        <v/>
      </c>
      <c r="C1405" s="55">
        <f>Orders!C1405</f>
        <v/>
      </c>
      <c r="D1405" s="55">
        <f>Orders!D1405</f>
        <v/>
      </c>
      <c r="E1405" s="55">
        <f>Orders!E1405</f>
        <v/>
      </c>
      <c r="F1405" s="55">
        <f>Orders!F1405</f>
        <v/>
      </c>
      <c r="G1405" s="55">
        <f>Orders!G1405</f>
        <v/>
      </c>
      <c r="H1405" s="55">
        <f>Orders!H1405</f>
        <v/>
      </c>
      <c r="I1405" s="55">
        <f>Orders!I1405</f>
        <v/>
      </c>
      <c r="J1405" s="55">
        <f>Orders!J1405</f>
        <v/>
      </c>
      <c r="K1405" s="55">
        <f>Orders!K1405</f>
        <v/>
      </c>
      <c r="L1405" s="55">
        <f>VLOOKUP(D1405,Products!$A$2:$F$61,3,FALSE())</f>
        <v/>
      </c>
      <c r="M1405" s="55">
        <f>VLOOKUP(C1405,Customers!$A$2:$F$301,5,FALSE())</f>
        <v/>
      </c>
      <c r="N1405" s="55">
        <f>VLOOKUP(E1405,Sales_Reps!$A$2:$E$31,3,FALSE())</f>
        <v/>
      </c>
      <c r="O1405" s="55">
        <f>VLOOKUP(D1405,Products!$A$2:$F$61,4,FALSE())</f>
        <v/>
      </c>
      <c r="P1405" s="55">
        <f>VLOOKUP(C1405,Customers!$A$2:$F$301,3,FALSE())</f>
        <v/>
      </c>
      <c r="Q1405" s="55">
        <f>UPPER(TRIM(K1405))</f>
        <v/>
      </c>
      <c r="R1405" s="55">
        <f>(G1405-O1405)/G1405</f>
        <v/>
      </c>
      <c r="S1405" s="55">
        <f>VLOOKUP(D1405,Products!$A$2:$F$61,6,FALSE())</f>
        <v/>
      </c>
    </row>
    <row r="1406" ht="15" customHeight="1" s="56">
      <c r="A1406" s="55">
        <f>Orders!A1406</f>
        <v/>
      </c>
      <c r="B1406" s="103">
        <f>Orders!B1406</f>
        <v/>
      </c>
      <c r="C1406" s="55">
        <f>Orders!C1406</f>
        <v/>
      </c>
      <c r="D1406" s="55">
        <f>Orders!D1406</f>
        <v/>
      </c>
      <c r="E1406" s="55">
        <f>Orders!E1406</f>
        <v/>
      </c>
      <c r="F1406" s="55">
        <f>Orders!F1406</f>
        <v/>
      </c>
      <c r="G1406" s="55">
        <f>Orders!G1406</f>
        <v/>
      </c>
      <c r="H1406" s="55">
        <f>Orders!H1406</f>
        <v/>
      </c>
      <c r="I1406" s="55">
        <f>Orders!I1406</f>
        <v/>
      </c>
      <c r="J1406" s="55">
        <f>Orders!J1406</f>
        <v/>
      </c>
      <c r="K1406" s="55">
        <f>Orders!K1406</f>
        <v/>
      </c>
      <c r="L1406" s="55">
        <f>VLOOKUP(D1406,Products!$A$2:$F$61,3,FALSE())</f>
        <v/>
      </c>
      <c r="M1406" s="55">
        <f>VLOOKUP(C1406,Customers!$A$2:$F$301,5,FALSE())</f>
        <v/>
      </c>
      <c r="N1406" s="55">
        <f>VLOOKUP(E1406,Sales_Reps!$A$2:$E$31,3,FALSE())</f>
        <v/>
      </c>
      <c r="O1406" s="55">
        <f>VLOOKUP(D1406,Products!$A$2:$F$61,4,FALSE())</f>
        <v/>
      </c>
      <c r="P1406" s="55">
        <f>VLOOKUP(C1406,Customers!$A$2:$F$301,3,FALSE())</f>
        <v/>
      </c>
      <c r="Q1406" s="55">
        <f>UPPER(TRIM(K1406))</f>
        <v/>
      </c>
      <c r="R1406" s="55">
        <f>(G1406-O1406)/G1406</f>
        <v/>
      </c>
      <c r="S1406" s="55">
        <f>VLOOKUP(D1406,Products!$A$2:$F$61,6,FALSE())</f>
        <v/>
      </c>
    </row>
    <row r="1407" ht="15" customHeight="1" s="56">
      <c r="A1407" s="55">
        <f>Orders!A1407</f>
        <v/>
      </c>
      <c r="B1407" s="103">
        <f>Orders!B1407</f>
        <v/>
      </c>
      <c r="C1407" s="55">
        <f>Orders!C1407</f>
        <v/>
      </c>
      <c r="D1407" s="55">
        <f>Orders!D1407</f>
        <v/>
      </c>
      <c r="E1407" s="55">
        <f>Orders!E1407</f>
        <v/>
      </c>
      <c r="F1407" s="55">
        <f>Orders!F1407</f>
        <v/>
      </c>
      <c r="G1407" s="55">
        <f>Orders!G1407</f>
        <v/>
      </c>
      <c r="H1407" s="55">
        <f>Orders!H1407</f>
        <v/>
      </c>
      <c r="I1407" s="55">
        <f>Orders!I1407</f>
        <v/>
      </c>
      <c r="J1407" s="55">
        <f>Orders!J1407</f>
        <v/>
      </c>
      <c r="K1407" s="55">
        <f>Orders!K1407</f>
        <v/>
      </c>
      <c r="L1407" s="55">
        <f>VLOOKUP(D1407,Products!$A$2:$F$61,3,FALSE())</f>
        <v/>
      </c>
      <c r="M1407" s="55">
        <f>VLOOKUP(C1407,Customers!$A$2:$F$301,5,FALSE())</f>
        <v/>
      </c>
      <c r="N1407" s="55">
        <f>VLOOKUP(E1407,Sales_Reps!$A$2:$E$31,3,FALSE())</f>
        <v/>
      </c>
      <c r="O1407" s="55">
        <f>VLOOKUP(D1407,Products!$A$2:$F$61,4,FALSE())</f>
        <v/>
      </c>
      <c r="P1407" s="55">
        <f>VLOOKUP(C1407,Customers!$A$2:$F$301,3,FALSE())</f>
        <v/>
      </c>
      <c r="Q1407" s="55">
        <f>UPPER(TRIM(K1407))</f>
        <v/>
      </c>
      <c r="R1407" s="55">
        <f>(G1407-O1407)/G1407</f>
        <v/>
      </c>
      <c r="S1407" s="55">
        <f>VLOOKUP(D1407,Products!$A$2:$F$61,6,FALSE())</f>
        <v/>
      </c>
    </row>
    <row r="1408" ht="15" customHeight="1" s="56">
      <c r="A1408" s="55">
        <f>Orders!A1408</f>
        <v/>
      </c>
      <c r="B1408" s="103">
        <f>Orders!B1408</f>
        <v/>
      </c>
      <c r="C1408" s="55">
        <f>Orders!C1408</f>
        <v/>
      </c>
      <c r="D1408" s="55">
        <f>Orders!D1408</f>
        <v/>
      </c>
      <c r="E1408" s="55">
        <f>Orders!E1408</f>
        <v/>
      </c>
      <c r="F1408" s="55">
        <f>Orders!F1408</f>
        <v/>
      </c>
      <c r="G1408" s="55">
        <f>Orders!G1408</f>
        <v/>
      </c>
      <c r="H1408" s="55">
        <f>Orders!H1408</f>
        <v/>
      </c>
      <c r="I1408" s="55">
        <f>Orders!I1408</f>
        <v/>
      </c>
      <c r="J1408" s="55">
        <f>Orders!J1408</f>
        <v/>
      </c>
      <c r="K1408" s="55">
        <f>Orders!K1408</f>
        <v/>
      </c>
      <c r="L1408" s="55">
        <f>VLOOKUP(D1408,Products!$A$2:$F$61,3,FALSE())</f>
        <v/>
      </c>
      <c r="M1408" s="55">
        <f>VLOOKUP(C1408,Customers!$A$2:$F$301,5,FALSE())</f>
        <v/>
      </c>
      <c r="N1408" s="55">
        <f>VLOOKUP(E1408,Sales_Reps!$A$2:$E$31,3,FALSE())</f>
        <v/>
      </c>
      <c r="O1408" s="55">
        <f>VLOOKUP(D1408,Products!$A$2:$F$61,4,FALSE())</f>
        <v/>
      </c>
      <c r="P1408" s="55">
        <f>VLOOKUP(C1408,Customers!$A$2:$F$301,3,FALSE())</f>
        <v/>
      </c>
      <c r="Q1408" s="55">
        <f>UPPER(TRIM(K1408))</f>
        <v/>
      </c>
      <c r="R1408" s="55">
        <f>(G1408-O1408)/G1408</f>
        <v/>
      </c>
      <c r="S1408" s="55">
        <f>VLOOKUP(D1408,Products!$A$2:$F$61,6,FALSE())</f>
        <v/>
      </c>
    </row>
    <row r="1409" ht="15" customHeight="1" s="56">
      <c r="A1409" s="55">
        <f>Orders!A1409</f>
        <v/>
      </c>
      <c r="B1409" s="103">
        <f>Orders!B1409</f>
        <v/>
      </c>
      <c r="C1409" s="55">
        <f>Orders!C1409</f>
        <v/>
      </c>
      <c r="D1409" s="55">
        <f>Orders!D1409</f>
        <v/>
      </c>
      <c r="E1409" s="55">
        <f>Orders!E1409</f>
        <v/>
      </c>
      <c r="F1409" s="55">
        <f>Orders!F1409</f>
        <v/>
      </c>
      <c r="G1409" s="55">
        <f>Orders!G1409</f>
        <v/>
      </c>
      <c r="H1409" s="55">
        <f>Orders!H1409</f>
        <v/>
      </c>
      <c r="I1409" s="55">
        <f>Orders!I1409</f>
        <v/>
      </c>
      <c r="J1409" s="55">
        <f>Orders!J1409</f>
        <v/>
      </c>
      <c r="K1409" s="55">
        <f>Orders!K1409</f>
        <v/>
      </c>
      <c r="L1409" s="55">
        <f>VLOOKUP(D1409,Products!$A$2:$F$61,3,FALSE())</f>
        <v/>
      </c>
      <c r="M1409" s="55">
        <f>VLOOKUP(C1409,Customers!$A$2:$F$301,5,FALSE())</f>
        <v/>
      </c>
      <c r="N1409" s="55">
        <f>VLOOKUP(E1409,Sales_Reps!$A$2:$E$31,3,FALSE())</f>
        <v/>
      </c>
      <c r="O1409" s="55">
        <f>VLOOKUP(D1409,Products!$A$2:$F$61,4,FALSE())</f>
        <v/>
      </c>
      <c r="P1409" s="55">
        <f>VLOOKUP(C1409,Customers!$A$2:$F$301,3,FALSE())</f>
        <v/>
      </c>
      <c r="Q1409" s="55">
        <f>UPPER(TRIM(K1409))</f>
        <v/>
      </c>
      <c r="R1409" s="55">
        <f>(G1409-O1409)/G1409</f>
        <v/>
      </c>
      <c r="S1409" s="55">
        <f>VLOOKUP(D1409,Products!$A$2:$F$61,6,FALSE())</f>
        <v/>
      </c>
    </row>
    <row r="1410" ht="15" customHeight="1" s="56">
      <c r="A1410" s="55">
        <f>Orders!A1410</f>
        <v/>
      </c>
      <c r="B1410" s="103">
        <f>Orders!B1410</f>
        <v/>
      </c>
      <c r="C1410" s="55">
        <f>Orders!C1410</f>
        <v/>
      </c>
      <c r="D1410" s="55">
        <f>Orders!D1410</f>
        <v/>
      </c>
      <c r="E1410" s="55">
        <f>Orders!E1410</f>
        <v/>
      </c>
      <c r="F1410" s="55">
        <f>Orders!F1410</f>
        <v/>
      </c>
      <c r="G1410" s="55">
        <f>Orders!G1410</f>
        <v/>
      </c>
      <c r="H1410" s="55">
        <f>Orders!H1410</f>
        <v/>
      </c>
      <c r="I1410" s="55">
        <f>Orders!I1410</f>
        <v/>
      </c>
      <c r="J1410" s="55">
        <f>Orders!J1410</f>
        <v/>
      </c>
      <c r="K1410" s="55">
        <f>Orders!K1410</f>
        <v/>
      </c>
      <c r="L1410" s="55">
        <f>VLOOKUP(D1410,Products!$A$2:$F$61,3,FALSE())</f>
        <v/>
      </c>
      <c r="M1410" s="55">
        <f>VLOOKUP(C1410,Customers!$A$2:$F$301,5,FALSE())</f>
        <v/>
      </c>
      <c r="N1410" s="55">
        <f>VLOOKUP(E1410,Sales_Reps!$A$2:$E$31,3,FALSE())</f>
        <v/>
      </c>
      <c r="O1410" s="55">
        <f>VLOOKUP(D1410,Products!$A$2:$F$61,4,FALSE())</f>
        <v/>
      </c>
      <c r="P1410" s="55">
        <f>VLOOKUP(C1410,Customers!$A$2:$F$301,3,FALSE())</f>
        <v/>
      </c>
      <c r="Q1410" s="55">
        <f>UPPER(TRIM(K1410))</f>
        <v/>
      </c>
      <c r="R1410" s="55">
        <f>(G1410-O1410)/G1410</f>
        <v/>
      </c>
      <c r="S1410" s="55">
        <f>VLOOKUP(D1410,Products!$A$2:$F$61,6,FALSE())</f>
        <v/>
      </c>
    </row>
    <row r="1411" ht="15" customHeight="1" s="56">
      <c r="A1411" s="55">
        <f>Orders!A1411</f>
        <v/>
      </c>
      <c r="B1411" s="103">
        <f>Orders!B1411</f>
        <v/>
      </c>
      <c r="C1411" s="55">
        <f>Orders!C1411</f>
        <v/>
      </c>
      <c r="D1411" s="55">
        <f>Orders!D1411</f>
        <v/>
      </c>
      <c r="E1411" s="55">
        <f>Orders!E1411</f>
        <v/>
      </c>
      <c r="F1411" s="55">
        <f>Orders!F1411</f>
        <v/>
      </c>
      <c r="G1411" s="55">
        <f>Orders!G1411</f>
        <v/>
      </c>
      <c r="H1411" s="55">
        <f>Orders!H1411</f>
        <v/>
      </c>
      <c r="I1411" s="55">
        <f>Orders!I1411</f>
        <v/>
      </c>
      <c r="J1411" s="55">
        <f>Orders!J1411</f>
        <v/>
      </c>
      <c r="K1411" s="55">
        <f>Orders!K1411</f>
        <v/>
      </c>
      <c r="L1411" s="55">
        <f>VLOOKUP(D1411,Products!$A$2:$F$61,3,FALSE())</f>
        <v/>
      </c>
      <c r="M1411" s="55">
        <f>VLOOKUP(C1411,Customers!$A$2:$F$301,5,FALSE())</f>
        <v/>
      </c>
      <c r="N1411" s="55">
        <f>VLOOKUP(E1411,Sales_Reps!$A$2:$E$31,3,FALSE())</f>
        <v/>
      </c>
      <c r="O1411" s="55">
        <f>VLOOKUP(D1411,Products!$A$2:$F$61,4,FALSE())</f>
        <v/>
      </c>
      <c r="P1411" s="55">
        <f>VLOOKUP(C1411,Customers!$A$2:$F$301,3,FALSE())</f>
        <v/>
      </c>
      <c r="Q1411" s="55">
        <f>UPPER(TRIM(K1411))</f>
        <v/>
      </c>
      <c r="R1411" s="55">
        <f>(G1411-O1411)/G1411</f>
        <v/>
      </c>
      <c r="S1411" s="55">
        <f>VLOOKUP(D1411,Products!$A$2:$F$61,6,FALSE())</f>
        <v/>
      </c>
    </row>
    <row r="1412" ht="15" customHeight="1" s="56">
      <c r="A1412" s="55">
        <f>Orders!A1412</f>
        <v/>
      </c>
      <c r="B1412" s="103">
        <f>Orders!B1412</f>
        <v/>
      </c>
      <c r="C1412" s="55">
        <f>Orders!C1412</f>
        <v/>
      </c>
      <c r="D1412" s="55">
        <f>Orders!D1412</f>
        <v/>
      </c>
      <c r="E1412" s="55">
        <f>Orders!E1412</f>
        <v/>
      </c>
      <c r="F1412" s="55">
        <f>Orders!F1412</f>
        <v/>
      </c>
      <c r="G1412" s="55">
        <f>Orders!G1412</f>
        <v/>
      </c>
      <c r="H1412" s="55">
        <f>Orders!H1412</f>
        <v/>
      </c>
      <c r="I1412" s="55">
        <f>Orders!I1412</f>
        <v/>
      </c>
      <c r="J1412" s="55">
        <f>Orders!J1412</f>
        <v/>
      </c>
      <c r="K1412" s="55">
        <f>Orders!K1412</f>
        <v/>
      </c>
      <c r="L1412" s="55">
        <f>VLOOKUP(D1412,Products!$A$2:$F$61,3,FALSE())</f>
        <v/>
      </c>
      <c r="M1412" s="55">
        <f>VLOOKUP(C1412,Customers!$A$2:$F$301,5,FALSE())</f>
        <v/>
      </c>
      <c r="N1412" s="55">
        <f>VLOOKUP(E1412,Sales_Reps!$A$2:$E$31,3,FALSE())</f>
        <v/>
      </c>
      <c r="O1412" s="55">
        <f>VLOOKUP(D1412,Products!$A$2:$F$61,4,FALSE())</f>
        <v/>
      </c>
      <c r="P1412" s="55">
        <f>VLOOKUP(C1412,Customers!$A$2:$F$301,3,FALSE())</f>
        <v/>
      </c>
      <c r="Q1412" s="55">
        <f>UPPER(TRIM(K1412))</f>
        <v/>
      </c>
      <c r="R1412" s="55">
        <f>(G1412-O1412)/G1412</f>
        <v/>
      </c>
      <c r="S1412" s="55">
        <f>VLOOKUP(D1412,Products!$A$2:$F$61,6,FALSE())</f>
        <v/>
      </c>
    </row>
    <row r="1413" ht="15" customHeight="1" s="56">
      <c r="A1413" s="55">
        <f>Orders!A1413</f>
        <v/>
      </c>
      <c r="B1413" s="103">
        <f>Orders!B1413</f>
        <v/>
      </c>
      <c r="C1413" s="55">
        <f>Orders!C1413</f>
        <v/>
      </c>
      <c r="D1413" s="55">
        <f>Orders!D1413</f>
        <v/>
      </c>
      <c r="E1413" s="55">
        <f>Orders!E1413</f>
        <v/>
      </c>
      <c r="F1413" s="55">
        <f>Orders!F1413</f>
        <v/>
      </c>
      <c r="G1413" s="55">
        <f>Orders!G1413</f>
        <v/>
      </c>
      <c r="H1413" s="55">
        <f>Orders!H1413</f>
        <v/>
      </c>
      <c r="I1413" s="55">
        <f>Orders!I1413</f>
        <v/>
      </c>
      <c r="J1413" s="55">
        <f>Orders!J1413</f>
        <v/>
      </c>
      <c r="K1413" s="55">
        <f>Orders!K1413</f>
        <v/>
      </c>
      <c r="L1413" s="55">
        <f>VLOOKUP(D1413,Products!$A$2:$F$61,3,FALSE())</f>
        <v/>
      </c>
      <c r="M1413" s="55">
        <f>VLOOKUP(C1413,Customers!$A$2:$F$301,5,FALSE())</f>
        <v/>
      </c>
      <c r="N1413" s="55">
        <f>VLOOKUP(E1413,Sales_Reps!$A$2:$E$31,3,FALSE())</f>
        <v/>
      </c>
      <c r="O1413" s="55">
        <f>VLOOKUP(D1413,Products!$A$2:$F$61,4,FALSE())</f>
        <v/>
      </c>
      <c r="P1413" s="55">
        <f>VLOOKUP(C1413,Customers!$A$2:$F$301,3,FALSE())</f>
        <v/>
      </c>
      <c r="Q1413" s="55">
        <f>UPPER(TRIM(K1413))</f>
        <v/>
      </c>
      <c r="R1413" s="55">
        <f>(G1413-O1413)/G1413</f>
        <v/>
      </c>
      <c r="S1413" s="55">
        <f>VLOOKUP(D1413,Products!$A$2:$F$61,6,FALSE())</f>
        <v/>
      </c>
    </row>
    <row r="1414" ht="15" customHeight="1" s="56">
      <c r="A1414" s="55">
        <f>Orders!A1414</f>
        <v/>
      </c>
      <c r="B1414" s="103">
        <f>Orders!B1414</f>
        <v/>
      </c>
      <c r="C1414" s="55">
        <f>Orders!C1414</f>
        <v/>
      </c>
      <c r="D1414" s="55">
        <f>Orders!D1414</f>
        <v/>
      </c>
      <c r="E1414" s="55">
        <f>Orders!E1414</f>
        <v/>
      </c>
      <c r="F1414" s="55">
        <f>Orders!F1414</f>
        <v/>
      </c>
      <c r="G1414" s="55">
        <f>Orders!G1414</f>
        <v/>
      </c>
      <c r="H1414" s="55">
        <f>Orders!H1414</f>
        <v/>
      </c>
      <c r="I1414" s="55">
        <f>Orders!I1414</f>
        <v/>
      </c>
      <c r="J1414" s="55">
        <f>Orders!J1414</f>
        <v/>
      </c>
      <c r="K1414" s="55">
        <f>Orders!K1414</f>
        <v/>
      </c>
      <c r="L1414" s="55">
        <f>VLOOKUP(D1414,Products!$A$2:$F$61,3,FALSE())</f>
        <v/>
      </c>
      <c r="M1414" s="55">
        <f>VLOOKUP(C1414,Customers!$A$2:$F$301,5,FALSE())</f>
        <v/>
      </c>
      <c r="N1414" s="55">
        <f>VLOOKUP(E1414,Sales_Reps!$A$2:$E$31,3,FALSE())</f>
        <v/>
      </c>
      <c r="O1414" s="55">
        <f>VLOOKUP(D1414,Products!$A$2:$F$61,4,FALSE())</f>
        <v/>
      </c>
      <c r="P1414" s="55">
        <f>VLOOKUP(C1414,Customers!$A$2:$F$301,3,FALSE())</f>
        <v/>
      </c>
      <c r="Q1414" s="55">
        <f>UPPER(TRIM(K1414))</f>
        <v/>
      </c>
      <c r="R1414" s="55">
        <f>(G1414-O1414)/G1414</f>
        <v/>
      </c>
      <c r="S1414" s="55">
        <f>VLOOKUP(D1414,Products!$A$2:$F$61,6,FALSE())</f>
        <v/>
      </c>
    </row>
    <row r="1415" ht="15" customHeight="1" s="56">
      <c r="A1415" s="55">
        <f>Orders!A1415</f>
        <v/>
      </c>
      <c r="B1415" s="103">
        <f>Orders!B1415</f>
        <v/>
      </c>
      <c r="C1415" s="55">
        <f>Orders!C1415</f>
        <v/>
      </c>
      <c r="D1415" s="55">
        <f>Orders!D1415</f>
        <v/>
      </c>
      <c r="E1415" s="55">
        <f>Orders!E1415</f>
        <v/>
      </c>
      <c r="F1415" s="55">
        <f>Orders!F1415</f>
        <v/>
      </c>
      <c r="G1415" s="55">
        <f>Orders!G1415</f>
        <v/>
      </c>
      <c r="H1415" s="55">
        <f>Orders!H1415</f>
        <v/>
      </c>
      <c r="I1415" s="55">
        <f>Orders!I1415</f>
        <v/>
      </c>
      <c r="J1415" s="55">
        <f>Orders!J1415</f>
        <v/>
      </c>
      <c r="K1415" s="55">
        <f>Orders!K1415</f>
        <v/>
      </c>
      <c r="L1415" s="55">
        <f>VLOOKUP(D1415,Products!$A$2:$F$61,3,FALSE())</f>
        <v/>
      </c>
      <c r="M1415" s="55">
        <f>VLOOKUP(C1415,Customers!$A$2:$F$301,5,FALSE())</f>
        <v/>
      </c>
      <c r="N1415" s="55">
        <f>VLOOKUP(E1415,Sales_Reps!$A$2:$E$31,3,FALSE())</f>
        <v/>
      </c>
      <c r="O1415" s="55">
        <f>VLOOKUP(D1415,Products!$A$2:$F$61,4,FALSE())</f>
        <v/>
      </c>
      <c r="P1415" s="55">
        <f>VLOOKUP(C1415,Customers!$A$2:$F$301,3,FALSE())</f>
        <v/>
      </c>
      <c r="Q1415" s="55">
        <f>UPPER(TRIM(K1415))</f>
        <v/>
      </c>
      <c r="R1415" s="55">
        <f>(G1415-O1415)/G1415</f>
        <v/>
      </c>
      <c r="S1415" s="55">
        <f>VLOOKUP(D1415,Products!$A$2:$F$61,6,FALSE())</f>
        <v/>
      </c>
    </row>
    <row r="1416" ht="15" customHeight="1" s="56">
      <c r="A1416" s="55">
        <f>Orders!A1416</f>
        <v/>
      </c>
      <c r="B1416" s="103">
        <f>Orders!B1416</f>
        <v/>
      </c>
      <c r="C1416" s="55">
        <f>Orders!C1416</f>
        <v/>
      </c>
      <c r="D1416" s="55">
        <f>Orders!D1416</f>
        <v/>
      </c>
      <c r="E1416" s="55">
        <f>Orders!E1416</f>
        <v/>
      </c>
      <c r="F1416" s="55">
        <f>Orders!F1416</f>
        <v/>
      </c>
      <c r="G1416" s="55">
        <f>Orders!G1416</f>
        <v/>
      </c>
      <c r="H1416" s="55">
        <f>Orders!H1416</f>
        <v/>
      </c>
      <c r="I1416" s="55">
        <f>Orders!I1416</f>
        <v/>
      </c>
      <c r="J1416" s="55">
        <f>Orders!J1416</f>
        <v/>
      </c>
      <c r="K1416" s="55">
        <f>Orders!K1416</f>
        <v/>
      </c>
      <c r="L1416" s="55">
        <f>VLOOKUP(D1416,Products!$A$2:$F$61,3,FALSE())</f>
        <v/>
      </c>
      <c r="M1416" s="55">
        <f>VLOOKUP(C1416,Customers!$A$2:$F$301,5,FALSE())</f>
        <v/>
      </c>
      <c r="N1416" s="55">
        <f>VLOOKUP(E1416,Sales_Reps!$A$2:$E$31,3,FALSE())</f>
        <v/>
      </c>
      <c r="O1416" s="55">
        <f>VLOOKUP(D1416,Products!$A$2:$F$61,4,FALSE())</f>
        <v/>
      </c>
      <c r="P1416" s="55">
        <f>VLOOKUP(C1416,Customers!$A$2:$F$301,3,FALSE())</f>
        <v/>
      </c>
      <c r="Q1416" s="55">
        <f>UPPER(TRIM(K1416))</f>
        <v/>
      </c>
      <c r="R1416" s="55">
        <f>(G1416-O1416)/G1416</f>
        <v/>
      </c>
      <c r="S1416" s="55">
        <f>VLOOKUP(D1416,Products!$A$2:$F$61,6,FALSE())</f>
        <v/>
      </c>
    </row>
    <row r="1417" ht="15" customHeight="1" s="56">
      <c r="A1417" s="55">
        <f>Orders!A1417</f>
        <v/>
      </c>
      <c r="B1417" s="103">
        <f>Orders!B1417</f>
        <v/>
      </c>
      <c r="C1417" s="55">
        <f>Orders!C1417</f>
        <v/>
      </c>
      <c r="D1417" s="55">
        <f>Orders!D1417</f>
        <v/>
      </c>
      <c r="E1417" s="55">
        <f>Orders!E1417</f>
        <v/>
      </c>
      <c r="F1417" s="55">
        <f>Orders!F1417</f>
        <v/>
      </c>
      <c r="G1417" s="55">
        <f>Orders!G1417</f>
        <v/>
      </c>
      <c r="H1417" s="55">
        <f>Orders!H1417</f>
        <v/>
      </c>
      <c r="I1417" s="55">
        <f>Orders!I1417</f>
        <v/>
      </c>
      <c r="J1417" s="55">
        <f>Orders!J1417</f>
        <v/>
      </c>
      <c r="K1417" s="55">
        <f>Orders!K1417</f>
        <v/>
      </c>
      <c r="L1417" s="55">
        <f>VLOOKUP(D1417,Products!$A$2:$F$61,3,FALSE())</f>
        <v/>
      </c>
      <c r="M1417" s="55">
        <f>VLOOKUP(C1417,Customers!$A$2:$F$301,5,FALSE())</f>
        <v/>
      </c>
      <c r="N1417" s="55">
        <f>VLOOKUP(E1417,Sales_Reps!$A$2:$E$31,3,FALSE())</f>
        <v/>
      </c>
      <c r="O1417" s="55">
        <f>VLOOKUP(D1417,Products!$A$2:$F$61,4,FALSE())</f>
        <v/>
      </c>
      <c r="P1417" s="55">
        <f>VLOOKUP(C1417,Customers!$A$2:$F$301,3,FALSE())</f>
        <v/>
      </c>
      <c r="Q1417" s="55">
        <f>UPPER(TRIM(K1417))</f>
        <v/>
      </c>
      <c r="R1417" s="55">
        <f>(G1417-O1417)/G1417</f>
        <v/>
      </c>
      <c r="S1417" s="55">
        <f>VLOOKUP(D1417,Products!$A$2:$F$61,6,FALSE())</f>
        <v/>
      </c>
    </row>
    <row r="1418" ht="15" customHeight="1" s="56">
      <c r="A1418" s="55">
        <f>Orders!A1418</f>
        <v/>
      </c>
      <c r="B1418" s="103">
        <f>Orders!B1418</f>
        <v/>
      </c>
      <c r="C1418" s="55">
        <f>Orders!C1418</f>
        <v/>
      </c>
      <c r="D1418" s="55">
        <f>Orders!D1418</f>
        <v/>
      </c>
      <c r="E1418" s="55">
        <f>Orders!E1418</f>
        <v/>
      </c>
      <c r="F1418" s="55">
        <f>Orders!F1418</f>
        <v/>
      </c>
      <c r="G1418" s="55">
        <f>Orders!G1418</f>
        <v/>
      </c>
      <c r="H1418" s="55">
        <f>Orders!H1418</f>
        <v/>
      </c>
      <c r="I1418" s="55">
        <f>Orders!I1418</f>
        <v/>
      </c>
      <c r="J1418" s="55">
        <f>Orders!J1418</f>
        <v/>
      </c>
      <c r="K1418" s="55">
        <f>Orders!K1418</f>
        <v/>
      </c>
      <c r="L1418" s="55">
        <f>VLOOKUP(D1418,Products!$A$2:$F$61,3,FALSE())</f>
        <v/>
      </c>
      <c r="M1418" s="55">
        <f>VLOOKUP(C1418,Customers!$A$2:$F$301,5,FALSE())</f>
        <v/>
      </c>
      <c r="N1418" s="55">
        <f>VLOOKUP(E1418,Sales_Reps!$A$2:$E$31,3,FALSE())</f>
        <v/>
      </c>
      <c r="O1418" s="55">
        <f>VLOOKUP(D1418,Products!$A$2:$F$61,4,FALSE())</f>
        <v/>
      </c>
      <c r="P1418" s="55">
        <f>VLOOKUP(C1418,Customers!$A$2:$F$301,3,FALSE())</f>
        <v/>
      </c>
      <c r="Q1418" s="55">
        <f>UPPER(TRIM(K1418))</f>
        <v/>
      </c>
      <c r="R1418" s="55">
        <f>(G1418-O1418)/G1418</f>
        <v/>
      </c>
      <c r="S1418" s="55">
        <f>VLOOKUP(D1418,Products!$A$2:$F$61,6,FALSE())</f>
        <v/>
      </c>
    </row>
    <row r="1419" ht="15" customHeight="1" s="56">
      <c r="A1419" s="55">
        <f>Orders!A1419</f>
        <v/>
      </c>
      <c r="B1419" s="103">
        <f>Orders!B1419</f>
        <v/>
      </c>
      <c r="C1419" s="55">
        <f>Orders!C1419</f>
        <v/>
      </c>
      <c r="D1419" s="55">
        <f>Orders!D1419</f>
        <v/>
      </c>
      <c r="E1419" s="55">
        <f>Orders!E1419</f>
        <v/>
      </c>
      <c r="F1419" s="55">
        <f>Orders!F1419</f>
        <v/>
      </c>
      <c r="G1419" s="55">
        <f>Orders!G1419</f>
        <v/>
      </c>
      <c r="H1419" s="55">
        <f>Orders!H1419</f>
        <v/>
      </c>
      <c r="I1419" s="55">
        <f>Orders!I1419</f>
        <v/>
      </c>
      <c r="J1419" s="55">
        <f>Orders!J1419</f>
        <v/>
      </c>
      <c r="K1419" s="55">
        <f>Orders!K1419</f>
        <v/>
      </c>
      <c r="L1419" s="55">
        <f>VLOOKUP(D1419,Products!$A$2:$F$61,3,FALSE())</f>
        <v/>
      </c>
      <c r="M1419" s="55">
        <f>VLOOKUP(C1419,Customers!$A$2:$F$301,5,FALSE())</f>
        <v/>
      </c>
      <c r="N1419" s="55">
        <f>VLOOKUP(E1419,Sales_Reps!$A$2:$E$31,3,FALSE())</f>
        <v/>
      </c>
      <c r="O1419" s="55">
        <f>VLOOKUP(D1419,Products!$A$2:$F$61,4,FALSE())</f>
        <v/>
      </c>
      <c r="P1419" s="55">
        <f>VLOOKUP(C1419,Customers!$A$2:$F$301,3,FALSE())</f>
        <v/>
      </c>
      <c r="Q1419" s="55">
        <f>UPPER(TRIM(K1419))</f>
        <v/>
      </c>
      <c r="R1419" s="55">
        <f>(G1419-O1419)/G1419</f>
        <v/>
      </c>
      <c r="S1419" s="55">
        <f>VLOOKUP(D1419,Products!$A$2:$F$61,6,FALSE())</f>
        <v/>
      </c>
    </row>
    <row r="1420" ht="15" customHeight="1" s="56">
      <c r="A1420" s="55">
        <f>Orders!A1420</f>
        <v/>
      </c>
      <c r="B1420" s="103">
        <f>Orders!B1420</f>
        <v/>
      </c>
      <c r="C1420" s="55">
        <f>Orders!C1420</f>
        <v/>
      </c>
      <c r="D1420" s="55">
        <f>Orders!D1420</f>
        <v/>
      </c>
      <c r="E1420" s="55">
        <f>Orders!E1420</f>
        <v/>
      </c>
      <c r="F1420" s="55">
        <f>Orders!F1420</f>
        <v/>
      </c>
      <c r="G1420" s="55">
        <f>Orders!G1420</f>
        <v/>
      </c>
      <c r="H1420" s="55">
        <f>Orders!H1420</f>
        <v/>
      </c>
      <c r="I1420" s="55">
        <f>Orders!I1420</f>
        <v/>
      </c>
      <c r="J1420" s="55">
        <f>Orders!J1420</f>
        <v/>
      </c>
      <c r="K1420" s="55">
        <f>Orders!K1420</f>
        <v/>
      </c>
      <c r="L1420" s="55">
        <f>VLOOKUP(D1420,Products!$A$2:$F$61,3,FALSE())</f>
        <v/>
      </c>
      <c r="M1420" s="55">
        <f>VLOOKUP(C1420,Customers!$A$2:$F$301,5,FALSE())</f>
        <v/>
      </c>
      <c r="N1420" s="55">
        <f>VLOOKUP(E1420,Sales_Reps!$A$2:$E$31,3,FALSE())</f>
        <v/>
      </c>
      <c r="O1420" s="55">
        <f>VLOOKUP(D1420,Products!$A$2:$F$61,4,FALSE())</f>
        <v/>
      </c>
      <c r="P1420" s="55">
        <f>VLOOKUP(C1420,Customers!$A$2:$F$301,3,FALSE())</f>
        <v/>
      </c>
      <c r="Q1420" s="55">
        <f>UPPER(TRIM(K1420))</f>
        <v/>
      </c>
      <c r="R1420" s="55">
        <f>(G1420-O1420)/G1420</f>
        <v/>
      </c>
      <c r="S1420" s="55">
        <f>VLOOKUP(D1420,Products!$A$2:$F$61,6,FALSE())</f>
        <v/>
      </c>
    </row>
    <row r="1421" ht="15" customHeight="1" s="56">
      <c r="A1421" s="55">
        <f>Orders!A1421</f>
        <v/>
      </c>
      <c r="B1421" s="103">
        <f>Orders!B1421</f>
        <v/>
      </c>
      <c r="C1421" s="55">
        <f>Orders!C1421</f>
        <v/>
      </c>
      <c r="D1421" s="55">
        <f>Orders!D1421</f>
        <v/>
      </c>
      <c r="E1421" s="55">
        <f>Orders!E1421</f>
        <v/>
      </c>
      <c r="F1421" s="55">
        <f>Orders!F1421</f>
        <v/>
      </c>
      <c r="G1421" s="55">
        <f>Orders!G1421</f>
        <v/>
      </c>
      <c r="H1421" s="55">
        <f>Orders!H1421</f>
        <v/>
      </c>
      <c r="I1421" s="55">
        <f>Orders!I1421</f>
        <v/>
      </c>
      <c r="J1421" s="55">
        <f>Orders!J1421</f>
        <v/>
      </c>
      <c r="K1421" s="55">
        <f>Orders!K1421</f>
        <v/>
      </c>
      <c r="L1421" s="55">
        <f>VLOOKUP(D1421,Products!$A$2:$F$61,3,FALSE())</f>
        <v/>
      </c>
      <c r="M1421" s="55">
        <f>VLOOKUP(C1421,Customers!$A$2:$F$301,5,FALSE())</f>
        <v/>
      </c>
      <c r="N1421" s="55">
        <f>VLOOKUP(E1421,Sales_Reps!$A$2:$E$31,3,FALSE())</f>
        <v/>
      </c>
      <c r="O1421" s="55">
        <f>VLOOKUP(D1421,Products!$A$2:$F$61,4,FALSE())</f>
        <v/>
      </c>
      <c r="P1421" s="55">
        <f>VLOOKUP(C1421,Customers!$A$2:$F$301,3,FALSE())</f>
        <v/>
      </c>
      <c r="Q1421" s="55">
        <f>UPPER(TRIM(K1421))</f>
        <v/>
      </c>
      <c r="R1421" s="55">
        <f>(G1421-O1421)/G1421</f>
        <v/>
      </c>
      <c r="S1421" s="55">
        <f>VLOOKUP(D1421,Products!$A$2:$F$61,6,FALSE())</f>
        <v/>
      </c>
    </row>
    <row r="1422" ht="15" customHeight="1" s="56">
      <c r="A1422" s="55">
        <f>Orders!A1422</f>
        <v/>
      </c>
      <c r="B1422" s="103">
        <f>Orders!B1422</f>
        <v/>
      </c>
      <c r="C1422" s="55">
        <f>Orders!C1422</f>
        <v/>
      </c>
      <c r="D1422" s="55">
        <f>Orders!D1422</f>
        <v/>
      </c>
      <c r="E1422" s="55">
        <f>Orders!E1422</f>
        <v/>
      </c>
      <c r="F1422" s="55">
        <f>Orders!F1422</f>
        <v/>
      </c>
      <c r="G1422" s="55">
        <f>Orders!G1422</f>
        <v/>
      </c>
      <c r="H1422" s="55">
        <f>Orders!H1422</f>
        <v/>
      </c>
      <c r="I1422" s="55">
        <f>Orders!I1422</f>
        <v/>
      </c>
      <c r="J1422" s="55">
        <f>Orders!J1422</f>
        <v/>
      </c>
      <c r="K1422" s="55">
        <f>Orders!K1422</f>
        <v/>
      </c>
      <c r="L1422" s="55">
        <f>VLOOKUP(D1422,Products!$A$2:$F$61,3,FALSE())</f>
        <v/>
      </c>
      <c r="M1422" s="55">
        <f>VLOOKUP(C1422,Customers!$A$2:$F$301,5,FALSE())</f>
        <v/>
      </c>
      <c r="N1422" s="55">
        <f>VLOOKUP(E1422,Sales_Reps!$A$2:$E$31,3,FALSE())</f>
        <v/>
      </c>
      <c r="O1422" s="55">
        <f>VLOOKUP(D1422,Products!$A$2:$F$61,4,FALSE())</f>
        <v/>
      </c>
      <c r="P1422" s="55">
        <f>VLOOKUP(C1422,Customers!$A$2:$F$301,3,FALSE())</f>
        <v/>
      </c>
      <c r="Q1422" s="55">
        <f>UPPER(TRIM(K1422))</f>
        <v/>
      </c>
      <c r="R1422" s="55">
        <f>(G1422-O1422)/G1422</f>
        <v/>
      </c>
      <c r="S1422" s="55">
        <f>VLOOKUP(D1422,Products!$A$2:$F$61,6,FALSE())</f>
        <v/>
      </c>
    </row>
    <row r="1423" ht="15" customHeight="1" s="56">
      <c r="A1423" s="55">
        <f>Orders!A1423</f>
        <v/>
      </c>
      <c r="B1423" s="103">
        <f>Orders!B1423</f>
        <v/>
      </c>
      <c r="C1423" s="55">
        <f>Orders!C1423</f>
        <v/>
      </c>
      <c r="D1423" s="55">
        <f>Orders!D1423</f>
        <v/>
      </c>
      <c r="E1423" s="55">
        <f>Orders!E1423</f>
        <v/>
      </c>
      <c r="F1423" s="55">
        <f>Orders!F1423</f>
        <v/>
      </c>
      <c r="G1423" s="55">
        <f>Orders!G1423</f>
        <v/>
      </c>
      <c r="H1423" s="55">
        <f>Orders!H1423</f>
        <v/>
      </c>
      <c r="I1423" s="55">
        <f>Orders!I1423</f>
        <v/>
      </c>
      <c r="J1423" s="55">
        <f>Orders!J1423</f>
        <v/>
      </c>
      <c r="K1423" s="55">
        <f>Orders!K1423</f>
        <v/>
      </c>
      <c r="L1423" s="55">
        <f>VLOOKUP(D1423,Products!$A$2:$F$61,3,FALSE())</f>
        <v/>
      </c>
      <c r="M1423" s="55">
        <f>VLOOKUP(C1423,Customers!$A$2:$F$301,5,FALSE())</f>
        <v/>
      </c>
      <c r="N1423" s="55">
        <f>VLOOKUP(E1423,Sales_Reps!$A$2:$E$31,3,FALSE())</f>
        <v/>
      </c>
      <c r="O1423" s="55">
        <f>VLOOKUP(D1423,Products!$A$2:$F$61,4,FALSE())</f>
        <v/>
      </c>
      <c r="P1423" s="55">
        <f>VLOOKUP(C1423,Customers!$A$2:$F$301,3,FALSE())</f>
        <v/>
      </c>
      <c r="Q1423" s="55">
        <f>UPPER(TRIM(K1423))</f>
        <v/>
      </c>
      <c r="R1423" s="55">
        <f>(G1423-O1423)/G1423</f>
        <v/>
      </c>
      <c r="S1423" s="55">
        <f>VLOOKUP(D1423,Products!$A$2:$F$61,6,FALSE())</f>
        <v/>
      </c>
    </row>
    <row r="1424" ht="15" customHeight="1" s="56">
      <c r="A1424" s="55">
        <f>Orders!A1424</f>
        <v/>
      </c>
      <c r="B1424" s="103">
        <f>Orders!B1424</f>
        <v/>
      </c>
      <c r="C1424" s="55">
        <f>Orders!C1424</f>
        <v/>
      </c>
      <c r="D1424" s="55">
        <f>Orders!D1424</f>
        <v/>
      </c>
      <c r="E1424" s="55">
        <f>Orders!E1424</f>
        <v/>
      </c>
      <c r="F1424" s="55">
        <f>Orders!F1424</f>
        <v/>
      </c>
      <c r="G1424" s="55">
        <f>Orders!G1424</f>
        <v/>
      </c>
      <c r="H1424" s="55">
        <f>Orders!H1424</f>
        <v/>
      </c>
      <c r="I1424" s="55">
        <f>Orders!I1424</f>
        <v/>
      </c>
      <c r="J1424" s="55">
        <f>Orders!J1424</f>
        <v/>
      </c>
      <c r="K1424" s="55">
        <f>Orders!K1424</f>
        <v/>
      </c>
      <c r="L1424" s="55">
        <f>VLOOKUP(D1424,Products!$A$2:$F$61,3,FALSE())</f>
        <v/>
      </c>
      <c r="M1424" s="55">
        <f>VLOOKUP(C1424,Customers!$A$2:$F$301,5,FALSE())</f>
        <v/>
      </c>
      <c r="N1424" s="55">
        <f>VLOOKUP(E1424,Sales_Reps!$A$2:$E$31,3,FALSE())</f>
        <v/>
      </c>
      <c r="O1424" s="55">
        <f>VLOOKUP(D1424,Products!$A$2:$F$61,4,FALSE())</f>
        <v/>
      </c>
      <c r="P1424" s="55">
        <f>VLOOKUP(C1424,Customers!$A$2:$F$301,3,FALSE())</f>
        <v/>
      </c>
      <c r="Q1424" s="55">
        <f>UPPER(TRIM(K1424))</f>
        <v/>
      </c>
      <c r="R1424" s="55">
        <f>(G1424-O1424)/G1424</f>
        <v/>
      </c>
      <c r="S1424" s="55">
        <f>VLOOKUP(D1424,Products!$A$2:$F$61,6,FALSE())</f>
        <v/>
      </c>
    </row>
    <row r="1425" ht="15" customHeight="1" s="56">
      <c r="A1425" s="55">
        <f>Orders!A1425</f>
        <v/>
      </c>
      <c r="B1425" s="103">
        <f>Orders!B1425</f>
        <v/>
      </c>
      <c r="C1425" s="55">
        <f>Orders!C1425</f>
        <v/>
      </c>
      <c r="D1425" s="55">
        <f>Orders!D1425</f>
        <v/>
      </c>
      <c r="E1425" s="55">
        <f>Orders!E1425</f>
        <v/>
      </c>
      <c r="F1425" s="55">
        <f>Orders!F1425</f>
        <v/>
      </c>
      <c r="G1425" s="55">
        <f>Orders!G1425</f>
        <v/>
      </c>
      <c r="H1425" s="55">
        <f>Orders!H1425</f>
        <v/>
      </c>
      <c r="I1425" s="55">
        <f>Orders!I1425</f>
        <v/>
      </c>
      <c r="J1425" s="55">
        <f>Orders!J1425</f>
        <v/>
      </c>
      <c r="K1425" s="55">
        <f>Orders!K1425</f>
        <v/>
      </c>
      <c r="L1425" s="55">
        <f>VLOOKUP(D1425,Products!$A$2:$F$61,3,FALSE())</f>
        <v/>
      </c>
      <c r="M1425" s="55">
        <f>VLOOKUP(C1425,Customers!$A$2:$F$301,5,FALSE())</f>
        <v/>
      </c>
      <c r="N1425" s="55">
        <f>VLOOKUP(E1425,Sales_Reps!$A$2:$E$31,3,FALSE())</f>
        <v/>
      </c>
      <c r="O1425" s="55">
        <f>VLOOKUP(D1425,Products!$A$2:$F$61,4,FALSE())</f>
        <v/>
      </c>
      <c r="P1425" s="55">
        <f>VLOOKUP(C1425,Customers!$A$2:$F$301,3,FALSE())</f>
        <v/>
      </c>
      <c r="Q1425" s="55">
        <f>UPPER(TRIM(K1425))</f>
        <v/>
      </c>
      <c r="R1425" s="55">
        <f>(G1425-O1425)/G1425</f>
        <v/>
      </c>
      <c r="S1425" s="55">
        <f>VLOOKUP(D1425,Products!$A$2:$F$61,6,FALSE())</f>
        <v/>
      </c>
    </row>
    <row r="1426" ht="15" customHeight="1" s="56">
      <c r="A1426" s="55">
        <f>Orders!A1426</f>
        <v/>
      </c>
      <c r="B1426" s="103">
        <f>Orders!B1426</f>
        <v/>
      </c>
      <c r="C1426" s="55">
        <f>Orders!C1426</f>
        <v/>
      </c>
      <c r="D1426" s="55">
        <f>Orders!D1426</f>
        <v/>
      </c>
      <c r="E1426" s="55">
        <f>Orders!E1426</f>
        <v/>
      </c>
      <c r="F1426" s="55">
        <f>Orders!F1426</f>
        <v/>
      </c>
      <c r="G1426" s="55">
        <f>Orders!G1426</f>
        <v/>
      </c>
      <c r="H1426" s="55">
        <f>Orders!H1426</f>
        <v/>
      </c>
      <c r="I1426" s="55">
        <f>Orders!I1426</f>
        <v/>
      </c>
      <c r="J1426" s="55">
        <f>Orders!J1426</f>
        <v/>
      </c>
      <c r="K1426" s="55">
        <f>Orders!K1426</f>
        <v/>
      </c>
      <c r="L1426" s="55">
        <f>VLOOKUP(D1426,Products!$A$2:$F$61,3,FALSE())</f>
        <v/>
      </c>
      <c r="M1426" s="55">
        <f>VLOOKUP(C1426,Customers!$A$2:$F$301,5,FALSE())</f>
        <v/>
      </c>
      <c r="N1426" s="55">
        <f>VLOOKUP(E1426,Sales_Reps!$A$2:$E$31,3,FALSE())</f>
        <v/>
      </c>
      <c r="O1426" s="55">
        <f>VLOOKUP(D1426,Products!$A$2:$F$61,4,FALSE())</f>
        <v/>
      </c>
      <c r="P1426" s="55">
        <f>VLOOKUP(C1426,Customers!$A$2:$F$301,3,FALSE())</f>
        <v/>
      </c>
      <c r="Q1426" s="55">
        <f>UPPER(TRIM(K1426))</f>
        <v/>
      </c>
      <c r="R1426" s="55">
        <f>(G1426-O1426)/G1426</f>
        <v/>
      </c>
      <c r="S1426" s="55">
        <f>VLOOKUP(D1426,Products!$A$2:$F$61,6,FALSE())</f>
        <v/>
      </c>
    </row>
    <row r="1427" ht="15" customHeight="1" s="56">
      <c r="A1427" s="55">
        <f>Orders!A1427</f>
        <v/>
      </c>
      <c r="B1427" s="103">
        <f>Orders!B1427</f>
        <v/>
      </c>
      <c r="C1427" s="55">
        <f>Orders!C1427</f>
        <v/>
      </c>
      <c r="D1427" s="55">
        <f>Orders!D1427</f>
        <v/>
      </c>
      <c r="E1427" s="55">
        <f>Orders!E1427</f>
        <v/>
      </c>
      <c r="F1427" s="55">
        <f>Orders!F1427</f>
        <v/>
      </c>
      <c r="G1427" s="55">
        <f>Orders!G1427</f>
        <v/>
      </c>
      <c r="H1427" s="55">
        <f>Orders!H1427</f>
        <v/>
      </c>
      <c r="I1427" s="55">
        <f>Orders!I1427</f>
        <v/>
      </c>
      <c r="J1427" s="55">
        <f>Orders!J1427</f>
        <v/>
      </c>
      <c r="K1427" s="55">
        <f>Orders!K1427</f>
        <v/>
      </c>
      <c r="L1427" s="55">
        <f>VLOOKUP(D1427,Products!$A$2:$F$61,3,FALSE())</f>
        <v/>
      </c>
      <c r="M1427" s="55">
        <f>VLOOKUP(C1427,Customers!$A$2:$F$301,5,FALSE())</f>
        <v/>
      </c>
      <c r="N1427" s="55">
        <f>VLOOKUP(E1427,Sales_Reps!$A$2:$E$31,3,FALSE())</f>
        <v/>
      </c>
      <c r="O1427" s="55">
        <f>VLOOKUP(D1427,Products!$A$2:$F$61,4,FALSE())</f>
        <v/>
      </c>
      <c r="P1427" s="55">
        <f>VLOOKUP(C1427,Customers!$A$2:$F$301,3,FALSE())</f>
        <v/>
      </c>
      <c r="Q1427" s="55">
        <f>UPPER(TRIM(K1427))</f>
        <v/>
      </c>
      <c r="R1427" s="55">
        <f>(G1427-O1427)/G1427</f>
        <v/>
      </c>
      <c r="S1427" s="55">
        <f>VLOOKUP(D1427,Products!$A$2:$F$61,6,FALSE())</f>
        <v/>
      </c>
    </row>
    <row r="1428" ht="15" customHeight="1" s="56">
      <c r="A1428" s="55">
        <f>Orders!A1428</f>
        <v/>
      </c>
      <c r="B1428" s="103">
        <f>Orders!B1428</f>
        <v/>
      </c>
      <c r="C1428" s="55">
        <f>Orders!C1428</f>
        <v/>
      </c>
      <c r="D1428" s="55">
        <f>Orders!D1428</f>
        <v/>
      </c>
      <c r="E1428" s="55">
        <f>Orders!E1428</f>
        <v/>
      </c>
      <c r="F1428" s="55">
        <f>Orders!F1428</f>
        <v/>
      </c>
      <c r="G1428" s="55">
        <f>Orders!G1428</f>
        <v/>
      </c>
      <c r="H1428" s="55">
        <f>Orders!H1428</f>
        <v/>
      </c>
      <c r="I1428" s="55">
        <f>Orders!I1428</f>
        <v/>
      </c>
      <c r="J1428" s="55">
        <f>Orders!J1428</f>
        <v/>
      </c>
      <c r="K1428" s="55">
        <f>Orders!K1428</f>
        <v/>
      </c>
      <c r="L1428" s="55">
        <f>VLOOKUP(D1428,Products!$A$2:$F$61,3,FALSE())</f>
        <v/>
      </c>
      <c r="M1428" s="55">
        <f>VLOOKUP(C1428,Customers!$A$2:$F$301,5,FALSE())</f>
        <v/>
      </c>
      <c r="N1428" s="55">
        <f>VLOOKUP(E1428,Sales_Reps!$A$2:$E$31,3,FALSE())</f>
        <v/>
      </c>
      <c r="O1428" s="55">
        <f>VLOOKUP(D1428,Products!$A$2:$F$61,4,FALSE())</f>
        <v/>
      </c>
      <c r="P1428" s="55">
        <f>VLOOKUP(C1428,Customers!$A$2:$F$301,3,FALSE())</f>
        <v/>
      </c>
      <c r="Q1428" s="55">
        <f>UPPER(TRIM(K1428))</f>
        <v/>
      </c>
      <c r="R1428" s="55">
        <f>(G1428-O1428)/G1428</f>
        <v/>
      </c>
      <c r="S1428" s="55">
        <f>VLOOKUP(D1428,Products!$A$2:$F$61,6,FALSE())</f>
        <v/>
      </c>
    </row>
    <row r="1429" ht="15" customHeight="1" s="56">
      <c r="A1429" s="55">
        <f>Orders!A1429</f>
        <v/>
      </c>
      <c r="B1429" s="103">
        <f>Orders!B1429</f>
        <v/>
      </c>
      <c r="C1429" s="55">
        <f>Orders!C1429</f>
        <v/>
      </c>
      <c r="D1429" s="55">
        <f>Orders!D1429</f>
        <v/>
      </c>
      <c r="E1429" s="55">
        <f>Orders!E1429</f>
        <v/>
      </c>
      <c r="F1429" s="55">
        <f>Orders!F1429</f>
        <v/>
      </c>
      <c r="G1429" s="55">
        <f>Orders!G1429</f>
        <v/>
      </c>
      <c r="H1429" s="55">
        <f>Orders!H1429</f>
        <v/>
      </c>
      <c r="I1429" s="55">
        <f>Orders!I1429</f>
        <v/>
      </c>
      <c r="J1429" s="55">
        <f>Orders!J1429</f>
        <v/>
      </c>
      <c r="K1429" s="55">
        <f>Orders!K1429</f>
        <v/>
      </c>
      <c r="L1429" s="55">
        <f>VLOOKUP(D1429,Products!$A$2:$F$61,3,FALSE())</f>
        <v/>
      </c>
      <c r="M1429" s="55">
        <f>VLOOKUP(C1429,Customers!$A$2:$F$301,5,FALSE())</f>
        <v/>
      </c>
      <c r="N1429" s="55">
        <f>VLOOKUP(E1429,Sales_Reps!$A$2:$E$31,3,FALSE())</f>
        <v/>
      </c>
      <c r="O1429" s="55">
        <f>VLOOKUP(D1429,Products!$A$2:$F$61,4,FALSE())</f>
        <v/>
      </c>
      <c r="P1429" s="55">
        <f>VLOOKUP(C1429,Customers!$A$2:$F$301,3,FALSE())</f>
        <v/>
      </c>
      <c r="Q1429" s="55">
        <f>UPPER(TRIM(K1429))</f>
        <v/>
      </c>
      <c r="R1429" s="55">
        <f>(G1429-O1429)/G1429</f>
        <v/>
      </c>
      <c r="S1429" s="55">
        <f>VLOOKUP(D1429,Products!$A$2:$F$61,6,FALSE())</f>
        <v/>
      </c>
    </row>
    <row r="1430" ht="15" customHeight="1" s="56">
      <c r="A1430" s="55">
        <f>Orders!A1430</f>
        <v/>
      </c>
      <c r="B1430" s="103">
        <f>Orders!B1430</f>
        <v/>
      </c>
      <c r="C1430" s="55">
        <f>Orders!C1430</f>
        <v/>
      </c>
      <c r="D1430" s="55">
        <f>Orders!D1430</f>
        <v/>
      </c>
      <c r="E1430" s="55">
        <f>Orders!E1430</f>
        <v/>
      </c>
      <c r="F1430" s="55">
        <f>Orders!F1430</f>
        <v/>
      </c>
      <c r="G1430" s="55">
        <f>Orders!G1430</f>
        <v/>
      </c>
      <c r="H1430" s="55">
        <f>Orders!H1430</f>
        <v/>
      </c>
      <c r="I1430" s="55">
        <f>Orders!I1430</f>
        <v/>
      </c>
      <c r="J1430" s="55">
        <f>Orders!J1430</f>
        <v/>
      </c>
      <c r="K1430" s="55">
        <f>Orders!K1430</f>
        <v/>
      </c>
      <c r="L1430" s="55">
        <f>VLOOKUP(D1430,Products!$A$2:$F$61,3,FALSE())</f>
        <v/>
      </c>
      <c r="M1430" s="55">
        <f>VLOOKUP(C1430,Customers!$A$2:$F$301,5,FALSE())</f>
        <v/>
      </c>
      <c r="N1430" s="55">
        <f>VLOOKUP(E1430,Sales_Reps!$A$2:$E$31,3,FALSE())</f>
        <v/>
      </c>
      <c r="O1430" s="55">
        <f>VLOOKUP(D1430,Products!$A$2:$F$61,4,FALSE())</f>
        <v/>
      </c>
      <c r="P1430" s="55">
        <f>VLOOKUP(C1430,Customers!$A$2:$F$301,3,FALSE())</f>
        <v/>
      </c>
      <c r="Q1430" s="55">
        <f>UPPER(TRIM(K1430))</f>
        <v/>
      </c>
      <c r="R1430" s="55">
        <f>(G1430-O1430)/G1430</f>
        <v/>
      </c>
      <c r="S1430" s="55">
        <f>VLOOKUP(D1430,Products!$A$2:$F$61,6,FALSE())</f>
        <v/>
      </c>
    </row>
    <row r="1431" ht="15" customHeight="1" s="56">
      <c r="A1431" s="55">
        <f>Orders!A1431</f>
        <v/>
      </c>
      <c r="B1431" s="103">
        <f>Orders!B1431</f>
        <v/>
      </c>
      <c r="C1431" s="55">
        <f>Orders!C1431</f>
        <v/>
      </c>
      <c r="D1431" s="55">
        <f>Orders!D1431</f>
        <v/>
      </c>
      <c r="E1431" s="55">
        <f>Orders!E1431</f>
        <v/>
      </c>
      <c r="F1431" s="55">
        <f>Orders!F1431</f>
        <v/>
      </c>
      <c r="G1431" s="55">
        <f>Orders!G1431</f>
        <v/>
      </c>
      <c r="H1431" s="55">
        <f>Orders!H1431</f>
        <v/>
      </c>
      <c r="I1431" s="55">
        <f>Orders!I1431</f>
        <v/>
      </c>
      <c r="J1431" s="55">
        <f>Orders!J1431</f>
        <v/>
      </c>
      <c r="K1431" s="55">
        <f>Orders!K1431</f>
        <v/>
      </c>
      <c r="L1431" s="55">
        <f>VLOOKUP(D1431,Products!$A$2:$F$61,3,FALSE())</f>
        <v/>
      </c>
      <c r="M1431" s="55">
        <f>VLOOKUP(C1431,Customers!$A$2:$F$301,5,FALSE())</f>
        <v/>
      </c>
      <c r="N1431" s="55">
        <f>VLOOKUP(E1431,Sales_Reps!$A$2:$E$31,3,FALSE())</f>
        <v/>
      </c>
      <c r="O1431" s="55">
        <f>VLOOKUP(D1431,Products!$A$2:$F$61,4,FALSE())</f>
        <v/>
      </c>
      <c r="P1431" s="55">
        <f>VLOOKUP(C1431,Customers!$A$2:$F$301,3,FALSE())</f>
        <v/>
      </c>
      <c r="Q1431" s="55">
        <f>UPPER(TRIM(K1431))</f>
        <v/>
      </c>
      <c r="R1431" s="55">
        <f>(G1431-O1431)/G1431</f>
        <v/>
      </c>
      <c r="S1431" s="55">
        <f>VLOOKUP(D1431,Products!$A$2:$F$61,6,FALSE())</f>
        <v/>
      </c>
    </row>
    <row r="1432" ht="15" customHeight="1" s="56">
      <c r="A1432" s="55">
        <f>Orders!A1432</f>
        <v/>
      </c>
      <c r="B1432" s="103">
        <f>Orders!B1432</f>
        <v/>
      </c>
      <c r="C1432" s="55">
        <f>Orders!C1432</f>
        <v/>
      </c>
      <c r="D1432" s="55">
        <f>Orders!D1432</f>
        <v/>
      </c>
      <c r="E1432" s="55">
        <f>Orders!E1432</f>
        <v/>
      </c>
      <c r="F1432" s="55">
        <f>Orders!F1432</f>
        <v/>
      </c>
      <c r="G1432" s="55">
        <f>Orders!G1432</f>
        <v/>
      </c>
      <c r="H1432" s="55">
        <f>Orders!H1432</f>
        <v/>
      </c>
      <c r="I1432" s="55">
        <f>Orders!I1432</f>
        <v/>
      </c>
      <c r="J1432" s="55">
        <f>Orders!J1432</f>
        <v/>
      </c>
      <c r="K1432" s="55">
        <f>Orders!K1432</f>
        <v/>
      </c>
      <c r="L1432" s="55">
        <f>VLOOKUP(D1432,Products!$A$2:$F$61,3,FALSE())</f>
        <v/>
      </c>
      <c r="M1432" s="55">
        <f>VLOOKUP(C1432,Customers!$A$2:$F$301,5,FALSE())</f>
        <v/>
      </c>
      <c r="N1432" s="55">
        <f>VLOOKUP(E1432,Sales_Reps!$A$2:$E$31,3,FALSE())</f>
        <v/>
      </c>
      <c r="O1432" s="55">
        <f>VLOOKUP(D1432,Products!$A$2:$F$61,4,FALSE())</f>
        <v/>
      </c>
      <c r="P1432" s="55">
        <f>VLOOKUP(C1432,Customers!$A$2:$F$301,3,FALSE())</f>
        <v/>
      </c>
      <c r="Q1432" s="55">
        <f>UPPER(TRIM(K1432))</f>
        <v/>
      </c>
      <c r="R1432" s="55">
        <f>(G1432-O1432)/G1432</f>
        <v/>
      </c>
      <c r="S1432" s="55">
        <f>VLOOKUP(D1432,Products!$A$2:$F$61,6,FALSE())</f>
        <v/>
      </c>
    </row>
    <row r="1433" ht="15" customHeight="1" s="56">
      <c r="A1433" s="55">
        <f>Orders!A1433</f>
        <v/>
      </c>
      <c r="B1433" s="103">
        <f>Orders!B1433</f>
        <v/>
      </c>
      <c r="C1433" s="55">
        <f>Orders!C1433</f>
        <v/>
      </c>
      <c r="D1433" s="55">
        <f>Orders!D1433</f>
        <v/>
      </c>
      <c r="E1433" s="55">
        <f>Orders!E1433</f>
        <v/>
      </c>
      <c r="F1433" s="55">
        <f>Orders!F1433</f>
        <v/>
      </c>
      <c r="G1433" s="55">
        <f>Orders!G1433</f>
        <v/>
      </c>
      <c r="H1433" s="55">
        <f>Orders!H1433</f>
        <v/>
      </c>
      <c r="I1433" s="55">
        <f>Orders!I1433</f>
        <v/>
      </c>
      <c r="J1433" s="55">
        <f>Orders!J1433</f>
        <v/>
      </c>
      <c r="K1433" s="55">
        <f>Orders!K1433</f>
        <v/>
      </c>
      <c r="L1433" s="55">
        <f>VLOOKUP(D1433,Products!$A$2:$F$61,3,FALSE())</f>
        <v/>
      </c>
      <c r="M1433" s="55">
        <f>VLOOKUP(C1433,Customers!$A$2:$F$301,5,FALSE())</f>
        <v/>
      </c>
      <c r="N1433" s="55">
        <f>VLOOKUP(E1433,Sales_Reps!$A$2:$E$31,3,FALSE())</f>
        <v/>
      </c>
      <c r="O1433" s="55">
        <f>VLOOKUP(D1433,Products!$A$2:$F$61,4,FALSE())</f>
        <v/>
      </c>
      <c r="P1433" s="55">
        <f>VLOOKUP(C1433,Customers!$A$2:$F$301,3,FALSE())</f>
        <v/>
      </c>
      <c r="Q1433" s="55">
        <f>UPPER(TRIM(K1433))</f>
        <v/>
      </c>
      <c r="R1433" s="55">
        <f>(G1433-O1433)/G1433</f>
        <v/>
      </c>
      <c r="S1433" s="55">
        <f>VLOOKUP(D1433,Products!$A$2:$F$61,6,FALSE())</f>
        <v/>
      </c>
    </row>
    <row r="1434" ht="15" customHeight="1" s="56">
      <c r="A1434" s="55">
        <f>Orders!A1434</f>
        <v/>
      </c>
      <c r="B1434" s="103">
        <f>Orders!B1434</f>
        <v/>
      </c>
      <c r="C1434" s="55">
        <f>Orders!C1434</f>
        <v/>
      </c>
      <c r="D1434" s="55">
        <f>Orders!D1434</f>
        <v/>
      </c>
      <c r="E1434" s="55">
        <f>Orders!E1434</f>
        <v/>
      </c>
      <c r="F1434" s="55">
        <f>Orders!F1434</f>
        <v/>
      </c>
      <c r="G1434" s="55">
        <f>Orders!G1434</f>
        <v/>
      </c>
      <c r="H1434" s="55">
        <f>Orders!H1434</f>
        <v/>
      </c>
      <c r="I1434" s="55">
        <f>Orders!I1434</f>
        <v/>
      </c>
      <c r="J1434" s="55">
        <f>Orders!J1434</f>
        <v/>
      </c>
      <c r="K1434" s="55">
        <f>Orders!K1434</f>
        <v/>
      </c>
      <c r="L1434" s="55">
        <f>VLOOKUP(D1434,Products!$A$2:$F$61,3,FALSE())</f>
        <v/>
      </c>
      <c r="M1434" s="55">
        <f>VLOOKUP(C1434,Customers!$A$2:$F$301,5,FALSE())</f>
        <v/>
      </c>
      <c r="N1434" s="55">
        <f>VLOOKUP(E1434,Sales_Reps!$A$2:$E$31,3,FALSE())</f>
        <v/>
      </c>
      <c r="O1434" s="55">
        <f>VLOOKUP(D1434,Products!$A$2:$F$61,4,FALSE())</f>
        <v/>
      </c>
      <c r="P1434" s="55">
        <f>VLOOKUP(C1434,Customers!$A$2:$F$301,3,FALSE())</f>
        <v/>
      </c>
      <c r="Q1434" s="55">
        <f>UPPER(TRIM(K1434))</f>
        <v/>
      </c>
      <c r="R1434" s="55">
        <f>(G1434-O1434)/G1434</f>
        <v/>
      </c>
      <c r="S1434" s="55">
        <f>VLOOKUP(D1434,Products!$A$2:$F$61,6,FALSE())</f>
        <v/>
      </c>
    </row>
    <row r="1435" ht="15" customHeight="1" s="56">
      <c r="A1435" s="55">
        <f>Orders!A1435</f>
        <v/>
      </c>
      <c r="B1435" s="103">
        <f>Orders!B1435</f>
        <v/>
      </c>
      <c r="C1435" s="55">
        <f>Orders!C1435</f>
        <v/>
      </c>
      <c r="D1435" s="55">
        <f>Orders!D1435</f>
        <v/>
      </c>
      <c r="E1435" s="55">
        <f>Orders!E1435</f>
        <v/>
      </c>
      <c r="F1435" s="55">
        <f>Orders!F1435</f>
        <v/>
      </c>
      <c r="G1435" s="55">
        <f>Orders!G1435</f>
        <v/>
      </c>
      <c r="H1435" s="55">
        <f>Orders!H1435</f>
        <v/>
      </c>
      <c r="I1435" s="55">
        <f>Orders!I1435</f>
        <v/>
      </c>
      <c r="J1435" s="55">
        <f>Orders!J1435</f>
        <v/>
      </c>
      <c r="K1435" s="55">
        <f>Orders!K1435</f>
        <v/>
      </c>
      <c r="L1435" s="55">
        <f>VLOOKUP(D1435,Products!$A$2:$F$61,3,FALSE())</f>
        <v/>
      </c>
      <c r="M1435" s="55">
        <f>VLOOKUP(C1435,Customers!$A$2:$F$301,5,FALSE())</f>
        <v/>
      </c>
      <c r="N1435" s="55">
        <f>VLOOKUP(E1435,Sales_Reps!$A$2:$E$31,3,FALSE())</f>
        <v/>
      </c>
      <c r="O1435" s="55">
        <f>VLOOKUP(D1435,Products!$A$2:$F$61,4,FALSE())</f>
        <v/>
      </c>
      <c r="P1435" s="55">
        <f>VLOOKUP(C1435,Customers!$A$2:$F$301,3,FALSE())</f>
        <v/>
      </c>
      <c r="Q1435" s="55">
        <f>UPPER(TRIM(K1435))</f>
        <v/>
      </c>
      <c r="R1435" s="55">
        <f>(G1435-O1435)/G1435</f>
        <v/>
      </c>
      <c r="S1435" s="55">
        <f>VLOOKUP(D1435,Products!$A$2:$F$61,6,FALSE())</f>
        <v/>
      </c>
    </row>
    <row r="1436" ht="15" customHeight="1" s="56">
      <c r="A1436" s="55">
        <f>Orders!A1436</f>
        <v/>
      </c>
      <c r="B1436" s="103">
        <f>Orders!B1436</f>
        <v/>
      </c>
      <c r="C1436" s="55">
        <f>Orders!C1436</f>
        <v/>
      </c>
      <c r="D1436" s="55">
        <f>Orders!D1436</f>
        <v/>
      </c>
      <c r="E1436" s="55">
        <f>Orders!E1436</f>
        <v/>
      </c>
      <c r="F1436" s="55">
        <f>Orders!F1436</f>
        <v/>
      </c>
      <c r="G1436" s="55">
        <f>Orders!G1436</f>
        <v/>
      </c>
      <c r="H1436" s="55">
        <f>Orders!H1436</f>
        <v/>
      </c>
      <c r="I1436" s="55">
        <f>Orders!I1436</f>
        <v/>
      </c>
      <c r="J1436" s="55">
        <f>Orders!J1436</f>
        <v/>
      </c>
      <c r="K1436" s="55">
        <f>Orders!K1436</f>
        <v/>
      </c>
      <c r="L1436" s="55">
        <f>VLOOKUP(D1436,Products!$A$2:$F$61,3,FALSE())</f>
        <v/>
      </c>
      <c r="M1436" s="55">
        <f>VLOOKUP(C1436,Customers!$A$2:$F$301,5,FALSE())</f>
        <v/>
      </c>
      <c r="N1436" s="55">
        <f>VLOOKUP(E1436,Sales_Reps!$A$2:$E$31,3,FALSE())</f>
        <v/>
      </c>
      <c r="O1436" s="55">
        <f>VLOOKUP(D1436,Products!$A$2:$F$61,4,FALSE())</f>
        <v/>
      </c>
      <c r="P1436" s="55">
        <f>VLOOKUP(C1436,Customers!$A$2:$F$301,3,FALSE())</f>
        <v/>
      </c>
      <c r="Q1436" s="55">
        <f>UPPER(TRIM(K1436))</f>
        <v/>
      </c>
      <c r="R1436" s="55">
        <f>(G1436-O1436)/G1436</f>
        <v/>
      </c>
      <c r="S1436" s="55">
        <f>VLOOKUP(D1436,Products!$A$2:$F$61,6,FALSE())</f>
        <v/>
      </c>
    </row>
    <row r="1437" ht="15" customHeight="1" s="56">
      <c r="A1437" s="55">
        <f>Orders!A1437</f>
        <v/>
      </c>
      <c r="B1437" s="103">
        <f>Orders!B1437</f>
        <v/>
      </c>
      <c r="C1437" s="55">
        <f>Orders!C1437</f>
        <v/>
      </c>
      <c r="D1437" s="55">
        <f>Orders!D1437</f>
        <v/>
      </c>
      <c r="E1437" s="55">
        <f>Orders!E1437</f>
        <v/>
      </c>
      <c r="F1437" s="55">
        <f>Orders!F1437</f>
        <v/>
      </c>
      <c r="G1437" s="55">
        <f>Orders!G1437</f>
        <v/>
      </c>
      <c r="H1437" s="55">
        <f>Orders!H1437</f>
        <v/>
      </c>
      <c r="I1437" s="55">
        <f>Orders!I1437</f>
        <v/>
      </c>
      <c r="J1437" s="55">
        <f>Orders!J1437</f>
        <v/>
      </c>
      <c r="K1437" s="55">
        <f>Orders!K1437</f>
        <v/>
      </c>
      <c r="L1437" s="55">
        <f>VLOOKUP(D1437,Products!$A$2:$F$61,3,FALSE())</f>
        <v/>
      </c>
      <c r="M1437" s="55">
        <f>VLOOKUP(C1437,Customers!$A$2:$F$301,5,FALSE())</f>
        <v/>
      </c>
      <c r="N1437" s="55">
        <f>VLOOKUP(E1437,Sales_Reps!$A$2:$E$31,3,FALSE())</f>
        <v/>
      </c>
      <c r="O1437" s="55">
        <f>VLOOKUP(D1437,Products!$A$2:$F$61,4,FALSE())</f>
        <v/>
      </c>
      <c r="P1437" s="55">
        <f>VLOOKUP(C1437,Customers!$A$2:$F$301,3,FALSE())</f>
        <v/>
      </c>
      <c r="Q1437" s="55">
        <f>UPPER(TRIM(K1437))</f>
        <v/>
      </c>
      <c r="R1437" s="55">
        <f>(G1437-O1437)/G1437</f>
        <v/>
      </c>
      <c r="S1437" s="55">
        <f>VLOOKUP(D1437,Products!$A$2:$F$61,6,FALSE())</f>
        <v/>
      </c>
    </row>
    <row r="1438" ht="15" customHeight="1" s="56">
      <c r="A1438" s="55">
        <f>Orders!A1438</f>
        <v/>
      </c>
      <c r="B1438" s="103">
        <f>Orders!B1438</f>
        <v/>
      </c>
      <c r="C1438" s="55">
        <f>Orders!C1438</f>
        <v/>
      </c>
      <c r="D1438" s="55">
        <f>Orders!D1438</f>
        <v/>
      </c>
      <c r="E1438" s="55">
        <f>Orders!E1438</f>
        <v/>
      </c>
      <c r="F1438" s="55">
        <f>Orders!F1438</f>
        <v/>
      </c>
      <c r="G1438" s="55">
        <f>Orders!G1438</f>
        <v/>
      </c>
      <c r="H1438" s="55">
        <f>Orders!H1438</f>
        <v/>
      </c>
      <c r="I1438" s="55">
        <f>Orders!I1438</f>
        <v/>
      </c>
      <c r="J1438" s="55">
        <f>Orders!J1438</f>
        <v/>
      </c>
      <c r="K1438" s="55">
        <f>Orders!K1438</f>
        <v/>
      </c>
      <c r="L1438" s="55">
        <f>VLOOKUP(D1438,Products!$A$2:$F$61,3,FALSE())</f>
        <v/>
      </c>
      <c r="M1438" s="55">
        <f>VLOOKUP(C1438,Customers!$A$2:$F$301,5,FALSE())</f>
        <v/>
      </c>
      <c r="N1438" s="55">
        <f>VLOOKUP(E1438,Sales_Reps!$A$2:$E$31,3,FALSE())</f>
        <v/>
      </c>
      <c r="O1438" s="55">
        <f>VLOOKUP(D1438,Products!$A$2:$F$61,4,FALSE())</f>
        <v/>
      </c>
      <c r="P1438" s="55">
        <f>VLOOKUP(C1438,Customers!$A$2:$F$301,3,FALSE())</f>
        <v/>
      </c>
      <c r="Q1438" s="55">
        <f>UPPER(TRIM(K1438))</f>
        <v/>
      </c>
      <c r="R1438" s="55">
        <f>(G1438-O1438)/G1438</f>
        <v/>
      </c>
      <c r="S1438" s="55">
        <f>VLOOKUP(D1438,Products!$A$2:$F$61,6,FALSE())</f>
        <v/>
      </c>
    </row>
    <row r="1439" ht="15" customHeight="1" s="56">
      <c r="A1439" s="55">
        <f>Orders!A1439</f>
        <v/>
      </c>
      <c r="B1439" s="103">
        <f>Orders!B1439</f>
        <v/>
      </c>
      <c r="C1439" s="55">
        <f>Orders!C1439</f>
        <v/>
      </c>
      <c r="D1439" s="55">
        <f>Orders!D1439</f>
        <v/>
      </c>
      <c r="E1439" s="55">
        <f>Orders!E1439</f>
        <v/>
      </c>
      <c r="F1439" s="55">
        <f>Orders!F1439</f>
        <v/>
      </c>
      <c r="G1439" s="55">
        <f>Orders!G1439</f>
        <v/>
      </c>
      <c r="H1439" s="55">
        <f>Orders!H1439</f>
        <v/>
      </c>
      <c r="I1439" s="55">
        <f>Orders!I1439</f>
        <v/>
      </c>
      <c r="J1439" s="55">
        <f>Orders!J1439</f>
        <v/>
      </c>
      <c r="K1439" s="55">
        <f>Orders!K1439</f>
        <v/>
      </c>
      <c r="L1439" s="55">
        <f>VLOOKUP(D1439,Products!$A$2:$F$61,3,FALSE())</f>
        <v/>
      </c>
      <c r="M1439" s="55">
        <f>VLOOKUP(C1439,Customers!$A$2:$F$301,5,FALSE())</f>
        <v/>
      </c>
      <c r="N1439" s="55">
        <f>VLOOKUP(E1439,Sales_Reps!$A$2:$E$31,3,FALSE())</f>
        <v/>
      </c>
      <c r="O1439" s="55">
        <f>VLOOKUP(D1439,Products!$A$2:$F$61,4,FALSE())</f>
        <v/>
      </c>
      <c r="P1439" s="55">
        <f>VLOOKUP(C1439,Customers!$A$2:$F$301,3,FALSE())</f>
        <v/>
      </c>
      <c r="Q1439" s="55">
        <f>UPPER(TRIM(K1439))</f>
        <v/>
      </c>
      <c r="R1439" s="55">
        <f>(G1439-O1439)/G1439</f>
        <v/>
      </c>
      <c r="S1439" s="55">
        <f>VLOOKUP(D1439,Products!$A$2:$F$61,6,FALSE())</f>
        <v/>
      </c>
    </row>
    <row r="1440" ht="15" customHeight="1" s="56">
      <c r="A1440" s="55">
        <f>Orders!A1440</f>
        <v/>
      </c>
      <c r="B1440" s="103">
        <f>Orders!B1440</f>
        <v/>
      </c>
      <c r="C1440" s="55">
        <f>Orders!C1440</f>
        <v/>
      </c>
      <c r="D1440" s="55">
        <f>Orders!D1440</f>
        <v/>
      </c>
      <c r="E1440" s="55">
        <f>Orders!E1440</f>
        <v/>
      </c>
      <c r="F1440" s="55">
        <f>Orders!F1440</f>
        <v/>
      </c>
      <c r="G1440" s="55">
        <f>Orders!G1440</f>
        <v/>
      </c>
      <c r="H1440" s="55">
        <f>Orders!H1440</f>
        <v/>
      </c>
      <c r="I1440" s="55">
        <f>Orders!I1440</f>
        <v/>
      </c>
      <c r="J1440" s="55">
        <f>Orders!J1440</f>
        <v/>
      </c>
      <c r="K1440" s="55">
        <f>Orders!K1440</f>
        <v/>
      </c>
      <c r="L1440" s="55">
        <f>VLOOKUP(D1440,Products!$A$2:$F$61,3,FALSE())</f>
        <v/>
      </c>
      <c r="M1440" s="55">
        <f>VLOOKUP(C1440,Customers!$A$2:$F$301,5,FALSE())</f>
        <v/>
      </c>
      <c r="N1440" s="55">
        <f>VLOOKUP(E1440,Sales_Reps!$A$2:$E$31,3,FALSE())</f>
        <v/>
      </c>
      <c r="O1440" s="55">
        <f>VLOOKUP(D1440,Products!$A$2:$F$61,4,FALSE())</f>
        <v/>
      </c>
      <c r="P1440" s="55">
        <f>VLOOKUP(C1440,Customers!$A$2:$F$301,3,FALSE())</f>
        <v/>
      </c>
      <c r="Q1440" s="55">
        <f>UPPER(TRIM(K1440))</f>
        <v/>
      </c>
      <c r="R1440" s="55">
        <f>(G1440-O1440)/G1440</f>
        <v/>
      </c>
      <c r="S1440" s="55">
        <f>VLOOKUP(D1440,Products!$A$2:$F$61,6,FALSE())</f>
        <v/>
      </c>
    </row>
    <row r="1441" ht="15" customHeight="1" s="56">
      <c r="A1441" s="55">
        <f>Orders!A1441</f>
        <v/>
      </c>
      <c r="B1441" s="103">
        <f>Orders!B1441</f>
        <v/>
      </c>
      <c r="C1441" s="55">
        <f>Orders!C1441</f>
        <v/>
      </c>
      <c r="D1441" s="55">
        <f>Orders!D1441</f>
        <v/>
      </c>
      <c r="E1441" s="55">
        <f>Orders!E1441</f>
        <v/>
      </c>
      <c r="F1441" s="55">
        <f>Orders!F1441</f>
        <v/>
      </c>
      <c r="G1441" s="55">
        <f>Orders!G1441</f>
        <v/>
      </c>
      <c r="H1441" s="55">
        <f>Orders!H1441</f>
        <v/>
      </c>
      <c r="I1441" s="55">
        <f>Orders!I1441</f>
        <v/>
      </c>
      <c r="J1441" s="55">
        <f>Orders!J1441</f>
        <v/>
      </c>
      <c r="K1441" s="55">
        <f>Orders!K1441</f>
        <v/>
      </c>
      <c r="L1441" s="55">
        <f>VLOOKUP(D1441,Products!$A$2:$F$61,3,FALSE())</f>
        <v/>
      </c>
      <c r="M1441" s="55">
        <f>VLOOKUP(C1441,Customers!$A$2:$F$301,5,FALSE())</f>
        <v/>
      </c>
      <c r="N1441" s="55">
        <f>VLOOKUP(E1441,Sales_Reps!$A$2:$E$31,3,FALSE())</f>
        <v/>
      </c>
      <c r="O1441" s="55">
        <f>VLOOKUP(D1441,Products!$A$2:$F$61,4,FALSE())</f>
        <v/>
      </c>
      <c r="P1441" s="55">
        <f>VLOOKUP(C1441,Customers!$A$2:$F$301,3,FALSE())</f>
        <v/>
      </c>
      <c r="Q1441" s="55">
        <f>UPPER(TRIM(K1441))</f>
        <v/>
      </c>
      <c r="R1441" s="55">
        <f>(G1441-O1441)/G1441</f>
        <v/>
      </c>
      <c r="S1441" s="55">
        <f>VLOOKUP(D1441,Products!$A$2:$F$61,6,FALSE())</f>
        <v/>
      </c>
    </row>
    <row r="1442" ht="15" customHeight="1" s="56">
      <c r="A1442" s="55">
        <f>Orders!A1442</f>
        <v/>
      </c>
      <c r="B1442" s="103">
        <f>Orders!B1442</f>
        <v/>
      </c>
      <c r="C1442" s="55">
        <f>Orders!C1442</f>
        <v/>
      </c>
      <c r="D1442" s="55">
        <f>Orders!D1442</f>
        <v/>
      </c>
      <c r="E1442" s="55">
        <f>Orders!E1442</f>
        <v/>
      </c>
      <c r="F1442" s="55">
        <f>Orders!F1442</f>
        <v/>
      </c>
      <c r="G1442" s="55">
        <f>Orders!G1442</f>
        <v/>
      </c>
      <c r="H1442" s="55">
        <f>Orders!H1442</f>
        <v/>
      </c>
      <c r="I1442" s="55">
        <f>Orders!I1442</f>
        <v/>
      </c>
      <c r="J1442" s="55">
        <f>Orders!J1442</f>
        <v/>
      </c>
      <c r="K1442" s="55">
        <f>Orders!K1442</f>
        <v/>
      </c>
      <c r="L1442" s="55">
        <f>VLOOKUP(D1442,Products!$A$2:$F$61,3,FALSE())</f>
        <v/>
      </c>
      <c r="M1442" s="55">
        <f>VLOOKUP(C1442,Customers!$A$2:$F$301,5,FALSE())</f>
        <v/>
      </c>
      <c r="N1442" s="55">
        <f>VLOOKUP(E1442,Sales_Reps!$A$2:$E$31,3,FALSE())</f>
        <v/>
      </c>
      <c r="O1442" s="55">
        <f>VLOOKUP(D1442,Products!$A$2:$F$61,4,FALSE())</f>
        <v/>
      </c>
      <c r="P1442" s="55">
        <f>VLOOKUP(C1442,Customers!$A$2:$F$301,3,FALSE())</f>
        <v/>
      </c>
      <c r="Q1442" s="55">
        <f>UPPER(TRIM(K1442))</f>
        <v/>
      </c>
      <c r="R1442" s="55">
        <f>(G1442-O1442)/G1442</f>
        <v/>
      </c>
      <c r="S1442" s="55">
        <f>VLOOKUP(D1442,Products!$A$2:$F$61,6,FALSE())</f>
        <v/>
      </c>
    </row>
    <row r="1443" ht="15" customHeight="1" s="56">
      <c r="A1443" s="55">
        <f>Orders!A1443</f>
        <v/>
      </c>
      <c r="B1443" s="103">
        <f>Orders!B1443</f>
        <v/>
      </c>
      <c r="C1443" s="55">
        <f>Orders!C1443</f>
        <v/>
      </c>
      <c r="D1443" s="55">
        <f>Orders!D1443</f>
        <v/>
      </c>
      <c r="E1443" s="55">
        <f>Orders!E1443</f>
        <v/>
      </c>
      <c r="F1443" s="55">
        <f>Orders!F1443</f>
        <v/>
      </c>
      <c r="G1443" s="55">
        <f>Orders!G1443</f>
        <v/>
      </c>
      <c r="H1443" s="55">
        <f>Orders!H1443</f>
        <v/>
      </c>
      <c r="I1443" s="55">
        <f>Orders!I1443</f>
        <v/>
      </c>
      <c r="J1443" s="55">
        <f>Orders!J1443</f>
        <v/>
      </c>
      <c r="K1443" s="55">
        <f>Orders!K1443</f>
        <v/>
      </c>
      <c r="L1443" s="55">
        <f>VLOOKUP(D1443,Products!$A$2:$F$61,3,FALSE())</f>
        <v/>
      </c>
      <c r="M1443" s="55">
        <f>VLOOKUP(C1443,Customers!$A$2:$F$301,5,FALSE())</f>
        <v/>
      </c>
      <c r="N1443" s="55">
        <f>VLOOKUP(E1443,Sales_Reps!$A$2:$E$31,3,FALSE())</f>
        <v/>
      </c>
      <c r="O1443" s="55">
        <f>VLOOKUP(D1443,Products!$A$2:$F$61,4,FALSE())</f>
        <v/>
      </c>
      <c r="P1443" s="55">
        <f>VLOOKUP(C1443,Customers!$A$2:$F$301,3,FALSE())</f>
        <v/>
      </c>
      <c r="Q1443" s="55">
        <f>UPPER(TRIM(K1443))</f>
        <v/>
      </c>
      <c r="R1443" s="55">
        <f>(G1443-O1443)/G1443</f>
        <v/>
      </c>
      <c r="S1443" s="55">
        <f>VLOOKUP(D1443,Products!$A$2:$F$61,6,FALSE())</f>
        <v/>
      </c>
    </row>
    <row r="1444" ht="15" customHeight="1" s="56">
      <c r="A1444" s="55">
        <f>Orders!A1444</f>
        <v/>
      </c>
      <c r="B1444" s="103">
        <f>Orders!B1444</f>
        <v/>
      </c>
      <c r="C1444" s="55">
        <f>Orders!C1444</f>
        <v/>
      </c>
      <c r="D1444" s="55">
        <f>Orders!D1444</f>
        <v/>
      </c>
      <c r="E1444" s="55">
        <f>Orders!E1444</f>
        <v/>
      </c>
      <c r="F1444" s="55">
        <f>Orders!F1444</f>
        <v/>
      </c>
      <c r="G1444" s="55">
        <f>Orders!G1444</f>
        <v/>
      </c>
      <c r="H1444" s="55">
        <f>Orders!H1444</f>
        <v/>
      </c>
      <c r="I1444" s="55">
        <f>Orders!I1444</f>
        <v/>
      </c>
      <c r="J1444" s="55">
        <f>Orders!J1444</f>
        <v/>
      </c>
      <c r="K1444" s="55">
        <f>Orders!K1444</f>
        <v/>
      </c>
      <c r="L1444" s="55">
        <f>VLOOKUP(D1444,Products!$A$2:$F$61,3,FALSE())</f>
        <v/>
      </c>
      <c r="M1444" s="55">
        <f>VLOOKUP(C1444,Customers!$A$2:$F$301,5,FALSE())</f>
        <v/>
      </c>
      <c r="N1444" s="55">
        <f>VLOOKUP(E1444,Sales_Reps!$A$2:$E$31,3,FALSE())</f>
        <v/>
      </c>
      <c r="O1444" s="55">
        <f>VLOOKUP(D1444,Products!$A$2:$F$61,4,FALSE())</f>
        <v/>
      </c>
      <c r="P1444" s="55">
        <f>VLOOKUP(C1444,Customers!$A$2:$F$301,3,FALSE())</f>
        <v/>
      </c>
      <c r="Q1444" s="55">
        <f>UPPER(TRIM(K1444))</f>
        <v/>
      </c>
      <c r="R1444" s="55">
        <f>(G1444-O1444)/G1444</f>
        <v/>
      </c>
      <c r="S1444" s="55">
        <f>VLOOKUP(D1444,Products!$A$2:$F$61,6,FALSE())</f>
        <v/>
      </c>
    </row>
    <row r="1445" ht="15" customHeight="1" s="56">
      <c r="A1445" s="55">
        <f>Orders!A1445</f>
        <v/>
      </c>
      <c r="B1445" s="103">
        <f>Orders!B1445</f>
        <v/>
      </c>
      <c r="C1445" s="55">
        <f>Orders!C1445</f>
        <v/>
      </c>
      <c r="D1445" s="55">
        <f>Orders!D1445</f>
        <v/>
      </c>
      <c r="E1445" s="55">
        <f>Orders!E1445</f>
        <v/>
      </c>
      <c r="F1445" s="55">
        <f>Orders!F1445</f>
        <v/>
      </c>
      <c r="G1445" s="55">
        <f>Orders!G1445</f>
        <v/>
      </c>
      <c r="H1445" s="55">
        <f>Orders!H1445</f>
        <v/>
      </c>
      <c r="I1445" s="55">
        <f>Orders!I1445</f>
        <v/>
      </c>
      <c r="J1445" s="55">
        <f>Orders!J1445</f>
        <v/>
      </c>
      <c r="K1445" s="55">
        <f>Orders!K1445</f>
        <v/>
      </c>
      <c r="L1445" s="55">
        <f>VLOOKUP(D1445,Products!$A$2:$F$61,3,FALSE())</f>
        <v/>
      </c>
      <c r="M1445" s="55">
        <f>VLOOKUP(C1445,Customers!$A$2:$F$301,5,FALSE())</f>
        <v/>
      </c>
      <c r="N1445" s="55">
        <f>VLOOKUP(E1445,Sales_Reps!$A$2:$E$31,3,FALSE())</f>
        <v/>
      </c>
      <c r="O1445" s="55">
        <f>VLOOKUP(D1445,Products!$A$2:$F$61,4,FALSE())</f>
        <v/>
      </c>
      <c r="P1445" s="55">
        <f>VLOOKUP(C1445,Customers!$A$2:$F$301,3,FALSE())</f>
        <v/>
      </c>
      <c r="Q1445" s="55">
        <f>UPPER(TRIM(K1445))</f>
        <v/>
      </c>
      <c r="R1445" s="55">
        <f>(G1445-O1445)/G1445</f>
        <v/>
      </c>
      <c r="S1445" s="55">
        <f>VLOOKUP(D1445,Products!$A$2:$F$61,6,FALSE())</f>
        <v/>
      </c>
    </row>
    <row r="1446" ht="15" customHeight="1" s="56">
      <c r="A1446" s="55">
        <f>Orders!A1446</f>
        <v/>
      </c>
      <c r="B1446" s="103">
        <f>Orders!B1446</f>
        <v/>
      </c>
      <c r="C1446" s="55">
        <f>Orders!C1446</f>
        <v/>
      </c>
      <c r="D1446" s="55">
        <f>Orders!D1446</f>
        <v/>
      </c>
      <c r="E1446" s="55">
        <f>Orders!E1446</f>
        <v/>
      </c>
      <c r="F1446" s="55">
        <f>Orders!F1446</f>
        <v/>
      </c>
      <c r="G1446" s="55">
        <f>Orders!G1446</f>
        <v/>
      </c>
      <c r="H1446" s="55">
        <f>Orders!H1446</f>
        <v/>
      </c>
      <c r="I1446" s="55">
        <f>Orders!I1446</f>
        <v/>
      </c>
      <c r="J1446" s="55">
        <f>Orders!J1446</f>
        <v/>
      </c>
      <c r="K1446" s="55">
        <f>Orders!K1446</f>
        <v/>
      </c>
      <c r="L1446" s="55">
        <f>VLOOKUP(D1446,Products!$A$2:$F$61,3,FALSE())</f>
        <v/>
      </c>
      <c r="M1446" s="55">
        <f>VLOOKUP(C1446,Customers!$A$2:$F$301,5,FALSE())</f>
        <v/>
      </c>
      <c r="N1446" s="55">
        <f>VLOOKUP(E1446,Sales_Reps!$A$2:$E$31,3,FALSE())</f>
        <v/>
      </c>
      <c r="O1446" s="55">
        <f>VLOOKUP(D1446,Products!$A$2:$F$61,4,FALSE())</f>
        <v/>
      </c>
      <c r="P1446" s="55">
        <f>VLOOKUP(C1446,Customers!$A$2:$F$301,3,FALSE())</f>
        <v/>
      </c>
      <c r="Q1446" s="55">
        <f>UPPER(TRIM(K1446))</f>
        <v/>
      </c>
      <c r="R1446" s="55">
        <f>(G1446-O1446)/G1446</f>
        <v/>
      </c>
      <c r="S1446" s="55">
        <f>VLOOKUP(D1446,Products!$A$2:$F$61,6,FALSE())</f>
        <v/>
      </c>
    </row>
    <row r="1447" ht="15" customHeight="1" s="56">
      <c r="A1447" s="55">
        <f>Orders!A1447</f>
        <v/>
      </c>
      <c r="B1447" s="103">
        <f>Orders!B1447</f>
        <v/>
      </c>
      <c r="C1447" s="55">
        <f>Orders!C1447</f>
        <v/>
      </c>
      <c r="D1447" s="55">
        <f>Orders!D1447</f>
        <v/>
      </c>
      <c r="E1447" s="55">
        <f>Orders!E1447</f>
        <v/>
      </c>
      <c r="F1447" s="55">
        <f>Orders!F1447</f>
        <v/>
      </c>
      <c r="G1447" s="55">
        <f>Orders!G1447</f>
        <v/>
      </c>
      <c r="H1447" s="55">
        <f>Orders!H1447</f>
        <v/>
      </c>
      <c r="I1447" s="55">
        <f>Orders!I1447</f>
        <v/>
      </c>
      <c r="J1447" s="55">
        <f>Orders!J1447</f>
        <v/>
      </c>
      <c r="K1447" s="55">
        <f>Orders!K1447</f>
        <v/>
      </c>
      <c r="L1447" s="55">
        <f>VLOOKUP(D1447,Products!$A$2:$F$61,3,FALSE())</f>
        <v/>
      </c>
      <c r="M1447" s="55">
        <f>VLOOKUP(C1447,Customers!$A$2:$F$301,5,FALSE())</f>
        <v/>
      </c>
      <c r="N1447" s="55">
        <f>VLOOKUP(E1447,Sales_Reps!$A$2:$E$31,3,FALSE())</f>
        <v/>
      </c>
      <c r="O1447" s="55">
        <f>VLOOKUP(D1447,Products!$A$2:$F$61,4,FALSE())</f>
        <v/>
      </c>
      <c r="P1447" s="55">
        <f>VLOOKUP(C1447,Customers!$A$2:$F$301,3,FALSE())</f>
        <v/>
      </c>
      <c r="Q1447" s="55">
        <f>UPPER(TRIM(K1447))</f>
        <v/>
      </c>
      <c r="R1447" s="55">
        <f>(G1447-O1447)/G1447</f>
        <v/>
      </c>
      <c r="S1447" s="55">
        <f>VLOOKUP(D1447,Products!$A$2:$F$61,6,FALSE())</f>
        <v/>
      </c>
    </row>
    <row r="1448" ht="15" customHeight="1" s="56">
      <c r="A1448" s="55">
        <f>Orders!A1448</f>
        <v/>
      </c>
      <c r="B1448" s="103">
        <f>Orders!B1448</f>
        <v/>
      </c>
      <c r="C1448" s="55">
        <f>Orders!C1448</f>
        <v/>
      </c>
      <c r="D1448" s="55">
        <f>Orders!D1448</f>
        <v/>
      </c>
      <c r="E1448" s="55">
        <f>Orders!E1448</f>
        <v/>
      </c>
      <c r="F1448" s="55">
        <f>Orders!F1448</f>
        <v/>
      </c>
      <c r="G1448" s="55">
        <f>Orders!G1448</f>
        <v/>
      </c>
      <c r="H1448" s="55">
        <f>Orders!H1448</f>
        <v/>
      </c>
      <c r="I1448" s="55">
        <f>Orders!I1448</f>
        <v/>
      </c>
      <c r="J1448" s="55">
        <f>Orders!J1448</f>
        <v/>
      </c>
      <c r="K1448" s="55">
        <f>Orders!K1448</f>
        <v/>
      </c>
      <c r="L1448" s="55">
        <f>VLOOKUP(D1448,Products!$A$2:$F$61,3,FALSE())</f>
        <v/>
      </c>
      <c r="M1448" s="55">
        <f>VLOOKUP(C1448,Customers!$A$2:$F$301,5,FALSE())</f>
        <v/>
      </c>
      <c r="N1448" s="55">
        <f>VLOOKUP(E1448,Sales_Reps!$A$2:$E$31,3,FALSE())</f>
        <v/>
      </c>
      <c r="O1448" s="55">
        <f>VLOOKUP(D1448,Products!$A$2:$F$61,4,FALSE())</f>
        <v/>
      </c>
      <c r="P1448" s="55">
        <f>VLOOKUP(C1448,Customers!$A$2:$F$301,3,FALSE())</f>
        <v/>
      </c>
      <c r="Q1448" s="55">
        <f>UPPER(TRIM(K1448))</f>
        <v/>
      </c>
      <c r="R1448" s="55">
        <f>(G1448-O1448)/G1448</f>
        <v/>
      </c>
      <c r="S1448" s="55">
        <f>VLOOKUP(D1448,Products!$A$2:$F$61,6,FALSE())</f>
        <v/>
      </c>
    </row>
    <row r="1449" ht="15" customHeight="1" s="56">
      <c r="A1449" s="55">
        <f>Orders!A1449</f>
        <v/>
      </c>
      <c r="B1449" s="103">
        <f>Orders!B1449</f>
        <v/>
      </c>
      <c r="C1449" s="55">
        <f>Orders!C1449</f>
        <v/>
      </c>
      <c r="D1449" s="55">
        <f>Orders!D1449</f>
        <v/>
      </c>
      <c r="E1449" s="55">
        <f>Orders!E1449</f>
        <v/>
      </c>
      <c r="F1449" s="55">
        <f>Orders!F1449</f>
        <v/>
      </c>
      <c r="G1449" s="55">
        <f>Orders!G1449</f>
        <v/>
      </c>
      <c r="H1449" s="55">
        <f>Orders!H1449</f>
        <v/>
      </c>
      <c r="I1449" s="55">
        <f>Orders!I1449</f>
        <v/>
      </c>
      <c r="J1449" s="55">
        <f>Orders!J1449</f>
        <v/>
      </c>
      <c r="K1449" s="55">
        <f>Orders!K1449</f>
        <v/>
      </c>
      <c r="L1449" s="55">
        <f>VLOOKUP(D1449,Products!$A$2:$F$61,3,FALSE())</f>
        <v/>
      </c>
      <c r="M1449" s="55">
        <f>VLOOKUP(C1449,Customers!$A$2:$F$301,5,FALSE())</f>
        <v/>
      </c>
      <c r="N1449" s="55">
        <f>VLOOKUP(E1449,Sales_Reps!$A$2:$E$31,3,FALSE())</f>
        <v/>
      </c>
      <c r="O1449" s="55">
        <f>VLOOKUP(D1449,Products!$A$2:$F$61,4,FALSE())</f>
        <v/>
      </c>
      <c r="P1449" s="55">
        <f>VLOOKUP(C1449,Customers!$A$2:$F$301,3,FALSE())</f>
        <v/>
      </c>
      <c r="Q1449" s="55">
        <f>UPPER(TRIM(K1449))</f>
        <v/>
      </c>
      <c r="R1449" s="55">
        <f>(G1449-O1449)/G1449</f>
        <v/>
      </c>
      <c r="S1449" s="55">
        <f>VLOOKUP(D1449,Products!$A$2:$F$61,6,FALSE())</f>
        <v/>
      </c>
    </row>
    <row r="1450" ht="15" customHeight="1" s="56">
      <c r="A1450" s="55">
        <f>Orders!A1450</f>
        <v/>
      </c>
      <c r="B1450" s="103">
        <f>Orders!B1450</f>
        <v/>
      </c>
      <c r="C1450" s="55">
        <f>Orders!C1450</f>
        <v/>
      </c>
      <c r="D1450" s="55">
        <f>Orders!D1450</f>
        <v/>
      </c>
      <c r="E1450" s="55">
        <f>Orders!E1450</f>
        <v/>
      </c>
      <c r="F1450" s="55">
        <f>Orders!F1450</f>
        <v/>
      </c>
      <c r="G1450" s="55">
        <f>Orders!G1450</f>
        <v/>
      </c>
      <c r="H1450" s="55">
        <f>Orders!H1450</f>
        <v/>
      </c>
      <c r="I1450" s="55">
        <f>Orders!I1450</f>
        <v/>
      </c>
      <c r="J1450" s="55">
        <f>Orders!J1450</f>
        <v/>
      </c>
      <c r="K1450" s="55">
        <f>Orders!K1450</f>
        <v/>
      </c>
      <c r="L1450" s="55">
        <f>VLOOKUP(D1450,Products!$A$2:$F$61,3,FALSE())</f>
        <v/>
      </c>
      <c r="M1450" s="55">
        <f>VLOOKUP(C1450,Customers!$A$2:$F$301,5,FALSE())</f>
        <v/>
      </c>
      <c r="N1450" s="55">
        <f>VLOOKUP(E1450,Sales_Reps!$A$2:$E$31,3,FALSE())</f>
        <v/>
      </c>
      <c r="O1450" s="55">
        <f>VLOOKUP(D1450,Products!$A$2:$F$61,4,FALSE())</f>
        <v/>
      </c>
      <c r="P1450" s="55">
        <f>VLOOKUP(C1450,Customers!$A$2:$F$301,3,FALSE())</f>
        <v/>
      </c>
      <c r="Q1450" s="55">
        <f>UPPER(TRIM(K1450))</f>
        <v/>
      </c>
      <c r="R1450" s="55">
        <f>(G1450-O1450)/G1450</f>
        <v/>
      </c>
      <c r="S1450" s="55">
        <f>VLOOKUP(D1450,Products!$A$2:$F$61,6,FALSE())</f>
        <v/>
      </c>
    </row>
    <row r="1451" ht="15" customHeight="1" s="56">
      <c r="A1451" s="55">
        <f>Orders!A1451</f>
        <v/>
      </c>
      <c r="B1451" s="103">
        <f>Orders!B1451</f>
        <v/>
      </c>
      <c r="C1451" s="55">
        <f>Orders!C1451</f>
        <v/>
      </c>
      <c r="D1451" s="55">
        <f>Orders!D1451</f>
        <v/>
      </c>
      <c r="E1451" s="55">
        <f>Orders!E1451</f>
        <v/>
      </c>
      <c r="F1451" s="55">
        <f>Orders!F1451</f>
        <v/>
      </c>
      <c r="G1451" s="55">
        <f>Orders!G1451</f>
        <v/>
      </c>
      <c r="H1451" s="55">
        <f>Orders!H1451</f>
        <v/>
      </c>
      <c r="I1451" s="55">
        <f>Orders!I1451</f>
        <v/>
      </c>
      <c r="J1451" s="55">
        <f>Orders!J1451</f>
        <v/>
      </c>
      <c r="K1451" s="55">
        <f>Orders!K1451</f>
        <v/>
      </c>
      <c r="L1451" s="55">
        <f>VLOOKUP(D1451,Products!$A$2:$F$61,3,FALSE())</f>
        <v/>
      </c>
      <c r="M1451" s="55">
        <f>VLOOKUP(C1451,Customers!$A$2:$F$301,5,FALSE())</f>
        <v/>
      </c>
      <c r="N1451" s="55">
        <f>VLOOKUP(E1451,Sales_Reps!$A$2:$E$31,3,FALSE())</f>
        <v/>
      </c>
      <c r="O1451" s="55">
        <f>VLOOKUP(D1451,Products!$A$2:$F$61,4,FALSE())</f>
        <v/>
      </c>
      <c r="P1451" s="55">
        <f>VLOOKUP(C1451,Customers!$A$2:$F$301,3,FALSE())</f>
        <v/>
      </c>
      <c r="Q1451" s="55">
        <f>UPPER(TRIM(K1451))</f>
        <v/>
      </c>
      <c r="R1451" s="55">
        <f>(G1451-O1451)/G1451</f>
        <v/>
      </c>
      <c r="S1451" s="55">
        <f>VLOOKUP(D1451,Products!$A$2:$F$61,6,FALSE())</f>
        <v/>
      </c>
    </row>
    <row r="1452" ht="15" customHeight="1" s="56">
      <c r="A1452" s="55">
        <f>Orders!A1452</f>
        <v/>
      </c>
      <c r="B1452" s="103">
        <f>Orders!B1452</f>
        <v/>
      </c>
      <c r="C1452" s="55">
        <f>Orders!C1452</f>
        <v/>
      </c>
      <c r="D1452" s="55">
        <f>Orders!D1452</f>
        <v/>
      </c>
      <c r="E1452" s="55">
        <f>Orders!E1452</f>
        <v/>
      </c>
      <c r="F1452" s="55">
        <f>Orders!F1452</f>
        <v/>
      </c>
      <c r="G1452" s="55">
        <f>Orders!G1452</f>
        <v/>
      </c>
      <c r="H1452" s="55">
        <f>Orders!H1452</f>
        <v/>
      </c>
      <c r="I1452" s="55">
        <f>Orders!I1452</f>
        <v/>
      </c>
      <c r="J1452" s="55">
        <f>Orders!J1452</f>
        <v/>
      </c>
      <c r="K1452" s="55">
        <f>Orders!K1452</f>
        <v/>
      </c>
      <c r="L1452" s="55">
        <f>VLOOKUP(D1452,Products!$A$2:$F$61,3,FALSE())</f>
        <v/>
      </c>
      <c r="M1452" s="55">
        <f>VLOOKUP(C1452,Customers!$A$2:$F$301,5,FALSE())</f>
        <v/>
      </c>
      <c r="N1452" s="55">
        <f>VLOOKUP(E1452,Sales_Reps!$A$2:$E$31,3,FALSE())</f>
        <v/>
      </c>
      <c r="O1452" s="55">
        <f>VLOOKUP(D1452,Products!$A$2:$F$61,4,FALSE())</f>
        <v/>
      </c>
      <c r="P1452" s="55">
        <f>VLOOKUP(C1452,Customers!$A$2:$F$301,3,FALSE())</f>
        <v/>
      </c>
      <c r="Q1452" s="55">
        <f>UPPER(TRIM(K1452))</f>
        <v/>
      </c>
      <c r="R1452" s="55">
        <f>(G1452-O1452)/G1452</f>
        <v/>
      </c>
      <c r="S1452" s="55">
        <f>VLOOKUP(D1452,Products!$A$2:$F$61,6,FALSE())</f>
        <v/>
      </c>
    </row>
    <row r="1453" ht="15" customHeight="1" s="56">
      <c r="A1453" s="55">
        <f>Orders!A1453</f>
        <v/>
      </c>
      <c r="B1453" s="103">
        <f>Orders!B1453</f>
        <v/>
      </c>
      <c r="C1453" s="55">
        <f>Orders!C1453</f>
        <v/>
      </c>
      <c r="D1453" s="55">
        <f>Orders!D1453</f>
        <v/>
      </c>
      <c r="E1453" s="55">
        <f>Orders!E1453</f>
        <v/>
      </c>
      <c r="F1453" s="55">
        <f>Orders!F1453</f>
        <v/>
      </c>
      <c r="G1453" s="55">
        <f>Orders!G1453</f>
        <v/>
      </c>
      <c r="H1453" s="55">
        <f>Orders!H1453</f>
        <v/>
      </c>
      <c r="I1453" s="55">
        <f>Orders!I1453</f>
        <v/>
      </c>
      <c r="J1453" s="55">
        <f>Orders!J1453</f>
        <v/>
      </c>
      <c r="K1453" s="55">
        <f>Orders!K1453</f>
        <v/>
      </c>
      <c r="L1453" s="55">
        <f>VLOOKUP(D1453,Products!$A$2:$F$61,3,FALSE())</f>
        <v/>
      </c>
      <c r="M1453" s="55">
        <f>VLOOKUP(C1453,Customers!$A$2:$F$301,5,FALSE())</f>
        <v/>
      </c>
      <c r="N1453" s="55">
        <f>VLOOKUP(E1453,Sales_Reps!$A$2:$E$31,3,FALSE())</f>
        <v/>
      </c>
      <c r="O1453" s="55">
        <f>VLOOKUP(D1453,Products!$A$2:$F$61,4,FALSE())</f>
        <v/>
      </c>
      <c r="P1453" s="55">
        <f>VLOOKUP(C1453,Customers!$A$2:$F$301,3,FALSE())</f>
        <v/>
      </c>
      <c r="Q1453" s="55">
        <f>UPPER(TRIM(K1453))</f>
        <v/>
      </c>
      <c r="R1453" s="55">
        <f>(G1453-O1453)/G1453</f>
        <v/>
      </c>
      <c r="S1453" s="55">
        <f>VLOOKUP(D1453,Products!$A$2:$F$61,6,FALSE())</f>
        <v/>
      </c>
    </row>
    <row r="1454" ht="15" customHeight="1" s="56">
      <c r="A1454" s="55">
        <f>Orders!A1454</f>
        <v/>
      </c>
      <c r="B1454" s="103">
        <f>Orders!B1454</f>
        <v/>
      </c>
      <c r="C1454" s="55">
        <f>Orders!C1454</f>
        <v/>
      </c>
      <c r="D1454" s="55">
        <f>Orders!D1454</f>
        <v/>
      </c>
      <c r="E1454" s="55">
        <f>Orders!E1454</f>
        <v/>
      </c>
      <c r="F1454" s="55">
        <f>Orders!F1454</f>
        <v/>
      </c>
      <c r="G1454" s="55">
        <f>Orders!G1454</f>
        <v/>
      </c>
      <c r="H1454" s="55">
        <f>Orders!H1454</f>
        <v/>
      </c>
      <c r="I1454" s="55">
        <f>Orders!I1454</f>
        <v/>
      </c>
      <c r="J1454" s="55">
        <f>Orders!J1454</f>
        <v/>
      </c>
      <c r="K1454" s="55">
        <f>Orders!K1454</f>
        <v/>
      </c>
      <c r="L1454" s="55">
        <f>VLOOKUP(D1454,Products!$A$2:$F$61,3,FALSE())</f>
        <v/>
      </c>
      <c r="M1454" s="55">
        <f>VLOOKUP(C1454,Customers!$A$2:$F$301,5,FALSE())</f>
        <v/>
      </c>
      <c r="N1454" s="55">
        <f>VLOOKUP(E1454,Sales_Reps!$A$2:$E$31,3,FALSE())</f>
        <v/>
      </c>
      <c r="O1454" s="55">
        <f>VLOOKUP(D1454,Products!$A$2:$F$61,4,FALSE())</f>
        <v/>
      </c>
      <c r="P1454" s="55">
        <f>VLOOKUP(C1454,Customers!$A$2:$F$301,3,FALSE())</f>
        <v/>
      </c>
      <c r="Q1454" s="55">
        <f>UPPER(TRIM(K1454))</f>
        <v/>
      </c>
      <c r="R1454" s="55">
        <f>(G1454-O1454)/G1454</f>
        <v/>
      </c>
      <c r="S1454" s="55">
        <f>VLOOKUP(D1454,Products!$A$2:$F$61,6,FALSE())</f>
        <v/>
      </c>
    </row>
    <row r="1455" ht="15" customHeight="1" s="56">
      <c r="A1455" s="55">
        <f>Orders!A1455</f>
        <v/>
      </c>
      <c r="B1455" s="103">
        <f>Orders!B1455</f>
        <v/>
      </c>
      <c r="C1455" s="55">
        <f>Orders!C1455</f>
        <v/>
      </c>
      <c r="D1455" s="55">
        <f>Orders!D1455</f>
        <v/>
      </c>
      <c r="E1455" s="55">
        <f>Orders!E1455</f>
        <v/>
      </c>
      <c r="F1455" s="55">
        <f>Orders!F1455</f>
        <v/>
      </c>
      <c r="G1455" s="55">
        <f>Orders!G1455</f>
        <v/>
      </c>
      <c r="H1455" s="55">
        <f>Orders!H1455</f>
        <v/>
      </c>
      <c r="I1455" s="55">
        <f>Orders!I1455</f>
        <v/>
      </c>
      <c r="J1455" s="55">
        <f>Orders!J1455</f>
        <v/>
      </c>
      <c r="K1455" s="55">
        <f>Orders!K1455</f>
        <v/>
      </c>
      <c r="L1455" s="55">
        <f>VLOOKUP(D1455,Products!$A$2:$F$61,3,FALSE())</f>
        <v/>
      </c>
      <c r="M1455" s="55">
        <f>VLOOKUP(C1455,Customers!$A$2:$F$301,5,FALSE())</f>
        <v/>
      </c>
      <c r="N1455" s="55">
        <f>VLOOKUP(E1455,Sales_Reps!$A$2:$E$31,3,FALSE())</f>
        <v/>
      </c>
      <c r="O1455" s="55">
        <f>VLOOKUP(D1455,Products!$A$2:$F$61,4,FALSE())</f>
        <v/>
      </c>
      <c r="P1455" s="55">
        <f>VLOOKUP(C1455,Customers!$A$2:$F$301,3,FALSE())</f>
        <v/>
      </c>
      <c r="Q1455" s="55">
        <f>UPPER(TRIM(K1455))</f>
        <v/>
      </c>
      <c r="R1455" s="55">
        <f>(G1455-O1455)/G1455</f>
        <v/>
      </c>
      <c r="S1455" s="55">
        <f>VLOOKUP(D1455,Products!$A$2:$F$61,6,FALSE())</f>
        <v/>
      </c>
    </row>
    <row r="1456" ht="15" customHeight="1" s="56">
      <c r="A1456" s="55">
        <f>Orders!A1456</f>
        <v/>
      </c>
      <c r="B1456" s="103">
        <f>Orders!B1456</f>
        <v/>
      </c>
      <c r="C1456" s="55">
        <f>Orders!C1456</f>
        <v/>
      </c>
      <c r="D1456" s="55">
        <f>Orders!D1456</f>
        <v/>
      </c>
      <c r="E1456" s="55">
        <f>Orders!E1456</f>
        <v/>
      </c>
      <c r="F1456" s="55">
        <f>Orders!F1456</f>
        <v/>
      </c>
      <c r="G1456" s="55">
        <f>Orders!G1456</f>
        <v/>
      </c>
      <c r="H1456" s="55">
        <f>Orders!H1456</f>
        <v/>
      </c>
      <c r="I1456" s="55">
        <f>Orders!I1456</f>
        <v/>
      </c>
      <c r="J1456" s="55">
        <f>Orders!J1456</f>
        <v/>
      </c>
      <c r="K1456" s="55">
        <f>Orders!K1456</f>
        <v/>
      </c>
      <c r="L1456" s="55">
        <f>VLOOKUP(D1456,Products!$A$2:$F$61,3,FALSE())</f>
        <v/>
      </c>
      <c r="M1456" s="55">
        <f>VLOOKUP(C1456,Customers!$A$2:$F$301,5,FALSE())</f>
        <v/>
      </c>
      <c r="N1456" s="55">
        <f>VLOOKUP(E1456,Sales_Reps!$A$2:$E$31,3,FALSE())</f>
        <v/>
      </c>
      <c r="O1456" s="55">
        <f>VLOOKUP(D1456,Products!$A$2:$F$61,4,FALSE())</f>
        <v/>
      </c>
      <c r="P1456" s="55">
        <f>VLOOKUP(C1456,Customers!$A$2:$F$301,3,FALSE())</f>
        <v/>
      </c>
      <c r="Q1456" s="55">
        <f>UPPER(TRIM(K1456))</f>
        <v/>
      </c>
      <c r="R1456" s="55">
        <f>(G1456-O1456)/G1456</f>
        <v/>
      </c>
      <c r="S1456" s="55">
        <f>VLOOKUP(D1456,Products!$A$2:$F$61,6,FALSE())</f>
        <v/>
      </c>
    </row>
    <row r="1457" ht="15" customHeight="1" s="56">
      <c r="A1457" s="55">
        <f>Orders!A1457</f>
        <v/>
      </c>
      <c r="B1457" s="103">
        <f>Orders!B1457</f>
        <v/>
      </c>
      <c r="C1457" s="55">
        <f>Orders!C1457</f>
        <v/>
      </c>
      <c r="D1457" s="55">
        <f>Orders!D1457</f>
        <v/>
      </c>
      <c r="E1457" s="55">
        <f>Orders!E1457</f>
        <v/>
      </c>
      <c r="F1457" s="55">
        <f>Orders!F1457</f>
        <v/>
      </c>
      <c r="G1457" s="55">
        <f>Orders!G1457</f>
        <v/>
      </c>
      <c r="H1457" s="55">
        <f>Orders!H1457</f>
        <v/>
      </c>
      <c r="I1457" s="55">
        <f>Orders!I1457</f>
        <v/>
      </c>
      <c r="J1457" s="55">
        <f>Orders!J1457</f>
        <v/>
      </c>
      <c r="K1457" s="55">
        <f>Orders!K1457</f>
        <v/>
      </c>
      <c r="L1457" s="55">
        <f>VLOOKUP(D1457,Products!$A$2:$F$61,3,FALSE())</f>
        <v/>
      </c>
      <c r="M1457" s="55">
        <f>VLOOKUP(C1457,Customers!$A$2:$F$301,5,FALSE())</f>
        <v/>
      </c>
      <c r="N1457" s="55">
        <f>VLOOKUP(E1457,Sales_Reps!$A$2:$E$31,3,FALSE())</f>
        <v/>
      </c>
      <c r="O1457" s="55">
        <f>VLOOKUP(D1457,Products!$A$2:$F$61,4,FALSE())</f>
        <v/>
      </c>
      <c r="P1457" s="55">
        <f>VLOOKUP(C1457,Customers!$A$2:$F$301,3,FALSE())</f>
        <v/>
      </c>
      <c r="Q1457" s="55">
        <f>UPPER(TRIM(K1457))</f>
        <v/>
      </c>
      <c r="R1457" s="55">
        <f>(G1457-O1457)/G1457</f>
        <v/>
      </c>
      <c r="S1457" s="55">
        <f>VLOOKUP(D1457,Products!$A$2:$F$61,6,FALSE())</f>
        <v/>
      </c>
    </row>
    <row r="1458" ht="15" customHeight="1" s="56">
      <c r="A1458" s="55">
        <f>Orders!A1458</f>
        <v/>
      </c>
      <c r="B1458" s="103">
        <f>Orders!B1458</f>
        <v/>
      </c>
      <c r="C1458" s="55">
        <f>Orders!C1458</f>
        <v/>
      </c>
      <c r="D1458" s="55">
        <f>Orders!D1458</f>
        <v/>
      </c>
      <c r="E1458" s="55">
        <f>Orders!E1458</f>
        <v/>
      </c>
      <c r="F1458" s="55">
        <f>Orders!F1458</f>
        <v/>
      </c>
      <c r="G1458" s="55">
        <f>Orders!G1458</f>
        <v/>
      </c>
      <c r="H1458" s="55">
        <f>Orders!H1458</f>
        <v/>
      </c>
      <c r="I1458" s="55">
        <f>Orders!I1458</f>
        <v/>
      </c>
      <c r="J1458" s="55">
        <f>Orders!J1458</f>
        <v/>
      </c>
      <c r="K1458" s="55">
        <f>Orders!K1458</f>
        <v/>
      </c>
      <c r="L1458" s="55">
        <f>VLOOKUP(D1458,Products!$A$2:$F$61,3,FALSE())</f>
        <v/>
      </c>
      <c r="M1458" s="55">
        <f>VLOOKUP(C1458,Customers!$A$2:$F$301,5,FALSE())</f>
        <v/>
      </c>
      <c r="N1458" s="55">
        <f>VLOOKUP(E1458,Sales_Reps!$A$2:$E$31,3,FALSE())</f>
        <v/>
      </c>
      <c r="O1458" s="55">
        <f>VLOOKUP(D1458,Products!$A$2:$F$61,4,FALSE())</f>
        <v/>
      </c>
      <c r="P1458" s="55">
        <f>VLOOKUP(C1458,Customers!$A$2:$F$301,3,FALSE())</f>
        <v/>
      </c>
      <c r="Q1458" s="55">
        <f>UPPER(TRIM(K1458))</f>
        <v/>
      </c>
      <c r="R1458" s="55">
        <f>(G1458-O1458)/G1458</f>
        <v/>
      </c>
      <c r="S1458" s="55">
        <f>VLOOKUP(D1458,Products!$A$2:$F$61,6,FALSE())</f>
        <v/>
      </c>
    </row>
    <row r="1459" ht="15" customHeight="1" s="56">
      <c r="A1459" s="55">
        <f>Orders!A1459</f>
        <v/>
      </c>
      <c r="B1459" s="103">
        <f>Orders!B1459</f>
        <v/>
      </c>
      <c r="C1459" s="55">
        <f>Orders!C1459</f>
        <v/>
      </c>
      <c r="D1459" s="55">
        <f>Orders!D1459</f>
        <v/>
      </c>
      <c r="E1459" s="55">
        <f>Orders!E1459</f>
        <v/>
      </c>
      <c r="F1459" s="55">
        <f>Orders!F1459</f>
        <v/>
      </c>
      <c r="G1459" s="55">
        <f>Orders!G1459</f>
        <v/>
      </c>
      <c r="H1459" s="55">
        <f>Orders!H1459</f>
        <v/>
      </c>
      <c r="I1459" s="55">
        <f>Orders!I1459</f>
        <v/>
      </c>
      <c r="J1459" s="55">
        <f>Orders!J1459</f>
        <v/>
      </c>
      <c r="K1459" s="55">
        <f>Orders!K1459</f>
        <v/>
      </c>
      <c r="L1459" s="55">
        <f>VLOOKUP(D1459,Products!$A$2:$F$61,3,FALSE())</f>
        <v/>
      </c>
      <c r="M1459" s="55">
        <f>VLOOKUP(C1459,Customers!$A$2:$F$301,5,FALSE())</f>
        <v/>
      </c>
      <c r="N1459" s="55">
        <f>VLOOKUP(E1459,Sales_Reps!$A$2:$E$31,3,FALSE())</f>
        <v/>
      </c>
      <c r="O1459" s="55">
        <f>VLOOKUP(D1459,Products!$A$2:$F$61,4,FALSE())</f>
        <v/>
      </c>
      <c r="P1459" s="55">
        <f>VLOOKUP(C1459,Customers!$A$2:$F$301,3,FALSE())</f>
        <v/>
      </c>
      <c r="Q1459" s="55">
        <f>UPPER(TRIM(K1459))</f>
        <v/>
      </c>
      <c r="R1459" s="55">
        <f>(G1459-O1459)/G1459</f>
        <v/>
      </c>
      <c r="S1459" s="55">
        <f>VLOOKUP(D1459,Products!$A$2:$F$61,6,FALSE())</f>
        <v/>
      </c>
    </row>
    <row r="1460" ht="15" customHeight="1" s="56">
      <c r="A1460" s="55">
        <f>Orders!A1460</f>
        <v/>
      </c>
      <c r="B1460" s="103">
        <f>Orders!B1460</f>
        <v/>
      </c>
      <c r="C1460" s="55">
        <f>Orders!C1460</f>
        <v/>
      </c>
      <c r="D1460" s="55">
        <f>Orders!D1460</f>
        <v/>
      </c>
      <c r="E1460" s="55">
        <f>Orders!E1460</f>
        <v/>
      </c>
      <c r="F1460" s="55">
        <f>Orders!F1460</f>
        <v/>
      </c>
      <c r="G1460" s="55">
        <f>Orders!G1460</f>
        <v/>
      </c>
      <c r="H1460" s="55">
        <f>Orders!H1460</f>
        <v/>
      </c>
      <c r="I1460" s="55">
        <f>Orders!I1460</f>
        <v/>
      </c>
      <c r="J1460" s="55">
        <f>Orders!J1460</f>
        <v/>
      </c>
      <c r="K1460" s="55">
        <f>Orders!K1460</f>
        <v/>
      </c>
      <c r="L1460" s="55">
        <f>VLOOKUP(D1460,Products!$A$2:$F$61,3,FALSE())</f>
        <v/>
      </c>
      <c r="M1460" s="55">
        <f>VLOOKUP(C1460,Customers!$A$2:$F$301,5,FALSE())</f>
        <v/>
      </c>
      <c r="N1460" s="55">
        <f>VLOOKUP(E1460,Sales_Reps!$A$2:$E$31,3,FALSE())</f>
        <v/>
      </c>
      <c r="O1460" s="55">
        <f>VLOOKUP(D1460,Products!$A$2:$F$61,4,FALSE())</f>
        <v/>
      </c>
      <c r="P1460" s="55">
        <f>VLOOKUP(C1460,Customers!$A$2:$F$301,3,FALSE())</f>
        <v/>
      </c>
      <c r="Q1460" s="55">
        <f>UPPER(TRIM(K1460))</f>
        <v/>
      </c>
      <c r="R1460" s="55">
        <f>(G1460-O1460)/G1460</f>
        <v/>
      </c>
      <c r="S1460" s="55">
        <f>VLOOKUP(D1460,Products!$A$2:$F$61,6,FALSE())</f>
        <v/>
      </c>
    </row>
    <row r="1461" ht="15" customHeight="1" s="56">
      <c r="A1461" s="55">
        <f>Orders!A1461</f>
        <v/>
      </c>
      <c r="B1461" s="103">
        <f>Orders!B1461</f>
        <v/>
      </c>
      <c r="C1461" s="55">
        <f>Orders!C1461</f>
        <v/>
      </c>
      <c r="D1461" s="55">
        <f>Orders!D1461</f>
        <v/>
      </c>
      <c r="E1461" s="55">
        <f>Orders!E1461</f>
        <v/>
      </c>
      <c r="F1461" s="55">
        <f>Orders!F1461</f>
        <v/>
      </c>
      <c r="G1461" s="55">
        <f>Orders!G1461</f>
        <v/>
      </c>
      <c r="H1461" s="55">
        <f>Orders!H1461</f>
        <v/>
      </c>
      <c r="I1461" s="55">
        <f>Orders!I1461</f>
        <v/>
      </c>
      <c r="J1461" s="55">
        <f>Orders!J1461</f>
        <v/>
      </c>
      <c r="K1461" s="55">
        <f>Orders!K1461</f>
        <v/>
      </c>
      <c r="L1461" s="55">
        <f>VLOOKUP(D1461,Products!$A$2:$F$61,3,FALSE())</f>
        <v/>
      </c>
      <c r="M1461" s="55">
        <f>VLOOKUP(C1461,Customers!$A$2:$F$301,5,FALSE())</f>
        <v/>
      </c>
      <c r="N1461" s="55">
        <f>VLOOKUP(E1461,Sales_Reps!$A$2:$E$31,3,FALSE())</f>
        <v/>
      </c>
      <c r="O1461" s="55">
        <f>VLOOKUP(D1461,Products!$A$2:$F$61,4,FALSE())</f>
        <v/>
      </c>
      <c r="P1461" s="55">
        <f>VLOOKUP(C1461,Customers!$A$2:$F$301,3,FALSE())</f>
        <v/>
      </c>
      <c r="Q1461" s="55">
        <f>UPPER(TRIM(K1461))</f>
        <v/>
      </c>
      <c r="R1461" s="55">
        <f>(G1461-O1461)/G1461</f>
        <v/>
      </c>
      <c r="S1461" s="55">
        <f>VLOOKUP(D1461,Products!$A$2:$F$61,6,FALSE())</f>
        <v/>
      </c>
    </row>
    <row r="1462" ht="15" customHeight="1" s="56">
      <c r="A1462" s="55">
        <f>Orders!A1462</f>
        <v/>
      </c>
      <c r="B1462" s="103">
        <f>Orders!B1462</f>
        <v/>
      </c>
      <c r="C1462" s="55">
        <f>Orders!C1462</f>
        <v/>
      </c>
      <c r="D1462" s="55">
        <f>Orders!D1462</f>
        <v/>
      </c>
      <c r="E1462" s="55">
        <f>Orders!E1462</f>
        <v/>
      </c>
      <c r="F1462" s="55">
        <f>Orders!F1462</f>
        <v/>
      </c>
      <c r="G1462" s="55">
        <f>Orders!G1462</f>
        <v/>
      </c>
      <c r="H1462" s="55">
        <f>Orders!H1462</f>
        <v/>
      </c>
      <c r="I1462" s="55">
        <f>Orders!I1462</f>
        <v/>
      </c>
      <c r="J1462" s="55">
        <f>Orders!J1462</f>
        <v/>
      </c>
      <c r="K1462" s="55">
        <f>Orders!K1462</f>
        <v/>
      </c>
      <c r="L1462" s="55">
        <f>VLOOKUP(D1462,Products!$A$2:$F$61,3,FALSE())</f>
        <v/>
      </c>
      <c r="M1462" s="55">
        <f>VLOOKUP(C1462,Customers!$A$2:$F$301,5,FALSE())</f>
        <v/>
      </c>
      <c r="N1462" s="55">
        <f>VLOOKUP(E1462,Sales_Reps!$A$2:$E$31,3,FALSE())</f>
        <v/>
      </c>
      <c r="O1462" s="55">
        <f>VLOOKUP(D1462,Products!$A$2:$F$61,4,FALSE())</f>
        <v/>
      </c>
      <c r="P1462" s="55">
        <f>VLOOKUP(C1462,Customers!$A$2:$F$301,3,FALSE())</f>
        <v/>
      </c>
      <c r="Q1462" s="55">
        <f>UPPER(TRIM(K1462))</f>
        <v/>
      </c>
      <c r="R1462" s="55">
        <f>(G1462-O1462)/G1462</f>
        <v/>
      </c>
      <c r="S1462" s="55">
        <f>VLOOKUP(D1462,Products!$A$2:$F$61,6,FALSE())</f>
        <v/>
      </c>
    </row>
    <row r="1463" ht="15" customHeight="1" s="56">
      <c r="A1463" s="55">
        <f>Orders!A1463</f>
        <v/>
      </c>
      <c r="B1463" s="103">
        <f>Orders!B1463</f>
        <v/>
      </c>
      <c r="C1463" s="55">
        <f>Orders!C1463</f>
        <v/>
      </c>
      <c r="D1463" s="55">
        <f>Orders!D1463</f>
        <v/>
      </c>
      <c r="E1463" s="55">
        <f>Orders!E1463</f>
        <v/>
      </c>
      <c r="F1463" s="55">
        <f>Orders!F1463</f>
        <v/>
      </c>
      <c r="G1463" s="55">
        <f>Orders!G1463</f>
        <v/>
      </c>
      <c r="H1463" s="55">
        <f>Orders!H1463</f>
        <v/>
      </c>
      <c r="I1463" s="55">
        <f>Orders!I1463</f>
        <v/>
      </c>
      <c r="J1463" s="55">
        <f>Orders!J1463</f>
        <v/>
      </c>
      <c r="K1463" s="55">
        <f>Orders!K1463</f>
        <v/>
      </c>
      <c r="L1463" s="55">
        <f>VLOOKUP(D1463,Products!$A$2:$F$61,3,FALSE())</f>
        <v/>
      </c>
      <c r="M1463" s="55">
        <f>VLOOKUP(C1463,Customers!$A$2:$F$301,5,FALSE())</f>
        <v/>
      </c>
      <c r="N1463" s="55">
        <f>VLOOKUP(E1463,Sales_Reps!$A$2:$E$31,3,FALSE())</f>
        <v/>
      </c>
      <c r="O1463" s="55">
        <f>VLOOKUP(D1463,Products!$A$2:$F$61,4,FALSE())</f>
        <v/>
      </c>
      <c r="P1463" s="55">
        <f>VLOOKUP(C1463,Customers!$A$2:$F$301,3,FALSE())</f>
        <v/>
      </c>
      <c r="Q1463" s="55">
        <f>UPPER(TRIM(K1463))</f>
        <v/>
      </c>
      <c r="R1463" s="55">
        <f>(G1463-O1463)/G1463</f>
        <v/>
      </c>
      <c r="S1463" s="55">
        <f>VLOOKUP(D1463,Products!$A$2:$F$61,6,FALSE())</f>
        <v/>
      </c>
    </row>
    <row r="1464" ht="15" customHeight="1" s="56">
      <c r="A1464" s="55">
        <f>Orders!A1464</f>
        <v/>
      </c>
      <c r="B1464" s="103">
        <f>Orders!B1464</f>
        <v/>
      </c>
      <c r="C1464" s="55">
        <f>Orders!C1464</f>
        <v/>
      </c>
      <c r="D1464" s="55">
        <f>Orders!D1464</f>
        <v/>
      </c>
      <c r="E1464" s="55">
        <f>Orders!E1464</f>
        <v/>
      </c>
      <c r="F1464" s="55">
        <f>Orders!F1464</f>
        <v/>
      </c>
      <c r="G1464" s="55">
        <f>Orders!G1464</f>
        <v/>
      </c>
      <c r="H1464" s="55">
        <f>Orders!H1464</f>
        <v/>
      </c>
      <c r="I1464" s="55">
        <f>Orders!I1464</f>
        <v/>
      </c>
      <c r="J1464" s="55">
        <f>Orders!J1464</f>
        <v/>
      </c>
      <c r="K1464" s="55">
        <f>Orders!K1464</f>
        <v/>
      </c>
      <c r="L1464" s="55">
        <f>VLOOKUP(D1464,Products!$A$2:$F$61,3,FALSE())</f>
        <v/>
      </c>
      <c r="M1464" s="55">
        <f>VLOOKUP(C1464,Customers!$A$2:$F$301,5,FALSE())</f>
        <v/>
      </c>
      <c r="N1464" s="55">
        <f>VLOOKUP(E1464,Sales_Reps!$A$2:$E$31,3,FALSE())</f>
        <v/>
      </c>
      <c r="O1464" s="55">
        <f>VLOOKUP(D1464,Products!$A$2:$F$61,4,FALSE())</f>
        <v/>
      </c>
      <c r="P1464" s="55">
        <f>VLOOKUP(C1464,Customers!$A$2:$F$301,3,FALSE())</f>
        <v/>
      </c>
      <c r="Q1464" s="55">
        <f>UPPER(TRIM(K1464))</f>
        <v/>
      </c>
      <c r="R1464" s="55">
        <f>(G1464-O1464)/G1464</f>
        <v/>
      </c>
      <c r="S1464" s="55">
        <f>VLOOKUP(D1464,Products!$A$2:$F$61,6,FALSE())</f>
        <v/>
      </c>
    </row>
    <row r="1465" ht="15" customHeight="1" s="56">
      <c r="A1465" s="55">
        <f>Orders!A1465</f>
        <v/>
      </c>
      <c r="B1465" s="103">
        <f>Orders!B1465</f>
        <v/>
      </c>
      <c r="C1465" s="55">
        <f>Orders!C1465</f>
        <v/>
      </c>
      <c r="D1465" s="55">
        <f>Orders!D1465</f>
        <v/>
      </c>
      <c r="E1465" s="55">
        <f>Orders!E1465</f>
        <v/>
      </c>
      <c r="F1465" s="55">
        <f>Orders!F1465</f>
        <v/>
      </c>
      <c r="G1465" s="55">
        <f>Orders!G1465</f>
        <v/>
      </c>
      <c r="H1465" s="55">
        <f>Orders!H1465</f>
        <v/>
      </c>
      <c r="I1465" s="55">
        <f>Orders!I1465</f>
        <v/>
      </c>
      <c r="J1465" s="55">
        <f>Orders!J1465</f>
        <v/>
      </c>
      <c r="K1465" s="55">
        <f>Orders!K1465</f>
        <v/>
      </c>
      <c r="L1465" s="55">
        <f>VLOOKUP(D1465,Products!$A$2:$F$61,3,FALSE())</f>
        <v/>
      </c>
      <c r="M1465" s="55">
        <f>VLOOKUP(C1465,Customers!$A$2:$F$301,5,FALSE())</f>
        <v/>
      </c>
      <c r="N1465" s="55">
        <f>VLOOKUP(E1465,Sales_Reps!$A$2:$E$31,3,FALSE())</f>
        <v/>
      </c>
      <c r="O1465" s="55">
        <f>VLOOKUP(D1465,Products!$A$2:$F$61,4,FALSE())</f>
        <v/>
      </c>
      <c r="P1465" s="55">
        <f>VLOOKUP(C1465,Customers!$A$2:$F$301,3,FALSE())</f>
        <v/>
      </c>
      <c r="Q1465" s="55">
        <f>UPPER(TRIM(K1465))</f>
        <v/>
      </c>
      <c r="R1465" s="55">
        <f>(G1465-O1465)/G1465</f>
        <v/>
      </c>
      <c r="S1465" s="55">
        <f>VLOOKUP(D1465,Products!$A$2:$F$61,6,FALSE())</f>
        <v/>
      </c>
    </row>
    <row r="1466" ht="15" customHeight="1" s="56">
      <c r="A1466" s="55">
        <f>Orders!A1466</f>
        <v/>
      </c>
      <c r="B1466" s="103">
        <f>Orders!B1466</f>
        <v/>
      </c>
      <c r="C1466" s="55">
        <f>Orders!C1466</f>
        <v/>
      </c>
      <c r="D1466" s="55">
        <f>Orders!D1466</f>
        <v/>
      </c>
      <c r="E1466" s="55">
        <f>Orders!E1466</f>
        <v/>
      </c>
      <c r="F1466" s="55">
        <f>Orders!F1466</f>
        <v/>
      </c>
      <c r="G1466" s="55">
        <f>Orders!G1466</f>
        <v/>
      </c>
      <c r="H1466" s="55">
        <f>Orders!H1466</f>
        <v/>
      </c>
      <c r="I1466" s="55">
        <f>Orders!I1466</f>
        <v/>
      </c>
      <c r="J1466" s="55">
        <f>Orders!J1466</f>
        <v/>
      </c>
      <c r="K1466" s="55">
        <f>Orders!K1466</f>
        <v/>
      </c>
      <c r="L1466" s="55">
        <f>VLOOKUP(D1466,Products!$A$2:$F$61,3,FALSE())</f>
        <v/>
      </c>
      <c r="M1466" s="55">
        <f>VLOOKUP(C1466,Customers!$A$2:$F$301,5,FALSE())</f>
        <v/>
      </c>
      <c r="N1466" s="55">
        <f>VLOOKUP(E1466,Sales_Reps!$A$2:$E$31,3,FALSE())</f>
        <v/>
      </c>
      <c r="O1466" s="55">
        <f>VLOOKUP(D1466,Products!$A$2:$F$61,4,FALSE())</f>
        <v/>
      </c>
      <c r="P1466" s="55">
        <f>VLOOKUP(C1466,Customers!$A$2:$F$301,3,FALSE())</f>
        <v/>
      </c>
      <c r="Q1466" s="55">
        <f>UPPER(TRIM(K1466))</f>
        <v/>
      </c>
      <c r="R1466" s="55">
        <f>(G1466-O1466)/G1466</f>
        <v/>
      </c>
      <c r="S1466" s="55">
        <f>VLOOKUP(D1466,Products!$A$2:$F$61,6,FALSE())</f>
        <v/>
      </c>
    </row>
    <row r="1467" ht="15" customHeight="1" s="56">
      <c r="A1467" s="55">
        <f>Orders!A1467</f>
        <v/>
      </c>
      <c r="B1467" s="103">
        <f>Orders!B1467</f>
        <v/>
      </c>
      <c r="C1467" s="55">
        <f>Orders!C1467</f>
        <v/>
      </c>
      <c r="D1467" s="55">
        <f>Orders!D1467</f>
        <v/>
      </c>
      <c r="E1467" s="55">
        <f>Orders!E1467</f>
        <v/>
      </c>
      <c r="F1467" s="55">
        <f>Orders!F1467</f>
        <v/>
      </c>
      <c r="G1467" s="55">
        <f>Orders!G1467</f>
        <v/>
      </c>
      <c r="H1467" s="55">
        <f>Orders!H1467</f>
        <v/>
      </c>
      <c r="I1467" s="55">
        <f>Orders!I1467</f>
        <v/>
      </c>
      <c r="J1467" s="55">
        <f>Orders!J1467</f>
        <v/>
      </c>
      <c r="K1467" s="55">
        <f>Orders!K1467</f>
        <v/>
      </c>
      <c r="L1467" s="55">
        <f>VLOOKUP(D1467,Products!$A$2:$F$61,3,FALSE())</f>
        <v/>
      </c>
      <c r="M1467" s="55">
        <f>VLOOKUP(C1467,Customers!$A$2:$F$301,5,FALSE())</f>
        <v/>
      </c>
      <c r="N1467" s="55">
        <f>VLOOKUP(E1467,Sales_Reps!$A$2:$E$31,3,FALSE())</f>
        <v/>
      </c>
      <c r="O1467" s="55">
        <f>VLOOKUP(D1467,Products!$A$2:$F$61,4,FALSE())</f>
        <v/>
      </c>
      <c r="P1467" s="55">
        <f>VLOOKUP(C1467,Customers!$A$2:$F$301,3,FALSE())</f>
        <v/>
      </c>
      <c r="Q1467" s="55">
        <f>UPPER(TRIM(K1467))</f>
        <v/>
      </c>
      <c r="R1467" s="55">
        <f>(G1467-O1467)/G1467</f>
        <v/>
      </c>
      <c r="S1467" s="55">
        <f>VLOOKUP(D1467,Products!$A$2:$F$61,6,FALSE())</f>
        <v/>
      </c>
    </row>
    <row r="1468" ht="15" customHeight="1" s="56">
      <c r="A1468" s="55">
        <f>Orders!A1468</f>
        <v/>
      </c>
      <c r="B1468" s="103">
        <f>Orders!B1468</f>
        <v/>
      </c>
      <c r="C1468" s="55">
        <f>Orders!C1468</f>
        <v/>
      </c>
      <c r="D1468" s="55">
        <f>Orders!D1468</f>
        <v/>
      </c>
      <c r="E1468" s="55">
        <f>Orders!E1468</f>
        <v/>
      </c>
      <c r="F1468" s="55">
        <f>Orders!F1468</f>
        <v/>
      </c>
      <c r="G1468" s="55">
        <f>Orders!G1468</f>
        <v/>
      </c>
      <c r="H1468" s="55">
        <f>Orders!H1468</f>
        <v/>
      </c>
      <c r="I1468" s="55">
        <f>Orders!I1468</f>
        <v/>
      </c>
      <c r="J1468" s="55">
        <f>Orders!J1468</f>
        <v/>
      </c>
      <c r="K1468" s="55">
        <f>Orders!K1468</f>
        <v/>
      </c>
      <c r="L1468" s="55">
        <f>VLOOKUP(D1468,Products!$A$2:$F$61,3,FALSE())</f>
        <v/>
      </c>
      <c r="M1468" s="55">
        <f>VLOOKUP(C1468,Customers!$A$2:$F$301,5,FALSE())</f>
        <v/>
      </c>
      <c r="N1468" s="55">
        <f>VLOOKUP(E1468,Sales_Reps!$A$2:$E$31,3,FALSE())</f>
        <v/>
      </c>
      <c r="O1468" s="55">
        <f>VLOOKUP(D1468,Products!$A$2:$F$61,4,FALSE())</f>
        <v/>
      </c>
      <c r="P1468" s="55">
        <f>VLOOKUP(C1468,Customers!$A$2:$F$301,3,FALSE())</f>
        <v/>
      </c>
      <c r="Q1468" s="55">
        <f>UPPER(TRIM(K1468))</f>
        <v/>
      </c>
      <c r="R1468" s="55">
        <f>(G1468-O1468)/G1468</f>
        <v/>
      </c>
      <c r="S1468" s="55">
        <f>VLOOKUP(D1468,Products!$A$2:$F$61,6,FALSE())</f>
        <v/>
      </c>
    </row>
    <row r="1469" ht="15" customHeight="1" s="56">
      <c r="A1469" s="55">
        <f>Orders!A1469</f>
        <v/>
      </c>
      <c r="B1469" s="103">
        <f>Orders!B1469</f>
        <v/>
      </c>
      <c r="C1469" s="55">
        <f>Orders!C1469</f>
        <v/>
      </c>
      <c r="D1469" s="55">
        <f>Orders!D1469</f>
        <v/>
      </c>
      <c r="E1469" s="55">
        <f>Orders!E1469</f>
        <v/>
      </c>
      <c r="F1469" s="55">
        <f>Orders!F1469</f>
        <v/>
      </c>
      <c r="G1469" s="55">
        <f>Orders!G1469</f>
        <v/>
      </c>
      <c r="H1469" s="55">
        <f>Orders!H1469</f>
        <v/>
      </c>
      <c r="I1469" s="55">
        <f>Orders!I1469</f>
        <v/>
      </c>
      <c r="J1469" s="55">
        <f>Orders!J1469</f>
        <v/>
      </c>
      <c r="K1469" s="55">
        <f>Orders!K1469</f>
        <v/>
      </c>
      <c r="L1469" s="55">
        <f>VLOOKUP(D1469,Products!$A$2:$F$61,3,FALSE())</f>
        <v/>
      </c>
      <c r="M1469" s="55">
        <f>VLOOKUP(C1469,Customers!$A$2:$F$301,5,FALSE())</f>
        <v/>
      </c>
      <c r="N1469" s="55">
        <f>VLOOKUP(E1469,Sales_Reps!$A$2:$E$31,3,FALSE())</f>
        <v/>
      </c>
      <c r="O1469" s="55">
        <f>VLOOKUP(D1469,Products!$A$2:$F$61,4,FALSE())</f>
        <v/>
      </c>
      <c r="P1469" s="55">
        <f>VLOOKUP(C1469,Customers!$A$2:$F$301,3,FALSE())</f>
        <v/>
      </c>
      <c r="Q1469" s="55">
        <f>UPPER(TRIM(K1469))</f>
        <v/>
      </c>
      <c r="R1469" s="55">
        <f>(G1469-O1469)/G1469</f>
        <v/>
      </c>
      <c r="S1469" s="55">
        <f>VLOOKUP(D1469,Products!$A$2:$F$61,6,FALSE())</f>
        <v/>
      </c>
    </row>
    <row r="1470" ht="15" customHeight="1" s="56">
      <c r="A1470" s="55">
        <f>Orders!A1470</f>
        <v/>
      </c>
      <c r="B1470" s="103">
        <f>Orders!B1470</f>
        <v/>
      </c>
      <c r="C1470" s="55">
        <f>Orders!C1470</f>
        <v/>
      </c>
      <c r="D1470" s="55">
        <f>Orders!D1470</f>
        <v/>
      </c>
      <c r="E1470" s="55">
        <f>Orders!E1470</f>
        <v/>
      </c>
      <c r="F1470" s="55">
        <f>Orders!F1470</f>
        <v/>
      </c>
      <c r="G1470" s="55">
        <f>Orders!G1470</f>
        <v/>
      </c>
      <c r="H1470" s="55">
        <f>Orders!H1470</f>
        <v/>
      </c>
      <c r="I1470" s="55">
        <f>Orders!I1470</f>
        <v/>
      </c>
      <c r="J1470" s="55">
        <f>Orders!J1470</f>
        <v/>
      </c>
      <c r="K1470" s="55">
        <f>Orders!K1470</f>
        <v/>
      </c>
      <c r="L1470" s="55">
        <f>VLOOKUP(D1470,Products!$A$2:$F$61,3,FALSE())</f>
        <v/>
      </c>
      <c r="M1470" s="55">
        <f>VLOOKUP(C1470,Customers!$A$2:$F$301,5,FALSE())</f>
        <v/>
      </c>
      <c r="N1470" s="55">
        <f>VLOOKUP(E1470,Sales_Reps!$A$2:$E$31,3,FALSE())</f>
        <v/>
      </c>
      <c r="O1470" s="55">
        <f>VLOOKUP(D1470,Products!$A$2:$F$61,4,FALSE())</f>
        <v/>
      </c>
      <c r="P1470" s="55">
        <f>VLOOKUP(C1470,Customers!$A$2:$F$301,3,FALSE())</f>
        <v/>
      </c>
      <c r="Q1470" s="55">
        <f>UPPER(TRIM(K1470))</f>
        <v/>
      </c>
      <c r="R1470" s="55">
        <f>(G1470-O1470)/G1470</f>
        <v/>
      </c>
      <c r="S1470" s="55">
        <f>VLOOKUP(D1470,Products!$A$2:$F$61,6,FALSE())</f>
        <v/>
      </c>
    </row>
    <row r="1471" ht="15" customHeight="1" s="56">
      <c r="A1471" s="55">
        <f>Orders!A1471</f>
        <v/>
      </c>
      <c r="B1471" s="103">
        <f>Orders!B1471</f>
        <v/>
      </c>
      <c r="C1471" s="55">
        <f>Orders!C1471</f>
        <v/>
      </c>
      <c r="D1471" s="55">
        <f>Orders!D1471</f>
        <v/>
      </c>
      <c r="E1471" s="55">
        <f>Orders!E1471</f>
        <v/>
      </c>
      <c r="F1471" s="55">
        <f>Orders!F1471</f>
        <v/>
      </c>
      <c r="G1471" s="55">
        <f>Orders!G1471</f>
        <v/>
      </c>
      <c r="H1471" s="55">
        <f>Orders!H1471</f>
        <v/>
      </c>
      <c r="I1471" s="55">
        <f>Orders!I1471</f>
        <v/>
      </c>
      <c r="J1471" s="55">
        <f>Orders!J1471</f>
        <v/>
      </c>
      <c r="K1471" s="55">
        <f>Orders!K1471</f>
        <v/>
      </c>
      <c r="L1471" s="55">
        <f>VLOOKUP(D1471,Products!$A$2:$F$61,3,FALSE())</f>
        <v/>
      </c>
      <c r="M1471" s="55">
        <f>VLOOKUP(C1471,Customers!$A$2:$F$301,5,FALSE())</f>
        <v/>
      </c>
      <c r="N1471" s="55">
        <f>VLOOKUP(E1471,Sales_Reps!$A$2:$E$31,3,FALSE())</f>
        <v/>
      </c>
      <c r="O1471" s="55">
        <f>VLOOKUP(D1471,Products!$A$2:$F$61,4,FALSE())</f>
        <v/>
      </c>
      <c r="P1471" s="55">
        <f>VLOOKUP(C1471,Customers!$A$2:$F$301,3,FALSE())</f>
        <v/>
      </c>
      <c r="Q1471" s="55">
        <f>UPPER(TRIM(K1471))</f>
        <v/>
      </c>
      <c r="R1471" s="55">
        <f>(G1471-O1471)/G1471</f>
        <v/>
      </c>
      <c r="S1471" s="55">
        <f>VLOOKUP(D1471,Products!$A$2:$F$61,6,FALSE())</f>
        <v/>
      </c>
    </row>
    <row r="1472" ht="15" customHeight="1" s="56">
      <c r="A1472" s="55">
        <f>Orders!A1472</f>
        <v/>
      </c>
      <c r="B1472" s="103">
        <f>Orders!B1472</f>
        <v/>
      </c>
      <c r="C1472" s="55">
        <f>Orders!C1472</f>
        <v/>
      </c>
      <c r="D1472" s="55">
        <f>Orders!D1472</f>
        <v/>
      </c>
      <c r="E1472" s="55">
        <f>Orders!E1472</f>
        <v/>
      </c>
      <c r="F1472" s="55">
        <f>Orders!F1472</f>
        <v/>
      </c>
      <c r="G1472" s="55">
        <f>Orders!G1472</f>
        <v/>
      </c>
      <c r="H1472" s="55">
        <f>Orders!H1472</f>
        <v/>
      </c>
      <c r="I1472" s="55">
        <f>Orders!I1472</f>
        <v/>
      </c>
      <c r="J1472" s="55">
        <f>Orders!J1472</f>
        <v/>
      </c>
      <c r="K1472" s="55">
        <f>Orders!K1472</f>
        <v/>
      </c>
      <c r="L1472" s="55">
        <f>VLOOKUP(D1472,Products!$A$2:$F$61,3,FALSE())</f>
        <v/>
      </c>
      <c r="M1472" s="55">
        <f>VLOOKUP(C1472,Customers!$A$2:$F$301,5,FALSE())</f>
        <v/>
      </c>
      <c r="N1472" s="55">
        <f>VLOOKUP(E1472,Sales_Reps!$A$2:$E$31,3,FALSE())</f>
        <v/>
      </c>
      <c r="O1472" s="55">
        <f>VLOOKUP(D1472,Products!$A$2:$F$61,4,FALSE())</f>
        <v/>
      </c>
      <c r="P1472" s="55">
        <f>VLOOKUP(C1472,Customers!$A$2:$F$301,3,FALSE())</f>
        <v/>
      </c>
      <c r="Q1472" s="55">
        <f>UPPER(TRIM(K1472))</f>
        <v/>
      </c>
      <c r="R1472" s="55">
        <f>(G1472-O1472)/G1472</f>
        <v/>
      </c>
      <c r="S1472" s="55">
        <f>VLOOKUP(D1472,Products!$A$2:$F$61,6,FALSE())</f>
        <v/>
      </c>
    </row>
    <row r="1473" ht="15" customHeight="1" s="56">
      <c r="A1473" s="55">
        <f>Orders!A1473</f>
        <v/>
      </c>
      <c r="B1473" s="103">
        <f>Orders!B1473</f>
        <v/>
      </c>
      <c r="C1473" s="55">
        <f>Orders!C1473</f>
        <v/>
      </c>
      <c r="D1473" s="55">
        <f>Orders!D1473</f>
        <v/>
      </c>
      <c r="E1473" s="55">
        <f>Orders!E1473</f>
        <v/>
      </c>
      <c r="F1473" s="55">
        <f>Orders!F1473</f>
        <v/>
      </c>
      <c r="G1473" s="55">
        <f>Orders!G1473</f>
        <v/>
      </c>
      <c r="H1473" s="55">
        <f>Orders!H1473</f>
        <v/>
      </c>
      <c r="I1473" s="55">
        <f>Orders!I1473</f>
        <v/>
      </c>
      <c r="J1473" s="55">
        <f>Orders!J1473</f>
        <v/>
      </c>
      <c r="K1473" s="55">
        <f>Orders!K1473</f>
        <v/>
      </c>
      <c r="L1473" s="55">
        <f>VLOOKUP(D1473,Products!$A$2:$F$61,3,FALSE())</f>
        <v/>
      </c>
      <c r="M1473" s="55">
        <f>VLOOKUP(C1473,Customers!$A$2:$F$301,5,FALSE())</f>
        <v/>
      </c>
      <c r="N1473" s="55">
        <f>VLOOKUP(E1473,Sales_Reps!$A$2:$E$31,3,FALSE())</f>
        <v/>
      </c>
      <c r="O1473" s="55">
        <f>VLOOKUP(D1473,Products!$A$2:$F$61,4,FALSE())</f>
        <v/>
      </c>
      <c r="P1473" s="55">
        <f>VLOOKUP(C1473,Customers!$A$2:$F$301,3,FALSE())</f>
        <v/>
      </c>
      <c r="Q1473" s="55">
        <f>UPPER(TRIM(K1473))</f>
        <v/>
      </c>
      <c r="R1473" s="55">
        <f>(G1473-O1473)/G1473</f>
        <v/>
      </c>
      <c r="S1473" s="55">
        <f>VLOOKUP(D1473,Products!$A$2:$F$61,6,FALSE())</f>
        <v/>
      </c>
    </row>
    <row r="1474" ht="15" customHeight="1" s="56">
      <c r="A1474" s="55">
        <f>Orders!A1474</f>
        <v/>
      </c>
      <c r="B1474" s="103">
        <f>Orders!B1474</f>
        <v/>
      </c>
      <c r="C1474" s="55">
        <f>Orders!C1474</f>
        <v/>
      </c>
      <c r="D1474" s="55">
        <f>Orders!D1474</f>
        <v/>
      </c>
      <c r="E1474" s="55">
        <f>Orders!E1474</f>
        <v/>
      </c>
      <c r="F1474" s="55">
        <f>Orders!F1474</f>
        <v/>
      </c>
      <c r="G1474" s="55">
        <f>Orders!G1474</f>
        <v/>
      </c>
      <c r="H1474" s="55">
        <f>Orders!H1474</f>
        <v/>
      </c>
      <c r="I1474" s="55">
        <f>Orders!I1474</f>
        <v/>
      </c>
      <c r="J1474" s="55">
        <f>Orders!J1474</f>
        <v/>
      </c>
      <c r="K1474" s="55">
        <f>Orders!K1474</f>
        <v/>
      </c>
      <c r="L1474" s="55">
        <f>VLOOKUP(D1474,Products!$A$2:$F$61,3,FALSE())</f>
        <v/>
      </c>
      <c r="M1474" s="55">
        <f>VLOOKUP(C1474,Customers!$A$2:$F$301,5,FALSE())</f>
        <v/>
      </c>
      <c r="N1474" s="55">
        <f>VLOOKUP(E1474,Sales_Reps!$A$2:$E$31,3,FALSE())</f>
        <v/>
      </c>
      <c r="O1474" s="55">
        <f>VLOOKUP(D1474,Products!$A$2:$F$61,4,FALSE())</f>
        <v/>
      </c>
      <c r="P1474" s="55">
        <f>VLOOKUP(C1474,Customers!$A$2:$F$301,3,FALSE())</f>
        <v/>
      </c>
      <c r="Q1474" s="55">
        <f>UPPER(TRIM(K1474))</f>
        <v/>
      </c>
      <c r="R1474" s="55">
        <f>(G1474-O1474)/G1474</f>
        <v/>
      </c>
      <c r="S1474" s="55">
        <f>VLOOKUP(D1474,Products!$A$2:$F$61,6,FALSE())</f>
        <v/>
      </c>
    </row>
    <row r="1475" ht="15" customHeight="1" s="56">
      <c r="A1475" s="55">
        <f>Orders!A1475</f>
        <v/>
      </c>
      <c r="B1475" s="103">
        <f>Orders!B1475</f>
        <v/>
      </c>
      <c r="C1475" s="55">
        <f>Orders!C1475</f>
        <v/>
      </c>
      <c r="D1475" s="55">
        <f>Orders!D1475</f>
        <v/>
      </c>
      <c r="E1475" s="55">
        <f>Orders!E1475</f>
        <v/>
      </c>
      <c r="F1475" s="55">
        <f>Orders!F1475</f>
        <v/>
      </c>
      <c r="G1475" s="55">
        <f>Orders!G1475</f>
        <v/>
      </c>
      <c r="H1475" s="55">
        <f>Orders!H1475</f>
        <v/>
      </c>
      <c r="I1475" s="55">
        <f>Orders!I1475</f>
        <v/>
      </c>
      <c r="J1475" s="55">
        <f>Orders!J1475</f>
        <v/>
      </c>
      <c r="K1475" s="55">
        <f>Orders!K1475</f>
        <v/>
      </c>
      <c r="L1475" s="55">
        <f>VLOOKUP(D1475,Products!$A$2:$F$61,3,FALSE())</f>
        <v/>
      </c>
      <c r="M1475" s="55">
        <f>VLOOKUP(C1475,Customers!$A$2:$F$301,5,FALSE())</f>
        <v/>
      </c>
      <c r="N1475" s="55">
        <f>VLOOKUP(E1475,Sales_Reps!$A$2:$E$31,3,FALSE())</f>
        <v/>
      </c>
      <c r="O1475" s="55">
        <f>VLOOKUP(D1475,Products!$A$2:$F$61,4,FALSE())</f>
        <v/>
      </c>
      <c r="P1475" s="55">
        <f>VLOOKUP(C1475,Customers!$A$2:$F$301,3,FALSE())</f>
        <v/>
      </c>
      <c r="Q1475" s="55">
        <f>UPPER(TRIM(K1475))</f>
        <v/>
      </c>
      <c r="R1475" s="55">
        <f>(G1475-O1475)/G1475</f>
        <v/>
      </c>
      <c r="S1475" s="55">
        <f>VLOOKUP(D1475,Products!$A$2:$F$61,6,FALSE())</f>
        <v/>
      </c>
    </row>
    <row r="1476" ht="15" customHeight="1" s="56">
      <c r="A1476" s="55">
        <f>Orders!A1476</f>
        <v/>
      </c>
      <c r="B1476" s="103">
        <f>Orders!B1476</f>
        <v/>
      </c>
      <c r="C1476" s="55">
        <f>Orders!C1476</f>
        <v/>
      </c>
      <c r="D1476" s="55">
        <f>Orders!D1476</f>
        <v/>
      </c>
      <c r="E1476" s="55">
        <f>Orders!E1476</f>
        <v/>
      </c>
      <c r="F1476" s="55">
        <f>Orders!F1476</f>
        <v/>
      </c>
      <c r="G1476" s="55">
        <f>Orders!G1476</f>
        <v/>
      </c>
      <c r="H1476" s="55">
        <f>Orders!H1476</f>
        <v/>
      </c>
      <c r="I1476" s="55">
        <f>Orders!I1476</f>
        <v/>
      </c>
      <c r="J1476" s="55">
        <f>Orders!J1476</f>
        <v/>
      </c>
      <c r="K1476" s="55">
        <f>Orders!K1476</f>
        <v/>
      </c>
      <c r="L1476" s="55">
        <f>VLOOKUP(D1476,Products!$A$2:$F$61,3,FALSE())</f>
        <v/>
      </c>
      <c r="M1476" s="55">
        <f>VLOOKUP(C1476,Customers!$A$2:$F$301,5,FALSE())</f>
        <v/>
      </c>
      <c r="N1476" s="55">
        <f>VLOOKUP(E1476,Sales_Reps!$A$2:$E$31,3,FALSE())</f>
        <v/>
      </c>
      <c r="O1476" s="55">
        <f>VLOOKUP(D1476,Products!$A$2:$F$61,4,FALSE())</f>
        <v/>
      </c>
      <c r="P1476" s="55">
        <f>VLOOKUP(C1476,Customers!$A$2:$F$301,3,FALSE())</f>
        <v/>
      </c>
      <c r="Q1476" s="55">
        <f>UPPER(TRIM(K1476))</f>
        <v/>
      </c>
      <c r="R1476" s="55">
        <f>(G1476-O1476)/G1476</f>
        <v/>
      </c>
      <c r="S1476" s="55">
        <f>VLOOKUP(D1476,Products!$A$2:$F$61,6,FALSE())</f>
        <v/>
      </c>
    </row>
    <row r="1477" ht="15" customHeight="1" s="56">
      <c r="A1477" s="55">
        <f>Orders!A1477</f>
        <v/>
      </c>
      <c r="B1477" s="103">
        <f>Orders!B1477</f>
        <v/>
      </c>
      <c r="C1477" s="55">
        <f>Orders!C1477</f>
        <v/>
      </c>
      <c r="D1477" s="55">
        <f>Orders!D1477</f>
        <v/>
      </c>
      <c r="E1477" s="55">
        <f>Orders!E1477</f>
        <v/>
      </c>
      <c r="F1477" s="55">
        <f>Orders!F1477</f>
        <v/>
      </c>
      <c r="G1477" s="55">
        <f>Orders!G1477</f>
        <v/>
      </c>
      <c r="H1477" s="55">
        <f>Orders!H1477</f>
        <v/>
      </c>
      <c r="I1477" s="55">
        <f>Orders!I1477</f>
        <v/>
      </c>
      <c r="J1477" s="55">
        <f>Orders!J1477</f>
        <v/>
      </c>
      <c r="K1477" s="55">
        <f>Orders!K1477</f>
        <v/>
      </c>
      <c r="L1477" s="55">
        <f>VLOOKUP(D1477,Products!$A$2:$F$61,3,FALSE())</f>
        <v/>
      </c>
      <c r="M1477" s="55">
        <f>VLOOKUP(C1477,Customers!$A$2:$F$301,5,FALSE())</f>
        <v/>
      </c>
      <c r="N1477" s="55">
        <f>VLOOKUP(E1477,Sales_Reps!$A$2:$E$31,3,FALSE())</f>
        <v/>
      </c>
      <c r="O1477" s="55">
        <f>VLOOKUP(D1477,Products!$A$2:$F$61,4,FALSE())</f>
        <v/>
      </c>
      <c r="P1477" s="55">
        <f>VLOOKUP(C1477,Customers!$A$2:$F$301,3,FALSE())</f>
        <v/>
      </c>
      <c r="Q1477" s="55">
        <f>UPPER(TRIM(K1477))</f>
        <v/>
      </c>
      <c r="R1477" s="55">
        <f>(G1477-O1477)/G1477</f>
        <v/>
      </c>
      <c r="S1477" s="55">
        <f>VLOOKUP(D1477,Products!$A$2:$F$61,6,FALSE())</f>
        <v/>
      </c>
    </row>
    <row r="1478" ht="15" customHeight="1" s="56">
      <c r="A1478" s="55">
        <f>Orders!A1478</f>
        <v/>
      </c>
      <c r="B1478" s="103">
        <f>Orders!B1478</f>
        <v/>
      </c>
      <c r="C1478" s="55">
        <f>Orders!C1478</f>
        <v/>
      </c>
      <c r="D1478" s="55">
        <f>Orders!D1478</f>
        <v/>
      </c>
      <c r="E1478" s="55">
        <f>Orders!E1478</f>
        <v/>
      </c>
      <c r="F1478" s="55">
        <f>Orders!F1478</f>
        <v/>
      </c>
      <c r="G1478" s="55">
        <f>Orders!G1478</f>
        <v/>
      </c>
      <c r="H1478" s="55">
        <f>Orders!H1478</f>
        <v/>
      </c>
      <c r="I1478" s="55">
        <f>Orders!I1478</f>
        <v/>
      </c>
      <c r="J1478" s="55">
        <f>Orders!J1478</f>
        <v/>
      </c>
      <c r="K1478" s="55">
        <f>Orders!K1478</f>
        <v/>
      </c>
      <c r="L1478" s="55">
        <f>VLOOKUP(D1478,Products!$A$2:$F$61,3,FALSE())</f>
        <v/>
      </c>
      <c r="M1478" s="55">
        <f>VLOOKUP(C1478,Customers!$A$2:$F$301,5,FALSE())</f>
        <v/>
      </c>
      <c r="N1478" s="55">
        <f>VLOOKUP(E1478,Sales_Reps!$A$2:$E$31,3,FALSE())</f>
        <v/>
      </c>
      <c r="O1478" s="55">
        <f>VLOOKUP(D1478,Products!$A$2:$F$61,4,FALSE())</f>
        <v/>
      </c>
      <c r="P1478" s="55">
        <f>VLOOKUP(C1478,Customers!$A$2:$F$301,3,FALSE())</f>
        <v/>
      </c>
      <c r="Q1478" s="55">
        <f>UPPER(TRIM(K1478))</f>
        <v/>
      </c>
      <c r="R1478" s="55">
        <f>(G1478-O1478)/G1478</f>
        <v/>
      </c>
      <c r="S1478" s="55">
        <f>VLOOKUP(D1478,Products!$A$2:$F$61,6,FALSE())</f>
        <v/>
      </c>
    </row>
    <row r="1479" ht="15" customHeight="1" s="56">
      <c r="A1479" s="55">
        <f>Orders!A1479</f>
        <v/>
      </c>
      <c r="B1479" s="103">
        <f>Orders!B1479</f>
        <v/>
      </c>
      <c r="C1479" s="55">
        <f>Orders!C1479</f>
        <v/>
      </c>
      <c r="D1479" s="55">
        <f>Orders!D1479</f>
        <v/>
      </c>
      <c r="E1479" s="55">
        <f>Orders!E1479</f>
        <v/>
      </c>
      <c r="F1479" s="55">
        <f>Orders!F1479</f>
        <v/>
      </c>
      <c r="G1479" s="55">
        <f>Orders!G1479</f>
        <v/>
      </c>
      <c r="H1479" s="55">
        <f>Orders!H1479</f>
        <v/>
      </c>
      <c r="I1479" s="55">
        <f>Orders!I1479</f>
        <v/>
      </c>
      <c r="J1479" s="55">
        <f>Orders!J1479</f>
        <v/>
      </c>
      <c r="K1479" s="55">
        <f>Orders!K1479</f>
        <v/>
      </c>
      <c r="L1479" s="55">
        <f>VLOOKUP(D1479,Products!$A$2:$F$61,3,FALSE())</f>
        <v/>
      </c>
      <c r="M1479" s="55">
        <f>VLOOKUP(C1479,Customers!$A$2:$F$301,5,FALSE())</f>
        <v/>
      </c>
      <c r="N1479" s="55">
        <f>VLOOKUP(E1479,Sales_Reps!$A$2:$E$31,3,FALSE())</f>
        <v/>
      </c>
      <c r="O1479" s="55">
        <f>VLOOKUP(D1479,Products!$A$2:$F$61,4,FALSE())</f>
        <v/>
      </c>
      <c r="P1479" s="55">
        <f>VLOOKUP(C1479,Customers!$A$2:$F$301,3,FALSE())</f>
        <v/>
      </c>
      <c r="Q1479" s="55">
        <f>UPPER(TRIM(K1479))</f>
        <v/>
      </c>
      <c r="R1479" s="55">
        <f>(G1479-O1479)/G1479</f>
        <v/>
      </c>
      <c r="S1479" s="55">
        <f>VLOOKUP(D1479,Products!$A$2:$F$61,6,FALSE())</f>
        <v/>
      </c>
    </row>
    <row r="1480" ht="15" customHeight="1" s="56">
      <c r="A1480" s="55">
        <f>Orders!A1480</f>
        <v/>
      </c>
      <c r="B1480" s="103">
        <f>Orders!B1480</f>
        <v/>
      </c>
      <c r="C1480" s="55">
        <f>Orders!C1480</f>
        <v/>
      </c>
      <c r="D1480" s="55">
        <f>Orders!D1480</f>
        <v/>
      </c>
      <c r="E1480" s="55">
        <f>Orders!E1480</f>
        <v/>
      </c>
      <c r="F1480" s="55">
        <f>Orders!F1480</f>
        <v/>
      </c>
      <c r="G1480" s="55">
        <f>Orders!G1480</f>
        <v/>
      </c>
      <c r="H1480" s="55">
        <f>Orders!H1480</f>
        <v/>
      </c>
      <c r="I1480" s="55">
        <f>Orders!I1480</f>
        <v/>
      </c>
      <c r="J1480" s="55">
        <f>Orders!J1480</f>
        <v/>
      </c>
      <c r="K1480" s="55">
        <f>Orders!K1480</f>
        <v/>
      </c>
      <c r="L1480" s="55">
        <f>VLOOKUP(D1480,Products!$A$2:$F$61,3,FALSE())</f>
        <v/>
      </c>
      <c r="M1480" s="55">
        <f>VLOOKUP(C1480,Customers!$A$2:$F$301,5,FALSE())</f>
        <v/>
      </c>
      <c r="N1480" s="55">
        <f>VLOOKUP(E1480,Sales_Reps!$A$2:$E$31,3,FALSE())</f>
        <v/>
      </c>
      <c r="O1480" s="55">
        <f>VLOOKUP(D1480,Products!$A$2:$F$61,4,FALSE())</f>
        <v/>
      </c>
      <c r="P1480" s="55">
        <f>VLOOKUP(C1480,Customers!$A$2:$F$301,3,FALSE())</f>
        <v/>
      </c>
      <c r="Q1480" s="55">
        <f>UPPER(TRIM(K1480))</f>
        <v/>
      </c>
      <c r="R1480" s="55">
        <f>(G1480-O1480)/G1480</f>
        <v/>
      </c>
      <c r="S1480" s="55">
        <f>VLOOKUP(D1480,Products!$A$2:$F$61,6,FALSE())</f>
        <v/>
      </c>
    </row>
    <row r="1481" ht="15" customHeight="1" s="56">
      <c r="A1481" s="55">
        <f>Orders!A1481</f>
        <v/>
      </c>
      <c r="B1481" s="103">
        <f>Orders!B1481</f>
        <v/>
      </c>
      <c r="C1481" s="55">
        <f>Orders!C1481</f>
        <v/>
      </c>
      <c r="D1481" s="55">
        <f>Orders!D1481</f>
        <v/>
      </c>
      <c r="E1481" s="55">
        <f>Orders!E1481</f>
        <v/>
      </c>
      <c r="F1481" s="55">
        <f>Orders!F1481</f>
        <v/>
      </c>
      <c r="G1481" s="55">
        <f>Orders!G1481</f>
        <v/>
      </c>
      <c r="H1481" s="55">
        <f>Orders!H1481</f>
        <v/>
      </c>
      <c r="I1481" s="55">
        <f>Orders!I1481</f>
        <v/>
      </c>
      <c r="J1481" s="55">
        <f>Orders!J1481</f>
        <v/>
      </c>
      <c r="K1481" s="55">
        <f>Orders!K1481</f>
        <v/>
      </c>
      <c r="L1481" s="55">
        <f>VLOOKUP(D1481,Products!$A$2:$F$61,3,FALSE())</f>
        <v/>
      </c>
      <c r="M1481" s="55">
        <f>VLOOKUP(C1481,Customers!$A$2:$F$301,5,FALSE())</f>
        <v/>
      </c>
      <c r="N1481" s="55">
        <f>VLOOKUP(E1481,Sales_Reps!$A$2:$E$31,3,FALSE())</f>
        <v/>
      </c>
      <c r="O1481" s="55">
        <f>VLOOKUP(D1481,Products!$A$2:$F$61,4,FALSE())</f>
        <v/>
      </c>
      <c r="P1481" s="55">
        <f>VLOOKUP(C1481,Customers!$A$2:$F$301,3,FALSE())</f>
        <v/>
      </c>
      <c r="Q1481" s="55">
        <f>UPPER(TRIM(K1481))</f>
        <v/>
      </c>
      <c r="R1481" s="55">
        <f>(G1481-O1481)/G1481</f>
        <v/>
      </c>
      <c r="S1481" s="55">
        <f>VLOOKUP(D1481,Products!$A$2:$F$61,6,FALSE())</f>
        <v/>
      </c>
    </row>
    <row r="1482" ht="15" customHeight="1" s="56">
      <c r="A1482" s="55">
        <f>Orders!A1482</f>
        <v/>
      </c>
      <c r="B1482" s="103">
        <f>Orders!B1482</f>
        <v/>
      </c>
      <c r="C1482" s="55">
        <f>Orders!C1482</f>
        <v/>
      </c>
      <c r="D1482" s="55">
        <f>Orders!D1482</f>
        <v/>
      </c>
      <c r="E1482" s="55">
        <f>Orders!E1482</f>
        <v/>
      </c>
      <c r="F1482" s="55">
        <f>Orders!F1482</f>
        <v/>
      </c>
      <c r="G1482" s="55">
        <f>Orders!G1482</f>
        <v/>
      </c>
      <c r="H1482" s="55">
        <f>Orders!H1482</f>
        <v/>
      </c>
      <c r="I1482" s="55">
        <f>Orders!I1482</f>
        <v/>
      </c>
      <c r="J1482" s="55">
        <f>Orders!J1482</f>
        <v/>
      </c>
      <c r="K1482" s="55">
        <f>Orders!K1482</f>
        <v/>
      </c>
      <c r="L1482" s="55">
        <f>VLOOKUP(D1482,Products!$A$2:$F$61,3,FALSE())</f>
        <v/>
      </c>
      <c r="M1482" s="55">
        <f>VLOOKUP(C1482,Customers!$A$2:$F$301,5,FALSE())</f>
        <v/>
      </c>
      <c r="N1482" s="55">
        <f>VLOOKUP(E1482,Sales_Reps!$A$2:$E$31,3,FALSE())</f>
        <v/>
      </c>
      <c r="O1482" s="55">
        <f>VLOOKUP(D1482,Products!$A$2:$F$61,4,FALSE())</f>
        <v/>
      </c>
      <c r="P1482" s="55">
        <f>VLOOKUP(C1482,Customers!$A$2:$F$301,3,FALSE())</f>
        <v/>
      </c>
      <c r="Q1482" s="55">
        <f>UPPER(TRIM(K1482))</f>
        <v/>
      </c>
      <c r="R1482" s="55">
        <f>(G1482-O1482)/G1482</f>
        <v/>
      </c>
      <c r="S1482" s="55">
        <f>VLOOKUP(D1482,Products!$A$2:$F$61,6,FALSE())</f>
        <v/>
      </c>
    </row>
    <row r="1483" ht="15" customHeight="1" s="56">
      <c r="A1483" s="55">
        <f>Orders!A1483</f>
        <v/>
      </c>
      <c r="B1483" s="103">
        <f>Orders!B1483</f>
        <v/>
      </c>
      <c r="C1483" s="55">
        <f>Orders!C1483</f>
        <v/>
      </c>
      <c r="D1483" s="55">
        <f>Orders!D1483</f>
        <v/>
      </c>
      <c r="E1483" s="55">
        <f>Orders!E1483</f>
        <v/>
      </c>
      <c r="F1483" s="55">
        <f>Orders!F1483</f>
        <v/>
      </c>
      <c r="G1483" s="55">
        <f>Orders!G1483</f>
        <v/>
      </c>
      <c r="H1483" s="55">
        <f>Orders!H1483</f>
        <v/>
      </c>
      <c r="I1483" s="55">
        <f>Orders!I1483</f>
        <v/>
      </c>
      <c r="J1483" s="55">
        <f>Orders!J1483</f>
        <v/>
      </c>
      <c r="K1483" s="55">
        <f>Orders!K1483</f>
        <v/>
      </c>
      <c r="L1483" s="55">
        <f>VLOOKUP(D1483,Products!$A$2:$F$61,3,FALSE())</f>
        <v/>
      </c>
      <c r="M1483" s="55">
        <f>VLOOKUP(C1483,Customers!$A$2:$F$301,5,FALSE())</f>
        <v/>
      </c>
      <c r="N1483" s="55">
        <f>VLOOKUP(E1483,Sales_Reps!$A$2:$E$31,3,FALSE())</f>
        <v/>
      </c>
      <c r="O1483" s="55">
        <f>VLOOKUP(D1483,Products!$A$2:$F$61,4,FALSE())</f>
        <v/>
      </c>
      <c r="P1483" s="55">
        <f>VLOOKUP(C1483,Customers!$A$2:$F$301,3,FALSE())</f>
        <v/>
      </c>
      <c r="Q1483" s="55">
        <f>UPPER(TRIM(K1483))</f>
        <v/>
      </c>
      <c r="R1483" s="55">
        <f>(G1483-O1483)/G1483</f>
        <v/>
      </c>
      <c r="S1483" s="55">
        <f>VLOOKUP(D1483,Products!$A$2:$F$61,6,FALSE())</f>
        <v/>
      </c>
    </row>
    <row r="1484" ht="15" customHeight="1" s="56">
      <c r="A1484" s="55">
        <f>Orders!A1484</f>
        <v/>
      </c>
      <c r="B1484" s="103">
        <f>Orders!B1484</f>
        <v/>
      </c>
      <c r="C1484" s="55">
        <f>Orders!C1484</f>
        <v/>
      </c>
      <c r="D1484" s="55">
        <f>Orders!D1484</f>
        <v/>
      </c>
      <c r="E1484" s="55">
        <f>Orders!E1484</f>
        <v/>
      </c>
      <c r="F1484" s="55">
        <f>Orders!F1484</f>
        <v/>
      </c>
      <c r="G1484" s="55">
        <f>Orders!G1484</f>
        <v/>
      </c>
      <c r="H1484" s="55">
        <f>Orders!H1484</f>
        <v/>
      </c>
      <c r="I1484" s="55">
        <f>Orders!I1484</f>
        <v/>
      </c>
      <c r="J1484" s="55">
        <f>Orders!J1484</f>
        <v/>
      </c>
      <c r="K1484" s="55">
        <f>Orders!K1484</f>
        <v/>
      </c>
      <c r="L1484" s="55">
        <f>VLOOKUP(D1484,Products!$A$2:$F$61,3,FALSE())</f>
        <v/>
      </c>
      <c r="M1484" s="55">
        <f>VLOOKUP(C1484,Customers!$A$2:$F$301,5,FALSE())</f>
        <v/>
      </c>
      <c r="N1484" s="55">
        <f>VLOOKUP(E1484,Sales_Reps!$A$2:$E$31,3,FALSE())</f>
        <v/>
      </c>
      <c r="O1484" s="55">
        <f>VLOOKUP(D1484,Products!$A$2:$F$61,4,FALSE())</f>
        <v/>
      </c>
      <c r="P1484" s="55">
        <f>VLOOKUP(C1484,Customers!$A$2:$F$301,3,FALSE())</f>
        <v/>
      </c>
      <c r="Q1484" s="55">
        <f>UPPER(TRIM(K1484))</f>
        <v/>
      </c>
      <c r="R1484" s="55">
        <f>(G1484-O1484)/G1484</f>
        <v/>
      </c>
      <c r="S1484" s="55">
        <f>VLOOKUP(D1484,Products!$A$2:$F$61,6,FALSE())</f>
        <v/>
      </c>
    </row>
    <row r="1485" ht="15" customHeight="1" s="56">
      <c r="A1485" s="55">
        <f>Orders!A1485</f>
        <v/>
      </c>
      <c r="B1485" s="103">
        <f>Orders!B1485</f>
        <v/>
      </c>
      <c r="C1485" s="55">
        <f>Orders!C1485</f>
        <v/>
      </c>
      <c r="D1485" s="55">
        <f>Orders!D1485</f>
        <v/>
      </c>
      <c r="E1485" s="55">
        <f>Orders!E1485</f>
        <v/>
      </c>
      <c r="F1485" s="55">
        <f>Orders!F1485</f>
        <v/>
      </c>
      <c r="G1485" s="55">
        <f>Orders!G1485</f>
        <v/>
      </c>
      <c r="H1485" s="55">
        <f>Orders!H1485</f>
        <v/>
      </c>
      <c r="I1485" s="55">
        <f>Orders!I1485</f>
        <v/>
      </c>
      <c r="J1485" s="55">
        <f>Orders!J1485</f>
        <v/>
      </c>
      <c r="K1485" s="55">
        <f>Orders!K1485</f>
        <v/>
      </c>
      <c r="L1485" s="55">
        <f>VLOOKUP(D1485,Products!$A$2:$F$61,3,FALSE())</f>
        <v/>
      </c>
      <c r="M1485" s="55">
        <f>VLOOKUP(C1485,Customers!$A$2:$F$301,5,FALSE())</f>
        <v/>
      </c>
      <c r="N1485" s="55">
        <f>VLOOKUP(E1485,Sales_Reps!$A$2:$E$31,3,FALSE())</f>
        <v/>
      </c>
      <c r="O1485" s="55">
        <f>VLOOKUP(D1485,Products!$A$2:$F$61,4,FALSE())</f>
        <v/>
      </c>
      <c r="P1485" s="55">
        <f>VLOOKUP(C1485,Customers!$A$2:$F$301,3,FALSE())</f>
        <v/>
      </c>
      <c r="Q1485" s="55">
        <f>UPPER(TRIM(K1485))</f>
        <v/>
      </c>
      <c r="R1485" s="55">
        <f>(G1485-O1485)/G1485</f>
        <v/>
      </c>
      <c r="S1485" s="55">
        <f>VLOOKUP(D1485,Products!$A$2:$F$61,6,FALSE())</f>
        <v/>
      </c>
    </row>
    <row r="1486" ht="15" customHeight="1" s="56">
      <c r="A1486" s="55">
        <f>Orders!A1486</f>
        <v/>
      </c>
      <c r="B1486" s="103">
        <f>Orders!B1486</f>
        <v/>
      </c>
      <c r="C1486" s="55">
        <f>Orders!C1486</f>
        <v/>
      </c>
      <c r="D1486" s="55">
        <f>Orders!D1486</f>
        <v/>
      </c>
      <c r="E1486" s="55">
        <f>Orders!E1486</f>
        <v/>
      </c>
      <c r="F1486" s="55">
        <f>Orders!F1486</f>
        <v/>
      </c>
      <c r="G1486" s="55">
        <f>Orders!G1486</f>
        <v/>
      </c>
      <c r="H1486" s="55">
        <f>Orders!H1486</f>
        <v/>
      </c>
      <c r="I1486" s="55">
        <f>Orders!I1486</f>
        <v/>
      </c>
      <c r="J1486" s="55">
        <f>Orders!J1486</f>
        <v/>
      </c>
      <c r="K1486" s="55">
        <f>Orders!K1486</f>
        <v/>
      </c>
      <c r="L1486" s="55">
        <f>VLOOKUP(D1486,Products!$A$2:$F$61,3,FALSE())</f>
        <v/>
      </c>
      <c r="M1486" s="55">
        <f>VLOOKUP(C1486,Customers!$A$2:$F$301,5,FALSE())</f>
        <v/>
      </c>
      <c r="N1486" s="55">
        <f>VLOOKUP(E1486,Sales_Reps!$A$2:$E$31,3,FALSE())</f>
        <v/>
      </c>
      <c r="O1486" s="55">
        <f>VLOOKUP(D1486,Products!$A$2:$F$61,4,FALSE())</f>
        <v/>
      </c>
      <c r="P1486" s="55">
        <f>VLOOKUP(C1486,Customers!$A$2:$F$301,3,FALSE())</f>
        <v/>
      </c>
      <c r="Q1486" s="55">
        <f>UPPER(TRIM(K1486))</f>
        <v/>
      </c>
      <c r="R1486" s="55">
        <f>(G1486-O1486)/G1486</f>
        <v/>
      </c>
      <c r="S1486" s="55">
        <f>VLOOKUP(D1486,Products!$A$2:$F$61,6,FALSE())</f>
        <v/>
      </c>
    </row>
    <row r="1487" ht="15" customHeight="1" s="56">
      <c r="A1487" s="55">
        <f>Orders!A1487</f>
        <v/>
      </c>
      <c r="B1487" s="103">
        <f>Orders!B1487</f>
        <v/>
      </c>
      <c r="C1487" s="55">
        <f>Orders!C1487</f>
        <v/>
      </c>
      <c r="D1487" s="55">
        <f>Orders!D1487</f>
        <v/>
      </c>
      <c r="E1487" s="55">
        <f>Orders!E1487</f>
        <v/>
      </c>
      <c r="F1487" s="55">
        <f>Orders!F1487</f>
        <v/>
      </c>
      <c r="G1487" s="55">
        <f>Orders!G1487</f>
        <v/>
      </c>
      <c r="H1487" s="55">
        <f>Orders!H1487</f>
        <v/>
      </c>
      <c r="I1487" s="55">
        <f>Orders!I1487</f>
        <v/>
      </c>
      <c r="J1487" s="55">
        <f>Orders!J1487</f>
        <v/>
      </c>
      <c r="K1487" s="55">
        <f>Orders!K1487</f>
        <v/>
      </c>
      <c r="L1487" s="55">
        <f>VLOOKUP(D1487,Products!$A$2:$F$61,3,FALSE())</f>
        <v/>
      </c>
      <c r="M1487" s="55">
        <f>VLOOKUP(C1487,Customers!$A$2:$F$301,5,FALSE())</f>
        <v/>
      </c>
      <c r="N1487" s="55">
        <f>VLOOKUP(E1487,Sales_Reps!$A$2:$E$31,3,FALSE())</f>
        <v/>
      </c>
      <c r="O1487" s="55">
        <f>VLOOKUP(D1487,Products!$A$2:$F$61,4,FALSE())</f>
        <v/>
      </c>
      <c r="P1487" s="55">
        <f>VLOOKUP(C1487,Customers!$A$2:$F$301,3,FALSE())</f>
        <v/>
      </c>
      <c r="Q1487" s="55">
        <f>UPPER(TRIM(K1487))</f>
        <v/>
      </c>
      <c r="R1487" s="55">
        <f>(G1487-O1487)/G1487</f>
        <v/>
      </c>
      <c r="S1487" s="55">
        <f>VLOOKUP(D1487,Products!$A$2:$F$61,6,FALSE())</f>
        <v/>
      </c>
    </row>
    <row r="1488" ht="15" customHeight="1" s="56">
      <c r="A1488" s="55">
        <f>Orders!A1488</f>
        <v/>
      </c>
      <c r="B1488" s="103">
        <f>Orders!B1488</f>
        <v/>
      </c>
      <c r="C1488" s="55">
        <f>Orders!C1488</f>
        <v/>
      </c>
      <c r="D1488" s="55">
        <f>Orders!D1488</f>
        <v/>
      </c>
      <c r="E1488" s="55">
        <f>Orders!E1488</f>
        <v/>
      </c>
      <c r="F1488" s="55">
        <f>Orders!F1488</f>
        <v/>
      </c>
      <c r="G1488" s="55">
        <f>Orders!G1488</f>
        <v/>
      </c>
      <c r="H1488" s="55">
        <f>Orders!H1488</f>
        <v/>
      </c>
      <c r="I1488" s="55">
        <f>Orders!I1488</f>
        <v/>
      </c>
      <c r="J1488" s="55">
        <f>Orders!J1488</f>
        <v/>
      </c>
      <c r="K1488" s="55">
        <f>Orders!K1488</f>
        <v/>
      </c>
      <c r="L1488" s="55">
        <f>VLOOKUP(D1488,Products!$A$2:$F$61,3,FALSE())</f>
        <v/>
      </c>
      <c r="M1488" s="55">
        <f>VLOOKUP(C1488,Customers!$A$2:$F$301,5,FALSE())</f>
        <v/>
      </c>
      <c r="N1488" s="55">
        <f>VLOOKUP(E1488,Sales_Reps!$A$2:$E$31,3,FALSE())</f>
        <v/>
      </c>
      <c r="O1488" s="55">
        <f>VLOOKUP(D1488,Products!$A$2:$F$61,4,FALSE())</f>
        <v/>
      </c>
      <c r="P1488" s="55">
        <f>VLOOKUP(C1488,Customers!$A$2:$F$301,3,FALSE())</f>
        <v/>
      </c>
      <c r="Q1488" s="55">
        <f>UPPER(TRIM(K1488))</f>
        <v/>
      </c>
      <c r="R1488" s="55">
        <f>(G1488-O1488)/G1488</f>
        <v/>
      </c>
      <c r="S1488" s="55">
        <f>VLOOKUP(D1488,Products!$A$2:$F$61,6,FALSE())</f>
        <v/>
      </c>
    </row>
    <row r="1489" ht="15" customHeight="1" s="56">
      <c r="A1489" s="55">
        <f>Orders!A1489</f>
        <v/>
      </c>
      <c r="B1489" s="103">
        <f>Orders!B1489</f>
        <v/>
      </c>
      <c r="C1489" s="55">
        <f>Orders!C1489</f>
        <v/>
      </c>
      <c r="D1489" s="55">
        <f>Orders!D1489</f>
        <v/>
      </c>
      <c r="E1489" s="55">
        <f>Orders!E1489</f>
        <v/>
      </c>
      <c r="F1489" s="55">
        <f>Orders!F1489</f>
        <v/>
      </c>
      <c r="G1489" s="55">
        <f>Orders!G1489</f>
        <v/>
      </c>
      <c r="H1489" s="55">
        <f>Orders!H1489</f>
        <v/>
      </c>
      <c r="I1489" s="55">
        <f>Orders!I1489</f>
        <v/>
      </c>
      <c r="J1489" s="55">
        <f>Orders!J1489</f>
        <v/>
      </c>
      <c r="K1489" s="55">
        <f>Orders!K1489</f>
        <v/>
      </c>
      <c r="L1489" s="55">
        <f>VLOOKUP(D1489,Products!$A$2:$F$61,3,FALSE())</f>
        <v/>
      </c>
      <c r="M1489" s="55">
        <f>VLOOKUP(C1489,Customers!$A$2:$F$301,5,FALSE())</f>
        <v/>
      </c>
      <c r="N1489" s="55">
        <f>VLOOKUP(E1489,Sales_Reps!$A$2:$E$31,3,FALSE())</f>
        <v/>
      </c>
      <c r="O1489" s="55">
        <f>VLOOKUP(D1489,Products!$A$2:$F$61,4,FALSE())</f>
        <v/>
      </c>
      <c r="P1489" s="55">
        <f>VLOOKUP(C1489,Customers!$A$2:$F$301,3,FALSE())</f>
        <v/>
      </c>
      <c r="Q1489" s="55">
        <f>UPPER(TRIM(K1489))</f>
        <v/>
      </c>
      <c r="R1489" s="55">
        <f>(G1489-O1489)/G1489</f>
        <v/>
      </c>
      <c r="S1489" s="55">
        <f>VLOOKUP(D1489,Products!$A$2:$F$61,6,FALSE())</f>
        <v/>
      </c>
    </row>
    <row r="1490" ht="15" customHeight="1" s="56">
      <c r="A1490" s="55">
        <f>Orders!A1490</f>
        <v/>
      </c>
      <c r="B1490" s="103">
        <f>Orders!B1490</f>
        <v/>
      </c>
      <c r="C1490" s="55">
        <f>Orders!C1490</f>
        <v/>
      </c>
      <c r="D1490" s="55">
        <f>Orders!D1490</f>
        <v/>
      </c>
      <c r="E1490" s="55">
        <f>Orders!E1490</f>
        <v/>
      </c>
      <c r="F1490" s="55">
        <f>Orders!F1490</f>
        <v/>
      </c>
      <c r="G1490" s="55">
        <f>Orders!G1490</f>
        <v/>
      </c>
      <c r="H1490" s="55">
        <f>Orders!H1490</f>
        <v/>
      </c>
      <c r="I1490" s="55">
        <f>Orders!I1490</f>
        <v/>
      </c>
      <c r="J1490" s="55">
        <f>Orders!J1490</f>
        <v/>
      </c>
      <c r="K1490" s="55">
        <f>Orders!K1490</f>
        <v/>
      </c>
      <c r="L1490" s="55">
        <f>VLOOKUP(D1490,Products!$A$2:$F$61,3,FALSE())</f>
        <v/>
      </c>
      <c r="M1490" s="55">
        <f>VLOOKUP(C1490,Customers!$A$2:$F$301,5,FALSE())</f>
        <v/>
      </c>
      <c r="N1490" s="55">
        <f>VLOOKUP(E1490,Sales_Reps!$A$2:$E$31,3,FALSE())</f>
        <v/>
      </c>
      <c r="O1490" s="55">
        <f>VLOOKUP(D1490,Products!$A$2:$F$61,4,FALSE())</f>
        <v/>
      </c>
      <c r="P1490" s="55">
        <f>VLOOKUP(C1490,Customers!$A$2:$F$301,3,FALSE())</f>
        <v/>
      </c>
      <c r="Q1490" s="55">
        <f>UPPER(TRIM(K1490))</f>
        <v/>
      </c>
      <c r="R1490" s="55">
        <f>(G1490-O1490)/G1490</f>
        <v/>
      </c>
      <c r="S1490" s="55">
        <f>VLOOKUP(D1490,Products!$A$2:$F$61,6,FALSE())</f>
        <v/>
      </c>
    </row>
    <row r="1491" ht="15" customHeight="1" s="56">
      <c r="A1491" s="55">
        <f>Orders!A1491</f>
        <v/>
      </c>
      <c r="B1491" s="103">
        <f>Orders!B1491</f>
        <v/>
      </c>
      <c r="C1491" s="55">
        <f>Orders!C1491</f>
        <v/>
      </c>
      <c r="D1491" s="55">
        <f>Orders!D1491</f>
        <v/>
      </c>
      <c r="E1491" s="55">
        <f>Orders!E1491</f>
        <v/>
      </c>
      <c r="F1491" s="55">
        <f>Orders!F1491</f>
        <v/>
      </c>
      <c r="G1491" s="55">
        <f>Orders!G1491</f>
        <v/>
      </c>
      <c r="H1491" s="55">
        <f>Orders!H1491</f>
        <v/>
      </c>
      <c r="I1491" s="55">
        <f>Orders!I1491</f>
        <v/>
      </c>
      <c r="J1491" s="55">
        <f>Orders!J1491</f>
        <v/>
      </c>
      <c r="K1491" s="55">
        <f>Orders!K1491</f>
        <v/>
      </c>
      <c r="L1491" s="55">
        <f>VLOOKUP(D1491,Products!$A$2:$F$61,3,FALSE())</f>
        <v/>
      </c>
      <c r="M1491" s="55">
        <f>VLOOKUP(C1491,Customers!$A$2:$F$301,5,FALSE())</f>
        <v/>
      </c>
      <c r="N1491" s="55">
        <f>VLOOKUP(E1491,Sales_Reps!$A$2:$E$31,3,FALSE())</f>
        <v/>
      </c>
      <c r="O1491" s="55">
        <f>VLOOKUP(D1491,Products!$A$2:$F$61,4,FALSE())</f>
        <v/>
      </c>
      <c r="P1491" s="55">
        <f>VLOOKUP(C1491,Customers!$A$2:$F$301,3,FALSE())</f>
        <v/>
      </c>
      <c r="Q1491" s="55">
        <f>UPPER(TRIM(K1491))</f>
        <v/>
      </c>
      <c r="R1491" s="55">
        <f>(G1491-O1491)/G1491</f>
        <v/>
      </c>
      <c r="S1491" s="55">
        <f>VLOOKUP(D1491,Products!$A$2:$F$61,6,FALSE())</f>
        <v/>
      </c>
    </row>
    <row r="1492" ht="15" customHeight="1" s="56">
      <c r="A1492" s="55">
        <f>Orders!A1492</f>
        <v/>
      </c>
      <c r="B1492" s="103">
        <f>Orders!B1492</f>
        <v/>
      </c>
      <c r="C1492" s="55">
        <f>Orders!C1492</f>
        <v/>
      </c>
      <c r="D1492" s="55">
        <f>Orders!D1492</f>
        <v/>
      </c>
      <c r="E1492" s="55">
        <f>Orders!E1492</f>
        <v/>
      </c>
      <c r="F1492" s="55">
        <f>Orders!F1492</f>
        <v/>
      </c>
      <c r="G1492" s="55">
        <f>Orders!G1492</f>
        <v/>
      </c>
      <c r="H1492" s="55">
        <f>Orders!H1492</f>
        <v/>
      </c>
      <c r="I1492" s="55">
        <f>Orders!I1492</f>
        <v/>
      </c>
      <c r="J1492" s="55">
        <f>Orders!J1492</f>
        <v/>
      </c>
      <c r="K1492" s="55">
        <f>Orders!K1492</f>
        <v/>
      </c>
      <c r="L1492" s="55">
        <f>VLOOKUP(D1492,Products!$A$2:$F$61,3,FALSE())</f>
        <v/>
      </c>
      <c r="M1492" s="55">
        <f>VLOOKUP(C1492,Customers!$A$2:$F$301,5,FALSE())</f>
        <v/>
      </c>
      <c r="N1492" s="55">
        <f>VLOOKUP(E1492,Sales_Reps!$A$2:$E$31,3,FALSE())</f>
        <v/>
      </c>
      <c r="O1492" s="55">
        <f>VLOOKUP(D1492,Products!$A$2:$F$61,4,FALSE())</f>
        <v/>
      </c>
      <c r="P1492" s="55">
        <f>VLOOKUP(C1492,Customers!$A$2:$F$301,3,FALSE())</f>
        <v/>
      </c>
      <c r="Q1492" s="55">
        <f>UPPER(TRIM(K1492))</f>
        <v/>
      </c>
      <c r="R1492" s="55">
        <f>(G1492-O1492)/G1492</f>
        <v/>
      </c>
      <c r="S1492" s="55">
        <f>VLOOKUP(D1492,Products!$A$2:$F$61,6,FALSE())</f>
        <v/>
      </c>
    </row>
    <row r="1493" ht="15" customHeight="1" s="56">
      <c r="A1493" s="55">
        <f>Orders!A1493</f>
        <v/>
      </c>
      <c r="B1493" s="103">
        <f>Orders!B1493</f>
        <v/>
      </c>
      <c r="C1493" s="55">
        <f>Orders!C1493</f>
        <v/>
      </c>
      <c r="D1493" s="55">
        <f>Orders!D1493</f>
        <v/>
      </c>
      <c r="E1493" s="55">
        <f>Orders!E1493</f>
        <v/>
      </c>
      <c r="F1493" s="55">
        <f>Orders!F1493</f>
        <v/>
      </c>
      <c r="G1493" s="55">
        <f>Orders!G1493</f>
        <v/>
      </c>
      <c r="H1493" s="55">
        <f>Orders!H1493</f>
        <v/>
      </c>
      <c r="I1493" s="55">
        <f>Orders!I1493</f>
        <v/>
      </c>
      <c r="J1493" s="55">
        <f>Orders!J1493</f>
        <v/>
      </c>
      <c r="K1493" s="55">
        <f>Orders!K1493</f>
        <v/>
      </c>
      <c r="L1493" s="55">
        <f>VLOOKUP(D1493,Products!$A$2:$F$61,3,FALSE())</f>
        <v/>
      </c>
      <c r="M1493" s="55">
        <f>VLOOKUP(C1493,Customers!$A$2:$F$301,5,FALSE())</f>
        <v/>
      </c>
      <c r="N1493" s="55">
        <f>VLOOKUP(E1493,Sales_Reps!$A$2:$E$31,3,FALSE())</f>
        <v/>
      </c>
      <c r="O1493" s="55">
        <f>VLOOKUP(D1493,Products!$A$2:$F$61,4,FALSE())</f>
        <v/>
      </c>
      <c r="P1493" s="55">
        <f>VLOOKUP(C1493,Customers!$A$2:$F$301,3,FALSE())</f>
        <v/>
      </c>
      <c r="Q1493" s="55">
        <f>UPPER(TRIM(K1493))</f>
        <v/>
      </c>
      <c r="R1493" s="55">
        <f>(G1493-O1493)/G1493</f>
        <v/>
      </c>
      <c r="S1493" s="55">
        <f>VLOOKUP(D1493,Products!$A$2:$F$61,6,FALSE())</f>
        <v/>
      </c>
    </row>
    <row r="1494" ht="15" customHeight="1" s="56">
      <c r="A1494" s="55">
        <f>Orders!A1494</f>
        <v/>
      </c>
      <c r="B1494" s="103">
        <f>Orders!B1494</f>
        <v/>
      </c>
      <c r="C1494" s="55">
        <f>Orders!C1494</f>
        <v/>
      </c>
      <c r="D1494" s="55">
        <f>Orders!D1494</f>
        <v/>
      </c>
      <c r="E1494" s="55">
        <f>Orders!E1494</f>
        <v/>
      </c>
      <c r="F1494" s="55">
        <f>Orders!F1494</f>
        <v/>
      </c>
      <c r="G1494" s="55">
        <f>Orders!G1494</f>
        <v/>
      </c>
      <c r="H1494" s="55">
        <f>Orders!H1494</f>
        <v/>
      </c>
      <c r="I1494" s="55">
        <f>Orders!I1494</f>
        <v/>
      </c>
      <c r="J1494" s="55">
        <f>Orders!J1494</f>
        <v/>
      </c>
      <c r="K1494" s="55">
        <f>Orders!K1494</f>
        <v/>
      </c>
      <c r="L1494" s="55">
        <f>VLOOKUP(D1494,Products!$A$2:$F$61,3,FALSE())</f>
        <v/>
      </c>
      <c r="M1494" s="55">
        <f>VLOOKUP(C1494,Customers!$A$2:$F$301,5,FALSE())</f>
        <v/>
      </c>
      <c r="N1494" s="55">
        <f>VLOOKUP(E1494,Sales_Reps!$A$2:$E$31,3,FALSE())</f>
        <v/>
      </c>
      <c r="O1494" s="55">
        <f>VLOOKUP(D1494,Products!$A$2:$F$61,4,FALSE())</f>
        <v/>
      </c>
      <c r="P1494" s="55">
        <f>VLOOKUP(C1494,Customers!$A$2:$F$301,3,FALSE())</f>
        <v/>
      </c>
      <c r="Q1494" s="55">
        <f>UPPER(TRIM(K1494))</f>
        <v/>
      </c>
      <c r="R1494" s="55">
        <f>(G1494-O1494)/G1494</f>
        <v/>
      </c>
      <c r="S1494" s="55">
        <f>VLOOKUP(D1494,Products!$A$2:$F$61,6,FALSE())</f>
        <v/>
      </c>
    </row>
    <row r="1495" ht="15" customHeight="1" s="56">
      <c r="A1495" s="55">
        <f>Orders!A1495</f>
        <v/>
      </c>
      <c r="B1495" s="103">
        <f>Orders!B1495</f>
        <v/>
      </c>
      <c r="C1495" s="55">
        <f>Orders!C1495</f>
        <v/>
      </c>
      <c r="D1495" s="55">
        <f>Orders!D1495</f>
        <v/>
      </c>
      <c r="E1495" s="55">
        <f>Orders!E1495</f>
        <v/>
      </c>
      <c r="F1495" s="55">
        <f>Orders!F1495</f>
        <v/>
      </c>
      <c r="G1495" s="55">
        <f>Orders!G1495</f>
        <v/>
      </c>
      <c r="H1495" s="55">
        <f>Orders!H1495</f>
        <v/>
      </c>
      <c r="I1495" s="55">
        <f>Orders!I1495</f>
        <v/>
      </c>
      <c r="J1495" s="55">
        <f>Orders!J1495</f>
        <v/>
      </c>
      <c r="K1495" s="55">
        <f>Orders!K1495</f>
        <v/>
      </c>
      <c r="L1495" s="55">
        <f>VLOOKUP(D1495,Products!$A$2:$F$61,3,FALSE())</f>
        <v/>
      </c>
      <c r="M1495" s="55">
        <f>VLOOKUP(C1495,Customers!$A$2:$F$301,5,FALSE())</f>
        <v/>
      </c>
      <c r="N1495" s="55">
        <f>VLOOKUP(E1495,Sales_Reps!$A$2:$E$31,3,FALSE())</f>
        <v/>
      </c>
      <c r="O1495" s="55">
        <f>VLOOKUP(D1495,Products!$A$2:$F$61,4,FALSE())</f>
        <v/>
      </c>
      <c r="P1495" s="55">
        <f>VLOOKUP(C1495,Customers!$A$2:$F$301,3,FALSE())</f>
        <v/>
      </c>
      <c r="Q1495" s="55">
        <f>UPPER(TRIM(K1495))</f>
        <v/>
      </c>
      <c r="R1495" s="55">
        <f>(G1495-O1495)/G1495</f>
        <v/>
      </c>
      <c r="S1495" s="55">
        <f>VLOOKUP(D1495,Products!$A$2:$F$61,6,FALSE())</f>
        <v/>
      </c>
    </row>
    <row r="1496" ht="15" customHeight="1" s="56">
      <c r="A1496" s="55">
        <f>Orders!A1496</f>
        <v/>
      </c>
      <c r="B1496" s="103">
        <f>Orders!B1496</f>
        <v/>
      </c>
      <c r="C1496" s="55">
        <f>Orders!C1496</f>
        <v/>
      </c>
      <c r="D1496" s="55">
        <f>Orders!D1496</f>
        <v/>
      </c>
      <c r="E1496" s="55">
        <f>Orders!E1496</f>
        <v/>
      </c>
      <c r="F1496" s="55">
        <f>Orders!F1496</f>
        <v/>
      </c>
      <c r="G1496" s="55">
        <f>Orders!G1496</f>
        <v/>
      </c>
      <c r="H1496" s="55">
        <f>Orders!H1496</f>
        <v/>
      </c>
      <c r="I1496" s="55">
        <f>Orders!I1496</f>
        <v/>
      </c>
      <c r="J1496" s="55">
        <f>Orders!J1496</f>
        <v/>
      </c>
      <c r="K1496" s="55">
        <f>Orders!K1496</f>
        <v/>
      </c>
      <c r="L1496" s="55">
        <f>VLOOKUP(D1496,Products!$A$2:$F$61,3,FALSE())</f>
        <v/>
      </c>
      <c r="M1496" s="55">
        <f>VLOOKUP(C1496,Customers!$A$2:$F$301,5,FALSE())</f>
        <v/>
      </c>
      <c r="N1496" s="55">
        <f>VLOOKUP(E1496,Sales_Reps!$A$2:$E$31,3,FALSE())</f>
        <v/>
      </c>
      <c r="O1496" s="55">
        <f>VLOOKUP(D1496,Products!$A$2:$F$61,4,FALSE())</f>
        <v/>
      </c>
      <c r="P1496" s="55">
        <f>VLOOKUP(C1496,Customers!$A$2:$F$301,3,FALSE())</f>
        <v/>
      </c>
      <c r="Q1496" s="55">
        <f>UPPER(TRIM(K1496))</f>
        <v/>
      </c>
      <c r="R1496" s="55">
        <f>(G1496-O1496)/G1496</f>
        <v/>
      </c>
      <c r="S1496" s="55">
        <f>VLOOKUP(D1496,Products!$A$2:$F$61,6,FALSE())</f>
        <v/>
      </c>
    </row>
    <row r="1497" ht="15" customHeight="1" s="56">
      <c r="A1497" s="55">
        <f>Orders!A1497</f>
        <v/>
      </c>
      <c r="B1497" s="103">
        <f>Orders!B1497</f>
        <v/>
      </c>
      <c r="C1497" s="55">
        <f>Orders!C1497</f>
        <v/>
      </c>
      <c r="D1497" s="55">
        <f>Orders!D1497</f>
        <v/>
      </c>
      <c r="E1497" s="55">
        <f>Orders!E1497</f>
        <v/>
      </c>
      <c r="F1497" s="55">
        <f>Orders!F1497</f>
        <v/>
      </c>
      <c r="G1497" s="55">
        <f>Orders!G1497</f>
        <v/>
      </c>
      <c r="H1497" s="55">
        <f>Orders!H1497</f>
        <v/>
      </c>
      <c r="I1497" s="55">
        <f>Orders!I1497</f>
        <v/>
      </c>
      <c r="J1497" s="55">
        <f>Orders!J1497</f>
        <v/>
      </c>
      <c r="K1497" s="55">
        <f>Orders!K1497</f>
        <v/>
      </c>
      <c r="L1497" s="55">
        <f>VLOOKUP(D1497,Products!$A$2:$F$61,3,FALSE())</f>
        <v/>
      </c>
      <c r="M1497" s="55">
        <f>VLOOKUP(C1497,Customers!$A$2:$F$301,5,FALSE())</f>
        <v/>
      </c>
      <c r="N1497" s="55">
        <f>VLOOKUP(E1497,Sales_Reps!$A$2:$E$31,3,FALSE())</f>
        <v/>
      </c>
      <c r="O1497" s="55">
        <f>VLOOKUP(D1497,Products!$A$2:$F$61,4,FALSE())</f>
        <v/>
      </c>
      <c r="P1497" s="55">
        <f>VLOOKUP(C1497,Customers!$A$2:$F$301,3,FALSE())</f>
        <v/>
      </c>
      <c r="Q1497" s="55">
        <f>UPPER(TRIM(K1497))</f>
        <v/>
      </c>
      <c r="R1497" s="55">
        <f>(G1497-O1497)/G1497</f>
        <v/>
      </c>
      <c r="S1497" s="55">
        <f>VLOOKUP(D1497,Products!$A$2:$F$61,6,FALSE())</f>
        <v/>
      </c>
    </row>
    <row r="1498" ht="15" customHeight="1" s="56">
      <c r="A1498" s="55">
        <f>Orders!A1498</f>
        <v/>
      </c>
      <c r="B1498" s="103">
        <f>Orders!B1498</f>
        <v/>
      </c>
      <c r="C1498" s="55">
        <f>Orders!C1498</f>
        <v/>
      </c>
      <c r="D1498" s="55">
        <f>Orders!D1498</f>
        <v/>
      </c>
      <c r="E1498" s="55">
        <f>Orders!E1498</f>
        <v/>
      </c>
      <c r="F1498" s="55">
        <f>Orders!F1498</f>
        <v/>
      </c>
      <c r="G1498" s="55">
        <f>Orders!G1498</f>
        <v/>
      </c>
      <c r="H1498" s="55">
        <f>Orders!H1498</f>
        <v/>
      </c>
      <c r="I1498" s="55">
        <f>Orders!I1498</f>
        <v/>
      </c>
      <c r="J1498" s="55">
        <f>Orders!J1498</f>
        <v/>
      </c>
      <c r="K1498" s="55">
        <f>Orders!K1498</f>
        <v/>
      </c>
      <c r="L1498" s="55">
        <f>VLOOKUP(D1498,Products!$A$2:$F$61,3,FALSE())</f>
        <v/>
      </c>
      <c r="M1498" s="55">
        <f>VLOOKUP(C1498,Customers!$A$2:$F$301,5,FALSE())</f>
        <v/>
      </c>
      <c r="N1498" s="55">
        <f>VLOOKUP(E1498,Sales_Reps!$A$2:$E$31,3,FALSE())</f>
        <v/>
      </c>
      <c r="O1498" s="55">
        <f>VLOOKUP(D1498,Products!$A$2:$F$61,4,FALSE())</f>
        <v/>
      </c>
      <c r="P1498" s="55">
        <f>VLOOKUP(C1498,Customers!$A$2:$F$301,3,FALSE())</f>
        <v/>
      </c>
      <c r="Q1498" s="55">
        <f>UPPER(TRIM(K1498))</f>
        <v/>
      </c>
      <c r="R1498" s="55">
        <f>(G1498-O1498)/G1498</f>
        <v/>
      </c>
      <c r="S1498" s="55">
        <f>VLOOKUP(D1498,Products!$A$2:$F$61,6,FALSE())</f>
        <v/>
      </c>
    </row>
    <row r="1499" ht="15" customHeight="1" s="56">
      <c r="A1499" s="55">
        <f>Orders!A1499</f>
        <v/>
      </c>
      <c r="B1499" s="103">
        <f>Orders!B1499</f>
        <v/>
      </c>
      <c r="C1499" s="55">
        <f>Orders!C1499</f>
        <v/>
      </c>
      <c r="D1499" s="55">
        <f>Orders!D1499</f>
        <v/>
      </c>
      <c r="E1499" s="55">
        <f>Orders!E1499</f>
        <v/>
      </c>
      <c r="F1499" s="55">
        <f>Orders!F1499</f>
        <v/>
      </c>
      <c r="G1499" s="55">
        <f>Orders!G1499</f>
        <v/>
      </c>
      <c r="H1499" s="55">
        <f>Orders!H1499</f>
        <v/>
      </c>
      <c r="I1499" s="55">
        <f>Orders!I1499</f>
        <v/>
      </c>
      <c r="J1499" s="55">
        <f>Orders!J1499</f>
        <v/>
      </c>
      <c r="K1499" s="55">
        <f>Orders!K1499</f>
        <v/>
      </c>
      <c r="L1499" s="55">
        <f>VLOOKUP(D1499,Products!$A$2:$F$61,3,FALSE())</f>
        <v/>
      </c>
      <c r="M1499" s="55">
        <f>VLOOKUP(C1499,Customers!$A$2:$F$301,5,FALSE())</f>
        <v/>
      </c>
      <c r="N1499" s="55">
        <f>VLOOKUP(E1499,Sales_Reps!$A$2:$E$31,3,FALSE())</f>
        <v/>
      </c>
      <c r="O1499" s="55">
        <f>VLOOKUP(D1499,Products!$A$2:$F$61,4,FALSE())</f>
        <v/>
      </c>
      <c r="P1499" s="55">
        <f>VLOOKUP(C1499,Customers!$A$2:$F$301,3,FALSE())</f>
        <v/>
      </c>
      <c r="Q1499" s="55">
        <f>UPPER(TRIM(K1499))</f>
        <v/>
      </c>
      <c r="R1499" s="55">
        <f>(G1499-O1499)/G1499</f>
        <v/>
      </c>
      <c r="S1499" s="55">
        <f>VLOOKUP(D1499,Products!$A$2:$F$61,6,FALSE())</f>
        <v/>
      </c>
    </row>
    <row r="1500" ht="15" customHeight="1" s="56">
      <c r="A1500" s="55">
        <f>Orders!A1500</f>
        <v/>
      </c>
      <c r="B1500" s="103">
        <f>Orders!B1500</f>
        <v/>
      </c>
      <c r="C1500" s="55">
        <f>Orders!C1500</f>
        <v/>
      </c>
      <c r="D1500" s="55">
        <f>Orders!D1500</f>
        <v/>
      </c>
      <c r="E1500" s="55">
        <f>Orders!E1500</f>
        <v/>
      </c>
      <c r="F1500" s="55">
        <f>Orders!F1500</f>
        <v/>
      </c>
      <c r="G1500" s="55">
        <f>Orders!G1500</f>
        <v/>
      </c>
      <c r="H1500" s="55">
        <f>Orders!H1500</f>
        <v/>
      </c>
      <c r="I1500" s="55">
        <f>Orders!I1500</f>
        <v/>
      </c>
      <c r="J1500" s="55">
        <f>Orders!J1500</f>
        <v/>
      </c>
      <c r="K1500" s="55">
        <f>Orders!K1500</f>
        <v/>
      </c>
      <c r="L1500" s="55">
        <f>VLOOKUP(D1500,Products!$A$2:$F$61,3,FALSE())</f>
        <v/>
      </c>
      <c r="M1500" s="55">
        <f>VLOOKUP(C1500,Customers!$A$2:$F$301,5,FALSE())</f>
        <v/>
      </c>
      <c r="N1500" s="55">
        <f>VLOOKUP(E1500,Sales_Reps!$A$2:$E$31,3,FALSE())</f>
        <v/>
      </c>
      <c r="O1500" s="55">
        <f>VLOOKUP(D1500,Products!$A$2:$F$61,4,FALSE())</f>
        <v/>
      </c>
      <c r="P1500" s="55">
        <f>VLOOKUP(C1500,Customers!$A$2:$F$301,3,FALSE())</f>
        <v/>
      </c>
      <c r="Q1500" s="55">
        <f>UPPER(TRIM(K1500))</f>
        <v/>
      </c>
      <c r="R1500" s="55">
        <f>(G1500-O1500)/G1500</f>
        <v/>
      </c>
      <c r="S1500" s="55">
        <f>VLOOKUP(D1500,Products!$A$2:$F$61,6,FALSE())</f>
        <v/>
      </c>
    </row>
    <row r="1501" ht="15" customHeight="1" s="56">
      <c r="A1501" s="55">
        <f>Orders!A1501</f>
        <v/>
      </c>
      <c r="B1501" s="103">
        <f>Orders!B1501</f>
        <v/>
      </c>
      <c r="C1501" s="55">
        <f>Orders!C1501</f>
        <v/>
      </c>
      <c r="D1501" s="55">
        <f>Orders!D1501</f>
        <v/>
      </c>
      <c r="E1501" s="55">
        <f>Orders!E1501</f>
        <v/>
      </c>
      <c r="F1501" s="55">
        <f>Orders!F1501</f>
        <v/>
      </c>
      <c r="G1501" s="55">
        <f>Orders!G1501</f>
        <v/>
      </c>
      <c r="H1501" s="55">
        <f>Orders!H1501</f>
        <v/>
      </c>
      <c r="I1501" s="55">
        <f>Orders!I1501</f>
        <v/>
      </c>
      <c r="J1501" s="55">
        <f>Orders!J1501</f>
        <v/>
      </c>
      <c r="K1501" s="55">
        <f>Orders!K1501</f>
        <v/>
      </c>
      <c r="L1501" s="55">
        <f>VLOOKUP(D1501,Products!$A$2:$F$61,3,FALSE())</f>
        <v/>
      </c>
      <c r="M1501" s="55">
        <f>VLOOKUP(C1501,Customers!$A$2:$F$301,5,FALSE())</f>
        <v/>
      </c>
      <c r="N1501" s="55">
        <f>VLOOKUP(E1501,Sales_Reps!$A$2:$E$31,3,FALSE())</f>
        <v/>
      </c>
      <c r="O1501" s="55">
        <f>VLOOKUP(D1501,Products!$A$2:$F$61,4,FALSE())</f>
        <v/>
      </c>
      <c r="P1501" s="55">
        <f>VLOOKUP(C1501,Customers!$A$2:$F$301,3,FALSE())</f>
        <v/>
      </c>
      <c r="Q1501" s="55">
        <f>UPPER(TRIM(K1501))</f>
        <v/>
      </c>
      <c r="R1501" s="55">
        <f>(G1501-O1501)/G1501</f>
        <v/>
      </c>
      <c r="S1501" s="55">
        <f>VLOOKUP(D1501,Products!$A$2:$F$61,6,FALSE())</f>
        <v/>
      </c>
    </row>
    <row r="1502" ht="15" customHeight="1" s="56">
      <c r="A1502" s="55">
        <f>Orders!A1502</f>
        <v/>
      </c>
      <c r="B1502" s="103">
        <f>Orders!B1502</f>
        <v/>
      </c>
      <c r="C1502" s="55">
        <f>Orders!C1502</f>
        <v/>
      </c>
      <c r="D1502" s="55">
        <f>Orders!D1502</f>
        <v/>
      </c>
      <c r="E1502" s="55">
        <f>Orders!E1502</f>
        <v/>
      </c>
      <c r="F1502" s="55">
        <f>Orders!F1502</f>
        <v/>
      </c>
      <c r="G1502" s="55">
        <f>Orders!G1502</f>
        <v/>
      </c>
      <c r="H1502" s="55">
        <f>Orders!H1502</f>
        <v/>
      </c>
      <c r="I1502" s="55">
        <f>Orders!I1502</f>
        <v/>
      </c>
      <c r="J1502" s="55">
        <f>Orders!J1502</f>
        <v/>
      </c>
      <c r="K1502" s="55">
        <f>Orders!K1502</f>
        <v/>
      </c>
      <c r="L1502" s="55">
        <f>VLOOKUP(D1502,Products!$A$2:$F$61,3,FALSE())</f>
        <v/>
      </c>
      <c r="M1502" s="55">
        <f>VLOOKUP(C1502,Customers!$A$2:$F$301,5,FALSE())</f>
        <v/>
      </c>
      <c r="N1502" s="55">
        <f>VLOOKUP(E1502,Sales_Reps!$A$2:$E$31,3,FALSE())</f>
        <v/>
      </c>
      <c r="O1502" s="55">
        <f>VLOOKUP(D1502,Products!$A$2:$F$61,4,FALSE())</f>
        <v/>
      </c>
      <c r="P1502" s="55">
        <f>VLOOKUP(C1502,Customers!$A$2:$F$301,3,FALSE())</f>
        <v/>
      </c>
      <c r="Q1502" s="55">
        <f>UPPER(TRIM(K1502))</f>
        <v/>
      </c>
      <c r="R1502" s="55">
        <f>(G1502-O1502)/G1502</f>
        <v/>
      </c>
      <c r="S1502" s="55">
        <f>VLOOKUP(D1502,Products!$A$2:$F$61,6,FALSE())</f>
        <v/>
      </c>
    </row>
    <row r="1503" ht="15" customHeight="1" s="56">
      <c r="A1503" s="55">
        <f>Orders!A1503</f>
        <v/>
      </c>
      <c r="B1503" s="103">
        <f>Orders!B1503</f>
        <v/>
      </c>
      <c r="C1503" s="55">
        <f>Orders!C1503</f>
        <v/>
      </c>
      <c r="D1503" s="55">
        <f>Orders!D1503</f>
        <v/>
      </c>
      <c r="E1503" s="55">
        <f>Orders!E1503</f>
        <v/>
      </c>
      <c r="F1503" s="55">
        <f>Orders!F1503</f>
        <v/>
      </c>
      <c r="G1503" s="55">
        <f>Orders!G1503</f>
        <v/>
      </c>
      <c r="H1503" s="55">
        <f>Orders!H1503</f>
        <v/>
      </c>
      <c r="I1503" s="55">
        <f>Orders!I1503</f>
        <v/>
      </c>
      <c r="J1503" s="55">
        <f>Orders!J1503</f>
        <v/>
      </c>
      <c r="K1503" s="55">
        <f>Orders!K1503</f>
        <v/>
      </c>
      <c r="L1503" s="55">
        <f>VLOOKUP(D1503,Products!$A$2:$F$61,3,FALSE())</f>
        <v/>
      </c>
      <c r="M1503" s="55">
        <f>VLOOKUP(C1503,Customers!$A$2:$F$301,5,FALSE())</f>
        <v/>
      </c>
      <c r="N1503" s="55">
        <f>VLOOKUP(E1503,Sales_Reps!$A$2:$E$31,3,FALSE())</f>
        <v/>
      </c>
      <c r="O1503" s="55">
        <f>VLOOKUP(D1503,Products!$A$2:$F$61,4,FALSE())</f>
        <v/>
      </c>
      <c r="P1503" s="55">
        <f>VLOOKUP(C1503,Customers!$A$2:$F$301,3,FALSE())</f>
        <v/>
      </c>
      <c r="Q1503" s="55">
        <f>UPPER(TRIM(K1503))</f>
        <v/>
      </c>
      <c r="R1503" s="55">
        <f>(G1503-O1503)/G1503</f>
        <v/>
      </c>
      <c r="S1503" s="55">
        <f>VLOOKUP(D1503,Products!$A$2:$F$61,6,FALSE())</f>
        <v/>
      </c>
    </row>
    <row r="1504" ht="15" customHeight="1" s="56">
      <c r="A1504" s="55">
        <f>Orders!A1504</f>
        <v/>
      </c>
      <c r="B1504" s="103">
        <f>Orders!B1504</f>
        <v/>
      </c>
      <c r="C1504" s="55">
        <f>Orders!C1504</f>
        <v/>
      </c>
      <c r="D1504" s="55">
        <f>Orders!D1504</f>
        <v/>
      </c>
      <c r="E1504" s="55">
        <f>Orders!E1504</f>
        <v/>
      </c>
      <c r="F1504" s="55">
        <f>Orders!F1504</f>
        <v/>
      </c>
      <c r="G1504" s="55">
        <f>Orders!G1504</f>
        <v/>
      </c>
      <c r="H1504" s="55">
        <f>Orders!H1504</f>
        <v/>
      </c>
      <c r="I1504" s="55">
        <f>Orders!I1504</f>
        <v/>
      </c>
      <c r="J1504" s="55">
        <f>Orders!J1504</f>
        <v/>
      </c>
      <c r="K1504" s="55">
        <f>Orders!K1504</f>
        <v/>
      </c>
      <c r="L1504" s="55">
        <f>VLOOKUP(D1504,Products!$A$2:$F$61,3,FALSE())</f>
        <v/>
      </c>
      <c r="M1504" s="55">
        <f>VLOOKUP(C1504,Customers!$A$2:$F$301,5,FALSE())</f>
        <v/>
      </c>
      <c r="N1504" s="55">
        <f>VLOOKUP(E1504,Sales_Reps!$A$2:$E$31,3,FALSE())</f>
        <v/>
      </c>
      <c r="O1504" s="55">
        <f>VLOOKUP(D1504,Products!$A$2:$F$61,4,FALSE())</f>
        <v/>
      </c>
      <c r="P1504" s="55">
        <f>VLOOKUP(C1504,Customers!$A$2:$F$301,3,FALSE())</f>
        <v/>
      </c>
      <c r="Q1504" s="55">
        <f>UPPER(TRIM(K1504))</f>
        <v/>
      </c>
      <c r="R1504" s="55">
        <f>(G1504-O1504)/G1504</f>
        <v/>
      </c>
      <c r="S1504" s="55">
        <f>VLOOKUP(D1504,Products!$A$2:$F$61,6,FALSE())</f>
        <v/>
      </c>
    </row>
    <row r="1505" ht="15" customHeight="1" s="56">
      <c r="A1505" s="55">
        <f>Orders!A1505</f>
        <v/>
      </c>
      <c r="B1505" s="103">
        <f>Orders!B1505</f>
        <v/>
      </c>
      <c r="C1505" s="55">
        <f>Orders!C1505</f>
        <v/>
      </c>
      <c r="D1505" s="55">
        <f>Orders!D1505</f>
        <v/>
      </c>
      <c r="E1505" s="55">
        <f>Orders!E1505</f>
        <v/>
      </c>
      <c r="F1505" s="55">
        <f>Orders!F1505</f>
        <v/>
      </c>
      <c r="G1505" s="55">
        <f>Orders!G1505</f>
        <v/>
      </c>
      <c r="H1505" s="55">
        <f>Orders!H1505</f>
        <v/>
      </c>
      <c r="I1505" s="55">
        <f>Orders!I1505</f>
        <v/>
      </c>
      <c r="J1505" s="55">
        <f>Orders!J1505</f>
        <v/>
      </c>
      <c r="K1505" s="55">
        <f>Orders!K1505</f>
        <v/>
      </c>
      <c r="L1505" s="55">
        <f>VLOOKUP(D1505,Products!$A$2:$F$61,3,FALSE())</f>
        <v/>
      </c>
      <c r="M1505" s="55">
        <f>VLOOKUP(C1505,Customers!$A$2:$F$301,5,FALSE())</f>
        <v/>
      </c>
      <c r="N1505" s="55">
        <f>VLOOKUP(E1505,Sales_Reps!$A$2:$E$31,3,FALSE())</f>
        <v/>
      </c>
      <c r="O1505" s="55">
        <f>VLOOKUP(D1505,Products!$A$2:$F$61,4,FALSE())</f>
        <v/>
      </c>
      <c r="P1505" s="55">
        <f>VLOOKUP(C1505,Customers!$A$2:$F$301,3,FALSE())</f>
        <v/>
      </c>
      <c r="Q1505" s="55">
        <f>UPPER(TRIM(K1505))</f>
        <v/>
      </c>
      <c r="R1505" s="55">
        <f>(G1505-O1505)/G1505</f>
        <v/>
      </c>
      <c r="S1505" s="55">
        <f>VLOOKUP(D1505,Products!$A$2:$F$61,6,FALSE())</f>
        <v/>
      </c>
    </row>
    <row r="1506" ht="15" customHeight="1" s="56">
      <c r="A1506" s="55">
        <f>Orders!A1506</f>
        <v/>
      </c>
      <c r="B1506" s="103">
        <f>Orders!B1506</f>
        <v/>
      </c>
      <c r="C1506" s="55">
        <f>Orders!C1506</f>
        <v/>
      </c>
      <c r="D1506" s="55">
        <f>Orders!D1506</f>
        <v/>
      </c>
      <c r="E1506" s="55">
        <f>Orders!E1506</f>
        <v/>
      </c>
      <c r="F1506" s="55">
        <f>Orders!F1506</f>
        <v/>
      </c>
      <c r="G1506" s="55">
        <f>Orders!G1506</f>
        <v/>
      </c>
      <c r="H1506" s="55">
        <f>Orders!H1506</f>
        <v/>
      </c>
      <c r="I1506" s="55">
        <f>Orders!I1506</f>
        <v/>
      </c>
      <c r="J1506" s="55">
        <f>Orders!J1506</f>
        <v/>
      </c>
      <c r="K1506" s="55">
        <f>Orders!K1506</f>
        <v/>
      </c>
      <c r="L1506" s="55">
        <f>VLOOKUP(D1506,Products!$A$2:$F$61,3,FALSE())</f>
        <v/>
      </c>
      <c r="M1506" s="55">
        <f>VLOOKUP(C1506,Customers!$A$2:$F$301,5,FALSE())</f>
        <v/>
      </c>
      <c r="N1506" s="55">
        <f>VLOOKUP(E1506,Sales_Reps!$A$2:$E$31,3,FALSE())</f>
        <v/>
      </c>
      <c r="O1506" s="55">
        <f>VLOOKUP(D1506,Products!$A$2:$F$61,4,FALSE())</f>
        <v/>
      </c>
      <c r="P1506" s="55">
        <f>VLOOKUP(C1506,Customers!$A$2:$F$301,3,FALSE())</f>
        <v/>
      </c>
      <c r="Q1506" s="55">
        <f>UPPER(TRIM(K1506))</f>
        <v/>
      </c>
      <c r="R1506" s="55">
        <f>(G1506-O1506)/G1506</f>
        <v/>
      </c>
      <c r="S1506" s="55">
        <f>VLOOKUP(D1506,Products!$A$2:$F$61,6,FALSE())</f>
        <v/>
      </c>
    </row>
    <row r="1507" ht="15" customHeight="1" s="56">
      <c r="A1507" s="55">
        <f>Orders!A1507</f>
        <v/>
      </c>
      <c r="B1507" s="103">
        <f>Orders!B1507</f>
        <v/>
      </c>
      <c r="C1507" s="55">
        <f>Orders!C1507</f>
        <v/>
      </c>
      <c r="D1507" s="55">
        <f>Orders!D1507</f>
        <v/>
      </c>
      <c r="E1507" s="55">
        <f>Orders!E1507</f>
        <v/>
      </c>
      <c r="F1507" s="55">
        <f>Orders!F1507</f>
        <v/>
      </c>
      <c r="G1507" s="55">
        <f>Orders!G1507</f>
        <v/>
      </c>
      <c r="H1507" s="55">
        <f>Orders!H1507</f>
        <v/>
      </c>
      <c r="I1507" s="55">
        <f>Orders!I1507</f>
        <v/>
      </c>
      <c r="J1507" s="55">
        <f>Orders!J1507</f>
        <v/>
      </c>
      <c r="K1507" s="55">
        <f>Orders!K1507</f>
        <v/>
      </c>
      <c r="L1507" s="55">
        <f>VLOOKUP(D1507,Products!$A$2:$F$61,3,FALSE())</f>
        <v/>
      </c>
      <c r="M1507" s="55">
        <f>VLOOKUP(C1507,Customers!$A$2:$F$301,5,FALSE())</f>
        <v/>
      </c>
      <c r="N1507" s="55">
        <f>VLOOKUP(E1507,Sales_Reps!$A$2:$E$31,3,FALSE())</f>
        <v/>
      </c>
      <c r="O1507" s="55">
        <f>VLOOKUP(D1507,Products!$A$2:$F$61,4,FALSE())</f>
        <v/>
      </c>
      <c r="P1507" s="55">
        <f>VLOOKUP(C1507,Customers!$A$2:$F$301,3,FALSE())</f>
        <v/>
      </c>
      <c r="Q1507" s="55">
        <f>UPPER(TRIM(K1507))</f>
        <v/>
      </c>
      <c r="R1507" s="55">
        <f>(G1507-O1507)/G1507</f>
        <v/>
      </c>
      <c r="S1507" s="55">
        <f>VLOOKUP(D1507,Products!$A$2:$F$61,6,FALSE())</f>
        <v/>
      </c>
    </row>
    <row r="1508" ht="15" customHeight="1" s="56">
      <c r="A1508" s="55">
        <f>Orders!A1508</f>
        <v/>
      </c>
      <c r="B1508" s="103">
        <f>Orders!B1508</f>
        <v/>
      </c>
      <c r="C1508" s="55">
        <f>Orders!C1508</f>
        <v/>
      </c>
      <c r="D1508" s="55">
        <f>Orders!D1508</f>
        <v/>
      </c>
      <c r="E1508" s="55">
        <f>Orders!E1508</f>
        <v/>
      </c>
      <c r="F1508" s="55">
        <f>Orders!F1508</f>
        <v/>
      </c>
      <c r="G1508" s="55">
        <f>Orders!G1508</f>
        <v/>
      </c>
      <c r="H1508" s="55">
        <f>Orders!H1508</f>
        <v/>
      </c>
      <c r="I1508" s="55">
        <f>Orders!I1508</f>
        <v/>
      </c>
      <c r="J1508" s="55">
        <f>Orders!J1508</f>
        <v/>
      </c>
      <c r="K1508" s="55">
        <f>Orders!K1508</f>
        <v/>
      </c>
      <c r="L1508" s="55">
        <f>VLOOKUP(D1508,Products!$A$2:$F$61,3,FALSE())</f>
        <v/>
      </c>
      <c r="M1508" s="55">
        <f>VLOOKUP(C1508,Customers!$A$2:$F$301,5,FALSE())</f>
        <v/>
      </c>
      <c r="N1508" s="55">
        <f>VLOOKUP(E1508,Sales_Reps!$A$2:$E$31,3,FALSE())</f>
        <v/>
      </c>
      <c r="O1508" s="55">
        <f>VLOOKUP(D1508,Products!$A$2:$F$61,4,FALSE())</f>
        <v/>
      </c>
      <c r="P1508" s="55">
        <f>VLOOKUP(C1508,Customers!$A$2:$F$301,3,FALSE())</f>
        <v/>
      </c>
      <c r="Q1508" s="55">
        <f>UPPER(TRIM(K1508))</f>
        <v/>
      </c>
      <c r="R1508" s="55">
        <f>(G1508-O1508)/G1508</f>
        <v/>
      </c>
      <c r="S1508" s="55">
        <f>VLOOKUP(D1508,Products!$A$2:$F$61,6,FALSE())</f>
        <v/>
      </c>
    </row>
    <row r="1509" ht="15" customHeight="1" s="56">
      <c r="A1509" s="55">
        <f>Orders!A1509</f>
        <v/>
      </c>
      <c r="B1509" s="103">
        <f>Orders!B1509</f>
        <v/>
      </c>
      <c r="C1509" s="55">
        <f>Orders!C1509</f>
        <v/>
      </c>
      <c r="D1509" s="55">
        <f>Orders!D1509</f>
        <v/>
      </c>
      <c r="E1509" s="55">
        <f>Orders!E1509</f>
        <v/>
      </c>
      <c r="F1509" s="55">
        <f>Orders!F1509</f>
        <v/>
      </c>
      <c r="G1509" s="55">
        <f>Orders!G1509</f>
        <v/>
      </c>
      <c r="H1509" s="55">
        <f>Orders!H1509</f>
        <v/>
      </c>
      <c r="I1509" s="55">
        <f>Orders!I1509</f>
        <v/>
      </c>
      <c r="J1509" s="55">
        <f>Orders!J1509</f>
        <v/>
      </c>
      <c r="K1509" s="55">
        <f>Orders!K1509</f>
        <v/>
      </c>
      <c r="L1509" s="55">
        <f>VLOOKUP(D1509,Products!$A$2:$F$61,3,FALSE())</f>
        <v/>
      </c>
      <c r="M1509" s="55">
        <f>VLOOKUP(C1509,Customers!$A$2:$F$301,5,FALSE())</f>
        <v/>
      </c>
      <c r="N1509" s="55">
        <f>VLOOKUP(E1509,Sales_Reps!$A$2:$E$31,3,FALSE())</f>
        <v/>
      </c>
      <c r="O1509" s="55">
        <f>VLOOKUP(D1509,Products!$A$2:$F$61,4,FALSE())</f>
        <v/>
      </c>
      <c r="P1509" s="55">
        <f>VLOOKUP(C1509,Customers!$A$2:$F$301,3,FALSE())</f>
        <v/>
      </c>
      <c r="Q1509" s="55">
        <f>UPPER(TRIM(K1509))</f>
        <v/>
      </c>
      <c r="R1509" s="55">
        <f>(G1509-O1509)/G1509</f>
        <v/>
      </c>
      <c r="S1509" s="55">
        <f>VLOOKUP(D1509,Products!$A$2:$F$61,6,FALSE())</f>
        <v/>
      </c>
    </row>
    <row r="1510" ht="15" customHeight="1" s="56">
      <c r="A1510" s="55">
        <f>Orders!A1510</f>
        <v/>
      </c>
      <c r="B1510" s="103">
        <f>Orders!B1510</f>
        <v/>
      </c>
      <c r="C1510" s="55">
        <f>Orders!C1510</f>
        <v/>
      </c>
      <c r="D1510" s="55">
        <f>Orders!D1510</f>
        <v/>
      </c>
      <c r="E1510" s="55">
        <f>Orders!E1510</f>
        <v/>
      </c>
      <c r="F1510" s="55">
        <f>Orders!F1510</f>
        <v/>
      </c>
      <c r="G1510" s="55">
        <f>Orders!G1510</f>
        <v/>
      </c>
      <c r="H1510" s="55">
        <f>Orders!H1510</f>
        <v/>
      </c>
      <c r="I1510" s="55">
        <f>Orders!I1510</f>
        <v/>
      </c>
      <c r="J1510" s="55">
        <f>Orders!J1510</f>
        <v/>
      </c>
      <c r="K1510" s="55">
        <f>Orders!K1510</f>
        <v/>
      </c>
      <c r="L1510" s="55">
        <f>VLOOKUP(D1510,Products!$A$2:$F$61,3,FALSE())</f>
        <v/>
      </c>
      <c r="M1510" s="55">
        <f>VLOOKUP(C1510,Customers!$A$2:$F$301,5,FALSE())</f>
        <v/>
      </c>
      <c r="N1510" s="55">
        <f>VLOOKUP(E1510,Sales_Reps!$A$2:$E$31,3,FALSE())</f>
        <v/>
      </c>
      <c r="O1510" s="55">
        <f>VLOOKUP(D1510,Products!$A$2:$F$61,4,FALSE())</f>
        <v/>
      </c>
      <c r="P1510" s="55">
        <f>VLOOKUP(C1510,Customers!$A$2:$F$301,3,FALSE())</f>
        <v/>
      </c>
      <c r="Q1510" s="55">
        <f>UPPER(TRIM(K1510))</f>
        <v/>
      </c>
      <c r="R1510" s="55">
        <f>(G1510-O1510)/G1510</f>
        <v/>
      </c>
      <c r="S1510" s="55">
        <f>VLOOKUP(D1510,Products!$A$2:$F$61,6,FALSE())</f>
        <v/>
      </c>
    </row>
    <row r="1511" ht="15" customHeight="1" s="56">
      <c r="A1511" s="55">
        <f>Orders!A1511</f>
        <v/>
      </c>
      <c r="B1511" s="103">
        <f>Orders!B1511</f>
        <v/>
      </c>
      <c r="C1511" s="55">
        <f>Orders!C1511</f>
        <v/>
      </c>
      <c r="D1511" s="55">
        <f>Orders!D1511</f>
        <v/>
      </c>
      <c r="E1511" s="55">
        <f>Orders!E1511</f>
        <v/>
      </c>
      <c r="F1511" s="55">
        <f>Orders!F1511</f>
        <v/>
      </c>
      <c r="G1511" s="55">
        <f>Orders!G1511</f>
        <v/>
      </c>
      <c r="H1511" s="55">
        <f>Orders!H1511</f>
        <v/>
      </c>
      <c r="I1511" s="55">
        <f>Orders!I1511</f>
        <v/>
      </c>
      <c r="J1511" s="55">
        <f>Orders!J1511</f>
        <v/>
      </c>
      <c r="K1511" s="55">
        <f>Orders!K1511</f>
        <v/>
      </c>
      <c r="L1511" s="55">
        <f>VLOOKUP(D1511,Products!$A$2:$F$61,3,FALSE())</f>
        <v/>
      </c>
      <c r="M1511" s="55">
        <f>VLOOKUP(C1511,Customers!$A$2:$F$301,5,FALSE())</f>
        <v/>
      </c>
      <c r="N1511" s="55">
        <f>VLOOKUP(E1511,Sales_Reps!$A$2:$E$31,3,FALSE())</f>
        <v/>
      </c>
      <c r="O1511" s="55">
        <f>VLOOKUP(D1511,Products!$A$2:$F$61,4,FALSE())</f>
        <v/>
      </c>
      <c r="P1511" s="55">
        <f>VLOOKUP(C1511,Customers!$A$2:$F$301,3,FALSE())</f>
        <v/>
      </c>
      <c r="Q1511" s="55">
        <f>UPPER(TRIM(K1511))</f>
        <v/>
      </c>
      <c r="R1511" s="55">
        <f>(G1511-O1511)/G1511</f>
        <v/>
      </c>
      <c r="S1511" s="55">
        <f>VLOOKUP(D1511,Products!$A$2:$F$61,6,FALSE())</f>
        <v/>
      </c>
    </row>
    <row r="1512" ht="15" customHeight="1" s="56">
      <c r="A1512" s="55">
        <f>Orders!A1512</f>
        <v/>
      </c>
      <c r="B1512" s="103">
        <f>Orders!B1512</f>
        <v/>
      </c>
      <c r="C1512" s="55">
        <f>Orders!C1512</f>
        <v/>
      </c>
      <c r="D1512" s="55">
        <f>Orders!D1512</f>
        <v/>
      </c>
      <c r="E1512" s="55">
        <f>Orders!E1512</f>
        <v/>
      </c>
      <c r="F1512" s="55">
        <f>Orders!F1512</f>
        <v/>
      </c>
      <c r="G1512" s="55">
        <f>Orders!G1512</f>
        <v/>
      </c>
      <c r="H1512" s="55">
        <f>Orders!H1512</f>
        <v/>
      </c>
      <c r="I1512" s="55">
        <f>Orders!I1512</f>
        <v/>
      </c>
      <c r="J1512" s="55">
        <f>Orders!J1512</f>
        <v/>
      </c>
      <c r="K1512" s="55">
        <f>Orders!K1512</f>
        <v/>
      </c>
      <c r="L1512" s="55">
        <f>VLOOKUP(D1512,Products!$A$2:$F$61,3,FALSE())</f>
        <v/>
      </c>
      <c r="M1512" s="55">
        <f>VLOOKUP(C1512,Customers!$A$2:$F$301,5,FALSE())</f>
        <v/>
      </c>
      <c r="N1512" s="55">
        <f>VLOOKUP(E1512,Sales_Reps!$A$2:$E$31,3,FALSE())</f>
        <v/>
      </c>
      <c r="O1512" s="55">
        <f>VLOOKUP(D1512,Products!$A$2:$F$61,4,FALSE())</f>
        <v/>
      </c>
      <c r="P1512" s="55">
        <f>VLOOKUP(C1512,Customers!$A$2:$F$301,3,FALSE())</f>
        <v/>
      </c>
      <c r="Q1512" s="55">
        <f>UPPER(TRIM(K1512))</f>
        <v/>
      </c>
      <c r="R1512" s="55">
        <f>(G1512-O1512)/G1512</f>
        <v/>
      </c>
      <c r="S1512" s="55">
        <f>VLOOKUP(D1512,Products!$A$2:$F$61,6,FALSE())</f>
        <v/>
      </c>
    </row>
    <row r="1513" ht="15" customHeight="1" s="56">
      <c r="A1513" s="55">
        <f>Orders!A1513</f>
        <v/>
      </c>
      <c r="B1513" s="103">
        <f>Orders!B1513</f>
        <v/>
      </c>
      <c r="C1513" s="55">
        <f>Orders!C1513</f>
        <v/>
      </c>
      <c r="D1513" s="55">
        <f>Orders!D1513</f>
        <v/>
      </c>
      <c r="E1513" s="55">
        <f>Orders!E1513</f>
        <v/>
      </c>
      <c r="F1513" s="55">
        <f>Orders!F1513</f>
        <v/>
      </c>
      <c r="G1513" s="55">
        <f>Orders!G1513</f>
        <v/>
      </c>
      <c r="H1513" s="55">
        <f>Orders!H1513</f>
        <v/>
      </c>
      <c r="I1513" s="55">
        <f>Orders!I1513</f>
        <v/>
      </c>
      <c r="J1513" s="55">
        <f>Orders!J1513</f>
        <v/>
      </c>
      <c r="K1513" s="55">
        <f>Orders!K1513</f>
        <v/>
      </c>
      <c r="L1513" s="55">
        <f>VLOOKUP(D1513,Products!$A$2:$F$61,3,FALSE())</f>
        <v/>
      </c>
      <c r="M1513" s="55">
        <f>VLOOKUP(C1513,Customers!$A$2:$F$301,5,FALSE())</f>
        <v/>
      </c>
      <c r="N1513" s="55">
        <f>VLOOKUP(E1513,Sales_Reps!$A$2:$E$31,3,FALSE())</f>
        <v/>
      </c>
      <c r="O1513" s="55">
        <f>VLOOKUP(D1513,Products!$A$2:$F$61,4,FALSE())</f>
        <v/>
      </c>
      <c r="P1513" s="55">
        <f>VLOOKUP(C1513,Customers!$A$2:$F$301,3,FALSE())</f>
        <v/>
      </c>
      <c r="Q1513" s="55">
        <f>UPPER(TRIM(K1513))</f>
        <v/>
      </c>
      <c r="R1513" s="55">
        <f>(G1513-O1513)/G1513</f>
        <v/>
      </c>
      <c r="S1513" s="55">
        <f>VLOOKUP(D1513,Products!$A$2:$F$61,6,FALSE())</f>
        <v/>
      </c>
    </row>
    <row r="1514" ht="15" customHeight="1" s="56">
      <c r="A1514" s="55">
        <f>Orders!A1514</f>
        <v/>
      </c>
      <c r="B1514" s="103">
        <f>Orders!B1514</f>
        <v/>
      </c>
      <c r="C1514" s="55">
        <f>Orders!C1514</f>
        <v/>
      </c>
      <c r="D1514" s="55">
        <f>Orders!D1514</f>
        <v/>
      </c>
      <c r="E1514" s="55">
        <f>Orders!E1514</f>
        <v/>
      </c>
      <c r="F1514" s="55">
        <f>Orders!F1514</f>
        <v/>
      </c>
      <c r="G1514" s="55">
        <f>Orders!G1514</f>
        <v/>
      </c>
      <c r="H1514" s="55">
        <f>Orders!H1514</f>
        <v/>
      </c>
      <c r="I1514" s="55">
        <f>Orders!I1514</f>
        <v/>
      </c>
      <c r="J1514" s="55">
        <f>Orders!J1514</f>
        <v/>
      </c>
      <c r="K1514" s="55">
        <f>Orders!K1514</f>
        <v/>
      </c>
      <c r="L1514" s="55">
        <f>VLOOKUP(D1514,Products!$A$2:$F$61,3,FALSE())</f>
        <v/>
      </c>
      <c r="M1514" s="55">
        <f>VLOOKUP(C1514,Customers!$A$2:$F$301,5,FALSE())</f>
        <v/>
      </c>
      <c r="N1514" s="55">
        <f>VLOOKUP(E1514,Sales_Reps!$A$2:$E$31,3,FALSE())</f>
        <v/>
      </c>
      <c r="O1514" s="55">
        <f>VLOOKUP(D1514,Products!$A$2:$F$61,4,FALSE())</f>
        <v/>
      </c>
      <c r="P1514" s="55">
        <f>VLOOKUP(C1514,Customers!$A$2:$F$301,3,FALSE())</f>
        <v/>
      </c>
      <c r="Q1514" s="55">
        <f>UPPER(TRIM(K1514))</f>
        <v/>
      </c>
      <c r="R1514" s="55">
        <f>(G1514-O1514)/G1514</f>
        <v/>
      </c>
      <c r="S1514" s="55">
        <f>VLOOKUP(D1514,Products!$A$2:$F$61,6,FALSE())</f>
        <v/>
      </c>
    </row>
    <row r="1515" ht="15" customHeight="1" s="56">
      <c r="A1515" s="55">
        <f>Orders!A1515</f>
        <v/>
      </c>
      <c r="B1515" s="103">
        <f>Orders!B1515</f>
        <v/>
      </c>
      <c r="C1515" s="55">
        <f>Orders!C1515</f>
        <v/>
      </c>
      <c r="D1515" s="55">
        <f>Orders!D1515</f>
        <v/>
      </c>
      <c r="E1515" s="55">
        <f>Orders!E1515</f>
        <v/>
      </c>
      <c r="F1515" s="55">
        <f>Orders!F1515</f>
        <v/>
      </c>
      <c r="G1515" s="55">
        <f>Orders!G1515</f>
        <v/>
      </c>
      <c r="H1515" s="55">
        <f>Orders!H1515</f>
        <v/>
      </c>
      <c r="I1515" s="55">
        <f>Orders!I1515</f>
        <v/>
      </c>
      <c r="J1515" s="55">
        <f>Orders!J1515</f>
        <v/>
      </c>
      <c r="K1515" s="55">
        <f>Orders!K1515</f>
        <v/>
      </c>
      <c r="L1515" s="55">
        <f>VLOOKUP(D1515,Products!$A$2:$F$61,3,FALSE())</f>
        <v/>
      </c>
      <c r="M1515" s="55">
        <f>VLOOKUP(C1515,Customers!$A$2:$F$301,5,FALSE())</f>
        <v/>
      </c>
      <c r="N1515" s="55">
        <f>VLOOKUP(E1515,Sales_Reps!$A$2:$E$31,3,FALSE())</f>
        <v/>
      </c>
      <c r="O1515" s="55">
        <f>VLOOKUP(D1515,Products!$A$2:$F$61,4,FALSE())</f>
        <v/>
      </c>
      <c r="P1515" s="55">
        <f>VLOOKUP(C1515,Customers!$A$2:$F$301,3,FALSE())</f>
        <v/>
      </c>
      <c r="Q1515" s="55">
        <f>UPPER(TRIM(K1515))</f>
        <v/>
      </c>
      <c r="R1515" s="55">
        <f>(G1515-O1515)/G1515</f>
        <v/>
      </c>
      <c r="S1515" s="55">
        <f>VLOOKUP(D1515,Products!$A$2:$F$61,6,FALSE())</f>
        <v/>
      </c>
    </row>
    <row r="1516" ht="15" customHeight="1" s="56">
      <c r="A1516" s="55">
        <f>Orders!A1516</f>
        <v/>
      </c>
      <c r="B1516" s="103">
        <f>Orders!B1516</f>
        <v/>
      </c>
      <c r="C1516" s="55">
        <f>Orders!C1516</f>
        <v/>
      </c>
      <c r="D1516" s="55">
        <f>Orders!D1516</f>
        <v/>
      </c>
      <c r="E1516" s="55">
        <f>Orders!E1516</f>
        <v/>
      </c>
      <c r="F1516" s="55">
        <f>Orders!F1516</f>
        <v/>
      </c>
      <c r="G1516" s="55">
        <f>Orders!G1516</f>
        <v/>
      </c>
      <c r="H1516" s="55">
        <f>Orders!H1516</f>
        <v/>
      </c>
      <c r="I1516" s="55">
        <f>Orders!I1516</f>
        <v/>
      </c>
      <c r="J1516" s="55">
        <f>Orders!J1516</f>
        <v/>
      </c>
      <c r="K1516" s="55">
        <f>Orders!K1516</f>
        <v/>
      </c>
      <c r="L1516" s="55">
        <f>VLOOKUP(D1516,Products!$A$2:$F$61,3,FALSE())</f>
        <v/>
      </c>
      <c r="M1516" s="55">
        <f>VLOOKUP(C1516,Customers!$A$2:$F$301,5,FALSE())</f>
        <v/>
      </c>
      <c r="N1516" s="55">
        <f>VLOOKUP(E1516,Sales_Reps!$A$2:$E$31,3,FALSE())</f>
        <v/>
      </c>
      <c r="O1516" s="55">
        <f>VLOOKUP(D1516,Products!$A$2:$F$61,4,FALSE())</f>
        <v/>
      </c>
      <c r="P1516" s="55">
        <f>VLOOKUP(C1516,Customers!$A$2:$F$301,3,FALSE())</f>
        <v/>
      </c>
      <c r="Q1516" s="55">
        <f>UPPER(TRIM(K1516))</f>
        <v/>
      </c>
      <c r="R1516" s="55">
        <f>(G1516-O1516)/G1516</f>
        <v/>
      </c>
      <c r="S1516" s="55">
        <f>VLOOKUP(D1516,Products!$A$2:$F$61,6,FALSE())</f>
        <v/>
      </c>
    </row>
    <row r="1517" ht="15" customHeight="1" s="56">
      <c r="A1517" s="55">
        <f>Orders!A1517</f>
        <v/>
      </c>
      <c r="B1517" s="103">
        <f>Orders!B1517</f>
        <v/>
      </c>
      <c r="C1517" s="55">
        <f>Orders!C1517</f>
        <v/>
      </c>
      <c r="D1517" s="55">
        <f>Orders!D1517</f>
        <v/>
      </c>
      <c r="E1517" s="55">
        <f>Orders!E1517</f>
        <v/>
      </c>
      <c r="F1517" s="55">
        <f>Orders!F1517</f>
        <v/>
      </c>
      <c r="G1517" s="55">
        <f>Orders!G1517</f>
        <v/>
      </c>
      <c r="H1517" s="55">
        <f>Orders!H1517</f>
        <v/>
      </c>
      <c r="I1517" s="55">
        <f>Orders!I1517</f>
        <v/>
      </c>
      <c r="J1517" s="55">
        <f>Orders!J1517</f>
        <v/>
      </c>
      <c r="K1517" s="55">
        <f>Orders!K1517</f>
        <v/>
      </c>
      <c r="L1517" s="55">
        <f>VLOOKUP(D1517,Products!$A$2:$F$61,3,FALSE())</f>
        <v/>
      </c>
      <c r="M1517" s="55">
        <f>VLOOKUP(C1517,Customers!$A$2:$F$301,5,FALSE())</f>
        <v/>
      </c>
      <c r="N1517" s="55">
        <f>VLOOKUP(E1517,Sales_Reps!$A$2:$E$31,3,FALSE())</f>
        <v/>
      </c>
      <c r="O1517" s="55">
        <f>VLOOKUP(D1517,Products!$A$2:$F$61,4,FALSE())</f>
        <v/>
      </c>
      <c r="P1517" s="55">
        <f>VLOOKUP(C1517,Customers!$A$2:$F$301,3,FALSE())</f>
        <v/>
      </c>
      <c r="Q1517" s="55">
        <f>UPPER(TRIM(K1517))</f>
        <v/>
      </c>
      <c r="R1517" s="55">
        <f>(G1517-O1517)/G1517</f>
        <v/>
      </c>
      <c r="S1517" s="55">
        <f>VLOOKUP(D1517,Products!$A$2:$F$61,6,FALSE())</f>
        <v/>
      </c>
    </row>
    <row r="1518" ht="15" customHeight="1" s="56">
      <c r="A1518" s="55">
        <f>Orders!A1518</f>
        <v/>
      </c>
      <c r="B1518" s="103">
        <f>Orders!B1518</f>
        <v/>
      </c>
      <c r="C1518" s="55">
        <f>Orders!C1518</f>
        <v/>
      </c>
      <c r="D1518" s="55">
        <f>Orders!D1518</f>
        <v/>
      </c>
      <c r="E1518" s="55">
        <f>Orders!E1518</f>
        <v/>
      </c>
      <c r="F1518" s="55">
        <f>Orders!F1518</f>
        <v/>
      </c>
      <c r="G1518" s="55">
        <f>Orders!G1518</f>
        <v/>
      </c>
      <c r="H1518" s="55">
        <f>Orders!H1518</f>
        <v/>
      </c>
      <c r="I1518" s="55">
        <f>Orders!I1518</f>
        <v/>
      </c>
      <c r="J1518" s="55">
        <f>Orders!J1518</f>
        <v/>
      </c>
      <c r="K1518" s="55">
        <f>Orders!K1518</f>
        <v/>
      </c>
      <c r="L1518" s="55">
        <f>VLOOKUP(D1518,Products!$A$2:$F$61,3,FALSE())</f>
        <v/>
      </c>
      <c r="M1518" s="55">
        <f>VLOOKUP(C1518,Customers!$A$2:$F$301,5,FALSE())</f>
        <v/>
      </c>
      <c r="N1518" s="55">
        <f>VLOOKUP(E1518,Sales_Reps!$A$2:$E$31,3,FALSE())</f>
        <v/>
      </c>
      <c r="O1518" s="55">
        <f>VLOOKUP(D1518,Products!$A$2:$F$61,4,FALSE())</f>
        <v/>
      </c>
      <c r="P1518" s="55">
        <f>VLOOKUP(C1518,Customers!$A$2:$F$301,3,FALSE())</f>
        <v/>
      </c>
      <c r="Q1518" s="55">
        <f>UPPER(TRIM(K1518))</f>
        <v/>
      </c>
      <c r="R1518" s="55">
        <f>(G1518-O1518)/G1518</f>
        <v/>
      </c>
      <c r="S1518" s="55">
        <f>VLOOKUP(D1518,Products!$A$2:$F$61,6,FALSE())</f>
        <v/>
      </c>
    </row>
    <row r="1519" ht="15" customHeight="1" s="56">
      <c r="A1519" s="55">
        <f>Orders!A1519</f>
        <v/>
      </c>
      <c r="B1519" s="103">
        <f>Orders!B1519</f>
        <v/>
      </c>
      <c r="C1519" s="55">
        <f>Orders!C1519</f>
        <v/>
      </c>
      <c r="D1519" s="55">
        <f>Orders!D1519</f>
        <v/>
      </c>
      <c r="E1519" s="55">
        <f>Orders!E1519</f>
        <v/>
      </c>
      <c r="F1519" s="55">
        <f>Orders!F1519</f>
        <v/>
      </c>
      <c r="G1519" s="55">
        <f>Orders!G1519</f>
        <v/>
      </c>
      <c r="H1519" s="55">
        <f>Orders!H1519</f>
        <v/>
      </c>
      <c r="I1519" s="55">
        <f>Orders!I1519</f>
        <v/>
      </c>
      <c r="J1519" s="55">
        <f>Orders!J1519</f>
        <v/>
      </c>
      <c r="K1519" s="55">
        <f>Orders!K1519</f>
        <v/>
      </c>
      <c r="L1519" s="55">
        <f>VLOOKUP(D1519,Products!$A$2:$F$61,3,FALSE())</f>
        <v/>
      </c>
      <c r="M1519" s="55">
        <f>VLOOKUP(C1519,Customers!$A$2:$F$301,5,FALSE())</f>
        <v/>
      </c>
      <c r="N1519" s="55">
        <f>VLOOKUP(E1519,Sales_Reps!$A$2:$E$31,3,FALSE())</f>
        <v/>
      </c>
      <c r="O1519" s="55">
        <f>VLOOKUP(D1519,Products!$A$2:$F$61,4,FALSE())</f>
        <v/>
      </c>
      <c r="P1519" s="55">
        <f>VLOOKUP(C1519,Customers!$A$2:$F$301,3,FALSE())</f>
        <v/>
      </c>
      <c r="Q1519" s="55">
        <f>UPPER(TRIM(K1519))</f>
        <v/>
      </c>
      <c r="R1519" s="55">
        <f>(G1519-O1519)/G1519</f>
        <v/>
      </c>
      <c r="S1519" s="55">
        <f>VLOOKUP(D1519,Products!$A$2:$F$61,6,FALSE())</f>
        <v/>
      </c>
    </row>
    <row r="1520" ht="15" customHeight="1" s="56">
      <c r="A1520" s="55">
        <f>Orders!A1520</f>
        <v/>
      </c>
      <c r="B1520" s="103">
        <f>Orders!B1520</f>
        <v/>
      </c>
      <c r="C1520" s="55">
        <f>Orders!C1520</f>
        <v/>
      </c>
      <c r="D1520" s="55">
        <f>Orders!D1520</f>
        <v/>
      </c>
      <c r="E1520" s="55">
        <f>Orders!E1520</f>
        <v/>
      </c>
      <c r="F1520" s="55">
        <f>Orders!F1520</f>
        <v/>
      </c>
      <c r="G1520" s="55">
        <f>Orders!G1520</f>
        <v/>
      </c>
      <c r="H1520" s="55">
        <f>Orders!H1520</f>
        <v/>
      </c>
      <c r="I1520" s="55">
        <f>Orders!I1520</f>
        <v/>
      </c>
      <c r="J1520" s="55">
        <f>Orders!J1520</f>
        <v/>
      </c>
      <c r="K1520" s="55">
        <f>Orders!K1520</f>
        <v/>
      </c>
      <c r="L1520" s="55">
        <f>VLOOKUP(D1520,Products!$A$2:$F$61,3,FALSE())</f>
        <v/>
      </c>
      <c r="M1520" s="55">
        <f>VLOOKUP(C1520,Customers!$A$2:$F$301,5,FALSE())</f>
        <v/>
      </c>
      <c r="N1520" s="55">
        <f>VLOOKUP(E1520,Sales_Reps!$A$2:$E$31,3,FALSE())</f>
        <v/>
      </c>
      <c r="O1520" s="55">
        <f>VLOOKUP(D1520,Products!$A$2:$F$61,4,FALSE())</f>
        <v/>
      </c>
      <c r="P1520" s="55">
        <f>VLOOKUP(C1520,Customers!$A$2:$F$301,3,FALSE())</f>
        <v/>
      </c>
      <c r="Q1520" s="55">
        <f>UPPER(TRIM(K1520))</f>
        <v/>
      </c>
      <c r="R1520" s="55">
        <f>(G1520-O1520)/G1520</f>
        <v/>
      </c>
      <c r="S1520" s="55">
        <f>VLOOKUP(D1520,Products!$A$2:$F$61,6,FALSE())</f>
        <v/>
      </c>
    </row>
    <row r="1521" ht="15" customHeight="1" s="56">
      <c r="A1521" s="55">
        <f>Orders!A1521</f>
        <v/>
      </c>
      <c r="B1521" s="103">
        <f>Orders!B1521</f>
        <v/>
      </c>
      <c r="C1521" s="55">
        <f>Orders!C1521</f>
        <v/>
      </c>
      <c r="D1521" s="55">
        <f>Orders!D1521</f>
        <v/>
      </c>
      <c r="E1521" s="55">
        <f>Orders!E1521</f>
        <v/>
      </c>
      <c r="F1521" s="55">
        <f>Orders!F1521</f>
        <v/>
      </c>
      <c r="G1521" s="55">
        <f>Orders!G1521</f>
        <v/>
      </c>
      <c r="H1521" s="55">
        <f>Orders!H1521</f>
        <v/>
      </c>
      <c r="I1521" s="55">
        <f>Orders!I1521</f>
        <v/>
      </c>
      <c r="J1521" s="55">
        <f>Orders!J1521</f>
        <v/>
      </c>
      <c r="K1521" s="55">
        <f>Orders!K1521</f>
        <v/>
      </c>
      <c r="L1521" s="55">
        <f>VLOOKUP(D1521,Products!$A$2:$F$61,3,FALSE())</f>
        <v/>
      </c>
      <c r="M1521" s="55">
        <f>VLOOKUP(C1521,Customers!$A$2:$F$301,5,FALSE())</f>
        <v/>
      </c>
      <c r="N1521" s="55">
        <f>VLOOKUP(E1521,Sales_Reps!$A$2:$E$31,3,FALSE())</f>
        <v/>
      </c>
      <c r="O1521" s="55">
        <f>VLOOKUP(D1521,Products!$A$2:$F$61,4,FALSE())</f>
        <v/>
      </c>
      <c r="P1521" s="55">
        <f>VLOOKUP(C1521,Customers!$A$2:$F$301,3,FALSE())</f>
        <v/>
      </c>
      <c r="Q1521" s="55">
        <f>UPPER(TRIM(K1521))</f>
        <v/>
      </c>
      <c r="R1521" s="55">
        <f>(G1521-O1521)/G1521</f>
        <v/>
      </c>
      <c r="S1521" s="55">
        <f>VLOOKUP(D1521,Products!$A$2:$F$61,6,FALSE())</f>
        <v/>
      </c>
    </row>
    <row r="1522" ht="15" customHeight="1" s="56">
      <c r="A1522" s="55">
        <f>Orders!A1522</f>
        <v/>
      </c>
      <c r="B1522" s="103">
        <f>Orders!B1522</f>
        <v/>
      </c>
      <c r="C1522" s="55">
        <f>Orders!C1522</f>
        <v/>
      </c>
      <c r="D1522" s="55">
        <f>Orders!D1522</f>
        <v/>
      </c>
      <c r="E1522" s="55">
        <f>Orders!E1522</f>
        <v/>
      </c>
      <c r="F1522" s="55">
        <f>Orders!F1522</f>
        <v/>
      </c>
      <c r="G1522" s="55">
        <f>Orders!G1522</f>
        <v/>
      </c>
      <c r="H1522" s="55">
        <f>Orders!H1522</f>
        <v/>
      </c>
      <c r="I1522" s="55">
        <f>Orders!I1522</f>
        <v/>
      </c>
      <c r="J1522" s="55">
        <f>Orders!J1522</f>
        <v/>
      </c>
      <c r="K1522" s="55">
        <f>Orders!K1522</f>
        <v/>
      </c>
      <c r="L1522" s="55">
        <f>VLOOKUP(D1522,Products!$A$2:$F$61,3,FALSE())</f>
        <v/>
      </c>
      <c r="M1522" s="55">
        <f>VLOOKUP(C1522,Customers!$A$2:$F$301,5,FALSE())</f>
        <v/>
      </c>
      <c r="N1522" s="55">
        <f>VLOOKUP(E1522,Sales_Reps!$A$2:$E$31,3,FALSE())</f>
        <v/>
      </c>
      <c r="O1522" s="55">
        <f>VLOOKUP(D1522,Products!$A$2:$F$61,4,FALSE())</f>
        <v/>
      </c>
      <c r="P1522" s="55">
        <f>VLOOKUP(C1522,Customers!$A$2:$F$301,3,FALSE())</f>
        <v/>
      </c>
      <c r="Q1522" s="55">
        <f>UPPER(TRIM(K1522))</f>
        <v/>
      </c>
      <c r="R1522" s="55">
        <f>(G1522-O1522)/G1522</f>
        <v/>
      </c>
      <c r="S1522" s="55">
        <f>VLOOKUP(D1522,Products!$A$2:$F$61,6,FALSE())</f>
        <v/>
      </c>
    </row>
    <row r="1523" ht="15" customHeight="1" s="56">
      <c r="A1523" s="55">
        <f>Orders!A1523</f>
        <v/>
      </c>
      <c r="B1523" s="103">
        <f>Orders!B1523</f>
        <v/>
      </c>
      <c r="C1523" s="55">
        <f>Orders!C1523</f>
        <v/>
      </c>
      <c r="D1523" s="55">
        <f>Orders!D1523</f>
        <v/>
      </c>
      <c r="E1523" s="55">
        <f>Orders!E1523</f>
        <v/>
      </c>
      <c r="F1523" s="55">
        <f>Orders!F1523</f>
        <v/>
      </c>
      <c r="G1523" s="55">
        <f>Orders!G1523</f>
        <v/>
      </c>
      <c r="H1523" s="55">
        <f>Orders!H1523</f>
        <v/>
      </c>
      <c r="I1523" s="55">
        <f>Orders!I1523</f>
        <v/>
      </c>
      <c r="J1523" s="55">
        <f>Orders!J1523</f>
        <v/>
      </c>
      <c r="K1523" s="55">
        <f>Orders!K1523</f>
        <v/>
      </c>
      <c r="L1523" s="55">
        <f>VLOOKUP(D1523,Products!$A$2:$F$61,3,FALSE())</f>
        <v/>
      </c>
      <c r="M1523" s="55">
        <f>VLOOKUP(C1523,Customers!$A$2:$F$301,5,FALSE())</f>
        <v/>
      </c>
      <c r="N1523" s="55">
        <f>VLOOKUP(E1523,Sales_Reps!$A$2:$E$31,3,FALSE())</f>
        <v/>
      </c>
      <c r="O1523" s="55">
        <f>VLOOKUP(D1523,Products!$A$2:$F$61,4,FALSE())</f>
        <v/>
      </c>
      <c r="P1523" s="55">
        <f>VLOOKUP(C1523,Customers!$A$2:$F$301,3,FALSE())</f>
        <v/>
      </c>
      <c r="Q1523" s="55">
        <f>UPPER(TRIM(K1523))</f>
        <v/>
      </c>
      <c r="R1523" s="55">
        <f>(G1523-O1523)/G1523</f>
        <v/>
      </c>
      <c r="S1523" s="55">
        <f>VLOOKUP(D1523,Products!$A$2:$F$61,6,FALSE())</f>
        <v/>
      </c>
    </row>
    <row r="1524" ht="15" customHeight="1" s="56">
      <c r="A1524" s="55">
        <f>Orders!A1524</f>
        <v/>
      </c>
      <c r="B1524" s="103">
        <f>Orders!B1524</f>
        <v/>
      </c>
      <c r="C1524" s="55">
        <f>Orders!C1524</f>
        <v/>
      </c>
      <c r="D1524" s="55">
        <f>Orders!D1524</f>
        <v/>
      </c>
      <c r="E1524" s="55">
        <f>Orders!E1524</f>
        <v/>
      </c>
      <c r="F1524" s="55">
        <f>Orders!F1524</f>
        <v/>
      </c>
      <c r="G1524" s="55">
        <f>Orders!G1524</f>
        <v/>
      </c>
      <c r="H1524" s="55">
        <f>Orders!H1524</f>
        <v/>
      </c>
      <c r="I1524" s="55">
        <f>Orders!I1524</f>
        <v/>
      </c>
      <c r="J1524" s="55">
        <f>Orders!J1524</f>
        <v/>
      </c>
      <c r="K1524" s="55">
        <f>Orders!K1524</f>
        <v/>
      </c>
      <c r="L1524" s="55">
        <f>VLOOKUP(D1524,Products!$A$2:$F$61,3,FALSE())</f>
        <v/>
      </c>
      <c r="M1524" s="55">
        <f>VLOOKUP(C1524,Customers!$A$2:$F$301,5,FALSE())</f>
        <v/>
      </c>
      <c r="N1524" s="55">
        <f>VLOOKUP(E1524,Sales_Reps!$A$2:$E$31,3,FALSE())</f>
        <v/>
      </c>
      <c r="O1524" s="55">
        <f>VLOOKUP(D1524,Products!$A$2:$F$61,4,FALSE())</f>
        <v/>
      </c>
      <c r="P1524" s="55">
        <f>VLOOKUP(C1524,Customers!$A$2:$F$301,3,FALSE())</f>
        <v/>
      </c>
      <c r="Q1524" s="55">
        <f>UPPER(TRIM(K1524))</f>
        <v/>
      </c>
      <c r="R1524" s="55">
        <f>(G1524-O1524)/G1524</f>
        <v/>
      </c>
      <c r="S1524" s="55">
        <f>VLOOKUP(D1524,Products!$A$2:$F$61,6,FALSE())</f>
        <v/>
      </c>
    </row>
    <row r="1525" ht="15" customHeight="1" s="56">
      <c r="A1525" s="55">
        <f>Orders!A1525</f>
        <v/>
      </c>
      <c r="B1525" s="103">
        <f>Orders!B1525</f>
        <v/>
      </c>
      <c r="C1525" s="55">
        <f>Orders!C1525</f>
        <v/>
      </c>
      <c r="D1525" s="55">
        <f>Orders!D1525</f>
        <v/>
      </c>
      <c r="E1525" s="55">
        <f>Orders!E1525</f>
        <v/>
      </c>
      <c r="F1525" s="55">
        <f>Orders!F1525</f>
        <v/>
      </c>
      <c r="G1525" s="55">
        <f>Orders!G1525</f>
        <v/>
      </c>
      <c r="H1525" s="55">
        <f>Orders!H1525</f>
        <v/>
      </c>
      <c r="I1525" s="55">
        <f>Orders!I1525</f>
        <v/>
      </c>
      <c r="J1525" s="55">
        <f>Orders!J1525</f>
        <v/>
      </c>
      <c r="K1525" s="55">
        <f>Orders!K1525</f>
        <v/>
      </c>
      <c r="L1525" s="55">
        <f>VLOOKUP(D1525,Products!$A$2:$F$61,3,FALSE())</f>
        <v/>
      </c>
      <c r="M1525" s="55">
        <f>VLOOKUP(C1525,Customers!$A$2:$F$301,5,FALSE())</f>
        <v/>
      </c>
      <c r="N1525" s="55">
        <f>VLOOKUP(E1525,Sales_Reps!$A$2:$E$31,3,FALSE())</f>
        <v/>
      </c>
      <c r="O1525" s="55">
        <f>VLOOKUP(D1525,Products!$A$2:$F$61,4,FALSE())</f>
        <v/>
      </c>
      <c r="P1525" s="55">
        <f>VLOOKUP(C1525,Customers!$A$2:$F$301,3,FALSE())</f>
        <v/>
      </c>
      <c r="Q1525" s="55">
        <f>UPPER(TRIM(K1525))</f>
        <v/>
      </c>
      <c r="R1525" s="55">
        <f>(G1525-O1525)/G1525</f>
        <v/>
      </c>
      <c r="S1525" s="55">
        <f>VLOOKUP(D1525,Products!$A$2:$F$61,6,FALSE())</f>
        <v/>
      </c>
    </row>
    <row r="1526" ht="15" customHeight="1" s="56">
      <c r="A1526" s="55">
        <f>Orders!A1526</f>
        <v/>
      </c>
      <c r="B1526" s="103">
        <f>Orders!B1526</f>
        <v/>
      </c>
      <c r="C1526" s="55">
        <f>Orders!C1526</f>
        <v/>
      </c>
      <c r="D1526" s="55">
        <f>Orders!D1526</f>
        <v/>
      </c>
      <c r="E1526" s="55">
        <f>Orders!E1526</f>
        <v/>
      </c>
      <c r="F1526" s="55">
        <f>Orders!F1526</f>
        <v/>
      </c>
      <c r="G1526" s="55">
        <f>Orders!G1526</f>
        <v/>
      </c>
      <c r="H1526" s="55">
        <f>Orders!H1526</f>
        <v/>
      </c>
      <c r="I1526" s="55">
        <f>Orders!I1526</f>
        <v/>
      </c>
      <c r="J1526" s="55">
        <f>Orders!J1526</f>
        <v/>
      </c>
      <c r="K1526" s="55">
        <f>Orders!K1526</f>
        <v/>
      </c>
      <c r="L1526" s="55">
        <f>VLOOKUP(D1526,Products!$A$2:$F$61,3,FALSE())</f>
        <v/>
      </c>
      <c r="M1526" s="55">
        <f>VLOOKUP(C1526,Customers!$A$2:$F$301,5,FALSE())</f>
        <v/>
      </c>
      <c r="N1526" s="55">
        <f>VLOOKUP(E1526,Sales_Reps!$A$2:$E$31,3,FALSE())</f>
        <v/>
      </c>
      <c r="O1526" s="55">
        <f>VLOOKUP(D1526,Products!$A$2:$F$61,4,FALSE())</f>
        <v/>
      </c>
      <c r="P1526" s="55">
        <f>VLOOKUP(C1526,Customers!$A$2:$F$301,3,FALSE())</f>
        <v/>
      </c>
      <c r="Q1526" s="55">
        <f>UPPER(TRIM(K1526))</f>
        <v/>
      </c>
      <c r="R1526" s="55">
        <f>(G1526-O1526)/G1526</f>
        <v/>
      </c>
      <c r="S1526" s="55">
        <f>VLOOKUP(D1526,Products!$A$2:$F$61,6,FALSE())</f>
        <v/>
      </c>
    </row>
    <row r="1527" ht="15" customHeight="1" s="56">
      <c r="A1527" s="55">
        <f>Orders!A1527</f>
        <v/>
      </c>
      <c r="B1527" s="103">
        <f>Orders!B1527</f>
        <v/>
      </c>
      <c r="C1527" s="55">
        <f>Orders!C1527</f>
        <v/>
      </c>
      <c r="D1527" s="55">
        <f>Orders!D1527</f>
        <v/>
      </c>
      <c r="E1527" s="55">
        <f>Orders!E1527</f>
        <v/>
      </c>
      <c r="F1527" s="55">
        <f>Orders!F1527</f>
        <v/>
      </c>
      <c r="G1527" s="55">
        <f>Orders!G1527</f>
        <v/>
      </c>
      <c r="H1527" s="55">
        <f>Orders!H1527</f>
        <v/>
      </c>
      <c r="I1527" s="55">
        <f>Orders!I1527</f>
        <v/>
      </c>
      <c r="J1527" s="55">
        <f>Orders!J1527</f>
        <v/>
      </c>
      <c r="K1527" s="55">
        <f>Orders!K1527</f>
        <v/>
      </c>
      <c r="L1527" s="55">
        <f>VLOOKUP(D1527,Products!$A$2:$F$61,3,FALSE())</f>
        <v/>
      </c>
      <c r="M1527" s="55">
        <f>VLOOKUP(C1527,Customers!$A$2:$F$301,5,FALSE())</f>
        <v/>
      </c>
      <c r="N1527" s="55">
        <f>VLOOKUP(E1527,Sales_Reps!$A$2:$E$31,3,FALSE())</f>
        <v/>
      </c>
      <c r="O1527" s="55">
        <f>VLOOKUP(D1527,Products!$A$2:$F$61,4,FALSE())</f>
        <v/>
      </c>
      <c r="P1527" s="55">
        <f>VLOOKUP(C1527,Customers!$A$2:$F$301,3,FALSE())</f>
        <v/>
      </c>
      <c r="Q1527" s="55">
        <f>UPPER(TRIM(K1527))</f>
        <v/>
      </c>
      <c r="R1527" s="55">
        <f>(G1527-O1527)/G1527</f>
        <v/>
      </c>
      <c r="S1527" s="55">
        <f>VLOOKUP(D1527,Products!$A$2:$F$61,6,FALSE())</f>
        <v/>
      </c>
    </row>
    <row r="1528" ht="15" customHeight="1" s="56">
      <c r="A1528" s="55">
        <f>Orders!A1528</f>
        <v/>
      </c>
      <c r="B1528" s="103">
        <f>Orders!B1528</f>
        <v/>
      </c>
      <c r="C1528" s="55">
        <f>Orders!C1528</f>
        <v/>
      </c>
      <c r="D1528" s="55">
        <f>Orders!D1528</f>
        <v/>
      </c>
      <c r="E1528" s="55">
        <f>Orders!E1528</f>
        <v/>
      </c>
      <c r="F1528" s="55">
        <f>Orders!F1528</f>
        <v/>
      </c>
      <c r="G1528" s="55">
        <f>Orders!G1528</f>
        <v/>
      </c>
      <c r="H1528" s="55">
        <f>Orders!H1528</f>
        <v/>
      </c>
      <c r="I1528" s="55">
        <f>Orders!I1528</f>
        <v/>
      </c>
      <c r="J1528" s="55">
        <f>Orders!J1528</f>
        <v/>
      </c>
      <c r="K1528" s="55">
        <f>Orders!K1528</f>
        <v/>
      </c>
      <c r="L1528" s="55">
        <f>VLOOKUP(D1528,Products!$A$2:$F$61,3,FALSE())</f>
        <v/>
      </c>
      <c r="M1528" s="55">
        <f>VLOOKUP(C1528,Customers!$A$2:$F$301,5,FALSE())</f>
        <v/>
      </c>
      <c r="N1528" s="55">
        <f>VLOOKUP(E1528,Sales_Reps!$A$2:$E$31,3,FALSE())</f>
        <v/>
      </c>
      <c r="O1528" s="55">
        <f>VLOOKUP(D1528,Products!$A$2:$F$61,4,FALSE())</f>
        <v/>
      </c>
      <c r="P1528" s="55">
        <f>VLOOKUP(C1528,Customers!$A$2:$F$301,3,FALSE())</f>
        <v/>
      </c>
      <c r="Q1528" s="55">
        <f>UPPER(TRIM(K1528))</f>
        <v/>
      </c>
      <c r="R1528" s="55">
        <f>(G1528-O1528)/G1528</f>
        <v/>
      </c>
      <c r="S1528" s="55">
        <f>VLOOKUP(D1528,Products!$A$2:$F$61,6,FALSE())</f>
        <v/>
      </c>
    </row>
    <row r="1529" ht="15" customHeight="1" s="56">
      <c r="A1529" s="55">
        <f>Orders!A1529</f>
        <v/>
      </c>
      <c r="B1529" s="103">
        <f>Orders!B1529</f>
        <v/>
      </c>
      <c r="C1529" s="55">
        <f>Orders!C1529</f>
        <v/>
      </c>
      <c r="D1529" s="55">
        <f>Orders!D1529</f>
        <v/>
      </c>
      <c r="E1529" s="55">
        <f>Orders!E1529</f>
        <v/>
      </c>
      <c r="F1529" s="55">
        <f>Orders!F1529</f>
        <v/>
      </c>
      <c r="G1529" s="55">
        <f>Orders!G1529</f>
        <v/>
      </c>
      <c r="H1529" s="55">
        <f>Orders!H1529</f>
        <v/>
      </c>
      <c r="I1529" s="55">
        <f>Orders!I1529</f>
        <v/>
      </c>
      <c r="J1529" s="55">
        <f>Orders!J1529</f>
        <v/>
      </c>
      <c r="K1529" s="55">
        <f>Orders!K1529</f>
        <v/>
      </c>
      <c r="L1529" s="55">
        <f>VLOOKUP(D1529,Products!$A$2:$F$61,3,FALSE())</f>
        <v/>
      </c>
      <c r="M1529" s="55">
        <f>VLOOKUP(C1529,Customers!$A$2:$F$301,5,FALSE())</f>
        <v/>
      </c>
      <c r="N1529" s="55">
        <f>VLOOKUP(E1529,Sales_Reps!$A$2:$E$31,3,FALSE())</f>
        <v/>
      </c>
      <c r="O1529" s="55">
        <f>VLOOKUP(D1529,Products!$A$2:$F$61,4,FALSE())</f>
        <v/>
      </c>
      <c r="P1529" s="55">
        <f>VLOOKUP(C1529,Customers!$A$2:$F$301,3,FALSE())</f>
        <v/>
      </c>
      <c r="Q1529" s="55">
        <f>UPPER(TRIM(K1529))</f>
        <v/>
      </c>
      <c r="R1529" s="55">
        <f>(G1529-O1529)/G1529</f>
        <v/>
      </c>
      <c r="S1529" s="55">
        <f>VLOOKUP(D1529,Products!$A$2:$F$61,6,FALSE())</f>
        <v/>
      </c>
    </row>
    <row r="1530" ht="15" customHeight="1" s="56">
      <c r="A1530" s="55">
        <f>Orders!A1530</f>
        <v/>
      </c>
      <c r="B1530" s="103">
        <f>Orders!B1530</f>
        <v/>
      </c>
      <c r="C1530" s="55">
        <f>Orders!C1530</f>
        <v/>
      </c>
      <c r="D1530" s="55">
        <f>Orders!D1530</f>
        <v/>
      </c>
      <c r="E1530" s="55">
        <f>Orders!E1530</f>
        <v/>
      </c>
      <c r="F1530" s="55">
        <f>Orders!F1530</f>
        <v/>
      </c>
      <c r="G1530" s="55">
        <f>Orders!G1530</f>
        <v/>
      </c>
      <c r="H1530" s="55">
        <f>Orders!H1530</f>
        <v/>
      </c>
      <c r="I1530" s="55">
        <f>Orders!I1530</f>
        <v/>
      </c>
      <c r="J1530" s="55">
        <f>Orders!J1530</f>
        <v/>
      </c>
      <c r="K1530" s="55">
        <f>Orders!K1530</f>
        <v/>
      </c>
      <c r="L1530" s="55">
        <f>VLOOKUP(D1530,Products!$A$2:$F$61,3,FALSE())</f>
        <v/>
      </c>
      <c r="M1530" s="55">
        <f>VLOOKUP(C1530,Customers!$A$2:$F$301,5,FALSE())</f>
        <v/>
      </c>
      <c r="N1530" s="55">
        <f>VLOOKUP(E1530,Sales_Reps!$A$2:$E$31,3,FALSE())</f>
        <v/>
      </c>
      <c r="O1530" s="55">
        <f>VLOOKUP(D1530,Products!$A$2:$F$61,4,FALSE())</f>
        <v/>
      </c>
      <c r="P1530" s="55">
        <f>VLOOKUP(C1530,Customers!$A$2:$F$301,3,FALSE())</f>
        <v/>
      </c>
      <c r="Q1530" s="55">
        <f>UPPER(TRIM(K1530))</f>
        <v/>
      </c>
      <c r="R1530" s="55">
        <f>(G1530-O1530)/G1530</f>
        <v/>
      </c>
      <c r="S1530" s="55">
        <f>VLOOKUP(D1530,Products!$A$2:$F$61,6,FALSE())</f>
        <v/>
      </c>
    </row>
    <row r="1531" ht="15" customHeight="1" s="56">
      <c r="A1531" s="55">
        <f>Orders!A1531</f>
        <v/>
      </c>
      <c r="B1531" s="103">
        <f>Orders!B1531</f>
        <v/>
      </c>
      <c r="C1531" s="55">
        <f>Orders!C1531</f>
        <v/>
      </c>
      <c r="D1531" s="55">
        <f>Orders!D1531</f>
        <v/>
      </c>
      <c r="E1531" s="55">
        <f>Orders!E1531</f>
        <v/>
      </c>
      <c r="F1531" s="55">
        <f>Orders!F1531</f>
        <v/>
      </c>
      <c r="G1531" s="55">
        <f>Orders!G1531</f>
        <v/>
      </c>
      <c r="H1531" s="55">
        <f>Orders!H1531</f>
        <v/>
      </c>
      <c r="I1531" s="55">
        <f>Orders!I1531</f>
        <v/>
      </c>
      <c r="J1531" s="55">
        <f>Orders!J1531</f>
        <v/>
      </c>
      <c r="K1531" s="55">
        <f>Orders!K1531</f>
        <v/>
      </c>
      <c r="L1531" s="55">
        <f>VLOOKUP(D1531,Products!$A$2:$F$61,3,FALSE())</f>
        <v/>
      </c>
      <c r="M1531" s="55">
        <f>VLOOKUP(C1531,Customers!$A$2:$F$301,5,FALSE())</f>
        <v/>
      </c>
      <c r="N1531" s="55">
        <f>VLOOKUP(E1531,Sales_Reps!$A$2:$E$31,3,FALSE())</f>
        <v/>
      </c>
      <c r="O1531" s="55">
        <f>VLOOKUP(D1531,Products!$A$2:$F$61,4,FALSE())</f>
        <v/>
      </c>
      <c r="P1531" s="55">
        <f>VLOOKUP(C1531,Customers!$A$2:$F$301,3,FALSE())</f>
        <v/>
      </c>
      <c r="Q1531" s="55">
        <f>UPPER(TRIM(K1531))</f>
        <v/>
      </c>
      <c r="R1531" s="55">
        <f>(G1531-O1531)/G1531</f>
        <v/>
      </c>
      <c r="S1531" s="55">
        <f>VLOOKUP(D1531,Products!$A$2:$F$61,6,FALSE())</f>
        <v/>
      </c>
    </row>
    <row r="1532" ht="15" customHeight="1" s="56">
      <c r="A1532" s="55">
        <f>Orders!A1532</f>
        <v/>
      </c>
      <c r="B1532" s="103">
        <f>Orders!B1532</f>
        <v/>
      </c>
      <c r="C1532" s="55">
        <f>Orders!C1532</f>
        <v/>
      </c>
      <c r="D1532" s="55">
        <f>Orders!D1532</f>
        <v/>
      </c>
      <c r="E1532" s="55">
        <f>Orders!E1532</f>
        <v/>
      </c>
      <c r="F1532" s="55">
        <f>Orders!F1532</f>
        <v/>
      </c>
      <c r="G1532" s="55">
        <f>Orders!G1532</f>
        <v/>
      </c>
      <c r="H1532" s="55">
        <f>Orders!H1532</f>
        <v/>
      </c>
      <c r="I1532" s="55">
        <f>Orders!I1532</f>
        <v/>
      </c>
      <c r="J1532" s="55">
        <f>Orders!J1532</f>
        <v/>
      </c>
      <c r="K1532" s="55">
        <f>Orders!K1532</f>
        <v/>
      </c>
      <c r="L1532" s="55">
        <f>VLOOKUP(D1532,Products!$A$2:$F$61,3,FALSE())</f>
        <v/>
      </c>
      <c r="M1532" s="55">
        <f>VLOOKUP(C1532,Customers!$A$2:$F$301,5,FALSE())</f>
        <v/>
      </c>
      <c r="N1532" s="55">
        <f>VLOOKUP(E1532,Sales_Reps!$A$2:$E$31,3,FALSE())</f>
        <v/>
      </c>
      <c r="O1532" s="55">
        <f>VLOOKUP(D1532,Products!$A$2:$F$61,4,FALSE())</f>
        <v/>
      </c>
      <c r="P1532" s="55">
        <f>VLOOKUP(C1532,Customers!$A$2:$F$301,3,FALSE())</f>
        <v/>
      </c>
      <c r="Q1532" s="55">
        <f>UPPER(TRIM(K1532))</f>
        <v/>
      </c>
      <c r="R1532" s="55">
        <f>(G1532-O1532)/G1532</f>
        <v/>
      </c>
      <c r="S1532" s="55">
        <f>VLOOKUP(D1532,Products!$A$2:$F$61,6,FALSE())</f>
        <v/>
      </c>
    </row>
    <row r="1533" ht="15" customHeight="1" s="56">
      <c r="A1533" s="55">
        <f>Orders!A1533</f>
        <v/>
      </c>
      <c r="B1533" s="103">
        <f>Orders!B1533</f>
        <v/>
      </c>
      <c r="C1533" s="55">
        <f>Orders!C1533</f>
        <v/>
      </c>
      <c r="D1533" s="55">
        <f>Orders!D1533</f>
        <v/>
      </c>
      <c r="E1533" s="55">
        <f>Orders!E1533</f>
        <v/>
      </c>
      <c r="F1533" s="55">
        <f>Orders!F1533</f>
        <v/>
      </c>
      <c r="G1533" s="55">
        <f>Orders!G1533</f>
        <v/>
      </c>
      <c r="H1533" s="55">
        <f>Orders!H1533</f>
        <v/>
      </c>
      <c r="I1533" s="55">
        <f>Orders!I1533</f>
        <v/>
      </c>
      <c r="J1533" s="55">
        <f>Orders!J1533</f>
        <v/>
      </c>
      <c r="K1533" s="55">
        <f>Orders!K1533</f>
        <v/>
      </c>
      <c r="L1533" s="55">
        <f>VLOOKUP(D1533,Products!$A$2:$F$61,3,FALSE())</f>
        <v/>
      </c>
      <c r="M1533" s="55">
        <f>VLOOKUP(C1533,Customers!$A$2:$F$301,5,FALSE())</f>
        <v/>
      </c>
      <c r="N1533" s="55">
        <f>VLOOKUP(E1533,Sales_Reps!$A$2:$E$31,3,FALSE())</f>
        <v/>
      </c>
      <c r="O1533" s="55">
        <f>VLOOKUP(D1533,Products!$A$2:$F$61,4,FALSE())</f>
        <v/>
      </c>
      <c r="P1533" s="55">
        <f>VLOOKUP(C1533,Customers!$A$2:$F$301,3,FALSE())</f>
        <v/>
      </c>
      <c r="Q1533" s="55">
        <f>UPPER(TRIM(K1533))</f>
        <v/>
      </c>
      <c r="R1533" s="55">
        <f>(G1533-O1533)/G1533</f>
        <v/>
      </c>
      <c r="S1533" s="55">
        <f>VLOOKUP(D1533,Products!$A$2:$F$61,6,FALSE())</f>
        <v/>
      </c>
    </row>
    <row r="1534" ht="15" customHeight="1" s="56">
      <c r="A1534" s="55">
        <f>Orders!A1534</f>
        <v/>
      </c>
      <c r="B1534" s="103">
        <f>Orders!B1534</f>
        <v/>
      </c>
      <c r="C1534" s="55">
        <f>Orders!C1534</f>
        <v/>
      </c>
      <c r="D1534" s="55">
        <f>Orders!D1534</f>
        <v/>
      </c>
      <c r="E1534" s="55">
        <f>Orders!E1534</f>
        <v/>
      </c>
      <c r="F1534" s="55">
        <f>Orders!F1534</f>
        <v/>
      </c>
      <c r="G1534" s="55">
        <f>Orders!G1534</f>
        <v/>
      </c>
      <c r="H1534" s="55">
        <f>Orders!H1534</f>
        <v/>
      </c>
      <c r="I1534" s="55">
        <f>Orders!I1534</f>
        <v/>
      </c>
      <c r="J1534" s="55">
        <f>Orders!J1534</f>
        <v/>
      </c>
      <c r="K1534" s="55">
        <f>Orders!K1534</f>
        <v/>
      </c>
      <c r="L1534" s="55">
        <f>VLOOKUP(D1534,Products!$A$2:$F$61,3,FALSE())</f>
        <v/>
      </c>
      <c r="M1534" s="55">
        <f>VLOOKUP(C1534,Customers!$A$2:$F$301,5,FALSE())</f>
        <v/>
      </c>
      <c r="N1534" s="55">
        <f>VLOOKUP(E1534,Sales_Reps!$A$2:$E$31,3,FALSE())</f>
        <v/>
      </c>
      <c r="O1534" s="55">
        <f>VLOOKUP(D1534,Products!$A$2:$F$61,4,FALSE())</f>
        <v/>
      </c>
      <c r="P1534" s="55">
        <f>VLOOKUP(C1534,Customers!$A$2:$F$301,3,FALSE())</f>
        <v/>
      </c>
      <c r="Q1534" s="55">
        <f>UPPER(TRIM(K1534))</f>
        <v/>
      </c>
      <c r="R1534" s="55">
        <f>(G1534-O1534)/G1534</f>
        <v/>
      </c>
      <c r="S1534" s="55">
        <f>VLOOKUP(D1534,Products!$A$2:$F$61,6,FALSE())</f>
        <v/>
      </c>
    </row>
    <row r="1535" ht="15" customHeight="1" s="56">
      <c r="A1535" s="55">
        <f>Orders!A1535</f>
        <v/>
      </c>
      <c r="B1535" s="103">
        <f>Orders!B1535</f>
        <v/>
      </c>
      <c r="C1535" s="55">
        <f>Orders!C1535</f>
        <v/>
      </c>
      <c r="D1535" s="55">
        <f>Orders!D1535</f>
        <v/>
      </c>
      <c r="E1535" s="55">
        <f>Orders!E1535</f>
        <v/>
      </c>
      <c r="F1535" s="55">
        <f>Orders!F1535</f>
        <v/>
      </c>
      <c r="G1535" s="55">
        <f>Orders!G1535</f>
        <v/>
      </c>
      <c r="H1535" s="55">
        <f>Orders!H1535</f>
        <v/>
      </c>
      <c r="I1535" s="55">
        <f>Orders!I1535</f>
        <v/>
      </c>
      <c r="J1535" s="55">
        <f>Orders!J1535</f>
        <v/>
      </c>
      <c r="K1535" s="55">
        <f>Orders!K1535</f>
        <v/>
      </c>
      <c r="L1535" s="55">
        <f>VLOOKUP(D1535,Products!$A$2:$F$61,3,FALSE())</f>
        <v/>
      </c>
      <c r="M1535" s="55">
        <f>VLOOKUP(C1535,Customers!$A$2:$F$301,5,FALSE())</f>
        <v/>
      </c>
      <c r="N1535" s="55">
        <f>VLOOKUP(E1535,Sales_Reps!$A$2:$E$31,3,FALSE())</f>
        <v/>
      </c>
      <c r="O1535" s="55">
        <f>VLOOKUP(D1535,Products!$A$2:$F$61,4,FALSE())</f>
        <v/>
      </c>
      <c r="P1535" s="55">
        <f>VLOOKUP(C1535,Customers!$A$2:$F$301,3,FALSE())</f>
        <v/>
      </c>
      <c r="Q1535" s="55">
        <f>UPPER(TRIM(K1535))</f>
        <v/>
      </c>
      <c r="R1535" s="55">
        <f>(G1535-O1535)/G1535</f>
        <v/>
      </c>
      <c r="S1535" s="55">
        <f>VLOOKUP(D1535,Products!$A$2:$F$61,6,FALSE())</f>
        <v/>
      </c>
    </row>
    <row r="1536" ht="15" customHeight="1" s="56">
      <c r="A1536" s="55">
        <f>Orders!A1536</f>
        <v/>
      </c>
      <c r="B1536" s="103">
        <f>Orders!B1536</f>
        <v/>
      </c>
      <c r="C1536" s="55">
        <f>Orders!C1536</f>
        <v/>
      </c>
      <c r="D1536" s="55">
        <f>Orders!D1536</f>
        <v/>
      </c>
      <c r="E1536" s="55">
        <f>Orders!E1536</f>
        <v/>
      </c>
      <c r="F1536" s="55">
        <f>Orders!F1536</f>
        <v/>
      </c>
      <c r="G1536" s="55">
        <f>Orders!G1536</f>
        <v/>
      </c>
      <c r="H1536" s="55">
        <f>Orders!H1536</f>
        <v/>
      </c>
      <c r="I1536" s="55">
        <f>Orders!I1536</f>
        <v/>
      </c>
      <c r="J1536" s="55">
        <f>Orders!J1536</f>
        <v/>
      </c>
      <c r="K1536" s="55">
        <f>Orders!K1536</f>
        <v/>
      </c>
      <c r="L1536" s="55">
        <f>VLOOKUP(D1536,Products!$A$2:$F$61,3,FALSE())</f>
        <v/>
      </c>
      <c r="M1536" s="55">
        <f>VLOOKUP(C1536,Customers!$A$2:$F$301,5,FALSE())</f>
        <v/>
      </c>
      <c r="N1536" s="55">
        <f>VLOOKUP(E1536,Sales_Reps!$A$2:$E$31,3,FALSE())</f>
        <v/>
      </c>
      <c r="O1536" s="55">
        <f>VLOOKUP(D1536,Products!$A$2:$F$61,4,FALSE())</f>
        <v/>
      </c>
      <c r="P1536" s="55">
        <f>VLOOKUP(C1536,Customers!$A$2:$F$301,3,FALSE())</f>
        <v/>
      </c>
      <c r="Q1536" s="55">
        <f>UPPER(TRIM(K1536))</f>
        <v/>
      </c>
      <c r="R1536" s="55">
        <f>(G1536-O1536)/G1536</f>
        <v/>
      </c>
      <c r="S1536" s="55">
        <f>VLOOKUP(D1536,Products!$A$2:$F$61,6,FALSE())</f>
        <v/>
      </c>
    </row>
    <row r="1537" ht="15" customHeight="1" s="56">
      <c r="A1537" s="55">
        <f>Orders!A1537</f>
        <v/>
      </c>
      <c r="B1537" s="103">
        <f>Orders!B1537</f>
        <v/>
      </c>
      <c r="C1537" s="55">
        <f>Orders!C1537</f>
        <v/>
      </c>
      <c r="D1537" s="55">
        <f>Orders!D1537</f>
        <v/>
      </c>
      <c r="E1537" s="55">
        <f>Orders!E1537</f>
        <v/>
      </c>
      <c r="F1537" s="55">
        <f>Orders!F1537</f>
        <v/>
      </c>
      <c r="G1537" s="55">
        <f>Orders!G1537</f>
        <v/>
      </c>
      <c r="H1537" s="55">
        <f>Orders!H1537</f>
        <v/>
      </c>
      <c r="I1537" s="55">
        <f>Orders!I1537</f>
        <v/>
      </c>
      <c r="J1537" s="55">
        <f>Orders!J1537</f>
        <v/>
      </c>
      <c r="K1537" s="55">
        <f>Orders!K1537</f>
        <v/>
      </c>
      <c r="L1537" s="55">
        <f>VLOOKUP(D1537,Products!$A$2:$F$61,3,FALSE())</f>
        <v/>
      </c>
      <c r="M1537" s="55">
        <f>VLOOKUP(C1537,Customers!$A$2:$F$301,5,FALSE())</f>
        <v/>
      </c>
      <c r="N1537" s="55">
        <f>VLOOKUP(E1537,Sales_Reps!$A$2:$E$31,3,FALSE())</f>
        <v/>
      </c>
      <c r="O1537" s="55">
        <f>VLOOKUP(D1537,Products!$A$2:$F$61,4,FALSE())</f>
        <v/>
      </c>
      <c r="P1537" s="55">
        <f>VLOOKUP(C1537,Customers!$A$2:$F$301,3,FALSE())</f>
        <v/>
      </c>
      <c r="Q1537" s="55">
        <f>UPPER(TRIM(K1537))</f>
        <v/>
      </c>
      <c r="R1537" s="55">
        <f>(G1537-O1537)/G1537</f>
        <v/>
      </c>
      <c r="S1537" s="55">
        <f>VLOOKUP(D1537,Products!$A$2:$F$61,6,FALSE())</f>
        <v/>
      </c>
    </row>
    <row r="1538" ht="15" customHeight="1" s="56">
      <c r="A1538" s="55">
        <f>Orders!A1538</f>
        <v/>
      </c>
      <c r="B1538" s="103">
        <f>Orders!B1538</f>
        <v/>
      </c>
      <c r="C1538" s="55">
        <f>Orders!C1538</f>
        <v/>
      </c>
      <c r="D1538" s="55">
        <f>Orders!D1538</f>
        <v/>
      </c>
      <c r="E1538" s="55">
        <f>Orders!E1538</f>
        <v/>
      </c>
      <c r="F1538" s="55">
        <f>Orders!F1538</f>
        <v/>
      </c>
      <c r="G1538" s="55">
        <f>Orders!G1538</f>
        <v/>
      </c>
      <c r="H1538" s="55">
        <f>Orders!H1538</f>
        <v/>
      </c>
      <c r="I1538" s="55">
        <f>Orders!I1538</f>
        <v/>
      </c>
      <c r="J1538" s="55">
        <f>Orders!J1538</f>
        <v/>
      </c>
      <c r="K1538" s="55">
        <f>Orders!K1538</f>
        <v/>
      </c>
      <c r="L1538" s="55">
        <f>VLOOKUP(D1538,Products!$A$2:$F$61,3,FALSE())</f>
        <v/>
      </c>
      <c r="M1538" s="55">
        <f>VLOOKUP(C1538,Customers!$A$2:$F$301,5,FALSE())</f>
        <v/>
      </c>
      <c r="N1538" s="55">
        <f>VLOOKUP(E1538,Sales_Reps!$A$2:$E$31,3,FALSE())</f>
        <v/>
      </c>
      <c r="O1538" s="55">
        <f>VLOOKUP(D1538,Products!$A$2:$F$61,4,FALSE())</f>
        <v/>
      </c>
      <c r="P1538" s="55">
        <f>VLOOKUP(C1538,Customers!$A$2:$F$301,3,FALSE())</f>
        <v/>
      </c>
      <c r="Q1538" s="55">
        <f>UPPER(TRIM(K1538))</f>
        <v/>
      </c>
      <c r="R1538" s="55">
        <f>(G1538-O1538)/G1538</f>
        <v/>
      </c>
      <c r="S1538" s="55">
        <f>VLOOKUP(D1538,Products!$A$2:$F$61,6,FALSE())</f>
        <v/>
      </c>
    </row>
    <row r="1539" ht="15" customHeight="1" s="56">
      <c r="A1539" s="55">
        <f>Orders!A1539</f>
        <v/>
      </c>
      <c r="B1539" s="103">
        <f>Orders!B1539</f>
        <v/>
      </c>
      <c r="C1539" s="55">
        <f>Orders!C1539</f>
        <v/>
      </c>
      <c r="D1539" s="55">
        <f>Orders!D1539</f>
        <v/>
      </c>
      <c r="E1539" s="55">
        <f>Orders!E1539</f>
        <v/>
      </c>
      <c r="F1539" s="55">
        <f>Orders!F1539</f>
        <v/>
      </c>
      <c r="G1539" s="55">
        <f>Orders!G1539</f>
        <v/>
      </c>
      <c r="H1539" s="55">
        <f>Orders!H1539</f>
        <v/>
      </c>
      <c r="I1539" s="55">
        <f>Orders!I1539</f>
        <v/>
      </c>
      <c r="J1539" s="55">
        <f>Orders!J1539</f>
        <v/>
      </c>
      <c r="K1539" s="55">
        <f>Orders!K1539</f>
        <v/>
      </c>
      <c r="L1539" s="55">
        <f>VLOOKUP(D1539,Products!$A$2:$F$61,3,FALSE())</f>
        <v/>
      </c>
      <c r="M1539" s="55">
        <f>VLOOKUP(C1539,Customers!$A$2:$F$301,5,FALSE())</f>
        <v/>
      </c>
      <c r="N1539" s="55">
        <f>VLOOKUP(E1539,Sales_Reps!$A$2:$E$31,3,FALSE())</f>
        <v/>
      </c>
      <c r="O1539" s="55">
        <f>VLOOKUP(D1539,Products!$A$2:$F$61,4,FALSE())</f>
        <v/>
      </c>
      <c r="P1539" s="55">
        <f>VLOOKUP(C1539,Customers!$A$2:$F$301,3,FALSE())</f>
        <v/>
      </c>
      <c r="Q1539" s="55">
        <f>UPPER(TRIM(K1539))</f>
        <v/>
      </c>
      <c r="R1539" s="55">
        <f>(G1539-O1539)/G1539</f>
        <v/>
      </c>
      <c r="S1539" s="55">
        <f>VLOOKUP(D1539,Products!$A$2:$F$61,6,FALSE())</f>
        <v/>
      </c>
    </row>
    <row r="1540" ht="15" customHeight="1" s="56">
      <c r="A1540" s="55">
        <f>Orders!A1540</f>
        <v/>
      </c>
      <c r="B1540" s="103">
        <f>Orders!B1540</f>
        <v/>
      </c>
      <c r="C1540" s="55">
        <f>Orders!C1540</f>
        <v/>
      </c>
      <c r="D1540" s="55">
        <f>Orders!D1540</f>
        <v/>
      </c>
      <c r="E1540" s="55">
        <f>Orders!E1540</f>
        <v/>
      </c>
      <c r="F1540" s="55">
        <f>Orders!F1540</f>
        <v/>
      </c>
      <c r="G1540" s="55">
        <f>Orders!G1540</f>
        <v/>
      </c>
      <c r="H1540" s="55">
        <f>Orders!H1540</f>
        <v/>
      </c>
      <c r="I1540" s="55">
        <f>Orders!I1540</f>
        <v/>
      </c>
      <c r="J1540" s="55">
        <f>Orders!J1540</f>
        <v/>
      </c>
      <c r="K1540" s="55">
        <f>Orders!K1540</f>
        <v/>
      </c>
      <c r="L1540" s="55">
        <f>VLOOKUP(D1540,Products!$A$2:$F$61,3,FALSE())</f>
        <v/>
      </c>
      <c r="M1540" s="55">
        <f>VLOOKUP(C1540,Customers!$A$2:$F$301,5,FALSE())</f>
        <v/>
      </c>
      <c r="N1540" s="55">
        <f>VLOOKUP(E1540,Sales_Reps!$A$2:$E$31,3,FALSE())</f>
        <v/>
      </c>
      <c r="O1540" s="55">
        <f>VLOOKUP(D1540,Products!$A$2:$F$61,4,FALSE())</f>
        <v/>
      </c>
      <c r="P1540" s="55">
        <f>VLOOKUP(C1540,Customers!$A$2:$F$301,3,FALSE())</f>
        <v/>
      </c>
      <c r="Q1540" s="55">
        <f>UPPER(TRIM(K1540))</f>
        <v/>
      </c>
      <c r="R1540" s="55">
        <f>(G1540-O1540)/G1540</f>
        <v/>
      </c>
      <c r="S1540" s="55">
        <f>VLOOKUP(D1540,Products!$A$2:$F$61,6,FALSE())</f>
        <v/>
      </c>
    </row>
    <row r="1541" ht="15" customHeight="1" s="56">
      <c r="A1541" s="55">
        <f>Orders!A1541</f>
        <v/>
      </c>
      <c r="B1541" s="103">
        <f>Orders!B1541</f>
        <v/>
      </c>
      <c r="C1541" s="55">
        <f>Orders!C1541</f>
        <v/>
      </c>
      <c r="D1541" s="55">
        <f>Orders!D1541</f>
        <v/>
      </c>
      <c r="E1541" s="55">
        <f>Orders!E1541</f>
        <v/>
      </c>
      <c r="F1541" s="55">
        <f>Orders!F1541</f>
        <v/>
      </c>
      <c r="G1541" s="55">
        <f>Orders!G1541</f>
        <v/>
      </c>
      <c r="H1541" s="55">
        <f>Orders!H1541</f>
        <v/>
      </c>
      <c r="I1541" s="55">
        <f>Orders!I1541</f>
        <v/>
      </c>
      <c r="J1541" s="55">
        <f>Orders!J1541</f>
        <v/>
      </c>
      <c r="K1541" s="55">
        <f>Orders!K1541</f>
        <v/>
      </c>
      <c r="L1541" s="55">
        <f>VLOOKUP(D1541,Products!$A$2:$F$61,3,FALSE())</f>
        <v/>
      </c>
      <c r="M1541" s="55">
        <f>VLOOKUP(C1541,Customers!$A$2:$F$301,5,FALSE())</f>
        <v/>
      </c>
      <c r="N1541" s="55">
        <f>VLOOKUP(E1541,Sales_Reps!$A$2:$E$31,3,FALSE())</f>
        <v/>
      </c>
      <c r="O1541" s="55">
        <f>VLOOKUP(D1541,Products!$A$2:$F$61,4,FALSE())</f>
        <v/>
      </c>
      <c r="P1541" s="55">
        <f>VLOOKUP(C1541,Customers!$A$2:$F$301,3,FALSE())</f>
        <v/>
      </c>
      <c r="Q1541" s="55">
        <f>UPPER(TRIM(K1541))</f>
        <v/>
      </c>
      <c r="R1541" s="55">
        <f>(G1541-O1541)/G1541</f>
        <v/>
      </c>
      <c r="S1541" s="55">
        <f>VLOOKUP(D1541,Products!$A$2:$F$61,6,FALSE())</f>
        <v/>
      </c>
    </row>
    <row r="1542" ht="15" customHeight="1" s="56">
      <c r="A1542" s="55">
        <f>Orders!A1542</f>
        <v/>
      </c>
      <c r="B1542" s="103">
        <f>Orders!B1542</f>
        <v/>
      </c>
      <c r="C1542" s="55">
        <f>Orders!C1542</f>
        <v/>
      </c>
      <c r="D1542" s="55">
        <f>Orders!D1542</f>
        <v/>
      </c>
      <c r="E1542" s="55">
        <f>Orders!E1542</f>
        <v/>
      </c>
      <c r="F1542" s="55">
        <f>Orders!F1542</f>
        <v/>
      </c>
      <c r="G1542" s="55">
        <f>Orders!G1542</f>
        <v/>
      </c>
      <c r="H1542" s="55">
        <f>Orders!H1542</f>
        <v/>
      </c>
      <c r="I1542" s="55">
        <f>Orders!I1542</f>
        <v/>
      </c>
      <c r="J1542" s="55">
        <f>Orders!J1542</f>
        <v/>
      </c>
      <c r="K1542" s="55">
        <f>Orders!K1542</f>
        <v/>
      </c>
      <c r="L1542" s="55">
        <f>VLOOKUP(D1542,Products!$A$2:$F$61,3,FALSE())</f>
        <v/>
      </c>
      <c r="M1542" s="55">
        <f>VLOOKUP(C1542,Customers!$A$2:$F$301,5,FALSE())</f>
        <v/>
      </c>
      <c r="N1542" s="55">
        <f>VLOOKUP(E1542,Sales_Reps!$A$2:$E$31,3,FALSE())</f>
        <v/>
      </c>
      <c r="O1542" s="55">
        <f>VLOOKUP(D1542,Products!$A$2:$F$61,4,FALSE())</f>
        <v/>
      </c>
      <c r="P1542" s="55">
        <f>VLOOKUP(C1542,Customers!$A$2:$F$301,3,FALSE())</f>
        <v/>
      </c>
      <c r="Q1542" s="55">
        <f>UPPER(TRIM(K1542))</f>
        <v/>
      </c>
      <c r="R1542" s="55">
        <f>(G1542-O1542)/G1542</f>
        <v/>
      </c>
      <c r="S1542" s="55">
        <f>VLOOKUP(D1542,Products!$A$2:$F$61,6,FALSE())</f>
        <v/>
      </c>
    </row>
    <row r="1543" ht="15" customHeight="1" s="56">
      <c r="A1543" s="55">
        <f>Orders!A1543</f>
        <v/>
      </c>
      <c r="B1543" s="103">
        <f>Orders!B1543</f>
        <v/>
      </c>
      <c r="C1543" s="55">
        <f>Orders!C1543</f>
        <v/>
      </c>
      <c r="D1543" s="55">
        <f>Orders!D1543</f>
        <v/>
      </c>
      <c r="E1543" s="55">
        <f>Orders!E1543</f>
        <v/>
      </c>
      <c r="F1543" s="55">
        <f>Orders!F1543</f>
        <v/>
      </c>
      <c r="G1543" s="55">
        <f>Orders!G1543</f>
        <v/>
      </c>
      <c r="H1543" s="55">
        <f>Orders!H1543</f>
        <v/>
      </c>
      <c r="I1543" s="55">
        <f>Orders!I1543</f>
        <v/>
      </c>
      <c r="J1543" s="55">
        <f>Orders!J1543</f>
        <v/>
      </c>
      <c r="K1543" s="55">
        <f>Orders!K1543</f>
        <v/>
      </c>
      <c r="L1543" s="55">
        <f>VLOOKUP(D1543,Products!$A$2:$F$61,3,FALSE())</f>
        <v/>
      </c>
      <c r="M1543" s="55">
        <f>VLOOKUP(C1543,Customers!$A$2:$F$301,5,FALSE())</f>
        <v/>
      </c>
      <c r="N1543" s="55">
        <f>VLOOKUP(E1543,Sales_Reps!$A$2:$E$31,3,FALSE())</f>
        <v/>
      </c>
      <c r="O1543" s="55">
        <f>VLOOKUP(D1543,Products!$A$2:$F$61,4,FALSE())</f>
        <v/>
      </c>
      <c r="P1543" s="55">
        <f>VLOOKUP(C1543,Customers!$A$2:$F$301,3,FALSE())</f>
        <v/>
      </c>
      <c r="Q1543" s="55">
        <f>UPPER(TRIM(K1543))</f>
        <v/>
      </c>
      <c r="R1543" s="55">
        <f>(G1543-O1543)/G1543</f>
        <v/>
      </c>
      <c r="S1543" s="55">
        <f>VLOOKUP(D1543,Products!$A$2:$F$61,6,FALSE())</f>
        <v/>
      </c>
    </row>
    <row r="1544" ht="15" customHeight="1" s="56">
      <c r="A1544" s="55">
        <f>Orders!A1544</f>
        <v/>
      </c>
      <c r="B1544" s="103">
        <f>Orders!B1544</f>
        <v/>
      </c>
      <c r="C1544" s="55">
        <f>Orders!C1544</f>
        <v/>
      </c>
      <c r="D1544" s="55">
        <f>Orders!D1544</f>
        <v/>
      </c>
      <c r="E1544" s="55">
        <f>Orders!E1544</f>
        <v/>
      </c>
      <c r="F1544" s="55">
        <f>Orders!F1544</f>
        <v/>
      </c>
      <c r="G1544" s="55">
        <f>Orders!G1544</f>
        <v/>
      </c>
      <c r="H1544" s="55">
        <f>Orders!H1544</f>
        <v/>
      </c>
      <c r="I1544" s="55">
        <f>Orders!I1544</f>
        <v/>
      </c>
      <c r="J1544" s="55">
        <f>Orders!J1544</f>
        <v/>
      </c>
      <c r="K1544" s="55">
        <f>Orders!K1544</f>
        <v/>
      </c>
      <c r="L1544" s="55">
        <f>VLOOKUP(D1544,Products!$A$2:$F$61,3,FALSE())</f>
        <v/>
      </c>
      <c r="M1544" s="55">
        <f>VLOOKUP(C1544,Customers!$A$2:$F$301,5,FALSE())</f>
        <v/>
      </c>
      <c r="N1544" s="55">
        <f>VLOOKUP(E1544,Sales_Reps!$A$2:$E$31,3,FALSE())</f>
        <v/>
      </c>
      <c r="O1544" s="55">
        <f>VLOOKUP(D1544,Products!$A$2:$F$61,4,FALSE())</f>
        <v/>
      </c>
      <c r="P1544" s="55">
        <f>VLOOKUP(C1544,Customers!$A$2:$F$301,3,FALSE())</f>
        <v/>
      </c>
      <c r="Q1544" s="55">
        <f>UPPER(TRIM(K1544))</f>
        <v/>
      </c>
      <c r="R1544" s="55">
        <f>(G1544-O1544)/G1544</f>
        <v/>
      </c>
      <c r="S1544" s="55">
        <f>VLOOKUP(D1544,Products!$A$2:$F$61,6,FALSE())</f>
        <v/>
      </c>
    </row>
    <row r="1545" ht="15" customHeight="1" s="56">
      <c r="A1545" s="55">
        <f>Orders!A1545</f>
        <v/>
      </c>
      <c r="B1545" s="103">
        <f>Orders!B1545</f>
        <v/>
      </c>
      <c r="C1545" s="55">
        <f>Orders!C1545</f>
        <v/>
      </c>
      <c r="D1545" s="55">
        <f>Orders!D1545</f>
        <v/>
      </c>
      <c r="E1545" s="55">
        <f>Orders!E1545</f>
        <v/>
      </c>
      <c r="F1545" s="55">
        <f>Orders!F1545</f>
        <v/>
      </c>
      <c r="G1545" s="55">
        <f>Orders!G1545</f>
        <v/>
      </c>
      <c r="H1545" s="55">
        <f>Orders!H1545</f>
        <v/>
      </c>
      <c r="I1545" s="55">
        <f>Orders!I1545</f>
        <v/>
      </c>
      <c r="J1545" s="55">
        <f>Orders!J1545</f>
        <v/>
      </c>
      <c r="K1545" s="55">
        <f>Orders!K1545</f>
        <v/>
      </c>
      <c r="L1545" s="55">
        <f>VLOOKUP(D1545,Products!$A$2:$F$61,3,FALSE())</f>
        <v/>
      </c>
      <c r="M1545" s="55">
        <f>VLOOKUP(C1545,Customers!$A$2:$F$301,5,FALSE())</f>
        <v/>
      </c>
      <c r="N1545" s="55">
        <f>VLOOKUP(E1545,Sales_Reps!$A$2:$E$31,3,FALSE())</f>
        <v/>
      </c>
      <c r="O1545" s="55">
        <f>VLOOKUP(D1545,Products!$A$2:$F$61,4,FALSE())</f>
        <v/>
      </c>
      <c r="P1545" s="55">
        <f>VLOOKUP(C1545,Customers!$A$2:$F$301,3,FALSE())</f>
        <v/>
      </c>
      <c r="Q1545" s="55">
        <f>UPPER(TRIM(K1545))</f>
        <v/>
      </c>
      <c r="R1545" s="55">
        <f>(G1545-O1545)/G1545</f>
        <v/>
      </c>
      <c r="S1545" s="55">
        <f>VLOOKUP(D1545,Products!$A$2:$F$61,6,FALSE())</f>
        <v/>
      </c>
    </row>
    <row r="1546" ht="15" customHeight="1" s="56">
      <c r="A1546" s="55">
        <f>Orders!A1546</f>
        <v/>
      </c>
      <c r="B1546" s="103">
        <f>Orders!B1546</f>
        <v/>
      </c>
      <c r="C1546" s="55">
        <f>Orders!C1546</f>
        <v/>
      </c>
      <c r="D1546" s="55">
        <f>Orders!D1546</f>
        <v/>
      </c>
      <c r="E1546" s="55">
        <f>Orders!E1546</f>
        <v/>
      </c>
      <c r="F1546" s="55">
        <f>Orders!F1546</f>
        <v/>
      </c>
      <c r="G1546" s="55">
        <f>Orders!G1546</f>
        <v/>
      </c>
      <c r="H1546" s="55">
        <f>Orders!H1546</f>
        <v/>
      </c>
      <c r="I1546" s="55">
        <f>Orders!I1546</f>
        <v/>
      </c>
      <c r="J1546" s="55">
        <f>Orders!J1546</f>
        <v/>
      </c>
      <c r="K1546" s="55">
        <f>Orders!K1546</f>
        <v/>
      </c>
      <c r="L1546" s="55">
        <f>VLOOKUP(D1546,Products!$A$2:$F$61,3,FALSE())</f>
        <v/>
      </c>
      <c r="M1546" s="55">
        <f>VLOOKUP(C1546,Customers!$A$2:$F$301,5,FALSE())</f>
        <v/>
      </c>
      <c r="N1546" s="55">
        <f>VLOOKUP(E1546,Sales_Reps!$A$2:$E$31,3,FALSE())</f>
        <v/>
      </c>
      <c r="O1546" s="55">
        <f>VLOOKUP(D1546,Products!$A$2:$F$61,4,FALSE())</f>
        <v/>
      </c>
      <c r="P1546" s="55">
        <f>VLOOKUP(C1546,Customers!$A$2:$F$301,3,FALSE())</f>
        <v/>
      </c>
      <c r="Q1546" s="55">
        <f>UPPER(TRIM(K1546))</f>
        <v/>
      </c>
      <c r="R1546" s="55">
        <f>(G1546-O1546)/G1546</f>
        <v/>
      </c>
      <c r="S1546" s="55">
        <f>VLOOKUP(D1546,Products!$A$2:$F$61,6,FALSE())</f>
        <v/>
      </c>
    </row>
    <row r="1547" ht="15" customHeight="1" s="56">
      <c r="A1547" s="55">
        <f>Orders!A1547</f>
        <v/>
      </c>
      <c r="B1547" s="103">
        <f>Orders!B1547</f>
        <v/>
      </c>
      <c r="C1547" s="55">
        <f>Orders!C1547</f>
        <v/>
      </c>
      <c r="D1547" s="55">
        <f>Orders!D1547</f>
        <v/>
      </c>
      <c r="E1547" s="55">
        <f>Orders!E1547</f>
        <v/>
      </c>
      <c r="F1547" s="55">
        <f>Orders!F1547</f>
        <v/>
      </c>
      <c r="G1547" s="55">
        <f>Orders!G1547</f>
        <v/>
      </c>
      <c r="H1547" s="55">
        <f>Orders!H1547</f>
        <v/>
      </c>
      <c r="I1547" s="55">
        <f>Orders!I1547</f>
        <v/>
      </c>
      <c r="J1547" s="55">
        <f>Orders!J1547</f>
        <v/>
      </c>
      <c r="K1547" s="55">
        <f>Orders!K1547</f>
        <v/>
      </c>
      <c r="L1547" s="55">
        <f>VLOOKUP(D1547,Products!$A$2:$F$61,3,FALSE())</f>
        <v/>
      </c>
      <c r="M1547" s="55">
        <f>VLOOKUP(C1547,Customers!$A$2:$F$301,5,FALSE())</f>
        <v/>
      </c>
      <c r="N1547" s="55">
        <f>VLOOKUP(E1547,Sales_Reps!$A$2:$E$31,3,FALSE())</f>
        <v/>
      </c>
      <c r="O1547" s="55">
        <f>VLOOKUP(D1547,Products!$A$2:$F$61,4,FALSE())</f>
        <v/>
      </c>
      <c r="P1547" s="55">
        <f>VLOOKUP(C1547,Customers!$A$2:$F$301,3,FALSE())</f>
        <v/>
      </c>
      <c r="Q1547" s="55">
        <f>UPPER(TRIM(K1547))</f>
        <v/>
      </c>
      <c r="R1547" s="55">
        <f>(G1547-O1547)/G1547</f>
        <v/>
      </c>
      <c r="S1547" s="55">
        <f>VLOOKUP(D1547,Products!$A$2:$F$61,6,FALSE())</f>
        <v/>
      </c>
    </row>
    <row r="1548" ht="15" customHeight="1" s="56">
      <c r="A1548" s="55">
        <f>Orders!A1548</f>
        <v/>
      </c>
      <c r="B1548" s="103">
        <f>Orders!B1548</f>
        <v/>
      </c>
      <c r="C1548" s="55">
        <f>Orders!C1548</f>
        <v/>
      </c>
      <c r="D1548" s="55">
        <f>Orders!D1548</f>
        <v/>
      </c>
      <c r="E1548" s="55">
        <f>Orders!E1548</f>
        <v/>
      </c>
      <c r="F1548" s="55">
        <f>Orders!F1548</f>
        <v/>
      </c>
      <c r="G1548" s="55">
        <f>Orders!G1548</f>
        <v/>
      </c>
      <c r="H1548" s="55">
        <f>Orders!H1548</f>
        <v/>
      </c>
      <c r="I1548" s="55">
        <f>Orders!I1548</f>
        <v/>
      </c>
      <c r="J1548" s="55">
        <f>Orders!J1548</f>
        <v/>
      </c>
      <c r="K1548" s="55">
        <f>Orders!K1548</f>
        <v/>
      </c>
      <c r="L1548" s="55">
        <f>VLOOKUP(D1548,Products!$A$2:$F$61,3,FALSE())</f>
        <v/>
      </c>
      <c r="M1548" s="55">
        <f>VLOOKUP(C1548,Customers!$A$2:$F$301,5,FALSE())</f>
        <v/>
      </c>
      <c r="N1548" s="55">
        <f>VLOOKUP(E1548,Sales_Reps!$A$2:$E$31,3,FALSE())</f>
        <v/>
      </c>
      <c r="O1548" s="55">
        <f>VLOOKUP(D1548,Products!$A$2:$F$61,4,FALSE())</f>
        <v/>
      </c>
      <c r="P1548" s="55">
        <f>VLOOKUP(C1548,Customers!$A$2:$F$301,3,FALSE())</f>
        <v/>
      </c>
      <c r="Q1548" s="55">
        <f>UPPER(TRIM(K1548))</f>
        <v/>
      </c>
      <c r="R1548" s="55">
        <f>(G1548-O1548)/G1548</f>
        <v/>
      </c>
      <c r="S1548" s="55">
        <f>VLOOKUP(D1548,Products!$A$2:$F$61,6,FALSE())</f>
        <v/>
      </c>
    </row>
    <row r="1549" ht="15" customHeight="1" s="56">
      <c r="A1549" s="55">
        <f>Orders!A1549</f>
        <v/>
      </c>
      <c r="B1549" s="103">
        <f>Orders!B1549</f>
        <v/>
      </c>
      <c r="C1549" s="55">
        <f>Orders!C1549</f>
        <v/>
      </c>
      <c r="D1549" s="55">
        <f>Orders!D1549</f>
        <v/>
      </c>
      <c r="E1549" s="55">
        <f>Orders!E1549</f>
        <v/>
      </c>
      <c r="F1549" s="55">
        <f>Orders!F1549</f>
        <v/>
      </c>
      <c r="G1549" s="55">
        <f>Orders!G1549</f>
        <v/>
      </c>
      <c r="H1549" s="55">
        <f>Orders!H1549</f>
        <v/>
      </c>
      <c r="I1549" s="55">
        <f>Orders!I1549</f>
        <v/>
      </c>
      <c r="J1549" s="55">
        <f>Orders!J1549</f>
        <v/>
      </c>
      <c r="K1549" s="55">
        <f>Orders!K1549</f>
        <v/>
      </c>
      <c r="L1549" s="55">
        <f>VLOOKUP(D1549,Products!$A$2:$F$61,3,FALSE())</f>
        <v/>
      </c>
      <c r="M1549" s="55">
        <f>VLOOKUP(C1549,Customers!$A$2:$F$301,5,FALSE())</f>
        <v/>
      </c>
      <c r="N1549" s="55">
        <f>VLOOKUP(E1549,Sales_Reps!$A$2:$E$31,3,FALSE())</f>
        <v/>
      </c>
      <c r="O1549" s="55">
        <f>VLOOKUP(D1549,Products!$A$2:$F$61,4,FALSE())</f>
        <v/>
      </c>
      <c r="P1549" s="55">
        <f>VLOOKUP(C1549,Customers!$A$2:$F$301,3,FALSE())</f>
        <v/>
      </c>
      <c r="Q1549" s="55">
        <f>UPPER(TRIM(K1549))</f>
        <v/>
      </c>
      <c r="R1549" s="55">
        <f>(G1549-O1549)/G1549</f>
        <v/>
      </c>
      <c r="S1549" s="55">
        <f>VLOOKUP(D1549,Products!$A$2:$F$61,6,FALSE())</f>
        <v/>
      </c>
    </row>
    <row r="1550" ht="15" customHeight="1" s="56">
      <c r="A1550" s="55">
        <f>Orders!A1550</f>
        <v/>
      </c>
      <c r="B1550" s="103">
        <f>Orders!B1550</f>
        <v/>
      </c>
      <c r="C1550" s="55">
        <f>Orders!C1550</f>
        <v/>
      </c>
      <c r="D1550" s="55">
        <f>Orders!D1550</f>
        <v/>
      </c>
      <c r="E1550" s="55">
        <f>Orders!E1550</f>
        <v/>
      </c>
      <c r="F1550" s="55">
        <f>Orders!F1550</f>
        <v/>
      </c>
      <c r="G1550" s="55">
        <f>Orders!G1550</f>
        <v/>
      </c>
      <c r="H1550" s="55">
        <f>Orders!H1550</f>
        <v/>
      </c>
      <c r="I1550" s="55">
        <f>Orders!I1550</f>
        <v/>
      </c>
      <c r="J1550" s="55">
        <f>Orders!J1550</f>
        <v/>
      </c>
      <c r="K1550" s="55">
        <f>Orders!K1550</f>
        <v/>
      </c>
      <c r="L1550" s="55">
        <f>VLOOKUP(D1550,Products!$A$2:$F$61,3,FALSE())</f>
        <v/>
      </c>
      <c r="M1550" s="55">
        <f>VLOOKUP(C1550,Customers!$A$2:$F$301,5,FALSE())</f>
        <v/>
      </c>
      <c r="N1550" s="55">
        <f>VLOOKUP(E1550,Sales_Reps!$A$2:$E$31,3,FALSE())</f>
        <v/>
      </c>
      <c r="O1550" s="55">
        <f>VLOOKUP(D1550,Products!$A$2:$F$61,4,FALSE())</f>
        <v/>
      </c>
      <c r="P1550" s="55">
        <f>VLOOKUP(C1550,Customers!$A$2:$F$301,3,FALSE())</f>
        <v/>
      </c>
      <c r="Q1550" s="55">
        <f>UPPER(TRIM(K1550))</f>
        <v/>
      </c>
      <c r="R1550" s="55">
        <f>(G1550-O1550)/G1550</f>
        <v/>
      </c>
      <c r="S1550" s="55">
        <f>VLOOKUP(D1550,Products!$A$2:$F$61,6,FALSE())</f>
        <v/>
      </c>
    </row>
    <row r="1551" ht="15" customHeight="1" s="56">
      <c r="A1551" s="55">
        <f>Orders!A1551</f>
        <v/>
      </c>
      <c r="B1551" s="103">
        <f>Orders!B1551</f>
        <v/>
      </c>
      <c r="C1551" s="55">
        <f>Orders!C1551</f>
        <v/>
      </c>
      <c r="D1551" s="55">
        <f>Orders!D1551</f>
        <v/>
      </c>
      <c r="E1551" s="55">
        <f>Orders!E1551</f>
        <v/>
      </c>
      <c r="F1551" s="55">
        <f>Orders!F1551</f>
        <v/>
      </c>
      <c r="G1551" s="55">
        <f>Orders!G1551</f>
        <v/>
      </c>
      <c r="H1551" s="55">
        <f>Orders!H1551</f>
        <v/>
      </c>
      <c r="I1551" s="55">
        <f>Orders!I1551</f>
        <v/>
      </c>
      <c r="J1551" s="55">
        <f>Orders!J1551</f>
        <v/>
      </c>
      <c r="K1551" s="55">
        <f>Orders!K1551</f>
        <v/>
      </c>
      <c r="L1551" s="55">
        <f>VLOOKUP(D1551,Products!$A$2:$F$61,3,FALSE())</f>
        <v/>
      </c>
      <c r="M1551" s="55">
        <f>VLOOKUP(C1551,Customers!$A$2:$F$301,5,FALSE())</f>
        <v/>
      </c>
      <c r="N1551" s="55">
        <f>VLOOKUP(E1551,Sales_Reps!$A$2:$E$31,3,FALSE())</f>
        <v/>
      </c>
      <c r="O1551" s="55">
        <f>VLOOKUP(D1551,Products!$A$2:$F$61,4,FALSE())</f>
        <v/>
      </c>
      <c r="P1551" s="55">
        <f>VLOOKUP(C1551,Customers!$A$2:$F$301,3,FALSE())</f>
        <v/>
      </c>
      <c r="Q1551" s="55">
        <f>UPPER(TRIM(K1551))</f>
        <v/>
      </c>
      <c r="R1551" s="55">
        <f>(G1551-O1551)/G1551</f>
        <v/>
      </c>
      <c r="S1551" s="55">
        <f>VLOOKUP(D1551,Products!$A$2:$F$61,6,FALSE())</f>
        <v/>
      </c>
    </row>
    <row r="1552" ht="15" customHeight="1" s="56">
      <c r="A1552" s="55">
        <f>Orders!A1552</f>
        <v/>
      </c>
      <c r="B1552" s="103">
        <f>Orders!B1552</f>
        <v/>
      </c>
      <c r="C1552" s="55">
        <f>Orders!C1552</f>
        <v/>
      </c>
      <c r="D1552" s="55">
        <f>Orders!D1552</f>
        <v/>
      </c>
      <c r="E1552" s="55">
        <f>Orders!E1552</f>
        <v/>
      </c>
      <c r="F1552" s="55">
        <f>Orders!F1552</f>
        <v/>
      </c>
      <c r="G1552" s="55">
        <f>Orders!G1552</f>
        <v/>
      </c>
      <c r="H1552" s="55">
        <f>Orders!H1552</f>
        <v/>
      </c>
      <c r="I1552" s="55">
        <f>Orders!I1552</f>
        <v/>
      </c>
      <c r="J1552" s="55">
        <f>Orders!J1552</f>
        <v/>
      </c>
      <c r="K1552" s="55">
        <f>Orders!K1552</f>
        <v/>
      </c>
      <c r="L1552" s="55">
        <f>VLOOKUP(D1552,Products!$A$2:$F$61,3,FALSE())</f>
        <v/>
      </c>
      <c r="M1552" s="55">
        <f>VLOOKUP(C1552,Customers!$A$2:$F$301,5,FALSE())</f>
        <v/>
      </c>
      <c r="N1552" s="55">
        <f>VLOOKUP(E1552,Sales_Reps!$A$2:$E$31,3,FALSE())</f>
        <v/>
      </c>
      <c r="O1552" s="55">
        <f>VLOOKUP(D1552,Products!$A$2:$F$61,4,FALSE())</f>
        <v/>
      </c>
      <c r="P1552" s="55">
        <f>VLOOKUP(C1552,Customers!$A$2:$F$301,3,FALSE())</f>
        <v/>
      </c>
      <c r="Q1552" s="55">
        <f>UPPER(TRIM(K1552))</f>
        <v/>
      </c>
      <c r="R1552" s="55">
        <f>(G1552-O1552)/G1552</f>
        <v/>
      </c>
      <c r="S1552" s="55">
        <f>VLOOKUP(D1552,Products!$A$2:$F$61,6,FALSE())</f>
        <v/>
      </c>
    </row>
    <row r="1553" ht="15" customHeight="1" s="56">
      <c r="A1553" s="55">
        <f>Orders!A1553</f>
        <v/>
      </c>
      <c r="B1553" s="103">
        <f>Orders!B1553</f>
        <v/>
      </c>
      <c r="C1553" s="55">
        <f>Orders!C1553</f>
        <v/>
      </c>
      <c r="D1553" s="55">
        <f>Orders!D1553</f>
        <v/>
      </c>
      <c r="E1553" s="55">
        <f>Orders!E1553</f>
        <v/>
      </c>
      <c r="F1553" s="55">
        <f>Orders!F1553</f>
        <v/>
      </c>
      <c r="G1553" s="55">
        <f>Orders!G1553</f>
        <v/>
      </c>
      <c r="H1553" s="55">
        <f>Orders!H1553</f>
        <v/>
      </c>
      <c r="I1553" s="55">
        <f>Orders!I1553</f>
        <v/>
      </c>
      <c r="J1553" s="55">
        <f>Orders!J1553</f>
        <v/>
      </c>
      <c r="K1553" s="55">
        <f>Orders!K1553</f>
        <v/>
      </c>
      <c r="L1553" s="55">
        <f>VLOOKUP(D1553,Products!$A$2:$F$61,3,FALSE())</f>
        <v/>
      </c>
      <c r="M1553" s="55">
        <f>VLOOKUP(C1553,Customers!$A$2:$F$301,5,FALSE())</f>
        <v/>
      </c>
      <c r="N1553" s="55">
        <f>VLOOKUP(E1553,Sales_Reps!$A$2:$E$31,3,FALSE())</f>
        <v/>
      </c>
      <c r="O1553" s="55">
        <f>VLOOKUP(D1553,Products!$A$2:$F$61,4,FALSE())</f>
        <v/>
      </c>
      <c r="P1553" s="55">
        <f>VLOOKUP(C1553,Customers!$A$2:$F$301,3,FALSE())</f>
        <v/>
      </c>
      <c r="Q1553" s="55">
        <f>UPPER(TRIM(K1553))</f>
        <v/>
      </c>
      <c r="R1553" s="55">
        <f>(G1553-O1553)/G1553</f>
        <v/>
      </c>
      <c r="S1553" s="55">
        <f>VLOOKUP(D1553,Products!$A$2:$F$61,6,FALSE())</f>
        <v/>
      </c>
    </row>
    <row r="1554" ht="15" customHeight="1" s="56">
      <c r="A1554" s="55">
        <f>Orders!A1554</f>
        <v/>
      </c>
      <c r="B1554" s="103">
        <f>Orders!B1554</f>
        <v/>
      </c>
      <c r="C1554" s="55">
        <f>Orders!C1554</f>
        <v/>
      </c>
      <c r="D1554" s="55">
        <f>Orders!D1554</f>
        <v/>
      </c>
      <c r="E1554" s="55">
        <f>Orders!E1554</f>
        <v/>
      </c>
      <c r="F1554" s="55">
        <f>Orders!F1554</f>
        <v/>
      </c>
      <c r="G1554" s="55">
        <f>Orders!G1554</f>
        <v/>
      </c>
      <c r="H1554" s="55">
        <f>Orders!H1554</f>
        <v/>
      </c>
      <c r="I1554" s="55">
        <f>Orders!I1554</f>
        <v/>
      </c>
      <c r="J1554" s="55">
        <f>Orders!J1554</f>
        <v/>
      </c>
      <c r="K1554" s="55">
        <f>Orders!K1554</f>
        <v/>
      </c>
      <c r="L1554" s="55">
        <f>VLOOKUP(D1554,Products!$A$2:$F$61,3,FALSE())</f>
        <v/>
      </c>
      <c r="M1554" s="55">
        <f>VLOOKUP(C1554,Customers!$A$2:$F$301,5,FALSE())</f>
        <v/>
      </c>
      <c r="N1554" s="55">
        <f>VLOOKUP(E1554,Sales_Reps!$A$2:$E$31,3,FALSE())</f>
        <v/>
      </c>
      <c r="O1554" s="55">
        <f>VLOOKUP(D1554,Products!$A$2:$F$61,4,FALSE())</f>
        <v/>
      </c>
      <c r="P1554" s="55">
        <f>VLOOKUP(C1554,Customers!$A$2:$F$301,3,FALSE())</f>
        <v/>
      </c>
      <c r="Q1554" s="55">
        <f>UPPER(TRIM(K1554))</f>
        <v/>
      </c>
      <c r="R1554" s="55">
        <f>(G1554-O1554)/G1554</f>
        <v/>
      </c>
      <c r="S1554" s="55">
        <f>VLOOKUP(D1554,Products!$A$2:$F$61,6,FALSE())</f>
        <v/>
      </c>
    </row>
    <row r="1555" ht="15" customHeight="1" s="56">
      <c r="A1555" s="55">
        <f>Orders!A1555</f>
        <v/>
      </c>
      <c r="B1555" s="103">
        <f>Orders!B1555</f>
        <v/>
      </c>
      <c r="C1555" s="55">
        <f>Orders!C1555</f>
        <v/>
      </c>
      <c r="D1555" s="55">
        <f>Orders!D1555</f>
        <v/>
      </c>
      <c r="E1555" s="55">
        <f>Orders!E1555</f>
        <v/>
      </c>
      <c r="F1555" s="55">
        <f>Orders!F1555</f>
        <v/>
      </c>
      <c r="G1555" s="55">
        <f>Orders!G1555</f>
        <v/>
      </c>
      <c r="H1555" s="55">
        <f>Orders!H1555</f>
        <v/>
      </c>
      <c r="I1555" s="55">
        <f>Orders!I1555</f>
        <v/>
      </c>
      <c r="J1555" s="55">
        <f>Orders!J1555</f>
        <v/>
      </c>
      <c r="K1555" s="55">
        <f>Orders!K1555</f>
        <v/>
      </c>
      <c r="L1555" s="55">
        <f>VLOOKUP(D1555,Products!$A$2:$F$61,3,FALSE())</f>
        <v/>
      </c>
      <c r="M1555" s="55">
        <f>VLOOKUP(C1555,Customers!$A$2:$F$301,5,FALSE())</f>
        <v/>
      </c>
      <c r="N1555" s="55">
        <f>VLOOKUP(E1555,Sales_Reps!$A$2:$E$31,3,FALSE())</f>
        <v/>
      </c>
      <c r="O1555" s="55">
        <f>VLOOKUP(D1555,Products!$A$2:$F$61,4,FALSE())</f>
        <v/>
      </c>
      <c r="P1555" s="55">
        <f>VLOOKUP(C1555,Customers!$A$2:$F$301,3,FALSE())</f>
        <v/>
      </c>
      <c r="Q1555" s="55">
        <f>UPPER(TRIM(K1555))</f>
        <v/>
      </c>
      <c r="R1555" s="55">
        <f>(G1555-O1555)/G1555</f>
        <v/>
      </c>
      <c r="S1555" s="55">
        <f>VLOOKUP(D1555,Products!$A$2:$F$61,6,FALSE())</f>
        <v/>
      </c>
    </row>
    <row r="1556" ht="15" customHeight="1" s="56">
      <c r="A1556" s="55">
        <f>Orders!A1556</f>
        <v/>
      </c>
      <c r="B1556" s="103">
        <f>Orders!B1556</f>
        <v/>
      </c>
      <c r="C1556" s="55">
        <f>Orders!C1556</f>
        <v/>
      </c>
      <c r="D1556" s="55">
        <f>Orders!D1556</f>
        <v/>
      </c>
      <c r="E1556" s="55">
        <f>Orders!E1556</f>
        <v/>
      </c>
      <c r="F1556" s="55">
        <f>Orders!F1556</f>
        <v/>
      </c>
      <c r="G1556" s="55">
        <f>Orders!G1556</f>
        <v/>
      </c>
      <c r="H1556" s="55">
        <f>Orders!H1556</f>
        <v/>
      </c>
      <c r="I1556" s="55">
        <f>Orders!I1556</f>
        <v/>
      </c>
      <c r="J1556" s="55">
        <f>Orders!J1556</f>
        <v/>
      </c>
      <c r="K1556" s="55">
        <f>Orders!K1556</f>
        <v/>
      </c>
      <c r="L1556" s="55">
        <f>VLOOKUP(D1556,Products!$A$2:$F$61,3,FALSE())</f>
        <v/>
      </c>
      <c r="M1556" s="55">
        <f>VLOOKUP(C1556,Customers!$A$2:$F$301,5,FALSE())</f>
        <v/>
      </c>
      <c r="N1556" s="55">
        <f>VLOOKUP(E1556,Sales_Reps!$A$2:$E$31,3,FALSE())</f>
        <v/>
      </c>
      <c r="O1556" s="55">
        <f>VLOOKUP(D1556,Products!$A$2:$F$61,4,FALSE())</f>
        <v/>
      </c>
      <c r="P1556" s="55">
        <f>VLOOKUP(C1556,Customers!$A$2:$F$301,3,FALSE())</f>
        <v/>
      </c>
      <c r="Q1556" s="55">
        <f>UPPER(TRIM(K1556))</f>
        <v/>
      </c>
      <c r="R1556" s="55">
        <f>(G1556-O1556)/G1556</f>
        <v/>
      </c>
      <c r="S1556" s="55">
        <f>VLOOKUP(D1556,Products!$A$2:$F$61,6,FALSE())</f>
        <v/>
      </c>
    </row>
    <row r="1557" ht="15" customHeight="1" s="56">
      <c r="A1557" s="55">
        <f>Orders!A1557</f>
        <v/>
      </c>
      <c r="B1557" s="103">
        <f>Orders!B1557</f>
        <v/>
      </c>
      <c r="C1557" s="55">
        <f>Orders!C1557</f>
        <v/>
      </c>
      <c r="D1557" s="55">
        <f>Orders!D1557</f>
        <v/>
      </c>
      <c r="E1557" s="55">
        <f>Orders!E1557</f>
        <v/>
      </c>
      <c r="F1557" s="55">
        <f>Orders!F1557</f>
        <v/>
      </c>
      <c r="G1557" s="55">
        <f>Orders!G1557</f>
        <v/>
      </c>
      <c r="H1557" s="55">
        <f>Orders!H1557</f>
        <v/>
      </c>
      <c r="I1557" s="55">
        <f>Orders!I1557</f>
        <v/>
      </c>
      <c r="J1557" s="55">
        <f>Orders!J1557</f>
        <v/>
      </c>
      <c r="K1557" s="55">
        <f>Orders!K1557</f>
        <v/>
      </c>
      <c r="L1557" s="55">
        <f>VLOOKUP(D1557,Products!$A$2:$F$61,3,FALSE())</f>
        <v/>
      </c>
      <c r="M1557" s="55">
        <f>VLOOKUP(C1557,Customers!$A$2:$F$301,5,FALSE())</f>
        <v/>
      </c>
      <c r="N1557" s="55">
        <f>VLOOKUP(E1557,Sales_Reps!$A$2:$E$31,3,FALSE())</f>
        <v/>
      </c>
      <c r="O1557" s="55">
        <f>VLOOKUP(D1557,Products!$A$2:$F$61,4,FALSE())</f>
        <v/>
      </c>
      <c r="P1557" s="55">
        <f>VLOOKUP(C1557,Customers!$A$2:$F$301,3,FALSE())</f>
        <v/>
      </c>
      <c r="Q1557" s="55">
        <f>UPPER(TRIM(K1557))</f>
        <v/>
      </c>
      <c r="R1557" s="55">
        <f>(G1557-O1557)/G1557</f>
        <v/>
      </c>
      <c r="S1557" s="55">
        <f>VLOOKUP(D1557,Products!$A$2:$F$61,6,FALSE())</f>
        <v/>
      </c>
    </row>
    <row r="1558" ht="15" customHeight="1" s="56">
      <c r="A1558" s="55">
        <f>Orders!A1558</f>
        <v/>
      </c>
      <c r="B1558" s="103">
        <f>Orders!B1558</f>
        <v/>
      </c>
      <c r="C1558" s="55">
        <f>Orders!C1558</f>
        <v/>
      </c>
      <c r="D1558" s="55">
        <f>Orders!D1558</f>
        <v/>
      </c>
      <c r="E1558" s="55">
        <f>Orders!E1558</f>
        <v/>
      </c>
      <c r="F1558" s="55">
        <f>Orders!F1558</f>
        <v/>
      </c>
      <c r="G1558" s="55">
        <f>Orders!G1558</f>
        <v/>
      </c>
      <c r="H1558" s="55">
        <f>Orders!H1558</f>
        <v/>
      </c>
      <c r="I1558" s="55">
        <f>Orders!I1558</f>
        <v/>
      </c>
      <c r="J1558" s="55">
        <f>Orders!J1558</f>
        <v/>
      </c>
      <c r="K1558" s="55">
        <f>Orders!K1558</f>
        <v/>
      </c>
      <c r="L1558" s="55">
        <f>VLOOKUP(D1558,Products!$A$2:$F$61,3,FALSE())</f>
        <v/>
      </c>
      <c r="M1558" s="55">
        <f>VLOOKUP(C1558,Customers!$A$2:$F$301,5,FALSE())</f>
        <v/>
      </c>
      <c r="N1558" s="55">
        <f>VLOOKUP(E1558,Sales_Reps!$A$2:$E$31,3,FALSE())</f>
        <v/>
      </c>
      <c r="O1558" s="55">
        <f>VLOOKUP(D1558,Products!$A$2:$F$61,4,FALSE())</f>
        <v/>
      </c>
      <c r="P1558" s="55">
        <f>VLOOKUP(C1558,Customers!$A$2:$F$301,3,FALSE())</f>
        <v/>
      </c>
      <c r="Q1558" s="55">
        <f>UPPER(TRIM(K1558))</f>
        <v/>
      </c>
      <c r="R1558" s="55">
        <f>(G1558-O1558)/G1558</f>
        <v/>
      </c>
      <c r="S1558" s="55">
        <f>VLOOKUP(D1558,Products!$A$2:$F$61,6,FALSE())</f>
        <v/>
      </c>
    </row>
    <row r="1559" ht="15" customHeight="1" s="56">
      <c r="A1559" s="55">
        <f>Orders!A1559</f>
        <v/>
      </c>
      <c r="B1559" s="103">
        <f>Orders!B1559</f>
        <v/>
      </c>
      <c r="C1559" s="55">
        <f>Orders!C1559</f>
        <v/>
      </c>
      <c r="D1559" s="55">
        <f>Orders!D1559</f>
        <v/>
      </c>
      <c r="E1559" s="55">
        <f>Orders!E1559</f>
        <v/>
      </c>
      <c r="F1559" s="55">
        <f>Orders!F1559</f>
        <v/>
      </c>
      <c r="G1559" s="55">
        <f>Orders!G1559</f>
        <v/>
      </c>
      <c r="H1559" s="55">
        <f>Orders!H1559</f>
        <v/>
      </c>
      <c r="I1559" s="55">
        <f>Orders!I1559</f>
        <v/>
      </c>
      <c r="J1559" s="55">
        <f>Orders!J1559</f>
        <v/>
      </c>
      <c r="K1559" s="55">
        <f>Orders!K1559</f>
        <v/>
      </c>
      <c r="L1559" s="55">
        <f>VLOOKUP(D1559,Products!$A$2:$F$61,3,FALSE())</f>
        <v/>
      </c>
      <c r="M1559" s="55">
        <f>VLOOKUP(C1559,Customers!$A$2:$F$301,5,FALSE())</f>
        <v/>
      </c>
      <c r="N1559" s="55">
        <f>VLOOKUP(E1559,Sales_Reps!$A$2:$E$31,3,FALSE())</f>
        <v/>
      </c>
      <c r="O1559" s="55">
        <f>VLOOKUP(D1559,Products!$A$2:$F$61,4,FALSE())</f>
        <v/>
      </c>
      <c r="P1559" s="55">
        <f>VLOOKUP(C1559,Customers!$A$2:$F$301,3,FALSE())</f>
        <v/>
      </c>
      <c r="Q1559" s="55">
        <f>UPPER(TRIM(K1559))</f>
        <v/>
      </c>
      <c r="R1559" s="55">
        <f>(G1559-O1559)/G1559</f>
        <v/>
      </c>
      <c r="S1559" s="55">
        <f>VLOOKUP(D1559,Products!$A$2:$F$61,6,FALSE())</f>
        <v/>
      </c>
    </row>
    <row r="1560" ht="15" customHeight="1" s="56">
      <c r="A1560" s="55">
        <f>Orders!A1560</f>
        <v/>
      </c>
      <c r="B1560" s="103">
        <f>Orders!B1560</f>
        <v/>
      </c>
      <c r="C1560" s="55">
        <f>Orders!C1560</f>
        <v/>
      </c>
      <c r="D1560" s="55">
        <f>Orders!D1560</f>
        <v/>
      </c>
      <c r="E1560" s="55">
        <f>Orders!E1560</f>
        <v/>
      </c>
      <c r="F1560" s="55">
        <f>Orders!F1560</f>
        <v/>
      </c>
      <c r="G1560" s="55">
        <f>Orders!G1560</f>
        <v/>
      </c>
      <c r="H1560" s="55">
        <f>Orders!H1560</f>
        <v/>
      </c>
      <c r="I1560" s="55">
        <f>Orders!I1560</f>
        <v/>
      </c>
      <c r="J1560" s="55">
        <f>Orders!J1560</f>
        <v/>
      </c>
      <c r="K1560" s="55">
        <f>Orders!K1560</f>
        <v/>
      </c>
      <c r="L1560" s="55">
        <f>VLOOKUP(D1560,Products!$A$2:$F$61,3,FALSE())</f>
        <v/>
      </c>
      <c r="M1560" s="55">
        <f>VLOOKUP(C1560,Customers!$A$2:$F$301,5,FALSE())</f>
        <v/>
      </c>
      <c r="N1560" s="55">
        <f>VLOOKUP(E1560,Sales_Reps!$A$2:$E$31,3,FALSE())</f>
        <v/>
      </c>
      <c r="O1560" s="55">
        <f>VLOOKUP(D1560,Products!$A$2:$F$61,4,FALSE())</f>
        <v/>
      </c>
      <c r="P1560" s="55">
        <f>VLOOKUP(C1560,Customers!$A$2:$F$301,3,FALSE())</f>
        <v/>
      </c>
      <c r="Q1560" s="55">
        <f>UPPER(TRIM(K1560))</f>
        <v/>
      </c>
      <c r="R1560" s="55">
        <f>(G1560-O1560)/G1560</f>
        <v/>
      </c>
      <c r="S1560" s="55">
        <f>VLOOKUP(D1560,Products!$A$2:$F$61,6,FALSE())</f>
        <v/>
      </c>
    </row>
    <row r="1561" ht="15" customHeight="1" s="56">
      <c r="A1561" s="55">
        <f>Orders!A1561</f>
        <v/>
      </c>
      <c r="B1561" s="103">
        <f>Orders!B1561</f>
        <v/>
      </c>
      <c r="C1561" s="55">
        <f>Orders!C1561</f>
        <v/>
      </c>
      <c r="D1561" s="55">
        <f>Orders!D1561</f>
        <v/>
      </c>
      <c r="E1561" s="55">
        <f>Orders!E1561</f>
        <v/>
      </c>
      <c r="F1561" s="55">
        <f>Orders!F1561</f>
        <v/>
      </c>
      <c r="G1561" s="55">
        <f>Orders!G1561</f>
        <v/>
      </c>
      <c r="H1561" s="55">
        <f>Orders!H1561</f>
        <v/>
      </c>
      <c r="I1561" s="55">
        <f>Orders!I1561</f>
        <v/>
      </c>
      <c r="J1561" s="55">
        <f>Orders!J1561</f>
        <v/>
      </c>
      <c r="K1561" s="55">
        <f>Orders!K1561</f>
        <v/>
      </c>
      <c r="L1561" s="55">
        <f>VLOOKUP(D1561,Products!$A$2:$F$61,3,FALSE())</f>
        <v/>
      </c>
      <c r="M1561" s="55">
        <f>VLOOKUP(C1561,Customers!$A$2:$F$301,5,FALSE())</f>
        <v/>
      </c>
      <c r="N1561" s="55">
        <f>VLOOKUP(E1561,Sales_Reps!$A$2:$E$31,3,FALSE())</f>
        <v/>
      </c>
      <c r="O1561" s="55">
        <f>VLOOKUP(D1561,Products!$A$2:$F$61,4,FALSE())</f>
        <v/>
      </c>
      <c r="P1561" s="55">
        <f>VLOOKUP(C1561,Customers!$A$2:$F$301,3,FALSE())</f>
        <v/>
      </c>
      <c r="Q1561" s="55">
        <f>UPPER(TRIM(K1561))</f>
        <v/>
      </c>
      <c r="R1561" s="55">
        <f>(G1561-O1561)/G1561</f>
        <v/>
      </c>
      <c r="S1561" s="55">
        <f>VLOOKUP(D1561,Products!$A$2:$F$61,6,FALSE())</f>
        <v/>
      </c>
    </row>
    <row r="1562" ht="15" customHeight="1" s="56">
      <c r="A1562" s="55">
        <f>Orders!A1562</f>
        <v/>
      </c>
      <c r="B1562" s="103">
        <f>Orders!B1562</f>
        <v/>
      </c>
      <c r="C1562" s="55">
        <f>Orders!C1562</f>
        <v/>
      </c>
      <c r="D1562" s="55">
        <f>Orders!D1562</f>
        <v/>
      </c>
      <c r="E1562" s="55">
        <f>Orders!E1562</f>
        <v/>
      </c>
      <c r="F1562" s="55">
        <f>Orders!F1562</f>
        <v/>
      </c>
      <c r="G1562" s="55">
        <f>Orders!G1562</f>
        <v/>
      </c>
      <c r="H1562" s="55">
        <f>Orders!H1562</f>
        <v/>
      </c>
      <c r="I1562" s="55">
        <f>Orders!I1562</f>
        <v/>
      </c>
      <c r="J1562" s="55">
        <f>Orders!J1562</f>
        <v/>
      </c>
      <c r="K1562" s="55">
        <f>Orders!K1562</f>
        <v/>
      </c>
      <c r="L1562" s="55">
        <f>VLOOKUP(D1562,Products!$A$2:$F$61,3,FALSE())</f>
        <v/>
      </c>
      <c r="M1562" s="55">
        <f>VLOOKUP(C1562,Customers!$A$2:$F$301,5,FALSE())</f>
        <v/>
      </c>
      <c r="N1562" s="55">
        <f>VLOOKUP(E1562,Sales_Reps!$A$2:$E$31,3,FALSE())</f>
        <v/>
      </c>
      <c r="O1562" s="55">
        <f>VLOOKUP(D1562,Products!$A$2:$F$61,4,FALSE())</f>
        <v/>
      </c>
      <c r="P1562" s="55">
        <f>VLOOKUP(C1562,Customers!$A$2:$F$301,3,FALSE())</f>
        <v/>
      </c>
      <c r="Q1562" s="55">
        <f>UPPER(TRIM(K1562))</f>
        <v/>
      </c>
      <c r="R1562" s="55">
        <f>(G1562-O1562)/G1562</f>
        <v/>
      </c>
      <c r="S1562" s="55">
        <f>VLOOKUP(D1562,Products!$A$2:$F$61,6,FALSE())</f>
        <v/>
      </c>
    </row>
    <row r="1563" ht="15" customHeight="1" s="56">
      <c r="A1563" s="55">
        <f>Orders!A1563</f>
        <v/>
      </c>
      <c r="B1563" s="103">
        <f>Orders!B1563</f>
        <v/>
      </c>
      <c r="C1563" s="55">
        <f>Orders!C1563</f>
        <v/>
      </c>
      <c r="D1563" s="55">
        <f>Orders!D1563</f>
        <v/>
      </c>
      <c r="E1563" s="55">
        <f>Orders!E1563</f>
        <v/>
      </c>
      <c r="F1563" s="55">
        <f>Orders!F1563</f>
        <v/>
      </c>
      <c r="G1563" s="55">
        <f>Orders!G1563</f>
        <v/>
      </c>
      <c r="H1563" s="55">
        <f>Orders!H1563</f>
        <v/>
      </c>
      <c r="I1563" s="55">
        <f>Orders!I1563</f>
        <v/>
      </c>
      <c r="J1563" s="55">
        <f>Orders!J1563</f>
        <v/>
      </c>
      <c r="K1563" s="55">
        <f>Orders!K1563</f>
        <v/>
      </c>
      <c r="L1563" s="55">
        <f>VLOOKUP(D1563,Products!$A$2:$F$61,3,FALSE())</f>
        <v/>
      </c>
      <c r="M1563" s="55">
        <f>VLOOKUP(C1563,Customers!$A$2:$F$301,5,FALSE())</f>
        <v/>
      </c>
      <c r="N1563" s="55">
        <f>VLOOKUP(E1563,Sales_Reps!$A$2:$E$31,3,FALSE())</f>
        <v/>
      </c>
      <c r="O1563" s="55">
        <f>VLOOKUP(D1563,Products!$A$2:$F$61,4,FALSE())</f>
        <v/>
      </c>
      <c r="P1563" s="55">
        <f>VLOOKUP(C1563,Customers!$A$2:$F$301,3,FALSE())</f>
        <v/>
      </c>
      <c r="Q1563" s="55">
        <f>UPPER(TRIM(K1563))</f>
        <v/>
      </c>
      <c r="R1563" s="55">
        <f>(G1563-O1563)/G1563</f>
        <v/>
      </c>
      <c r="S1563" s="55">
        <f>VLOOKUP(D1563,Products!$A$2:$F$61,6,FALSE())</f>
        <v/>
      </c>
    </row>
    <row r="1564" ht="15" customHeight="1" s="56">
      <c r="A1564" s="55">
        <f>Orders!A1564</f>
        <v/>
      </c>
      <c r="B1564" s="103">
        <f>Orders!B1564</f>
        <v/>
      </c>
      <c r="C1564" s="55">
        <f>Orders!C1564</f>
        <v/>
      </c>
      <c r="D1564" s="55">
        <f>Orders!D1564</f>
        <v/>
      </c>
      <c r="E1564" s="55">
        <f>Orders!E1564</f>
        <v/>
      </c>
      <c r="F1564" s="55">
        <f>Orders!F1564</f>
        <v/>
      </c>
      <c r="G1564" s="55">
        <f>Orders!G1564</f>
        <v/>
      </c>
      <c r="H1564" s="55">
        <f>Orders!H1564</f>
        <v/>
      </c>
      <c r="I1564" s="55">
        <f>Orders!I1564</f>
        <v/>
      </c>
      <c r="J1564" s="55">
        <f>Orders!J1564</f>
        <v/>
      </c>
      <c r="K1564" s="55">
        <f>Orders!K1564</f>
        <v/>
      </c>
      <c r="L1564" s="55">
        <f>VLOOKUP(D1564,Products!$A$2:$F$61,3,FALSE())</f>
        <v/>
      </c>
      <c r="M1564" s="55">
        <f>VLOOKUP(C1564,Customers!$A$2:$F$301,5,FALSE())</f>
        <v/>
      </c>
      <c r="N1564" s="55">
        <f>VLOOKUP(E1564,Sales_Reps!$A$2:$E$31,3,FALSE())</f>
        <v/>
      </c>
      <c r="O1564" s="55">
        <f>VLOOKUP(D1564,Products!$A$2:$F$61,4,FALSE())</f>
        <v/>
      </c>
      <c r="P1564" s="55">
        <f>VLOOKUP(C1564,Customers!$A$2:$F$301,3,FALSE())</f>
        <v/>
      </c>
      <c r="Q1564" s="55">
        <f>UPPER(TRIM(K1564))</f>
        <v/>
      </c>
      <c r="R1564" s="55">
        <f>(G1564-O1564)/G1564</f>
        <v/>
      </c>
      <c r="S1564" s="55">
        <f>VLOOKUP(D1564,Products!$A$2:$F$61,6,FALSE())</f>
        <v/>
      </c>
    </row>
    <row r="1565" ht="15" customHeight="1" s="56">
      <c r="A1565" s="55">
        <f>Orders!A1565</f>
        <v/>
      </c>
      <c r="B1565" s="103">
        <f>Orders!B1565</f>
        <v/>
      </c>
      <c r="C1565" s="55">
        <f>Orders!C1565</f>
        <v/>
      </c>
      <c r="D1565" s="55">
        <f>Orders!D1565</f>
        <v/>
      </c>
      <c r="E1565" s="55">
        <f>Orders!E1565</f>
        <v/>
      </c>
      <c r="F1565" s="55">
        <f>Orders!F1565</f>
        <v/>
      </c>
      <c r="G1565" s="55">
        <f>Orders!G1565</f>
        <v/>
      </c>
      <c r="H1565" s="55">
        <f>Orders!H1565</f>
        <v/>
      </c>
      <c r="I1565" s="55">
        <f>Orders!I1565</f>
        <v/>
      </c>
      <c r="J1565" s="55">
        <f>Orders!J1565</f>
        <v/>
      </c>
      <c r="K1565" s="55">
        <f>Orders!K1565</f>
        <v/>
      </c>
      <c r="L1565" s="55">
        <f>VLOOKUP(D1565,Products!$A$2:$F$61,3,FALSE())</f>
        <v/>
      </c>
      <c r="M1565" s="55">
        <f>VLOOKUP(C1565,Customers!$A$2:$F$301,5,FALSE())</f>
        <v/>
      </c>
      <c r="N1565" s="55">
        <f>VLOOKUP(E1565,Sales_Reps!$A$2:$E$31,3,FALSE())</f>
        <v/>
      </c>
      <c r="O1565" s="55">
        <f>VLOOKUP(D1565,Products!$A$2:$F$61,4,FALSE())</f>
        <v/>
      </c>
      <c r="P1565" s="55">
        <f>VLOOKUP(C1565,Customers!$A$2:$F$301,3,FALSE())</f>
        <v/>
      </c>
      <c r="Q1565" s="55">
        <f>UPPER(TRIM(K1565))</f>
        <v/>
      </c>
      <c r="R1565" s="55">
        <f>(G1565-O1565)/G1565</f>
        <v/>
      </c>
      <c r="S1565" s="55">
        <f>VLOOKUP(D1565,Products!$A$2:$F$61,6,FALSE())</f>
        <v/>
      </c>
    </row>
    <row r="1566" ht="15" customHeight="1" s="56">
      <c r="A1566" s="55">
        <f>Orders!A1566</f>
        <v/>
      </c>
      <c r="B1566" s="103">
        <f>Orders!B1566</f>
        <v/>
      </c>
      <c r="C1566" s="55">
        <f>Orders!C1566</f>
        <v/>
      </c>
      <c r="D1566" s="55">
        <f>Orders!D1566</f>
        <v/>
      </c>
      <c r="E1566" s="55">
        <f>Orders!E1566</f>
        <v/>
      </c>
      <c r="F1566" s="55">
        <f>Orders!F1566</f>
        <v/>
      </c>
      <c r="G1566" s="55">
        <f>Orders!G1566</f>
        <v/>
      </c>
      <c r="H1566" s="55">
        <f>Orders!H1566</f>
        <v/>
      </c>
      <c r="I1566" s="55">
        <f>Orders!I1566</f>
        <v/>
      </c>
      <c r="J1566" s="55">
        <f>Orders!J1566</f>
        <v/>
      </c>
      <c r="K1566" s="55">
        <f>Orders!K1566</f>
        <v/>
      </c>
      <c r="L1566" s="55">
        <f>VLOOKUP(D1566,Products!$A$2:$F$61,3,FALSE())</f>
        <v/>
      </c>
      <c r="M1566" s="55">
        <f>VLOOKUP(C1566,Customers!$A$2:$F$301,5,FALSE())</f>
        <v/>
      </c>
      <c r="N1566" s="55">
        <f>VLOOKUP(E1566,Sales_Reps!$A$2:$E$31,3,FALSE())</f>
        <v/>
      </c>
      <c r="O1566" s="55">
        <f>VLOOKUP(D1566,Products!$A$2:$F$61,4,FALSE())</f>
        <v/>
      </c>
      <c r="P1566" s="55">
        <f>VLOOKUP(C1566,Customers!$A$2:$F$301,3,FALSE())</f>
        <v/>
      </c>
      <c r="Q1566" s="55">
        <f>UPPER(TRIM(K1566))</f>
        <v/>
      </c>
      <c r="R1566" s="55">
        <f>(G1566-O1566)/G1566</f>
        <v/>
      </c>
      <c r="S1566" s="55">
        <f>VLOOKUP(D1566,Products!$A$2:$F$61,6,FALSE())</f>
        <v/>
      </c>
    </row>
    <row r="1567" ht="15" customHeight="1" s="56">
      <c r="A1567" s="55">
        <f>Orders!A1567</f>
        <v/>
      </c>
      <c r="B1567" s="103">
        <f>Orders!B1567</f>
        <v/>
      </c>
      <c r="C1567" s="55">
        <f>Orders!C1567</f>
        <v/>
      </c>
      <c r="D1567" s="55">
        <f>Orders!D1567</f>
        <v/>
      </c>
      <c r="E1567" s="55">
        <f>Orders!E1567</f>
        <v/>
      </c>
      <c r="F1567" s="55">
        <f>Orders!F1567</f>
        <v/>
      </c>
      <c r="G1567" s="55">
        <f>Orders!G1567</f>
        <v/>
      </c>
      <c r="H1567" s="55">
        <f>Orders!H1567</f>
        <v/>
      </c>
      <c r="I1567" s="55">
        <f>Orders!I1567</f>
        <v/>
      </c>
      <c r="J1567" s="55">
        <f>Orders!J1567</f>
        <v/>
      </c>
      <c r="K1567" s="55">
        <f>Orders!K1567</f>
        <v/>
      </c>
      <c r="L1567" s="55">
        <f>VLOOKUP(D1567,Products!$A$2:$F$61,3,FALSE())</f>
        <v/>
      </c>
      <c r="M1567" s="55">
        <f>VLOOKUP(C1567,Customers!$A$2:$F$301,5,FALSE())</f>
        <v/>
      </c>
      <c r="N1567" s="55">
        <f>VLOOKUP(E1567,Sales_Reps!$A$2:$E$31,3,FALSE())</f>
        <v/>
      </c>
      <c r="O1567" s="55">
        <f>VLOOKUP(D1567,Products!$A$2:$F$61,4,FALSE())</f>
        <v/>
      </c>
      <c r="P1567" s="55">
        <f>VLOOKUP(C1567,Customers!$A$2:$F$301,3,FALSE())</f>
        <v/>
      </c>
      <c r="Q1567" s="55">
        <f>UPPER(TRIM(K1567))</f>
        <v/>
      </c>
      <c r="R1567" s="55">
        <f>(G1567-O1567)/G1567</f>
        <v/>
      </c>
      <c r="S1567" s="55">
        <f>VLOOKUP(D1567,Products!$A$2:$F$61,6,FALSE())</f>
        <v/>
      </c>
    </row>
    <row r="1568" ht="15" customHeight="1" s="56">
      <c r="A1568" s="55">
        <f>Orders!A1568</f>
        <v/>
      </c>
      <c r="B1568" s="103">
        <f>Orders!B1568</f>
        <v/>
      </c>
      <c r="C1568" s="55">
        <f>Orders!C1568</f>
        <v/>
      </c>
      <c r="D1568" s="55">
        <f>Orders!D1568</f>
        <v/>
      </c>
      <c r="E1568" s="55">
        <f>Orders!E1568</f>
        <v/>
      </c>
      <c r="F1568" s="55">
        <f>Orders!F1568</f>
        <v/>
      </c>
      <c r="G1568" s="55">
        <f>Orders!G1568</f>
        <v/>
      </c>
      <c r="H1568" s="55">
        <f>Orders!H1568</f>
        <v/>
      </c>
      <c r="I1568" s="55">
        <f>Orders!I1568</f>
        <v/>
      </c>
      <c r="J1568" s="55">
        <f>Orders!J1568</f>
        <v/>
      </c>
      <c r="K1568" s="55">
        <f>Orders!K1568</f>
        <v/>
      </c>
      <c r="L1568" s="55">
        <f>VLOOKUP(D1568,Products!$A$2:$F$61,3,FALSE())</f>
        <v/>
      </c>
      <c r="M1568" s="55">
        <f>VLOOKUP(C1568,Customers!$A$2:$F$301,5,FALSE())</f>
        <v/>
      </c>
      <c r="N1568" s="55">
        <f>VLOOKUP(E1568,Sales_Reps!$A$2:$E$31,3,FALSE())</f>
        <v/>
      </c>
      <c r="O1568" s="55">
        <f>VLOOKUP(D1568,Products!$A$2:$F$61,4,FALSE())</f>
        <v/>
      </c>
      <c r="P1568" s="55">
        <f>VLOOKUP(C1568,Customers!$A$2:$F$301,3,FALSE())</f>
        <v/>
      </c>
      <c r="Q1568" s="55">
        <f>UPPER(TRIM(K1568))</f>
        <v/>
      </c>
      <c r="R1568" s="55">
        <f>(G1568-O1568)/G1568</f>
        <v/>
      </c>
      <c r="S1568" s="55">
        <f>VLOOKUP(D1568,Products!$A$2:$F$61,6,FALSE())</f>
        <v/>
      </c>
    </row>
    <row r="1569" ht="15" customHeight="1" s="56">
      <c r="A1569" s="55">
        <f>Orders!A1569</f>
        <v/>
      </c>
      <c r="B1569" s="103">
        <f>Orders!B1569</f>
        <v/>
      </c>
      <c r="C1569" s="55">
        <f>Orders!C1569</f>
        <v/>
      </c>
      <c r="D1569" s="55">
        <f>Orders!D1569</f>
        <v/>
      </c>
      <c r="E1569" s="55">
        <f>Orders!E1569</f>
        <v/>
      </c>
      <c r="F1569" s="55">
        <f>Orders!F1569</f>
        <v/>
      </c>
      <c r="G1569" s="55">
        <f>Orders!G1569</f>
        <v/>
      </c>
      <c r="H1569" s="55">
        <f>Orders!H1569</f>
        <v/>
      </c>
      <c r="I1569" s="55">
        <f>Orders!I1569</f>
        <v/>
      </c>
      <c r="J1569" s="55">
        <f>Orders!J1569</f>
        <v/>
      </c>
      <c r="K1569" s="55">
        <f>Orders!K1569</f>
        <v/>
      </c>
      <c r="L1569" s="55">
        <f>VLOOKUP(D1569,Products!$A$2:$F$61,3,FALSE())</f>
        <v/>
      </c>
      <c r="M1569" s="55">
        <f>VLOOKUP(C1569,Customers!$A$2:$F$301,5,FALSE())</f>
        <v/>
      </c>
      <c r="N1569" s="55">
        <f>VLOOKUP(E1569,Sales_Reps!$A$2:$E$31,3,FALSE())</f>
        <v/>
      </c>
      <c r="O1569" s="55">
        <f>VLOOKUP(D1569,Products!$A$2:$F$61,4,FALSE())</f>
        <v/>
      </c>
      <c r="P1569" s="55">
        <f>VLOOKUP(C1569,Customers!$A$2:$F$301,3,FALSE())</f>
        <v/>
      </c>
      <c r="Q1569" s="55">
        <f>UPPER(TRIM(K1569))</f>
        <v/>
      </c>
      <c r="R1569" s="55">
        <f>(G1569-O1569)/G1569</f>
        <v/>
      </c>
      <c r="S1569" s="55">
        <f>VLOOKUP(D1569,Products!$A$2:$F$61,6,FALSE())</f>
        <v/>
      </c>
    </row>
    <row r="1570" ht="15" customHeight="1" s="56">
      <c r="A1570" s="55">
        <f>Orders!A1570</f>
        <v/>
      </c>
      <c r="B1570" s="103">
        <f>Orders!B1570</f>
        <v/>
      </c>
      <c r="C1570" s="55">
        <f>Orders!C1570</f>
        <v/>
      </c>
      <c r="D1570" s="55">
        <f>Orders!D1570</f>
        <v/>
      </c>
      <c r="E1570" s="55">
        <f>Orders!E1570</f>
        <v/>
      </c>
      <c r="F1570" s="55">
        <f>Orders!F1570</f>
        <v/>
      </c>
      <c r="G1570" s="55">
        <f>Orders!G1570</f>
        <v/>
      </c>
      <c r="H1570" s="55">
        <f>Orders!H1570</f>
        <v/>
      </c>
      <c r="I1570" s="55">
        <f>Orders!I1570</f>
        <v/>
      </c>
      <c r="J1570" s="55">
        <f>Orders!J1570</f>
        <v/>
      </c>
      <c r="K1570" s="55">
        <f>Orders!K1570</f>
        <v/>
      </c>
      <c r="L1570" s="55">
        <f>VLOOKUP(D1570,Products!$A$2:$F$61,3,FALSE())</f>
        <v/>
      </c>
      <c r="M1570" s="55">
        <f>VLOOKUP(C1570,Customers!$A$2:$F$301,5,FALSE())</f>
        <v/>
      </c>
      <c r="N1570" s="55">
        <f>VLOOKUP(E1570,Sales_Reps!$A$2:$E$31,3,FALSE())</f>
        <v/>
      </c>
      <c r="O1570" s="55">
        <f>VLOOKUP(D1570,Products!$A$2:$F$61,4,FALSE())</f>
        <v/>
      </c>
      <c r="P1570" s="55">
        <f>VLOOKUP(C1570,Customers!$A$2:$F$301,3,FALSE())</f>
        <v/>
      </c>
      <c r="Q1570" s="55">
        <f>UPPER(TRIM(K1570))</f>
        <v/>
      </c>
      <c r="R1570" s="55">
        <f>(G1570-O1570)/G1570</f>
        <v/>
      </c>
      <c r="S1570" s="55">
        <f>VLOOKUP(D1570,Products!$A$2:$F$61,6,FALSE())</f>
        <v/>
      </c>
    </row>
    <row r="1571" ht="15" customHeight="1" s="56">
      <c r="A1571" s="55">
        <f>Orders!A1571</f>
        <v/>
      </c>
      <c r="B1571" s="103">
        <f>Orders!B1571</f>
        <v/>
      </c>
      <c r="C1571" s="55">
        <f>Orders!C1571</f>
        <v/>
      </c>
      <c r="D1571" s="55">
        <f>Orders!D1571</f>
        <v/>
      </c>
      <c r="E1571" s="55">
        <f>Orders!E1571</f>
        <v/>
      </c>
      <c r="F1571" s="55">
        <f>Orders!F1571</f>
        <v/>
      </c>
      <c r="G1571" s="55">
        <f>Orders!G1571</f>
        <v/>
      </c>
      <c r="H1571" s="55">
        <f>Orders!H1571</f>
        <v/>
      </c>
      <c r="I1571" s="55">
        <f>Orders!I1571</f>
        <v/>
      </c>
      <c r="J1571" s="55">
        <f>Orders!J1571</f>
        <v/>
      </c>
      <c r="K1571" s="55">
        <f>Orders!K1571</f>
        <v/>
      </c>
      <c r="L1571" s="55">
        <f>VLOOKUP(D1571,Products!$A$2:$F$61,3,FALSE())</f>
        <v/>
      </c>
      <c r="M1571" s="55">
        <f>VLOOKUP(C1571,Customers!$A$2:$F$301,5,FALSE())</f>
        <v/>
      </c>
      <c r="N1571" s="55">
        <f>VLOOKUP(E1571,Sales_Reps!$A$2:$E$31,3,FALSE())</f>
        <v/>
      </c>
      <c r="O1571" s="55">
        <f>VLOOKUP(D1571,Products!$A$2:$F$61,4,FALSE())</f>
        <v/>
      </c>
      <c r="P1571" s="55">
        <f>VLOOKUP(C1571,Customers!$A$2:$F$301,3,FALSE())</f>
        <v/>
      </c>
      <c r="Q1571" s="55">
        <f>UPPER(TRIM(K1571))</f>
        <v/>
      </c>
      <c r="R1571" s="55">
        <f>(G1571-O1571)/G1571</f>
        <v/>
      </c>
      <c r="S1571" s="55">
        <f>VLOOKUP(D1571,Products!$A$2:$F$61,6,FALSE())</f>
        <v/>
      </c>
    </row>
    <row r="1572" ht="15" customHeight="1" s="56">
      <c r="A1572" s="55">
        <f>Orders!A1572</f>
        <v/>
      </c>
      <c r="B1572" s="103">
        <f>Orders!B1572</f>
        <v/>
      </c>
      <c r="C1572" s="55">
        <f>Orders!C1572</f>
        <v/>
      </c>
      <c r="D1572" s="55">
        <f>Orders!D1572</f>
        <v/>
      </c>
      <c r="E1572" s="55">
        <f>Orders!E1572</f>
        <v/>
      </c>
      <c r="F1572" s="55">
        <f>Orders!F1572</f>
        <v/>
      </c>
      <c r="G1572" s="55">
        <f>Orders!G1572</f>
        <v/>
      </c>
      <c r="H1572" s="55">
        <f>Orders!H1572</f>
        <v/>
      </c>
      <c r="I1572" s="55">
        <f>Orders!I1572</f>
        <v/>
      </c>
      <c r="J1572" s="55">
        <f>Orders!J1572</f>
        <v/>
      </c>
      <c r="K1572" s="55">
        <f>Orders!K1572</f>
        <v/>
      </c>
      <c r="L1572" s="55">
        <f>VLOOKUP(D1572,Products!$A$2:$F$61,3,FALSE())</f>
        <v/>
      </c>
      <c r="M1572" s="55">
        <f>VLOOKUP(C1572,Customers!$A$2:$F$301,5,FALSE())</f>
        <v/>
      </c>
      <c r="N1572" s="55">
        <f>VLOOKUP(E1572,Sales_Reps!$A$2:$E$31,3,FALSE())</f>
        <v/>
      </c>
      <c r="O1572" s="55">
        <f>VLOOKUP(D1572,Products!$A$2:$F$61,4,FALSE())</f>
        <v/>
      </c>
      <c r="P1572" s="55">
        <f>VLOOKUP(C1572,Customers!$A$2:$F$301,3,FALSE())</f>
        <v/>
      </c>
      <c r="Q1572" s="55">
        <f>UPPER(TRIM(K1572))</f>
        <v/>
      </c>
      <c r="R1572" s="55">
        <f>(G1572-O1572)/G1572</f>
        <v/>
      </c>
      <c r="S1572" s="55">
        <f>VLOOKUP(D1572,Products!$A$2:$F$61,6,FALSE())</f>
        <v/>
      </c>
    </row>
    <row r="1573" ht="15" customHeight="1" s="56">
      <c r="A1573" s="55">
        <f>Orders!A1573</f>
        <v/>
      </c>
      <c r="B1573" s="103">
        <f>Orders!B1573</f>
        <v/>
      </c>
      <c r="C1573" s="55">
        <f>Orders!C1573</f>
        <v/>
      </c>
      <c r="D1573" s="55">
        <f>Orders!D1573</f>
        <v/>
      </c>
      <c r="E1573" s="55">
        <f>Orders!E1573</f>
        <v/>
      </c>
      <c r="F1573" s="55">
        <f>Orders!F1573</f>
        <v/>
      </c>
      <c r="G1573" s="55">
        <f>Orders!G1573</f>
        <v/>
      </c>
      <c r="H1573" s="55">
        <f>Orders!H1573</f>
        <v/>
      </c>
      <c r="I1573" s="55">
        <f>Orders!I1573</f>
        <v/>
      </c>
      <c r="J1573" s="55">
        <f>Orders!J1573</f>
        <v/>
      </c>
      <c r="K1573" s="55">
        <f>Orders!K1573</f>
        <v/>
      </c>
      <c r="L1573" s="55">
        <f>VLOOKUP(D1573,Products!$A$2:$F$61,3,FALSE())</f>
        <v/>
      </c>
      <c r="M1573" s="55">
        <f>VLOOKUP(C1573,Customers!$A$2:$F$301,5,FALSE())</f>
        <v/>
      </c>
      <c r="N1573" s="55">
        <f>VLOOKUP(E1573,Sales_Reps!$A$2:$E$31,3,FALSE())</f>
        <v/>
      </c>
      <c r="O1573" s="55">
        <f>VLOOKUP(D1573,Products!$A$2:$F$61,4,FALSE())</f>
        <v/>
      </c>
      <c r="P1573" s="55">
        <f>VLOOKUP(C1573,Customers!$A$2:$F$301,3,FALSE())</f>
        <v/>
      </c>
      <c r="Q1573" s="55">
        <f>UPPER(TRIM(K1573))</f>
        <v/>
      </c>
      <c r="R1573" s="55">
        <f>(G1573-O1573)/G1573</f>
        <v/>
      </c>
      <c r="S1573" s="55">
        <f>VLOOKUP(D1573,Products!$A$2:$F$61,6,FALSE())</f>
        <v/>
      </c>
    </row>
    <row r="1574" ht="15" customHeight="1" s="56">
      <c r="A1574" s="55">
        <f>Orders!A1574</f>
        <v/>
      </c>
      <c r="B1574" s="103">
        <f>Orders!B1574</f>
        <v/>
      </c>
      <c r="C1574" s="55">
        <f>Orders!C1574</f>
        <v/>
      </c>
      <c r="D1574" s="55">
        <f>Orders!D1574</f>
        <v/>
      </c>
      <c r="E1574" s="55">
        <f>Orders!E1574</f>
        <v/>
      </c>
      <c r="F1574" s="55">
        <f>Orders!F1574</f>
        <v/>
      </c>
      <c r="G1574" s="55">
        <f>Orders!G1574</f>
        <v/>
      </c>
      <c r="H1574" s="55">
        <f>Orders!H1574</f>
        <v/>
      </c>
      <c r="I1574" s="55">
        <f>Orders!I1574</f>
        <v/>
      </c>
      <c r="J1574" s="55">
        <f>Orders!J1574</f>
        <v/>
      </c>
      <c r="K1574" s="55">
        <f>Orders!K1574</f>
        <v/>
      </c>
      <c r="L1574" s="55">
        <f>VLOOKUP(D1574,Products!$A$2:$F$61,3,FALSE())</f>
        <v/>
      </c>
      <c r="M1574" s="55">
        <f>VLOOKUP(C1574,Customers!$A$2:$F$301,5,FALSE())</f>
        <v/>
      </c>
      <c r="N1574" s="55">
        <f>VLOOKUP(E1574,Sales_Reps!$A$2:$E$31,3,FALSE())</f>
        <v/>
      </c>
      <c r="O1574" s="55">
        <f>VLOOKUP(D1574,Products!$A$2:$F$61,4,FALSE())</f>
        <v/>
      </c>
      <c r="P1574" s="55">
        <f>VLOOKUP(C1574,Customers!$A$2:$F$301,3,FALSE())</f>
        <v/>
      </c>
      <c r="Q1574" s="55">
        <f>UPPER(TRIM(K1574))</f>
        <v/>
      </c>
      <c r="R1574" s="55">
        <f>(G1574-O1574)/G1574</f>
        <v/>
      </c>
      <c r="S1574" s="55">
        <f>VLOOKUP(D1574,Products!$A$2:$F$61,6,FALSE())</f>
        <v/>
      </c>
    </row>
    <row r="1575" ht="15" customHeight="1" s="56">
      <c r="A1575" s="55">
        <f>Orders!A1575</f>
        <v/>
      </c>
      <c r="B1575" s="103">
        <f>Orders!B1575</f>
        <v/>
      </c>
      <c r="C1575" s="55">
        <f>Orders!C1575</f>
        <v/>
      </c>
      <c r="D1575" s="55">
        <f>Orders!D1575</f>
        <v/>
      </c>
      <c r="E1575" s="55">
        <f>Orders!E1575</f>
        <v/>
      </c>
      <c r="F1575" s="55">
        <f>Orders!F1575</f>
        <v/>
      </c>
      <c r="G1575" s="55">
        <f>Orders!G1575</f>
        <v/>
      </c>
      <c r="H1575" s="55">
        <f>Orders!H1575</f>
        <v/>
      </c>
      <c r="I1575" s="55">
        <f>Orders!I1575</f>
        <v/>
      </c>
      <c r="J1575" s="55">
        <f>Orders!J1575</f>
        <v/>
      </c>
      <c r="K1575" s="55">
        <f>Orders!K1575</f>
        <v/>
      </c>
      <c r="L1575" s="55">
        <f>VLOOKUP(D1575,Products!$A$2:$F$61,3,FALSE())</f>
        <v/>
      </c>
      <c r="M1575" s="55">
        <f>VLOOKUP(C1575,Customers!$A$2:$F$301,5,FALSE())</f>
        <v/>
      </c>
      <c r="N1575" s="55">
        <f>VLOOKUP(E1575,Sales_Reps!$A$2:$E$31,3,FALSE())</f>
        <v/>
      </c>
      <c r="O1575" s="55">
        <f>VLOOKUP(D1575,Products!$A$2:$F$61,4,FALSE())</f>
        <v/>
      </c>
      <c r="P1575" s="55">
        <f>VLOOKUP(C1575,Customers!$A$2:$F$301,3,FALSE())</f>
        <v/>
      </c>
      <c r="Q1575" s="55">
        <f>UPPER(TRIM(K1575))</f>
        <v/>
      </c>
      <c r="R1575" s="55">
        <f>(G1575-O1575)/G1575</f>
        <v/>
      </c>
      <c r="S1575" s="55">
        <f>VLOOKUP(D1575,Products!$A$2:$F$61,6,FALSE())</f>
        <v/>
      </c>
    </row>
    <row r="1576" ht="15" customHeight="1" s="56">
      <c r="A1576" s="55">
        <f>Orders!A1576</f>
        <v/>
      </c>
      <c r="B1576" s="103">
        <f>Orders!B1576</f>
        <v/>
      </c>
      <c r="C1576" s="55">
        <f>Orders!C1576</f>
        <v/>
      </c>
      <c r="D1576" s="55">
        <f>Orders!D1576</f>
        <v/>
      </c>
      <c r="E1576" s="55">
        <f>Orders!E1576</f>
        <v/>
      </c>
      <c r="F1576" s="55">
        <f>Orders!F1576</f>
        <v/>
      </c>
      <c r="G1576" s="55">
        <f>Orders!G1576</f>
        <v/>
      </c>
      <c r="H1576" s="55">
        <f>Orders!H1576</f>
        <v/>
      </c>
      <c r="I1576" s="55">
        <f>Orders!I1576</f>
        <v/>
      </c>
      <c r="J1576" s="55">
        <f>Orders!J1576</f>
        <v/>
      </c>
      <c r="K1576" s="55">
        <f>Orders!K1576</f>
        <v/>
      </c>
      <c r="L1576" s="55">
        <f>VLOOKUP(D1576,Products!$A$2:$F$61,3,FALSE())</f>
        <v/>
      </c>
      <c r="M1576" s="55">
        <f>VLOOKUP(C1576,Customers!$A$2:$F$301,5,FALSE())</f>
        <v/>
      </c>
      <c r="N1576" s="55">
        <f>VLOOKUP(E1576,Sales_Reps!$A$2:$E$31,3,FALSE())</f>
        <v/>
      </c>
      <c r="O1576" s="55">
        <f>VLOOKUP(D1576,Products!$A$2:$F$61,4,FALSE())</f>
        <v/>
      </c>
      <c r="P1576" s="55">
        <f>VLOOKUP(C1576,Customers!$A$2:$F$301,3,FALSE())</f>
        <v/>
      </c>
      <c r="Q1576" s="55">
        <f>UPPER(TRIM(K1576))</f>
        <v/>
      </c>
      <c r="R1576" s="55">
        <f>(G1576-O1576)/G1576</f>
        <v/>
      </c>
      <c r="S1576" s="55">
        <f>VLOOKUP(D1576,Products!$A$2:$F$61,6,FALSE())</f>
        <v/>
      </c>
    </row>
    <row r="1577" ht="15" customHeight="1" s="56">
      <c r="A1577" s="55">
        <f>Orders!A1577</f>
        <v/>
      </c>
      <c r="B1577" s="103">
        <f>Orders!B1577</f>
        <v/>
      </c>
      <c r="C1577" s="55">
        <f>Orders!C1577</f>
        <v/>
      </c>
      <c r="D1577" s="55">
        <f>Orders!D1577</f>
        <v/>
      </c>
      <c r="E1577" s="55">
        <f>Orders!E1577</f>
        <v/>
      </c>
      <c r="F1577" s="55">
        <f>Orders!F1577</f>
        <v/>
      </c>
      <c r="G1577" s="55">
        <f>Orders!G1577</f>
        <v/>
      </c>
      <c r="H1577" s="55">
        <f>Orders!H1577</f>
        <v/>
      </c>
      <c r="I1577" s="55">
        <f>Orders!I1577</f>
        <v/>
      </c>
      <c r="J1577" s="55">
        <f>Orders!J1577</f>
        <v/>
      </c>
      <c r="K1577" s="55">
        <f>Orders!K1577</f>
        <v/>
      </c>
      <c r="L1577" s="55">
        <f>VLOOKUP(D1577,Products!$A$2:$F$61,3,FALSE())</f>
        <v/>
      </c>
      <c r="M1577" s="55">
        <f>VLOOKUP(C1577,Customers!$A$2:$F$301,5,FALSE())</f>
        <v/>
      </c>
      <c r="N1577" s="55">
        <f>VLOOKUP(E1577,Sales_Reps!$A$2:$E$31,3,FALSE())</f>
        <v/>
      </c>
      <c r="O1577" s="55">
        <f>VLOOKUP(D1577,Products!$A$2:$F$61,4,FALSE())</f>
        <v/>
      </c>
      <c r="P1577" s="55">
        <f>VLOOKUP(C1577,Customers!$A$2:$F$301,3,FALSE())</f>
        <v/>
      </c>
      <c r="Q1577" s="55">
        <f>UPPER(TRIM(K1577))</f>
        <v/>
      </c>
      <c r="R1577" s="55">
        <f>(G1577-O1577)/G1577</f>
        <v/>
      </c>
      <c r="S1577" s="55">
        <f>VLOOKUP(D1577,Products!$A$2:$F$61,6,FALSE())</f>
        <v/>
      </c>
    </row>
    <row r="1578" ht="15" customHeight="1" s="56">
      <c r="A1578" s="55">
        <f>Orders!A1578</f>
        <v/>
      </c>
      <c r="B1578" s="103">
        <f>Orders!B1578</f>
        <v/>
      </c>
      <c r="C1578" s="55">
        <f>Orders!C1578</f>
        <v/>
      </c>
      <c r="D1578" s="55">
        <f>Orders!D1578</f>
        <v/>
      </c>
      <c r="E1578" s="55">
        <f>Orders!E1578</f>
        <v/>
      </c>
      <c r="F1578" s="55">
        <f>Orders!F1578</f>
        <v/>
      </c>
      <c r="G1578" s="55">
        <f>Orders!G1578</f>
        <v/>
      </c>
      <c r="H1578" s="55">
        <f>Orders!H1578</f>
        <v/>
      </c>
      <c r="I1578" s="55">
        <f>Orders!I1578</f>
        <v/>
      </c>
      <c r="J1578" s="55">
        <f>Orders!J1578</f>
        <v/>
      </c>
      <c r="K1578" s="55">
        <f>Orders!K1578</f>
        <v/>
      </c>
      <c r="L1578" s="55">
        <f>VLOOKUP(D1578,Products!$A$2:$F$61,3,FALSE())</f>
        <v/>
      </c>
      <c r="M1578" s="55">
        <f>VLOOKUP(C1578,Customers!$A$2:$F$301,5,FALSE())</f>
        <v/>
      </c>
      <c r="N1578" s="55">
        <f>VLOOKUP(E1578,Sales_Reps!$A$2:$E$31,3,FALSE())</f>
        <v/>
      </c>
      <c r="O1578" s="55">
        <f>VLOOKUP(D1578,Products!$A$2:$F$61,4,FALSE())</f>
        <v/>
      </c>
      <c r="P1578" s="55">
        <f>VLOOKUP(C1578,Customers!$A$2:$F$301,3,FALSE())</f>
        <v/>
      </c>
      <c r="Q1578" s="55">
        <f>UPPER(TRIM(K1578))</f>
        <v/>
      </c>
      <c r="R1578" s="55">
        <f>(G1578-O1578)/G1578</f>
        <v/>
      </c>
      <c r="S1578" s="55">
        <f>VLOOKUP(D1578,Products!$A$2:$F$61,6,FALSE())</f>
        <v/>
      </c>
    </row>
    <row r="1579" ht="15" customHeight="1" s="56">
      <c r="A1579" s="55">
        <f>Orders!A1579</f>
        <v/>
      </c>
      <c r="B1579" s="103">
        <f>Orders!B1579</f>
        <v/>
      </c>
      <c r="C1579" s="55">
        <f>Orders!C1579</f>
        <v/>
      </c>
      <c r="D1579" s="55">
        <f>Orders!D1579</f>
        <v/>
      </c>
      <c r="E1579" s="55">
        <f>Orders!E1579</f>
        <v/>
      </c>
      <c r="F1579" s="55">
        <f>Orders!F1579</f>
        <v/>
      </c>
      <c r="G1579" s="55">
        <f>Orders!G1579</f>
        <v/>
      </c>
      <c r="H1579" s="55">
        <f>Orders!H1579</f>
        <v/>
      </c>
      <c r="I1579" s="55">
        <f>Orders!I1579</f>
        <v/>
      </c>
      <c r="J1579" s="55">
        <f>Orders!J1579</f>
        <v/>
      </c>
      <c r="K1579" s="55">
        <f>Orders!K1579</f>
        <v/>
      </c>
      <c r="L1579" s="55">
        <f>VLOOKUP(D1579,Products!$A$2:$F$61,3,FALSE())</f>
        <v/>
      </c>
      <c r="M1579" s="55">
        <f>VLOOKUP(C1579,Customers!$A$2:$F$301,5,FALSE())</f>
        <v/>
      </c>
      <c r="N1579" s="55">
        <f>VLOOKUP(E1579,Sales_Reps!$A$2:$E$31,3,FALSE())</f>
        <v/>
      </c>
      <c r="O1579" s="55">
        <f>VLOOKUP(D1579,Products!$A$2:$F$61,4,FALSE())</f>
        <v/>
      </c>
      <c r="P1579" s="55">
        <f>VLOOKUP(C1579,Customers!$A$2:$F$301,3,FALSE())</f>
        <v/>
      </c>
      <c r="Q1579" s="55">
        <f>UPPER(TRIM(K1579))</f>
        <v/>
      </c>
      <c r="R1579" s="55">
        <f>(G1579-O1579)/G1579</f>
        <v/>
      </c>
      <c r="S1579" s="55">
        <f>VLOOKUP(D1579,Products!$A$2:$F$61,6,FALSE())</f>
        <v/>
      </c>
    </row>
    <row r="1580" ht="15" customHeight="1" s="56">
      <c r="A1580" s="55">
        <f>Orders!A1580</f>
        <v/>
      </c>
      <c r="B1580" s="103">
        <f>Orders!B1580</f>
        <v/>
      </c>
      <c r="C1580" s="55">
        <f>Orders!C1580</f>
        <v/>
      </c>
      <c r="D1580" s="55">
        <f>Orders!D1580</f>
        <v/>
      </c>
      <c r="E1580" s="55">
        <f>Orders!E1580</f>
        <v/>
      </c>
      <c r="F1580" s="55">
        <f>Orders!F1580</f>
        <v/>
      </c>
      <c r="G1580" s="55">
        <f>Orders!G1580</f>
        <v/>
      </c>
      <c r="H1580" s="55">
        <f>Orders!H1580</f>
        <v/>
      </c>
      <c r="I1580" s="55">
        <f>Orders!I1580</f>
        <v/>
      </c>
      <c r="J1580" s="55">
        <f>Orders!J1580</f>
        <v/>
      </c>
      <c r="K1580" s="55">
        <f>Orders!K1580</f>
        <v/>
      </c>
      <c r="L1580" s="55">
        <f>VLOOKUP(D1580,Products!$A$2:$F$61,3,FALSE())</f>
        <v/>
      </c>
      <c r="M1580" s="55">
        <f>VLOOKUP(C1580,Customers!$A$2:$F$301,5,FALSE())</f>
        <v/>
      </c>
      <c r="N1580" s="55">
        <f>VLOOKUP(E1580,Sales_Reps!$A$2:$E$31,3,FALSE())</f>
        <v/>
      </c>
      <c r="O1580" s="55">
        <f>VLOOKUP(D1580,Products!$A$2:$F$61,4,FALSE())</f>
        <v/>
      </c>
      <c r="P1580" s="55">
        <f>VLOOKUP(C1580,Customers!$A$2:$F$301,3,FALSE())</f>
        <v/>
      </c>
      <c r="Q1580" s="55">
        <f>UPPER(TRIM(K1580))</f>
        <v/>
      </c>
      <c r="R1580" s="55">
        <f>(G1580-O1580)/G1580</f>
        <v/>
      </c>
      <c r="S1580" s="55">
        <f>VLOOKUP(D1580,Products!$A$2:$F$61,6,FALSE())</f>
        <v/>
      </c>
    </row>
    <row r="1581" ht="15" customHeight="1" s="56">
      <c r="A1581" s="55">
        <f>Orders!A1581</f>
        <v/>
      </c>
      <c r="B1581" s="103">
        <f>Orders!B1581</f>
        <v/>
      </c>
      <c r="C1581" s="55">
        <f>Orders!C1581</f>
        <v/>
      </c>
      <c r="D1581" s="55">
        <f>Orders!D1581</f>
        <v/>
      </c>
      <c r="E1581" s="55">
        <f>Orders!E1581</f>
        <v/>
      </c>
      <c r="F1581" s="55">
        <f>Orders!F1581</f>
        <v/>
      </c>
      <c r="G1581" s="55">
        <f>Orders!G1581</f>
        <v/>
      </c>
      <c r="H1581" s="55">
        <f>Orders!H1581</f>
        <v/>
      </c>
      <c r="I1581" s="55">
        <f>Orders!I1581</f>
        <v/>
      </c>
      <c r="J1581" s="55">
        <f>Orders!J1581</f>
        <v/>
      </c>
      <c r="K1581" s="55">
        <f>Orders!K1581</f>
        <v/>
      </c>
      <c r="L1581" s="55">
        <f>VLOOKUP(D1581,Products!$A$2:$F$61,3,FALSE())</f>
        <v/>
      </c>
      <c r="M1581" s="55">
        <f>VLOOKUP(C1581,Customers!$A$2:$F$301,5,FALSE())</f>
        <v/>
      </c>
      <c r="N1581" s="55">
        <f>VLOOKUP(E1581,Sales_Reps!$A$2:$E$31,3,FALSE())</f>
        <v/>
      </c>
      <c r="O1581" s="55">
        <f>VLOOKUP(D1581,Products!$A$2:$F$61,4,FALSE())</f>
        <v/>
      </c>
      <c r="P1581" s="55">
        <f>VLOOKUP(C1581,Customers!$A$2:$F$301,3,FALSE())</f>
        <v/>
      </c>
      <c r="Q1581" s="55">
        <f>UPPER(TRIM(K1581))</f>
        <v/>
      </c>
      <c r="R1581" s="55">
        <f>(G1581-O1581)/G1581</f>
        <v/>
      </c>
      <c r="S1581" s="55">
        <f>VLOOKUP(D1581,Products!$A$2:$F$61,6,FALSE())</f>
        <v/>
      </c>
    </row>
    <row r="1582" ht="15" customHeight="1" s="56">
      <c r="A1582" s="55">
        <f>Orders!A1582</f>
        <v/>
      </c>
      <c r="B1582" s="103">
        <f>Orders!B1582</f>
        <v/>
      </c>
      <c r="C1582" s="55">
        <f>Orders!C1582</f>
        <v/>
      </c>
      <c r="D1582" s="55">
        <f>Orders!D1582</f>
        <v/>
      </c>
      <c r="E1582" s="55">
        <f>Orders!E1582</f>
        <v/>
      </c>
      <c r="F1582" s="55">
        <f>Orders!F1582</f>
        <v/>
      </c>
      <c r="G1582" s="55">
        <f>Orders!G1582</f>
        <v/>
      </c>
      <c r="H1582" s="55">
        <f>Orders!H1582</f>
        <v/>
      </c>
      <c r="I1582" s="55">
        <f>Orders!I1582</f>
        <v/>
      </c>
      <c r="J1582" s="55">
        <f>Orders!J1582</f>
        <v/>
      </c>
      <c r="K1582" s="55">
        <f>Orders!K1582</f>
        <v/>
      </c>
      <c r="L1582" s="55">
        <f>VLOOKUP(D1582,Products!$A$2:$F$61,3,FALSE())</f>
        <v/>
      </c>
      <c r="M1582" s="55">
        <f>VLOOKUP(C1582,Customers!$A$2:$F$301,5,FALSE())</f>
        <v/>
      </c>
      <c r="N1582" s="55">
        <f>VLOOKUP(E1582,Sales_Reps!$A$2:$E$31,3,FALSE())</f>
        <v/>
      </c>
      <c r="O1582" s="55">
        <f>VLOOKUP(D1582,Products!$A$2:$F$61,4,FALSE())</f>
        <v/>
      </c>
      <c r="P1582" s="55">
        <f>VLOOKUP(C1582,Customers!$A$2:$F$301,3,FALSE())</f>
        <v/>
      </c>
      <c r="Q1582" s="55">
        <f>UPPER(TRIM(K1582))</f>
        <v/>
      </c>
      <c r="R1582" s="55">
        <f>(G1582-O1582)/G1582</f>
        <v/>
      </c>
      <c r="S1582" s="55">
        <f>VLOOKUP(D1582,Products!$A$2:$F$61,6,FALSE())</f>
        <v/>
      </c>
    </row>
    <row r="1583" ht="15" customHeight="1" s="56">
      <c r="A1583" s="55">
        <f>Orders!A1583</f>
        <v/>
      </c>
      <c r="B1583" s="103">
        <f>Orders!B1583</f>
        <v/>
      </c>
      <c r="C1583" s="55">
        <f>Orders!C1583</f>
        <v/>
      </c>
      <c r="D1583" s="55">
        <f>Orders!D1583</f>
        <v/>
      </c>
      <c r="E1583" s="55">
        <f>Orders!E1583</f>
        <v/>
      </c>
      <c r="F1583" s="55">
        <f>Orders!F1583</f>
        <v/>
      </c>
      <c r="G1583" s="55">
        <f>Orders!G1583</f>
        <v/>
      </c>
      <c r="H1583" s="55">
        <f>Orders!H1583</f>
        <v/>
      </c>
      <c r="I1583" s="55">
        <f>Orders!I1583</f>
        <v/>
      </c>
      <c r="J1583" s="55">
        <f>Orders!J1583</f>
        <v/>
      </c>
      <c r="K1583" s="55">
        <f>Orders!K1583</f>
        <v/>
      </c>
      <c r="L1583" s="55">
        <f>VLOOKUP(D1583,Products!$A$2:$F$61,3,FALSE())</f>
        <v/>
      </c>
      <c r="M1583" s="55">
        <f>VLOOKUP(C1583,Customers!$A$2:$F$301,5,FALSE())</f>
        <v/>
      </c>
      <c r="N1583" s="55">
        <f>VLOOKUP(E1583,Sales_Reps!$A$2:$E$31,3,FALSE())</f>
        <v/>
      </c>
      <c r="O1583" s="55">
        <f>VLOOKUP(D1583,Products!$A$2:$F$61,4,FALSE())</f>
        <v/>
      </c>
      <c r="P1583" s="55">
        <f>VLOOKUP(C1583,Customers!$A$2:$F$301,3,FALSE())</f>
        <v/>
      </c>
      <c r="Q1583" s="55">
        <f>UPPER(TRIM(K1583))</f>
        <v/>
      </c>
      <c r="R1583" s="55">
        <f>(G1583-O1583)/G1583</f>
        <v/>
      </c>
      <c r="S1583" s="55">
        <f>VLOOKUP(D1583,Products!$A$2:$F$61,6,FALSE())</f>
        <v/>
      </c>
    </row>
    <row r="1584" ht="15" customHeight="1" s="56">
      <c r="A1584" s="55">
        <f>Orders!A1584</f>
        <v/>
      </c>
      <c r="B1584" s="103">
        <f>Orders!B1584</f>
        <v/>
      </c>
      <c r="C1584" s="55">
        <f>Orders!C1584</f>
        <v/>
      </c>
      <c r="D1584" s="55">
        <f>Orders!D1584</f>
        <v/>
      </c>
      <c r="E1584" s="55">
        <f>Orders!E1584</f>
        <v/>
      </c>
      <c r="F1584" s="55">
        <f>Orders!F1584</f>
        <v/>
      </c>
      <c r="G1584" s="55">
        <f>Orders!G1584</f>
        <v/>
      </c>
      <c r="H1584" s="55">
        <f>Orders!H1584</f>
        <v/>
      </c>
      <c r="I1584" s="55">
        <f>Orders!I1584</f>
        <v/>
      </c>
      <c r="J1584" s="55">
        <f>Orders!J1584</f>
        <v/>
      </c>
      <c r="K1584" s="55">
        <f>Orders!K1584</f>
        <v/>
      </c>
      <c r="L1584" s="55">
        <f>VLOOKUP(D1584,Products!$A$2:$F$61,3,FALSE())</f>
        <v/>
      </c>
      <c r="M1584" s="55">
        <f>VLOOKUP(C1584,Customers!$A$2:$F$301,5,FALSE())</f>
        <v/>
      </c>
      <c r="N1584" s="55">
        <f>VLOOKUP(E1584,Sales_Reps!$A$2:$E$31,3,FALSE())</f>
        <v/>
      </c>
      <c r="O1584" s="55">
        <f>VLOOKUP(D1584,Products!$A$2:$F$61,4,FALSE())</f>
        <v/>
      </c>
      <c r="P1584" s="55">
        <f>VLOOKUP(C1584,Customers!$A$2:$F$301,3,FALSE())</f>
        <v/>
      </c>
      <c r="Q1584" s="55">
        <f>UPPER(TRIM(K1584))</f>
        <v/>
      </c>
      <c r="R1584" s="55">
        <f>(G1584-O1584)/G1584</f>
        <v/>
      </c>
      <c r="S1584" s="55">
        <f>VLOOKUP(D1584,Products!$A$2:$F$61,6,FALSE())</f>
        <v/>
      </c>
    </row>
    <row r="1585" ht="15" customHeight="1" s="56">
      <c r="A1585" s="55">
        <f>Orders!A1585</f>
        <v/>
      </c>
      <c r="B1585" s="103">
        <f>Orders!B1585</f>
        <v/>
      </c>
      <c r="C1585" s="55">
        <f>Orders!C1585</f>
        <v/>
      </c>
      <c r="D1585" s="55">
        <f>Orders!D1585</f>
        <v/>
      </c>
      <c r="E1585" s="55">
        <f>Orders!E1585</f>
        <v/>
      </c>
      <c r="F1585" s="55">
        <f>Orders!F1585</f>
        <v/>
      </c>
      <c r="G1585" s="55">
        <f>Orders!G1585</f>
        <v/>
      </c>
      <c r="H1585" s="55">
        <f>Orders!H1585</f>
        <v/>
      </c>
      <c r="I1585" s="55">
        <f>Orders!I1585</f>
        <v/>
      </c>
      <c r="J1585" s="55">
        <f>Orders!J1585</f>
        <v/>
      </c>
      <c r="K1585" s="55">
        <f>Orders!K1585</f>
        <v/>
      </c>
      <c r="L1585" s="55">
        <f>VLOOKUP(D1585,Products!$A$2:$F$61,3,FALSE())</f>
        <v/>
      </c>
      <c r="M1585" s="55">
        <f>VLOOKUP(C1585,Customers!$A$2:$F$301,5,FALSE())</f>
        <v/>
      </c>
      <c r="N1585" s="55">
        <f>VLOOKUP(E1585,Sales_Reps!$A$2:$E$31,3,FALSE())</f>
        <v/>
      </c>
      <c r="O1585" s="55">
        <f>VLOOKUP(D1585,Products!$A$2:$F$61,4,FALSE())</f>
        <v/>
      </c>
      <c r="P1585" s="55">
        <f>VLOOKUP(C1585,Customers!$A$2:$F$301,3,FALSE())</f>
        <v/>
      </c>
      <c r="Q1585" s="55">
        <f>UPPER(TRIM(K1585))</f>
        <v/>
      </c>
      <c r="R1585" s="55">
        <f>(G1585-O1585)/G1585</f>
        <v/>
      </c>
      <c r="S1585" s="55">
        <f>VLOOKUP(D1585,Products!$A$2:$F$61,6,FALSE())</f>
        <v/>
      </c>
    </row>
    <row r="1586" ht="15" customHeight="1" s="56">
      <c r="A1586" s="55">
        <f>Orders!A1586</f>
        <v/>
      </c>
      <c r="B1586" s="103">
        <f>Orders!B1586</f>
        <v/>
      </c>
      <c r="C1586" s="55">
        <f>Orders!C1586</f>
        <v/>
      </c>
      <c r="D1586" s="55">
        <f>Orders!D1586</f>
        <v/>
      </c>
      <c r="E1586" s="55">
        <f>Orders!E1586</f>
        <v/>
      </c>
      <c r="F1586" s="55">
        <f>Orders!F1586</f>
        <v/>
      </c>
      <c r="G1586" s="55">
        <f>Orders!G1586</f>
        <v/>
      </c>
      <c r="H1586" s="55">
        <f>Orders!H1586</f>
        <v/>
      </c>
      <c r="I1586" s="55">
        <f>Orders!I1586</f>
        <v/>
      </c>
      <c r="J1586" s="55">
        <f>Orders!J1586</f>
        <v/>
      </c>
      <c r="K1586" s="55">
        <f>Orders!K1586</f>
        <v/>
      </c>
      <c r="L1586" s="55">
        <f>VLOOKUP(D1586,Products!$A$2:$F$61,3,FALSE())</f>
        <v/>
      </c>
      <c r="M1586" s="55">
        <f>VLOOKUP(C1586,Customers!$A$2:$F$301,5,FALSE())</f>
        <v/>
      </c>
      <c r="N1586" s="55">
        <f>VLOOKUP(E1586,Sales_Reps!$A$2:$E$31,3,FALSE())</f>
        <v/>
      </c>
      <c r="O1586" s="55">
        <f>VLOOKUP(D1586,Products!$A$2:$F$61,4,FALSE())</f>
        <v/>
      </c>
      <c r="P1586" s="55">
        <f>VLOOKUP(C1586,Customers!$A$2:$F$301,3,FALSE())</f>
        <v/>
      </c>
      <c r="Q1586" s="55">
        <f>UPPER(TRIM(K1586))</f>
        <v/>
      </c>
      <c r="R1586" s="55">
        <f>(G1586-O1586)/G1586</f>
        <v/>
      </c>
      <c r="S1586" s="55">
        <f>VLOOKUP(D1586,Products!$A$2:$F$61,6,FALSE())</f>
        <v/>
      </c>
    </row>
    <row r="1587" ht="15" customHeight="1" s="56">
      <c r="A1587" s="55">
        <f>Orders!A1587</f>
        <v/>
      </c>
      <c r="B1587" s="103">
        <f>Orders!B1587</f>
        <v/>
      </c>
      <c r="C1587" s="55">
        <f>Orders!C1587</f>
        <v/>
      </c>
      <c r="D1587" s="55">
        <f>Orders!D1587</f>
        <v/>
      </c>
      <c r="E1587" s="55">
        <f>Orders!E1587</f>
        <v/>
      </c>
      <c r="F1587" s="55">
        <f>Orders!F1587</f>
        <v/>
      </c>
      <c r="G1587" s="55">
        <f>Orders!G1587</f>
        <v/>
      </c>
      <c r="H1587" s="55">
        <f>Orders!H1587</f>
        <v/>
      </c>
      <c r="I1587" s="55">
        <f>Orders!I1587</f>
        <v/>
      </c>
      <c r="J1587" s="55">
        <f>Orders!J1587</f>
        <v/>
      </c>
      <c r="K1587" s="55">
        <f>Orders!K1587</f>
        <v/>
      </c>
      <c r="L1587" s="55">
        <f>VLOOKUP(D1587,Products!$A$2:$F$61,3,FALSE())</f>
        <v/>
      </c>
      <c r="M1587" s="55">
        <f>VLOOKUP(C1587,Customers!$A$2:$F$301,5,FALSE())</f>
        <v/>
      </c>
      <c r="N1587" s="55">
        <f>VLOOKUP(E1587,Sales_Reps!$A$2:$E$31,3,FALSE())</f>
        <v/>
      </c>
      <c r="O1587" s="55">
        <f>VLOOKUP(D1587,Products!$A$2:$F$61,4,FALSE())</f>
        <v/>
      </c>
      <c r="P1587" s="55">
        <f>VLOOKUP(C1587,Customers!$A$2:$F$301,3,FALSE())</f>
        <v/>
      </c>
      <c r="Q1587" s="55">
        <f>UPPER(TRIM(K1587))</f>
        <v/>
      </c>
      <c r="R1587" s="55">
        <f>(G1587-O1587)/G1587</f>
        <v/>
      </c>
      <c r="S1587" s="55">
        <f>VLOOKUP(D1587,Products!$A$2:$F$61,6,FALSE())</f>
        <v/>
      </c>
    </row>
    <row r="1588" ht="15" customHeight="1" s="56">
      <c r="A1588" s="55">
        <f>Orders!A1588</f>
        <v/>
      </c>
      <c r="B1588" s="103">
        <f>Orders!B1588</f>
        <v/>
      </c>
      <c r="C1588" s="55">
        <f>Orders!C1588</f>
        <v/>
      </c>
      <c r="D1588" s="55">
        <f>Orders!D1588</f>
        <v/>
      </c>
      <c r="E1588" s="55">
        <f>Orders!E1588</f>
        <v/>
      </c>
      <c r="F1588" s="55">
        <f>Orders!F1588</f>
        <v/>
      </c>
      <c r="G1588" s="55">
        <f>Orders!G1588</f>
        <v/>
      </c>
      <c r="H1588" s="55">
        <f>Orders!H1588</f>
        <v/>
      </c>
      <c r="I1588" s="55">
        <f>Orders!I1588</f>
        <v/>
      </c>
      <c r="J1588" s="55">
        <f>Orders!J1588</f>
        <v/>
      </c>
      <c r="K1588" s="55">
        <f>Orders!K1588</f>
        <v/>
      </c>
      <c r="L1588" s="55">
        <f>VLOOKUP(D1588,Products!$A$2:$F$61,3,FALSE())</f>
        <v/>
      </c>
      <c r="M1588" s="55">
        <f>VLOOKUP(C1588,Customers!$A$2:$F$301,5,FALSE())</f>
        <v/>
      </c>
      <c r="N1588" s="55">
        <f>VLOOKUP(E1588,Sales_Reps!$A$2:$E$31,3,FALSE())</f>
        <v/>
      </c>
      <c r="O1588" s="55">
        <f>VLOOKUP(D1588,Products!$A$2:$F$61,4,FALSE())</f>
        <v/>
      </c>
      <c r="P1588" s="55">
        <f>VLOOKUP(C1588,Customers!$A$2:$F$301,3,FALSE())</f>
        <v/>
      </c>
      <c r="Q1588" s="55">
        <f>UPPER(TRIM(K1588))</f>
        <v/>
      </c>
      <c r="R1588" s="55">
        <f>(G1588-O1588)/G1588</f>
        <v/>
      </c>
      <c r="S1588" s="55">
        <f>VLOOKUP(D1588,Products!$A$2:$F$61,6,FALSE())</f>
        <v/>
      </c>
    </row>
    <row r="1589" ht="15" customHeight="1" s="56">
      <c r="A1589" s="55">
        <f>Orders!A1589</f>
        <v/>
      </c>
      <c r="B1589" s="103">
        <f>Orders!B1589</f>
        <v/>
      </c>
      <c r="C1589" s="55">
        <f>Orders!C1589</f>
        <v/>
      </c>
      <c r="D1589" s="55">
        <f>Orders!D1589</f>
        <v/>
      </c>
      <c r="E1589" s="55">
        <f>Orders!E1589</f>
        <v/>
      </c>
      <c r="F1589" s="55">
        <f>Orders!F1589</f>
        <v/>
      </c>
      <c r="G1589" s="55">
        <f>Orders!G1589</f>
        <v/>
      </c>
      <c r="H1589" s="55">
        <f>Orders!H1589</f>
        <v/>
      </c>
      <c r="I1589" s="55">
        <f>Orders!I1589</f>
        <v/>
      </c>
      <c r="J1589" s="55">
        <f>Orders!J1589</f>
        <v/>
      </c>
      <c r="K1589" s="55">
        <f>Orders!K1589</f>
        <v/>
      </c>
      <c r="L1589" s="55">
        <f>VLOOKUP(D1589,Products!$A$2:$F$61,3,FALSE())</f>
        <v/>
      </c>
      <c r="M1589" s="55">
        <f>VLOOKUP(C1589,Customers!$A$2:$F$301,5,FALSE())</f>
        <v/>
      </c>
      <c r="N1589" s="55">
        <f>VLOOKUP(E1589,Sales_Reps!$A$2:$E$31,3,FALSE())</f>
        <v/>
      </c>
      <c r="O1589" s="55">
        <f>VLOOKUP(D1589,Products!$A$2:$F$61,4,FALSE())</f>
        <v/>
      </c>
      <c r="P1589" s="55">
        <f>VLOOKUP(C1589,Customers!$A$2:$F$301,3,FALSE())</f>
        <v/>
      </c>
      <c r="Q1589" s="55">
        <f>UPPER(TRIM(K1589))</f>
        <v/>
      </c>
      <c r="R1589" s="55">
        <f>(G1589-O1589)/G1589</f>
        <v/>
      </c>
      <c r="S1589" s="55">
        <f>VLOOKUP(D1589,Products!$A$2:$F$61,6,FALSE())</f>
        <v/>
      </c>
    </row>
    <row r="1590" ht="15" customHeight="1" s="56">
      <c r="A1590" s="55">
        <f>Orders!A1590</f>
        <v/>
      </c>
      <c r="B1590" s="103">
        <f>Orders!B1590</f>
        <v/>
      </c>
      <c r="C1590" s="55">
        <f>Orders!C1590</f>
        <v/>
      </c>
      <c r="D1590" s="55">
        <f>Orders!D1590</f>
        <v/>
      </c>
      <c r="E1590" s="55">
        <f>Orders!E1590</f>
        <v/>
      </c>
      <c r="F1590" s="55">
        <f>Orders!F1590</f>
        <v/>
      </c>
      <c r="G1590" s="55">
        <f>Orders!G1590</f>
        <v/>
      </c>
      <c r="H1590" s="55">
        <f>Orders!H1590</f>
        <v/>
      </c>
      <c r="I1590" s="55">
        <f>Orders!I1590</f>
        <v/>
      </c>
      <c r="J1590" s="55">
        <f>Orders!J1590</f>
        <v/>
      </c>
      <c r="K1590" s="55">
        <f>Orders!K1590</f>
        <v/>
      </c>
      <c r="L1590" s="55">
        <f>VLOOKUP(D1590,Products!$A$2:$F$61,3,FALSE())</f>
        <v/>
      </c>
      <c r="M1590" s="55">
        <f>VLOOKUP(C1590,Customers!$A$2:$F$301,5,FALSE())</f>
        <v/>
      </c>
      <c r="N1590" s="55">
        <f>VLOOKUP(E1590,Sales_Reps!$A$2:$E$31,3,FALSE())</f>
        <v/>
      </c>
      <c r="O1590" s="55">
        <f>VLOOKUP(D1590,Products!$A$2:$F$61,4,FALSE())</f>
        <v/>
      </c>
      <c r="P1590" s="55">
        <f>VLOOKUP(C1590,Customers!$A$2:$F$301,3,FALSE())</f>
        <v/>
      </c>
      <c r="Q1590" s="55">
        <f>UPPER(TRIM(K1590))</f>
        <v/>
      </c>
      <c r="R1590" s="55">
        <f>(G1590-O1590)/G1590</f>
        <v/>
      </c>
      <c r="S1590" s="55">
        <f>VLOOKUP(D1590,Products!$A$2:$F$61,6,FALSE())</f>
        <v/>
      </c>
    </row>
    <row r="1591" ht="15" customHeight="1" s="56">
      <c r="A1591" s="55">
        <f>Orders!A1591</f>
        <v/>
      </c>
      <c r="B1591" s="103">
        <f>Orders!B1591</f>
        <v/>
      </c>
      <c r="C1591" s="55">
        <f>Orders!C1591</f>
        <v/>
      </c>
      <c r="D1591" s="55">
        <f>Orders!D1591</f>
        <v/>
      </c>
      <c r="E1591" s="55">
        <f>Orders!E1591</f>
        <v/>
      </c>
      <c r="F1591" s="55">
        <f>Orders!F1591</f>
        <v/>
      </c>
      <c r="G1591" s="55">
        <f>Orders!G1591</f>
        <v/>
      </c>
      <c r="H1591" s="55">
        <f>Orders!H1591</f>
        <v/>
      </c>
      <c r="I1591" s="55">
        <f>Orders!I1591</f>
        <v/>
      </c>
      <c r="J1591" s="55">
        <f>Orders!J1591</f>
        <v/>
      </c>
      <c r="K1591" s="55">
        <f>Orders!K1591</f>
        <v/>
      </c>
      <c r="L1591" s="55">
        <f>VLOOKUP(D1591,Products!$A$2:$F$61,3,FALSE())</f>
        <v/>
      </c>
      <c r="M1591" s="55">
        <f>VLOOKUP(C1591,Customers!$A$2:$F$301,5,FALSE())</f>
        <v/>
      </c>
      <c r="N1591" s="55">
        <f>VLOOKUP(E1591,Sales_Reps!$A$2:$E$31,3,FALSE())</f>
        <v/>
      </c>
      <c r="O1591" s="55">
        <f>VLOOKUP(D1591,Products!$A$2:$F$61,4,FALSE())</f>
        <v/>
      </c>
      <c r="P1591" s="55">
        <f>VLOOKUP(C1591,Customers!$A$2:$F$301,3,FALSE())</f>
        <v/>
      </c>
      <c r="Q1591" s="55">
        <f>UPPER(TRIM(K1591))</f>
        <v/>
      </c>
      <c r="R1591" s="55">
        <f>(G1591-O1591)/G1591</f>
        <v/>
      </c>
      <c r="S1591" s="55">
        <f>VLOOKUP(D1591,Products!$A$2:$F$61,6,FALSE())</f>
        <v/>
      </c>
    </row>
    <row r="1592" ht="15" customHeight="1" s="56">
      <c r="A1592" s="55">
        <f>Orders!A1592</f>
        <v/>
      </c>
      <c r="B1592" s="103">
        <f>Orders!B1592</f>
        <v/>
      </c>
      <c r="C1592" s="55">
        <f>Orders!C1592</f>
        <v/>
      </c>
      <c r="D1592" s="55">
        <f>Orders!D1592</f>
        <v/>
      </c>
      <c r="E1592" s="55">
        <f>Orders!E1592</f>
        <v/>
      </c>
      <c r="F1592" s="55">
        <f>Orders!F1592</f>
        <v/>
      </c>
      <c r="G1592" s="55">
        <f>Orders!G1592</f>
        <v/>
      </c>
      <c r="H1592" s="55">
        <f>Orders!H1592</f>
        <v/>
      </c>
      <c r="I1592" s="55">
        <f>Orders!I1592</f>
        <v/>
      </c>
      <c r="J1592" s="55">
        <f>Orders!J1592</f>
        <v/>
      </c>
      <c r="K1592" s="55">
        <f>Orders!K1592</f>
        <v/>
      </c>
      <c r="L1592" s="55">
        <f>VLOOKUP(D1592,Products!$A$2:$F$61,3,FALSE())</f>
        <v/>
      </c>
      <c r="M1592" s="55">
        <f>VLOOKUP(C1592,Customers!$A$2:$F$301,5,FALSE())</f>
        <v/>
      </c>
      <c r="N1592" s="55">
        <f>VLOOKUP(E1592,Sales_Reps!$A$2:$E$31,3,FALSE())</f>
        <v/>
      </c>
      <c r="O1592" s="55">
        <f>VLOOKUP(D1592,Products!$A$2:$F$61,4,FALSE())</f>
        <v/>
      </c>
      <c r="P1592" s="55">
        <f>VLOOKUP(C1592,Customers!$A$2:$F$301,3,FALSE())</f>
        <v/>
      </c>
      <c r="Q1592" s="55">
        <f>UPPER(TRIM(K1592))</f>
        <v/>
      </c>
      <c r="R1592" s="55">
        <f>(G1592-O1592)/G1592</f>
        <v/>
      </c>
      <c r="S1592" s="55">
        <f>VLOOKUP(D1592,Products!$A$2:$F$61,6,FALSE())</f>
        <v/>
      </c>
    </row>
    <row r="1593" ht="15" customHeight="1" s="56">
      <c r="A1593" s="55">
        <f>Orders!A1593</f>
        <v/>
      </c>
      <c r="B1593" s="103">
        <f>Orders!B1593</f>
        <v/>
      </c>
      <c r="C1593" s="55">
        <f>Orders!C1593</f>
        <v/>
      </c>
      <c r="D1593" s="55">
        <f>Orders!D1593</f>
        <v/>
      </c>
      <c r="E1593" s="55">
        <f>Orders!E1593</f>
        <v/>
      </c>
      <c r="F1593" s="55">
        <f>Orders!F1593</f>
        <v/>
      </c>
      <c r="G1593" s="55">
        <f>Orders!G1593</f>
        <v/>
      </c>
      <c r="H1593" s="55">
        <f>Orders!H1593</f>
        <v/>
      </c>
      <c r="I1593" s="55">
        <f>Orders!I1593</f>
        <v/>
      </c>
      <c r="J1593" s="55">
        <f>Orders!J1593</f>
        <v/>
      </c>
      <c r="K1593" s="55">
        <f>Orders!K1593</f>
        <v/>
      </c>
      <c r="L1593" s="55">
        <f>VLOOKUP(D1593,Products!$A$2:$F$61,3,FALSE())</f>
        <v/>
      </c>
      <c r="M1593" s="55">
        <f>VLOOKUP(C1593,Customers!$A$2:$F$301,5,FALSE())</f>
        <v/>
      </c>
      <c r="N1593" s="55">
        <f>VLOOKUP(E1593,Sales_Reps!$A$2:$E$31,3,FALSE())</f>
        <v/>
      </c>
      <c r="O1593" s="55">
        <f>VLOOKUP(D1593,Products!$A$2:$F$61,4,FALSE())</f>
        <v/>
      </c>
      <c r="P1593" s="55">
        <f>VLOOKUP(C1593,Customers!$A$2:$F$301,3,FALSE())</f>
        <v/>
      </c>
      <c r="Q1593" s="55">
        <f>UPPER(TRIM(K1593))</f>
        <v/>
      </c>
      <c r="R1593" s="55">
        <f>(G1593-O1593)/G1593</f>
        <v/>
      </c>
      <c r="S1593" s="55">
        <f>VLOOKUP(D1593,Products!$A$2:$F$61,6,FALSE())</f>
        <v/>
      </c>
    </row>
    <row r="1594" ht="15" customHeight="1" s="56">
      <c r="A1594" s="55">
        <f>Orders!A1594</f>
        <v/>
      </c>
      <c r="B1594" s="103">
        <f>Orders!B1594</f>
        <v/>
      </c>
      <c r="C1594" s="55">
        <f>Orders!C1594</f>
        <v/>
      </c>
      <c r="D1594" s="55">
        <f>Orders!D1594</f>
        <v/>
      </c>
      <c r="E1594" s="55">
        <f>Orders!E1594</f>
        <v/>
      </c>
      <c r="F1594" s="55">
        <f>Orders!F1594</f>
        <v/>
      </c>
      <c r="G1594" s="55">
        <f>Orders!G1594</f>
        <v/>
      </c>
      <c r="H1594" s="55">
        <f>Orders!H1594</f>
        <v/>
      </c>
      <c r="I1594" s="55">
        <f>Orders!I1594</f>
        <v/>
      </c>
      <c r="J1594" s="55">
        <f>Orders!J1594</f>
        <v/>
      </c>
      <c r="K1594" s="55">
        <f>Orders!K1594</f>
        <v/>
      </c>
      <c r="L1594" s="55">
        <f>VLOOKUP(D1594,Products!$A$2:$F$61,3,FALSE())</f>
        <v/>
      </c>
      <c r="M1594" s="55">
        <f>VLOOKUP(C1594,Customers!$A$2:$F$301,5,FALSE())</f>
        <v/>
      </c>
      <c r="N1594" s="55">
        <f>VLOOKUP(E1594,Sales_Reps!$A$2:$E$31,3,FALSE())</f>
        <v/>
      </c>
      <c r="O1594" s="55">
        <f>VLOOKUP(D1594,Products!$A$2:$F$61,4,FALSE())</f>
        <v/>
      </c>
      <c r="P1594" s="55">
        <f>VLOOKUP(C1594,Customers!$A$2:$F$301,3,FALSE())</f>
        <v/>
      </c>
      <c r="Q1594" s="55">
        <f>UPPER(TRIM(K1594))</f>
        <v/>
      </c>
      <c r="R1594" s="55">
        <f>(G1594-O1594)/G1594</f>
        <v/>
      </c>
      <c r="S1594" s="55">
        <f>VLOOKUP(D1594,Products!$A$2:$F$61,6,FALSE())</f>
        <v/>
      </c>
    </row>
    <row r="1595" ht="15" customHeight="1" s="56">
      <c r="A1595" s="55">
        <f>Orders!A1595</f>
        <v/>
      </c>
      <c r="B1595" s="103">
        <f>Orders!B1595</f>
        <v/>
      </c>
      <c r="C1595" s="55">
        <f>Orders!C1595</f>
        <v/>
      </c>
      <c r="D1595" s="55">
        <f>Orders!D1595</f>
        <v/>
      </c>
      <c r="E1595" s="55">
        <f>Orders!E1595</f>
        <v/>
      </c>
      <c r="F1595" s="55">
        <f>Orders!F1595</f>
        <v/>
      </c>
      <c r="G1595" s="55">
        <f>Orders!G1595</f>
        <v/>
      </c>
      <c r="H1595" s="55">
        <f>Orders!H1595</f>
        <v/>
      </c>
      <c r="I1595" s="55">
        <f>Orders!I1595</f>
        <v/>
      </c>
      <c r="J1595" s="55">
        <f>Orders!J1595</f>
        <v/>
      </c>
      <c r="K1595" s="55">
        <f>Orders!K1595</f>
        <v/>
      </c>
      <c r="L1595" s="55">
        <f>VLOOKUP(D1595,Products!$A$2:$F$61,3,FALSE())</f>
        <v/>
      </c>
      <c r="M1595" s="55">
        <f>VLOOKUP(C1595,Customers!$A$2:$F$301,5,FALSE())</f>
        <v/>
      </c>
      <c r="N1595" s="55">
        <f>VLOOKUP(E1595,Sales_Reps!$A$2:$E$31,3,FALSE())</f>
        <v/>
      </c>
      <c r="O1595" s="55">
        <f>VLOOKUP(D1595,Products!$A$2:$F$61,4,FALSE())</f>
        <v/>
      </c>
      <c r="P1595" s="55">
        <f>VLOOKUP(C1595,Customers!$A$2:$F$301,3,FALSE())</f>
        <v/>
      </c>
      <c r="Q1595" s="55">
        <f>UPPER(TRIM(K1595))</f>
        <v/>
      </c>
      <c r="R1595" s="55">
        <f>(G1595-O1595)/G1595</f>
        <v/>
      </c>
      <c r="S1595" s="55">
        <f>VLOOKUP(D1595,Products!$A$2:$F$61,6,FALSE())</f>
        <v/>
      </c>
    </row>
    <row r="1596" ht="15" customHeight="1" s="56">
      <c r="A1596" s="55">
        <f>Orders!A1596</f>
        <v/>
      </c>
      <c r="B1596" s="103">
        <f>Orders!B1596</f>
        <v/>
      </c>
      <c r="C1596" s="55">
        <f>Orders!C1596</f>
        <v/>
      </c>
      <c r="D1596" s="55">
        <f>Orders!D1596</f>
        <v/>
      </c>
      <c r="E1596" s="55">
        <f>Orders!E1596</f>
        <v/>
      </c>
      <c r="F1596" s="55">
        <f>Orders!F1596</f>
        <v/>
      </c>
      <c r="G1596" s="55">
        <f>Orders!G1596</f>
        <v/>
      </c>
      <c r="H1596" s="55">
        <f>Orders!H1596</f>
        <v/>
      </c>
      <c r="I1596" s="55">
        <f>Orders!I1596</f>
        <v/>
      </c>
      <c r="J1596" s="55">
        <f>Orders!J1596</f>
        <v/>
      </c>
      <c r="K1596" s="55">
        <f>Orders!K1596</f>
        <v/>
      </c>
      <c r="L1596" s="55">
        <f>VLOOKUP(D1596,Products!$A$2:$F$61,3,FALSE())</f>
        <v/>
      </c>
      <c r="M1596" s="55">
        <f>VLOOKUP(C1596,Customers!$A$2:$F$301,5,FALSE())</f>
        <v/>
      </c>
      <c r="N1596" s="55">
        <f>VLOOKUP(E1596,Sales_Reps!$A$2:$E$31,3,FALSE())</f>
        <v/>
      </c>
      <c r="O1596" s="55">
        <f>VLOOKUP(D1596,Products!$A$2:$F$61,4,FALSE())</f>
        <v/>
      </c>
      <c r="P1596" s="55">
        <f>VLOOKUP(C1596,Customers!$A$2:$F$301,3,FALSE())</f>
        <v/>
      </c>
      <c r="Q1596" s="55">
        <f>UPPER(TRIM(K1596))</f>
        <v/>
      </c>
      <c r="R1596" s="55">
        <f>(G1596-O1596)/G1596</f>
        <v/>
      </c>
      <c r="S1596" s="55">
        <f>VLOOKUP(D1596,Products!$A$2:$F$61,6,FALSE())</f>
        <v/>
      </c>
    </row>
    <row r="1597" ht="15" customHeight="1" s="56">
      <c r="A1597" s="55">
        <f>Orders!A1597</f>
        <v/>
      </c>
      <c r="B1597" s="103">
        <f>Orders!B1597</f>
        <v/>
      </c>
      <c r="C1597" s="55">
        <f>Orders!C1597</f>
        <v/>
      </c>
      <c r="D1597" s="55">
        <f>Orders!D1597</f>
        <v/>
      </c>
      <c r="E1597" s="55">
        <f>Orders!E1597</f>
        <v/>
      </c>
      <c r="F1597" s="55">
        <f>Orders!F1597</f>
        <v/>
      </c>
      <c r="G1597" s="55">
        <f>Orders!G1597</f>
        <v/>
      </c>
      <c r="H1597" s="55">
        <f>Orders!H1597</f>
        <v/>
      </c>
      <c r="I1597" s="55">
        <f>Orders!I1597</f>
        <v/>
      </c>
      <c r="J1597" s="55">
        <f>Orders!J1597</f>
        <v/>
      </c>
      <c r="K1597" s="55">
        <f>Orders!K1597</f>
        <v/>
      </c>
      <c r="L1597" s="55">
        <f>VLOOKUP(D1597,Products!$A$2:$F$61,3,FALSE())</f>
        <v/>
      </c>
      <c r="M1597" s="55">
        <f>VLOOKUP(C1597,Customers!$A$2:$F$301,5,FALSE())</f>
        <v/>
      </c>
      <c r="N1597" s="55">
        <f>VLOOKUP(E1597,Sales_Reps!$A$2:$E$31,3,FALSE())</f>
        <v/>
      </c>
      <c r="O1597" s="55">
        <f>VLOOKUP(D1597,Products!$A$2:$F$61,4,FALSE())</f>
        <v/>
      </c>
      <c r="P1597" s="55">
        <f>VLOOKUP(C1597,Customers!$A$2:$F$301,3,FALSE())</f>
        <v/>
      </c>
      <c r="Q1597" s="55">
        <f>UPPER(TRIM(K1597))</f>
        <v/>
      </c>
      <c r="R1597" s="55">
        <f>(G1597-O1597)/G1597</f>
        <v/>
      </c>
      <c r="S1597" s="55">
        <f>VLOOKUP(D1597,Products!$A$2:$F$61,6,FALSE())</f>
        <v/>
      </c>
    </row>
    <row r="1598" ht="15" customHeight="1" s="56">
      <c r="A1598" s="55">
        <f>Orders!A1598</f>
        <v/>
      </c>
      <c r="B1598" s="103">
        <f>Orders!B1598</f>
        <v/>
      </c>
      <c r="C1598" s="55">
        <f>Orders!C1598</f>
        <v/>
      </c>
      <c r="D1598" s="55">
        <f>Orders!D1598</f>
        <v/>
      </c>
      <c r="E1598" s="55">
        <f>Orders!E1598</f>
        <v/>
      </c>
      <c r="F1598" s="55">
        <f>Orders!F1598</f>
        <v/>
      </c>
      <c r="G1598" s="55">
        <f>Orders!G1598</f>
        <v/>
      </c>
      <c r="H1598" s="55">
        <f>Orders!H1598</f>
        <v/>
      </c>
      <c r="I1598" s="55">
        <f>Orders!I1598</f>
        <v/>
      </c>
      <c r="J1598" s="55">
        <f>Orders!J1598</f>
        <v/>
      </c>
      <c r="K1598" s="55">
        <f>Orders!K1598</f>
        <v/>
      </c>
      <c r="L1598" s="55">
        <f>VLOOKUP(D1598,Products!$A$2:$F$61,3,FALSE())</f>
        <v/>
      </c>
      <c r="M1598" s="55">
        <f>VLOOKUP(C1598,Customers!$A$2:$F$301,5,FALSE())</f>
        <v/>
      </c>
      <c r="N1598" s="55">
        <f>VLOOKUP(E1598,Sales_Reps!$A$2:$E$31,3,FALSE())</f>
        <v/>
      </c>
      <c r="O1598" s="55">
        <f>VLOOKUP(D1598,Products!$A$2:$F$61,4,FALSE())</f>
        <v/>
      </c>
      <c r="P1598" s="55">
        <f>VLOOKUP(C1598,Customers!$A$2:$F$301,3,FALSE())</f>
        <v/>
      </c>
      <c r="Q1598" s="55">
        <f>UPPER(TRIM(K1598))</f>
        <v/>
      </c>
      <c r="R1598" s="55">
        <f>(G1598-O1598)/G1598</f>
        <v/>
      </c>
      <c r="S1598" s="55">
        <f>VLOOKUP(D1598,Products!$A$2:$F$61,6,FALSE())</f>
        <v/>
      </c>
    </row>
    <row r="1599" ht="15" customHeight="1" s="56">
      <c r="A1599" s="55">
        <f>Orders!A1599</f>
        <v/>
      </c>
      <c r="B1599" s="103">
        <f>Orders!B1599</f>
        <v/>
      </c>
      <c r="C1599" s="55">
        <f>Orders!C1599</f>
        <v/>
      </c>
      <c r="D1599" s="55">
        <f>Orders!D1599</f>
        <v/>
      </c>
      <c r="E1599" s="55">
        <f>Orders!E1599</f>
        <v/>
      </c>
      <c r="F1599" s="55">
        <f>Orders!F1599</f>
        <v/>
      </c>
      <c r="G1599" s="55">
        <f>Orders!G1599</f>
        <v/>
      </c>
      <c r="H1599" s="55">
        <f>Orders!H1599</f>
        <v/>
      </c>
      <c r="I1599" s="55">
        <f>Orders!I1599</f>
        <v/>
      </c>
      <c r="J1599" s="55">
        <f>Orders!J1599</f>
        <v/>
      </c>
      <c r="K1599" s="55">
        <f>Orders!K1599</f>
        <v/>
      </c>
      <c r="L1599" s="55">
        <f>VLOOKUP(D1599,Products!$A$2:$F$61,3,FALSE())</f>
        <v/>
      </c>
      <c r="M1599" s="55">
        <f>VLOOKUP(C1599,Customers!$A$2:$F$301,5,FALSE())</f>
        <v/>
      </c>
      <c r="N1599" s="55">
        <f>VLOOKUP(E1599,Sales_Reps!$A$2:$E$31,3,FALSE())</f>
        <v/>
      </c>
      <c r="O1599" s="55">
        <f>VLOOKUP(D1599,Products!$A$2:$F$61,4,FALSE())</f>
        <v/>
      </c>
      <c r="P1599" s="55">
        <f>VLOOKUP(C1599,Customers!$A$2:$F$301,3,FALSE())</f>
        <v/>
      </c>
      <c r="Q1599" s="55">
        <f>UPPER(TRIM(K1599))</f>
        <v/>
      </c>
      <c r="R1599" s="55">
        <f>(G1599-O1599)/G1599</f>
        <v/>
      </c>
      <c r="S1599" s="55">
        <f>VLOOKUP(D1599,Products!$A$2:$F$61,6,FALSE())</f>
        <v/>
      </c>
    </row>
    <row r="1600" ht="15" customHeight="1" s="56">
      <c r="A1600" s="55">
        <f>Orders!A1600</f>
        <v/>
      </c>
      <c r="B1600" s="103">
        <f>Orders!B1600</f>
        <v/>
      </c>
      <c r="C1600" s="55">
        <f>Orders!C1600</f>
        <v/>
      </c>
      <c r="D1600" s="55">
        <f>Orders!D1600</f>
        <v/>
      </c>
      <c r="E1600" s="55">
        <f>Orders!E1600</f>
        <v/>
      </c>
      <c r="F1600" s="55">
        <f>Orders!F1600</f>
        <v/>
      </c>
      <c r="G1600" s="55">
        <f>Orders!G1600</f>
        <v/>
      </c>
      <c r="H1600" s="55">
        <f>Orders!H1600</f>
        <v/>
      </c>
      <c r="I1600" s="55">
        <f>Orders!I1600</f>
        <v/>
      </c>
      <c r="J1600" s="55">
        <f>Orders!J1600</f>
        <v/>
      </c>
      <c r="K1600" s="55">
        <f>Orders!K1600</f>
        <v/>
      </c>
      <c r="L1600" s="55">
        <f>VLOOKUP(D1600,Products!$A$2:$F$61,3,FALSE())</f>
        <v/>
      </c>
      <c r="M1600" s="55">
        <f>VLOOKUP(C1600,Customers!$A$2:$F$301,5,FALSE())</f>
        <v/>
      </c>
      <c r="N1600" s="55">
        <f>VLOOKUP(E1600,Sales_Reps!$A$2:$E$31,3,FALSE())</f>
        <v/>
      </c>
      <c r="O1600" s="55">
        <f>VLOOKUP(D1600,Products!$A$2:$F$61,4,FALSE())</f>
        <v/>
      </c>
      <c r="P1600" s="55">
        <f>VLOOKUP(C1600,Customers!$A$2:$F$301,3,FALSE())</f>
        <v/>
      </c>
      <c r="Q1600" s="55">
        <f>UPPER(TRIM(K1600))</f>
        <v/>
      </c>
      <c r="R1600" s="55">
        <f>(G1600-O1600)/G1600</f>
        <v/>
      </c>
      <c r="S1600" s="55">
        <f>VLOOKUP(D1600,Products!$A$2:$F$61,6,FALSE())</f>
        <v/>
      </c>
    </row>
    <row r="1601" ht="15" customHeight="1" s="56">
      <c r="A1601" s="55">
        <f>Orders!A1601</f>
        <v/>
      </c>
      <c r="B1601" s="103">
        <f>Orders!B1601</f>
        <v/>
      </c>
      <c r="C1601" s="55">
        <f>Orders!C1601</f>
        <v/>
      </c>
      <c r="D1601" s="55">
        <f>Orders!D1601</f>
        <v/>
      </c>
      <c r="E1601" s="55">
        <f>Orders!E1601</f>
        <v/>
      </c>
      <c r="F1601" s="55">
        <f>Orders!F1601</f>
        <v/>
      </c>
      <c r="G1601" s="55">
        <f>Orders!G1601</f>
        <v/>
      </c>
      <c r="H1601" s="55">
        <f>Orders!H1601</f>
        <v/>
      </c>
      <c r="I1601" s="55">
        <f>Orders!I1601</f>
        <v/>
      </c>
      <c r="J1601" s="55">
        <f>Orders!J1601</f>
        <v/>
      </c>
      <c r="K1601" s="55">
        <f>Orders!K1601</f>
        <v/>
      </c>
      <c r="L1601" s="55">
        <f>VLOOKUP(D1601,Products!$A$2:$F$61,3,FALSE())</f>
        <v/>
      </c>
      <c r="M1601" s="55">
        <f>VLOOKUP(C1601,Customers!$A$2:$F$301,5,FALSE())</f>
        <v/>
      </c>
      <c r="N1601" s="55">
        <f>VLOOKUP(E1601,Sales_Reps!$A$2:$E$31,3,FALSE())</f>
        <v/>
      </c>
      <c r="O1601" s="55">
        <f>VLOOKUP(D1601,Products!$A$2:$F$61,4,FALSE())</f>
        <v/>
      </c>
      <c r="P1601" s="55">
        <f>VLOOKUP(C1601,Customers!$A$2:$F$301,3,FALSE())</f>
        <v/>
      </c>
      <c r="Q1601" s="55">
        <f>UPPER(TRIM(K1601))</f>
        <v/>
      </c>
      <c r="R1601" s="55">
        <f>(G1601-O1601)/G1601</f>
        <v/>
      </c>
      <c r="S1601" s="55">
        <f>VLOOKUP(D1601,Products!$A$2:$F$61,6,FALSE())</f>
        <v/>
      </c>
    </row>
    <row r="1602" ht="15" customHeight="1" s="56">
      <c r="A1602" s="55">
        <f>Orders!A1602</f>
        <v/>
      </c>
      <c r="B1602" s="103">
        <f>Orders!B1602</f>
        <v/>
      </c>
      <c r="C1602" s="55">
        <f>Orders!C1602</f>
        <v/>
      </c>
      <c r="D1602" s="55">
        <f>Orders!D1602</f>
        <v/>
      </c>
      <c r="E1602" s="55">
        <f>Orders!E1602</f>
        <v/>
      </c>
      <c r="F1602" s="55">
        <f>Orders!F1602</f>
        <v/>
      </c>
      <c r="G1602" s="55">
        <f>Orders!G1602</f>
        <v/>
      </c>
      <c r="H1602" s="55">
        <f>Orders!H1602</f>
        <v/>
      </c>
      <c r="I1602" s="55">
        <f>Orders!I1602</f>
        <v/>
      </c>
      <c r="J1602" s="55">
        <f>Orders!J1602</f>
        <v/>
      </c>
      <c r="K1602" s="55">
        <f>Orders!K1602</f>
        <v/>
      </c>
      <c r="L1602" s="55">
        <f>VLOOKUP(D1602,Products!$A$2:$F$61,3,FALSE())</f>
        <v/>
      </c>
      <c r="M1602" s="55">
        <f>VLOOKUP(C1602,Customers!$A$2:$F$301,5,FALSE())</f>
        <v/>
      </c>
      <c r="N1602" s="55">
        <f>VLOOKUP(E1602,Sales_Reps!$A$2:$E$31,3,FALSE())</f>
        <v/>
      </c>
      <c r="O1602" s="55">
        <f>VLOOKUP(D1602,Products!$A$2:$F$61,4,FALSE())</f>
        <v/>
      </c>
      <c r="P1602" s="55">
        <f>VLOOKUP(C1602,Customers!$A$2:$F$301,3,FALSE())</f>
        <v/>
      </c>
      <c r="Q1602" s="55">
        <f>UPPER(TRIM(K1602))</f>
        <v/>
      </c>
      <c r="R1602" s="55">
        <f>(G1602-O1602)/G1602</f>
        <v/>
      </c>
      <c r="S1602" s="55">
        <f>VLOOKUP(D1602,Products!$A$2:$F$61,6,FALSE())</f>
        <v/>
      </c>
    </row>
    <row r="1603" ht="15" customHeight="1" s="56">
      <c r="A1603" s="55">
        <f>Orders!A1603</f>
        <v/>
      </c>
      <c r="B1603" s="103">
        <f>Orders!B1603</f>
        <v/>
      </c>
      <c r="C1603" s="55">
        <f>Orders!C1603</f>
        <v/>
      </c>
      <c r="D1603" s="55">
        <f>Orders!D1603</f>
        <v/>
      </c>
      <c r="E1603" s="55">
        <f>Orders!E1603</f>
        <v/>
      </c>
      <c r="F1603" s="55">
        <f>Orders!F1603</f>
        <v/>
      </c>
      <c r="G1603" s="55">
        <f>Orders!G1603</f>
        <v/>
      </c>
      <c r="H1603" s="55">
        <f>Orders!H1603</f>
        <v/>
      </c>
      <c r="I1603" s="55">
        <f>Orders!I1603</f>
        <v/>
      </c>
      <c r="J1603" s="55">
        <f>Orders!J1603</f>
        <v/>
      </c>
      <c r="K1603" s="55">
        <f>Orders!K1603</f>
        <v/>
      </c>
      <c r="L1603" s="55">
        <f>VLOOKUP(D1603,Products!$A$2:$F$61,3,FALSE())</f>
        <v/>
      </c>
      <c r="M1603" s="55">
        <f>VLOOKUP(C1603,Customers!$A$2:$F$301,5,FALSE())</f>
        <v/>
      </c>
      <c r="N1603" s="55">
        <f>VLOOKUP(E1603,Sales_Reps!$A$2:$E$31,3,FALSE())</f>
        <v/>
      </c>
      <c r="O1603" s="55">
        <f>VLOOKUP(D1603,Products!$A$2:$F$61,4,FALSE())</f>
        <v/>
      </c>
      <c r="P1603" s="55">
        <f>VLOOKUP(C1603,Customers!$A$2:$F$301,3,FALSE())</f>
        <v/>
      </c>
      <c r="Q1603" s="55">
        <f>UPPER(TRIM(K1603))</f>
        <v/>
      </c>
      <c r="R1603" s="55">
        <f>(G1603-O1603)/G1603</f>
        <v/>
      </c>
      <c r="S1603" s="55">
        <f>VLOOKUP(D1603,Products!$A$2:$F$61,6,FALSE())</f>
        <v/>
      </c>
    </row>
    <row r="1604" ht="15" customHeight="1" s="56">
      <c r="A1604" s="55">
        <f>Orders!A1604</f>
        <v/>
      </c>
      <c r="B1604" s="103">
        <f>Orders!B1604</f>
        <v/>
      </c>
      <c r="C1604" s="55">
        <f>Orders!C1604</f>
        <v/>
      </c>
      <c r="D1604" s="55">
        <f>Orders!D1604</f>
        <v/>
      </c>
      <c r="E1604" s="55">
        <f>Orders!E1604</f>
        <v/>
      </c>
      <c r="F1604" s="55">
        <f>Orders!F1604</f>
        <v/>
      </c>
      <c r="G1604" s="55">
        <f>Orders!G1604</f>
        <v/>
      </c>
      <c r="H1604" s="55">
        <f>Orders!H1604</f>
        <v/>
      </c>
      <c r="I1604" s="55">
        <f>Orders!I1604</f>
        <v/>
      </c>
      <c r="J1604" s="55">
        <f>Orders!J1604</f>
        <v/>
      </c>
      <c r="K1604" s="55">
        <f>Orders!K1604</f>
        <v/>
      </c>
      <c r="L1604" s="55">
        <f>VLOOKUP(D1604,Products!$A$2:$F$61,3,FALSE())</f>
        <v/>
      </c>
      <c r="M1604" s="55">
        <f>VLOOKUP(C1604,Customers!$A$2:$F$301,5,FALSE())</f>
        <v/>
      </c>
      <c r="N1604" s="55">
        <f>VLOOKUP(E1604,Sales_Reps!$A$2:$E$31,3,FALSE())</f>
        <v/>
      </c>
      <c r="O1604" s="55">
        <f>VLOOKUP(D1604,Products!$A$2:$F$61,4,FALSE())</f>
        <v/>
      </c>
      <c r="P1604" s="55">
        <f>VLOOKUP(C1604,Customers!$A$2:$F$301,3,FALSE())</f>
        <v/>
      </c>
      <c r="Q1604" s="55">
        <f>UPPER(TRIM(K1604))</f>
        <v/>
      </c>
      <c r="R1604" s="55">
        <f>(G1604-O1604)/G1604</f>
        <v/>
      </c>
      <c r="S1604" s="55">
        <f>VLOOKUP(D1604,Products!$A$2:$F$61,6,FALSE())</f>
        <v/>
      </c>
    </row>
    <row r="1605" ht="15" customHeight="1" s="56">
      <c r="A1605" s="55">
        <f>Orders!A1605</f>
        <v/>
      </c>
      <c r="B1605" s="103">
        <f>Orders!B1605</f>
        <v/>
      </c>
      <c r="C1605" s="55">
        <f>Orders!C1605</f>
        <v/>
      </c>
      <c r="D1605" s="55">
        <f>Orders!D1605</f>
        <v/>
      </c>
      <c r="E1605" s="55">
        <f>Orders!E1605</f>
        <v/>
      </c>
      <c r="F1605" s="55">
        <f>Orders!F1605</f>
        <v/>
      </c>
      <c r="G1605" s="55">
        <f>Orders!G1605</f>
        <v/>
      </c>
      <c r="H1605" s="55">
        <f>Orders!H1605</f>
        <v/>
      </c>
      <c r="I1605" s="55">
        <f>Orders!I1605</f>
        <v/>
      </c>
      <c r="J1605" s="55">
        <f>Orders!J1605</f>
        <v/>
      </c>
      <c r="K1605" s="55">
        <f>Orders!K1605</f>
        <v/>
      </c>
      <c r="L1605" s="55">
        <f>VLOOKUP(D1605,Products!$A$2:$F$61,3,FALSE())</f>
        <v/>
      </c>
      <c r="M1605" s="55">
        <f>VLOOKUP(C1605,Customers!$A$2:$F$301,5,FALSE())</f>
        <v/>
      </c>
      <c r="N1605" s="55">
        <f>VLOOKUP(E1605,Sales_Reps!$A$2:$E$31,3,FALSE())</f>
        <v/>
      </c>
      <c r="O1605" s="55">
        <f>VLOOKUP(D1605,Products!$A$2:$F$61,4,FALSE())</f>
        <v/>
      </c>
      <c r="P1605" s="55">
        <f>VLOOKUP(C1605,Customers!$A$2:$F$301,3,FALSE())</f>
        <v/>
      </c>
      <c r="Q1605" s="55">
        <f>UPPER(TRIM(K1605))</f>
        <v/>
      </c>
      <c r="R1605" s="55">
        <f>(G1605-O1605)/G1605</f>
        <v/>
      </c>
      <c r="S1605" s="55">
        <f>VLOOKUP(D1605,Products!$A$2:$F$61,6,FALSE())</f>
        <v/>
      </c>
    </row>
    <row r="1606" ht="15" customHeight="1" s="56">
      <c r="A1606" s="55">
        <f>Orders!A1606</f>
        <v/>
      </c>
      <c r="B1606" s="103">
        <f>Orders!B1606</f>
        <v/>
      </c>
      <c r="C1606" s="55">
        <f>Orders!C1606</f>
        <v/>
      </c>
      <c r="D1606" s="55">
        <f>Orders!D1606</f>
        <v/>
      </c>
      <c r="E1606" s="55">
        <f>Orders!E1606</f>
        <v/>
      </c>
      <c r="F1606" s="55">
        <f>Orders!F1606</f>
        <v/>
      </c>
      <c r="G1606" s="55">
        <f>Orders!G1606</f>
        <v/>
      </c>
      <c r="H1606" s="55">
        <f>Orders!H1606</f>
        <v/>
      </c>
      <c r="I1606" s="55">
        <f>Orders!I1606</f>
        <v/>
      </c>
      <c r="J1606" s="55">
        <f>Orders!J1606</f>
        <v/>
      </c>
      <c r="K1606" s="55">
        <f>Orders!K1606</f>
        <v/>
      </c>
      <c r="L1606" s="55">
        <f>VLOOKUP(D1606,Products!$A$2:$F$61,3,FALSE())</f>
        <v/>
      </c>
      <c r="M1606" s="55">
        <f>VLOOKUP(C1606,Customers!$A$2:$F$301,5,FALSE())</f>
        <v/>
      </c>
      <c r="N1606" s="55">
        <f>VLOOKUP(E1606,Sales_Reps!$A$2:$E$31,3,FALSE())</f>
        <v/>
      </c>
      <c r="O1606" s="55">
        <f>VLOOKUP(D1606,Products!$A$2:$F$61,4,FALSE())</f>
        <v/>
      </c>
      <c r="P1606" s="55">
        <f>VLOOKUP(C1606,Customers!$A$2:$F$301,3,FALSE())</f>
        <v/>
      </c>
      <c r="Q1606" s="55">
        <f>UPPER(TRIM(K1606))</f>
        <v/>
      </c>
      <c r="R1606" s="55">
        <f>(G1606-O1606)/G1606</f>
        <v/>
      </c>
      <c r="S1606" s="55">
        <f>VLOOKUP(D1606,Products!$A$2:$F$61,6,FALSE())</f>
        <v/>
      </c>
    </row>
    <row r="1607" ht="15" customHeight="1" s="56">
      <c r="A1607" s="55">
        <f>Orders!A1607</f>
        <v/>
      </c>
      <c r="B1607" s="103">
        <f>Orders!B1607</f>
        <v/>
      </c>
      <c r="C1607" s="55">
        <f>Orders!C1607</f>
        <v/>
      </c>
      <c r="D1607" s="55">
        <f>Orders!D1607</f>
        <v/>
      </c>
      <c r="E1607" s="55">
        <f>Orders!E1607</f>
        <v/>
      </c>
      <c r="F1607" s="55">
        <f>Orders!F1607</f>
        <v/>
      </c>
      <c r="G1607" s="55">
        <f>Orders!G1607</f>
        <v/>
      </c>
      <c r="H1607" s="55">
        <f>Orders!H1607</f>
        <v/>
      </c>
      <c r="I1607" s="55">
        <f>Orders!I1607</f>
        <v/>
      </c>
      <c r="J1607" s="55">
        <f>Orders!J1607</f>
        <v/>
      </c>
      <c r="K1607" s="55">
        <f>Orders!K1607</f>
        <v/>
      </c>
      <c r="L1607" s="55">
        <f>VLOOKUP(D1607,Products!$A$2:$F$61,3,FALSE())</f>
        <v/>
      </c>
      <c r="M1607" s="55">
        <f>VLOOKUP(C1607,Customers!$A$2:$F$301,5,FALSE())</f>
        <v/>
      </c>
      <c r="N1607" s="55">
        <f>VLOOKUP(E1607,Sales_Reps!$A$2:$E$31,3,FALSE())</f>
        <v/>
      </c>
      <c r="O1607" s="55">
        <f>VLOOKUP(D1607,Products!$A$2:$F$61,4,FALSE())</f>
        <v/>
      </c>
      <c r="P1607" s="55">
        <f>VLOOKUP(C1607,Customers!$A$2:$F$301,3,FALSE())</f>
        <v/>
      </c>
      <c r="Q1607" s="55">
        <f>UPPER(TRIM(K1607))</f>
        <v/>
      </c>
      <c r="R1607" s="55">
        <f>(G1607-O1607)/G1607</f>
        <v/>
      </c>
      <c r="S1607" s="55">
        <f>VLOOKUP(D1607,Products!$A$2:$F$61,6,FALSE())</f>
        <v/>
      </c>
    </row>
    <row r="1608" ht="15" customHeight="1" s="56">
      <c r="A1608" s="55">
        <f>Orders!A1608</f>
        <v/>
      </c>
      <c r="B1608" s="103">
        <f>Orders!B1608</f>
        <v/>
      </c>
      <c r="C1608" s="55">
        <f>Orders!C1608</f>
        <v/>
      </c>
      <c r="D1608" s="55">
        <f>Orders!D1608</f>
        <v/>
      </c>
      <c r="E1608" s="55">
        <f>Orders!E1608</f>
        <v/>
      </c>
      <c r="F1608" s="55">
        <f>Orders!F1608</f>
        <v/>
      </c>
      <c r="G1608" s="55">
        <f>Orders!G1608</f>
        <v/>
      </c>
      <c r="H1608" s="55">
        <f>Orders!H1608</f>
        <v/>
      </c>
      <c r="I1608" s="55">
        <f>Orders!I1608</f>
        <v/>
      </c>
      <c r="J1608" s="55">
        <f>Orders!J1608</f>
        <v/>
      </c>
      <c r="K1608" s="55">
        <f>Orders!K1608</f>
        <v/>
      </c>
      <c r="L1608" s="55">
        <f>VLOOKUP(D1608,Products!$A$2:$F$61,3,FALSE())</f>
        <v/>
      </c>
      <c r="M1608" s="55">
        <f>VLOOKUP(C1608,Customers!$A$2:$F$301,5,FALSE())</f>
        <v/>
      </c>
      <c r="N1608" s="55">
        <f>VLOOKUP(E1608,Sales_Reps!$A$2:$E$31,3,FALSE())</f>
        <v/>
      </c>
      <c r="O1608" s="55">
        <f>VLOOKUP(D1608,Products!$A$2:$F$61,4,FALSE())</f>
        <v/>
      </c>
      <c r="P1608" s="55">
        <f>VLOOKUP(C1608,Customers!$A$2:$F$301,3,FALSE())</f>
        <v/>
      </c>
      <c r="Q1608" s="55">
        <f>UPPER(TRIM(K1608))</f>
        <v/>
      </c>
      <c r="R1608" s="55">
        <f>(G1608-O1608)/G1608</f>
        <v/>
      </c>
      <c r="S1608" s="55">
        <f>VLOOKUP(D1608,Products!$A$2:$F$61,6,FALSE())</f>
        <v/>
      </c>
    </row>
    <row r="1609" ht="15" customHeight="1" s="56">
      <c r="A1609" s="55">
        <f>Orders!A1609</f>
        <v/>
      </c>
      <c r="B1609" s="103">
        <f>Orders!B1609</f>
        <v/>
      </c>
      <c r="C1609" s="55">
        <f>Orders!C1609</f>
        <v/>
      </c>
      <c r="D1609" s="55">
        <f>Orders!D1609</f>
        <v/>
      </c>
      <c r="E1609" s="55">
        <f>Orders!E1609</f>
        <v/>
      </c>
      <c r="F1609" s="55">
        <f>Orders!F1609</f>
        <v/>
      </c>
      <c r="G1609" s="55">
        <f>Orders!G1609</f>
        <v/>
      </c>
      <c r="H1609" s="55">
        <f>Orders!H1609</f>
        <v/>
      </c>
      <c r="I1609" s="55">
        <f>Orders!I1609</f>
        <v/>
      </c>
      <c r="J1609" s="55">
        <f>Orders!J1609</f>
        <v/>
      </c>
      <c r="K1609" s="55">
        <f>Orders!K1609</f>
        <v/>
      </c>
      <c r="L1609" s="55">
        <f>VLOOKUP(D1609,Products!$A$2:$F$61,3,FALSE())</f>
        <v/>
      </c>
      <c r="M1609" s="55">
        <f>VLOOKUP(C1609,Customers!$A$2:$F$301,5,FALSE())</f>
        <v/>
      </c>
      <c r="N1609" s="55">
        <f>VLOOKUP(E1609,Sales_Reps!$A$2:$E$31,3,FALSE())</f>
        <v/>
      </c>
      <c r="O1609" s="55">
        <f>VLOOKUP(D1609,Products!$A$2:$F$61,4,FALSE())</f>
        <v/>
      </c>
      <c r="P1609" s="55">
        <f>VLOOKUP(C1609,Customers!$A$2:$F$301,3,FALSE())</f>
        <v/>
      </c>
      <c r="Q1609" s="55">
        <f>UPPER(TRIM(K1609))</f>
        <v/>
      </c>
      <c r="R1609" s="55">
        <f>(G1609-O1609)/G1609</f>
        <v/>
      </c>
      <c r="S1609" s="55">
        <f>VLOOKUP(D1609,Products!$A$2:$F$61,6,FALSE())</f>
        <v/>
      </c>
    </row>
    <row r="1610" ht="15" customHeight="1" s="56">
      <c r="A1610" s="55">
        <f>Orders!A1610</f>
        <v/>
      </c>
      <c r="B1610" s="103">
        <f>Orders!B1610</f>
        <v/>
      </c>
      <c r="C1610" s="55">
        <f>Orders!C1610</f>
        <v/>
      </c>
      <c r="D1610" s="55">
        <f>Orders!D1610</f>
        <v/>
      </c>
      <c r="E1610" s="55">
        <f>Orders!E1610</f>
        <v/>
      </c>
      <c r="F1610" s="55">
        <f>Orders!F1610</f>
        <v/>
      </c>
      <c r="G1610" s="55">
        <f>Orders!G1610</f>
        <v/>
      </c>
      <c r="H1610" s="55">
        <f>Orders!H1610</f>
        <v/>
      </c>
      <c r="I1610" s="55">
        <f>Orders!I1610</f>
        <v/>
      </c>
      <c r="J1610" s="55">
        <f>Orders!J1610</f>
        <v/>
      </c>
      <c r="K1610" s="55">
        <f>Orders!K1610</f>
        <v/>
      </c>
      <c r="L1610" s="55">
        <f>VLOOKUP(D1610,Products!$A$2:$F$61,3,FALSE())</f>
        <v/>
      </c>
      <c r="M1610" s="55">
        <f>VLOOKUP(C1610,Customers!$A$2:$F$301,5,FALSE())</f>
        <v/>
      </c>
      <c r="N1610" s="55">
        <f>VLOOKUP(E1610,Sales_Reps!$A$2:$E$31,3,FALSE())</f>
        <v/>
      </c>
      <c r="O1610" s="55">
        <f>VLOOKUP(D1610,Products!$A$2:$F$61,4,FALSE())</f>
        <v/>
      </c>
      <c r="P1610" s="55">
        <f>VLOOKUP(C1610,Customers!$A$2:$F$301,3,FALSE())</f>
        <v/>
      </c>
      <c r="Q1610" s="55">
        <f>UPPER(TRIM(K1610))</f>
        <v/>
      </c>
      <c r="R1610" s="55">
        <f>(G1610-O1610)/G1610</f>
        <v/>
      </c>
      <c r="S1610" s="55">
        <f>VLOOKUP(D1610,Products!$A$2:$F$61,6,FALSE())</f>
        <v/>
      </c>
    </row>
    <row r="1611" ht="15" customHeight="1" s="56">
      <c r="A1611" s="55">
        <f>Orders!A1611</f>
        <v/>
      </c>
      <c r="B1611" s="103">
        <f>Orders!B1611</f>
        <v/>
      </c>
      <c r="C1611" s="55">
        <f>Orders!C1611</f>
        <v/>
      </c>
      <c r="D1611" s="55">
        <f>Orders!D1611</f>
        <v/>
      </c>
      <c r="E1611" s="55">
        <f>Orders!E1611</f>
        <v/>
      </c>
      <c r="F1611" s="55">
        <f>Orders!F1611</f>
        <v/>
      </c>
      <c r="G1611" s="55">
        <f>Orders!G1611</f>
        <v/>
      </c>
      <c r="H1611" s="55">
        <f>Orders!H1611</f>
        <v/>
      </c>
      <c r="I1611" s="55">
        <f>Orders!I1611</f>
        <v/>
      </c>
      <c r="J1611" s="55">
        <f>Orders!J1611</f>
        <v/>
      </c>
      <c r="K1611" s="55">
        <f>Orders!K1611</f>
        <v/>
      </c>
      <c r="L1611" s="55">
        <f>VLOOKUP(D1611,Products!$A$2:$F$61,3,FALSE())</f>
        <v/>
      </c>
      <c r="M1611" s="55">
        <f>VLOOKUP(C1611,Customers!$A$2:$F$301,5,FALSE())</f>
        <v/>
      </c>
      <c r="N1611" s="55">
        <f>VLOOKUP(E1611,Sales_Reps!$A$2:$E$31,3,FALSE())</f>
        <v/>
      </c>
      <c r="O1611" s="55">
        <f>VLOOKUP(D1611,Products!$A$2:$F$61,4,FALSE())</f>
        <v/>
      </c>
      <c r="P1611" s="55">
        <f>VLOOKUP(C1611,Customers!$A$2:$F$301,3,FALSE())</f>
        <v/>
      </c>
      <c r="Q1611" s="55">
        <f>UPPER(TRIM(K1611))</f>
        <v/>
      </c>
      <c r="R1611" s="55">
        <f>(G1611-O1611)/G1611</f>
        <v/>
      </c>
      <c r="S1611" s="55">
        <f>VLOOKUP(D1611,Products!$A$2:$F$61,6,FALSE())</f>
        <v/>
      </c>
    </row>
    <row r="1612" ht="15" customHeight="1" s="56">
      <c r="A1612" s="55">
        <f>Orders!A1612</f>
        <v/>
      </c>
      <c r="B1612" s="103">
        <f>Orders!B1612</f>
        <v/>
      </c>
      <c r="C1612" s="55">
        <f>Orders!C1612</f>
        <v/>
      </c>
      <c r="D1612" s="55">
        <f>Orders!D1612</f>
        <v/>
      </c>
      <c r="E1612" s="55">
        <f>Orders!E1612</f>
        <v/>
      </c>
      <c r="F1612" s="55">
        <f>Orders!F1612</f>
        <v/>
      </c>
      <c r="G1612" s="55">
        <f>Orders!G1612</f>
        <v/>
      </c>
      <c r="H1612" s="55">
        <f>Orders!H1612</f>
        <v/>
      </c>
      <c r="I1612" s="55">
        <f>Orders!I1612</f>
        <v/>
      </c>
      <c r="J1612" s="55">
        <f>Orders!J1612</f>
        <v/>
      </c>
      <c r="K1612" s="55">
        <f>Orders!K1612</f>
        <v/>
      </c>
      <c r="L1612" s="55">
        <f>VLOOKUP(D1612,Products!$A$2:$F$61,3,FALSE())</f>
        <v/>
      </c>
      <c r="M1612" s="55">
        <f>VLOOKUP(C1612,Customers!$A$2:$F$301,5,FALSE())</f>
        <v/>
      </c>
      <c r="N1612" s="55">
        <f>VLOOKUP(E1612,Sales_Reps!$A$2:$E$31,3,FALSE())</f>
        <v/>
      </c>
      <c r="O1612" s="55">
        <f>VLOOKUP(D1612,Products!$A$2:$F$61,4,FALSE())</f>
        <v/>
      </c>
      <c r="P1612" s="55">
        <f>VLOOKUP(C1612,Customers!$A$2:$F$301,3,FALSE())</f>
        <v/>
      </c>
      <c r="Q1612" s="55">
        <f>UPPER(TRIM(K1612))</f>
        <v/>
      </c>
      <c r="R1612" s="55">
        <f>(G1612-O1612)/G1612</f>
        <v/>
      </c>
      <c r="S1612" s="55">
        <f>VLOOKUP(D1612,Products!$A$2:$F$61,6,FALSE())</f>
        <v/>
      </c>
    </row>
    <row r="1613" ht="15" customHeight="1" s="56">
      <c r="A1613" s="55">
        <f>Orders!A1613</f>
        <v/>
      </c>
      <c r="B1613" s="103">
        <f>Orders!B1613</f>
        <v/>
      </c>
      <c r="C1613" s="55">
        <f>Orders!C1613</f>
        <v/>
      </c>
      <c r="D1613" s="55">
        <f>Orders!D1613</f>
        <v/>
      </c>
      <c r="E1613" s="55">
        <f>Orders!E1613</f>
        <v/>
      </c>
      <c r="F1613" s="55">
        <f>Orders!F1613</f>
        <v/>
      </c>
      <c r="G1613" s="55">
        <f>Orders!G1613</f>
        <v/>
      </c>
      <c r="H1613" s="55">
        <f>Orders!H1613</f>
        <v/>
      </c>
      <c r="I1613" s="55">
        <f>Orders!I1613</f>
        <v/>
      </c>
      <c r="J1613" s="55">
        <f>Orders!J1613</f>
        <v/>
      </c>
      <c r="K1613" s="55">
        <f>Orders!K1613</f>
        <v/>
      </c>
      <c r="L1613" s="55">
        <f>VLOOKUP(D1613,Products!$A$2:$F$61,3,FALSE())</f>
        <v/>
      </c>
      <c r="M1613" s="55">
        <f>VLOOKUP(C1613,Customers!$A$2:$F$301,5,FALSE())</f>
        <v/>
      </c>
      <c r="N1613" s="55">
        <f>VLOOKUP(E1613,Sales_Reps!$A$2:$E$31,3,FALSE())</f>
        <v/>
      </c>
      <c r="O1613" s="55">
        <f>VLOOKUP(D1613,Products!$A$2:$F$61,4,FALSE())</f>
        <v/>
      </c>
      <c r="P1613" s="55">
        <f>VLOOKUP(C1613,Customers!$A$2:$F$301,3,FALSE())</f>
        <v/>
      </c>
      <c r="Q1613" s="55">
        <f>UPPER(TRIM(K1613))</f>
        <v/>
      </c>
      <c r="R1613" s="55">
        <f>(G1613-O1613)/G1613</f>
        <v/>
      </c>
      <c r="S1613" s="55">
        <f>VLOOKUP(D1613,Products!$A$2:$F$61,6,FALSE())</f>
        <v/>
      </c>
    </row>
    <row r="1614" ht="15" customHeight="1" s="56">
      <c r="A1614" s="55">
        <f>Orders!A1614</f>
        <v/>
      </c>
      <c r="B1614" s="103">
        <f>Orders!B1614</f>
        <v/>
      </c>
      <c r="C1614" s="55">
        <f>Orders!C1614</f>
        <v/>
      </c>
      <c r="D1614" s="55">
        <f>Orders!D1614</f>
        <v/>
      </c>
      <c r="E1614" s="55">
        <f>Orders!E1614</f>
        <v/>
      </c>
      <c r="F1614" s="55">
        <f>Orders!F1614</f>
        <v/>
      </c>
      <c r="G1614" s="55">
        <f>Orders!G1614</f>
        <v/>
      </c>
      <c r="H1614" s="55">
        <f>Orders!H1614</f>
        <v/>
      </c>
      <c r="I1614" s="55">
        <f>Orders!I1614</f>
        <v/>
      </c>
      <c r="J1614" s="55">
        <f>Orders!J1614</f>
        <v/>
      </c>
      <c r="K1614" s="55">
        <f>Orders!K1614</f>
        <v/>
      </c>
      <c r="L1614" s="55">
        <f>VLOOKUP(D1614,Products!$A$2:$F$61,3,FALSE())</f>
        <v/>
      </c>
      <c r="M1614" s="55">
        <f>VLOOKUP(C1614,Customers!$A$2:$F$301,5,FALSE())</f>
        <v/>
      </c>
      <c r="N1614" s="55">
        <f>VLOOKUP(E1614,Sales_Reps!$A$2:$E$31,3,FALSE())</f>
        <v/>
      </c>
      <c r="O1614" s="55">
        <f>VLOOKUP(D1614,Products!$A$2:$F$61,4,FALSE())</f>
        <v/>
      </c>
      <c r="P1614" s="55">
        <f>VLOOKUP(C1614,Customers!$A$2:$F$301,3,FALSE())</f>
        <v/>
      </c>
      <c r="Q1614" s="55">
        <f>UPPER(TRIM(K1614))</f>
        <v/>
      </c>
      <c r="R1614" s="55">
        <f>(G1614-O1614)/G1614</f>
        <v/>
      </c>
      <c r="S1614" s="55">
        <f>VLOOKUP(D1614,Products!$A$2:$F$61,6,FALSE())</f>
        <v/>
      </c>
    </row>
    <row r="1615" ht="15" customHeight="1" s="56">
      <c r="A1615" s="55">
        <f>Orders!A1615</f>
        <v/>
      </c>
      <c r="B1615" s="103">
        <f>Orders!B1615</f>
        <v/>
      </c>
      <c r="C1615" s="55">
        <f>Orders!C1615</f>
        <v/>
      </c>
      <c r="D1615" s="55">
        <f>Orders!D1615</f>
        <v/>
      </c>
      <c r="E1615" s="55">
        <f>Orders!E1615</f>
        <v/>
      </c>
      <c r="F1615" s="55">
        <f>Orders!F1615</f>
        <v/>
      </c>
      <c r="G1615" s="55">
        <f>Orders!G1615</f>
        <v/>
      </c>
      <c r="H1615" s="55">
        <f>Orders!H1615</f>
        <v/>
      </c>
      <c r="I1615" s="55">
        <f>Orders!I1615</f>
        <v/>
      </c>
      <c r="J1615" s="55">
        <f>Orders!J1615</f>
        <v/>
      </c>
      <c r="K1615" s="55">
        <f>Orders!K1615</f>
        <v/>
      </c>
      <c r="L1615" s="55">
        <f>VLOOKUP(D1615,Products!$A$2:$F$61,3,FALSE())</f>
        <v/>
      </c>
      <c r="M1615" s="55">
        <f>VLOOKUP(C1615,Customers!$A$2:$F$301,5,FALSE())</f>
        <v/>
      </c>
      <c r="N1615" s="55">
        <f>VLOOKUP(E1615,Sales_Reps!$A$2:$E$31,3,FALSE())</f>
        <v/>
      </c>
      <c r="O1615" s="55">
        <f>VLOOKUP(D1615,Products!$A$2:$F$61,4,FALSE())</f>
        <v/>
      </c>
      <c r="P1615" s="55">
        <f>VLOOKUP(C1615,Customers!$A$2:$F$301,3,FALSE())</f>
        <v/>
      </c>
      <c r="Q1615" s="55">
        <f>UPPER(TRIM(K1615))</f>
        <v/>
      </c>
      <c r="R1615" s="55">
        <f>(G1615-O1615)/G1615</f>
        <v/>
      </c>
      <c r="S1615" s="55">
        <f>VLOOKUP(D1615,Products!$A$2:$F$61,6,FALSE())</f>
        <v/>
      </c>
    </row>
    <row r="1616" ht="15" customHeight="1" s="56">
      <c r="A1616" s="55">
        <f>Orders!A1616</f>
        <v/>
      </c>
      <c r="B1616" s="103">
        <f>Orders!B1616</f>
        <v/>
      </c>
      <c r="C1616" s="55">
        <f>Orders!C1616</f>
        <v/>
      </c>
      <c r="D1616" s="55">
        <f>Orders!D1616</f>
        <v/>
      </c>
      <c r="E1616" s="55">
        <f>Orders!E1616</f>
        <v/>
      </c>
      <c r="F1616" s="55">
        <f>Orders!F1616</f>
        <v/>
      </c>
      <c r="G1616" s="55">
        <f>Orders!G1616</f>
        <v/>
      </c>
      <c r="H1616" s="55">
        <f>Orders!H1616</f>
        <v/>
      </c>
      <c r="I1616" s="55">
        <f>Orders!I1616</f>
        <v/>
      </c>
      <c r="J1616" s="55">
        <f>Orders!J1616</f>
        <v/>
      </c>
      <c r="K1616" s="55">
        <f>Orders!K1616</f>
        <v/>
      </c>
      <c r="L1616" s="55">
        <f>VLOOKUP(D1616,Products!$A$2:$F$61,3,FALSE())</f>
        <v/>
      </c>
      <c r="M1616" s="55">
        <f>VLOOKUP(C1616,Customers!$A$2:$F$301,5,FALSE())</f>
        <v/>
      </c>
      <c r="N1616" s="55">
        <f>VLOOKUP(E1616,Sales_Reps!$A$2:$E$31,3,FALSE())</f>
        <v/>
      </c>
      <c r="O1616" s="55">
        <f>VLOOKUP(D1616,Products!$A$2:$F$61,4,FALSE())</f>
        <v/>
      </c>
      <c r="P1616" s="55">
        <f>VLOOKUP(C1616,Customers!$A$2:$F$301,3,FALSE())</f>
        <v/>
      </c>
      <c r="Q1616" s="55">
        <f>UPPER(TRIM(K1616))</f>
        <v/>
      </c>
      <c r="R1616" s="55">
        <f>(G1616-O1616)/G1616</f>
        <v/>
      </c>
      <c r="S1616" s="55">
        <f>VLOOKUP(D1616,Products!$A$2:$F$61,6,FALSE())</f>
        <v/>
      </c>
    </row>
    <row r="1617" ht="15" customHeight="1" s="56">
      <c r="A1617" s="55">
        <f>Orders!A1617</f>
        <v/>
      </c>
      <c r="B1617" s="103">
        <f>Orders!B1617</f>
        <v/>
      </c>
      <c r="C1617" s="55">
        <f>Orders!C1617</f>
        <v/>
      </c>
      <c r="D1617" s="55">
        <f>Orders!D1617</f>
        <v/>
      </c>
      <c r="E1617" s="55">
        <f>Orders!E1617</f>
        <v/>
      </c>
      <c r="F1617" s="55">
        <f>Orders!F1617</f>
        <v/>
      </c>
      <c r="G1617" s="55">
        <f>Orders!G1617</f>
        <v/>
      </c>
      <c r="H1617" s="55">
        <f>Orders!H1617</f>
        <v/>
      </c>
      <c r="I1617" s="55">
        <f>Orders!I1617</f>
        <v/>
      </c>
      <c r="J1617" s="55">
        <f>Orders!J1617</f>
        <v/>
      </c>
      <c r="K1617" s="55">
        <f>Orders!K1617</f>
        <v/>
      </c>
      <c r="L1617" s="55">
        <f>VLOOKUP(D1617,Products!$A$2:$F$61,3,FALSE())</f>
        <v/>
      </c>
      <c r="M1617" s="55">
        <f>VLOOKUP(C1617,Customers!$A$2:$F$301,5,FALSE())</f>
        <v/>
      </c>
      <c r="N1617" s="55">
        <f>VLOOKUP(E1617,Sales_Reps!$A$2:$E$31,3,FALSE())</f>
        <v/>
      </c>
      <c r="O1617" s="55">
        <f>VLOOKUP(D1617,Products!$A$2:$F$61,4,FALSE())</f>
        <v/>
      </c>
      <c r="P1617" s="55">
        <f>VLOOKUP(C1617,Customers!$A$2:$F$301,3,FALSE())</f>
        <v/>
      </c>
      <c r="Q1617" s="55">
        <f>UPPER(TRIM(K1617))</f>
        <v/>
      </c>
      <c r="R1617" s="55">
        <f>(G1617-O1617)/G1617</f>
        <v/>
      </c>
      <c r="S1617" s="55">
        <f>VLOOKUP(D1617,Products!$A$2:$F$61,6,FALSE())</f>
        <v/>
      </c>
    </row>
    <row r="1618" ht="15" customHeight="1" s="56">
      <c r="A1618" s="55">
        <f>Orders!A1618</f>
        <v/>
      </c>
      <c r="B1618" s="103">
        <f>Orders!B1618</f>
        <v/>
      </c>
      <c r="C1618" s="55">
        <f>Orders!C1618</f>
        <v/>
      </c>
      <c r="D1618" s="55">
        <f>Orders!D1618</f>
        <v/>
      </c>
      <c r="E1618" s="55">
        <f>Orders!E1618</f>
        <v/>
      </c>
      <c r="F1618" s="55">
        <f>Orders!F1618</f>
        <v/>
      </c>
      <c r="G1618" s="55">
        <f>Orders!G1618</f>
        <v/>
      </c>
      <c r="H1618" s="55">
        <f>Orders!H1618</f>
        <v/>
      </c>
      <c r="I1618" s="55">
        <f>Orders!I1618</f>
        <v/>
      </c>
      <c r="J1618" s="55">
        <f>Orders!J1618</f>
        <v/>
      </c>
      <c r="K1618" s="55">
        <f>Orders!K1618</f>
        <v/>
      </c>
      <c r="L1618" s="55">
        <f>VLOOKUP(D1618,Products!$A$2:$F$61,3,FALSE())</f>
        <v/>
      </c>
      <c r="M1618" s="55">
        <f>VLOOKUP(C1618,Customers!$A$2:$F$301,5,FALSE())</f>
        <v/>
      </c>
      <c r="N1618" s="55">
        <f>VLOOKUP(E1618,Sales_Reps!$A$2:$E$31,3,FALSE())</f>
        <v/>
      </c>
      <c r="O1618" s="55">
        <f>VLOOKUP(D1618,Products!$A$2:$F$61,4,FALSE())</f>
        <v/>
      </c>
      <c r="P1618" s="55">
        <f>VLOOKUP(C1618,Customers!$A$2:$F$301,3,FALSE())</f>
        <v/>
      </c>
      <c r="Q1618" s="55">
        <f>UPPER(TRIM(K1618))</f>
        <v/>
      </c>
      <c r="R1618" s="55">
        <f>(G1618-O1618)/G1618</f>
        <v/>
      </c>
      <c r="S1618" s="55">
        <f>VLOOKUP(D1618,Products!$A$2:$F$61,6,FALSE())</f>
        <v/>
      </c>
    </row>
    <row r="1619" ht="15" customHeight="1" s="56">
      <c r="A1619" s="55">
        <f>Orders!A1619</f>
        <v/>
      </c>
      <c r="B1619" s="103">
        <f>Orders!B1619</f>
        <v/>
      </c>
      <c r="C1619" s="55">
        <f>Orders!C1619</f>
        <v/>
      </c>
      <c r="D1619" s="55">
        <f>Orders!D1619</f>
        <v/>
      </c>
      <c r="E1619" s="55">
        <f>Orders!E1619</f>
        <v/>
      </c>
      <c r="F1619" s="55">
        <f>Orders!F1619</f>
        <v/>
      </c>
      <c r="G1619" s="55">
        <f>Orders!G1619</f>
        <v/>
      </c>
      <c r="H1619" s="55">
        <f>Orders!H1619</f>
        <v/>
      </c>
      <c r="I1619" s="55">
        <f>Orders!I1619</f>
        <v/>
      </c>
      <c r="J1619" s="55">
        <f>Orders!J1619</f>
        <v/>
      </c>
      <c r="K1619" s="55">
        <f>Orders!K1619</f>
        <v/>
      </c>
      <c r="L1619" s="55">
        <f>VLOOKUP(D1619,Products!$A$2:$F$61,3,FALSE())</f>
        <v/>
      </c>
      <c r="M1619" s="55">
        <f>VLOOKUP(C1619,Customers!$A$2:$F$301,5,FALSE())</f>
        <v/>
      </c>
      <c r="N1619" s="55">
        <f>VLOOKUP(E1619,Sales_Reps!$A$2:$E$31,3,FALSE())</f>
        <v/>
      </c>
      <c r="O1619" s="55">
        <f>VLOOKUP(D1619,Products!$A$2:$F$61,4,FALSE())</f>
        <v/>
      </c>
      <c r="P1619" s="55">
        <f>VLOOKUP(C1619,Customers!$A$2:$F$301,3,FALSE())</f>
        <v/>
      </c>
      <c r="Q1619" s="55">
        <f>UPPER(TRIM(K1619))</f>
        <v/>
      </c>
      <c r="R1619" s="55">
        <f>(G1619-O1619)/G1619</f>
        <v/>
      </c>
      <c r="S1619" s="55">
        <f>VLOOKUP(D1619,Products!$A$2:$F$61,6,FALSE())</f>
        <v/>
      </c>
    </row>
    <row r="1620" ht="15" customHeight="1" s="56">
      <c r="A1620" s="55">
        <f>Orders!A1620</f>
        <v/>
      </c>
      <c r="B1620" s="103">
        <f>Orders!B1620</f>
        <v/>
      </c>
      <c r="C1620" s="55">
        <f>Orders!C1620</f>
        <v/>
      </c>
      <c r="D1620" s="55">
        <f>Orders!D1620</f>
        <v/>
      </c>
      <c r="E1620" s="55">
        <f>Orders!E1620</f>
        <v/>
      </c>
      <c r="F1620" s="55">
        <f>Orders!F1620</f>
        <v/>
      </c>
      <c r="G1620" s="55">
        <f>Orders!G1620</f>
        <v/>
      </c>
      <c r="H1620" s="55">
        <f>Orders!H1620</f>
        <v/>
      </c>
      <c r="I1620" s="55">
        <f>Orders!I1620</f>
        <v/>
      </c>
      <c r="J1620" s="55">
        <f>Orders!J1620</f>
        <v/>
      </c>
      <c r="K1620" s="55">
        <f>Orders!K1620</f>
        <v/>
      </c>
      <c r="L1620" s="55">
        <f>VLOOKUP(D1620,Products!$A$2:$F$61,3,FALSE())</f>
        <v/>
      </c>
      <c r="M1620" s="55">
        <f>VLOOKUP(C1620,Customers!$A$2:$F$301,5,FALSE())</f>
        <v/>
      </c>
      <c r="N1620" s="55">
        <f>VLOOKUP(E1620,Sales_Reps!$A$2:$E$31,3,FALSE())</f>
        <v/>
      </c>
      <c r="O1620" s="55">
        <f>VLOOKUP(D1620,Products!$A$2:$F$61,4,FALSE())</f>
        <v/>
      </c>
      <c r="P1620" s="55">
        <f>VLOOKUP(C1620,Customers!$A$2:$F$301,3,FALSE())</f>
        <v/>
      </c>
      <c r="Q1620" s="55">
        <f>UPPER(TRIM(K1620))</f>
        <v/>
      </c>
      <c r="R1620" s="55">
        <f>(G1620-O1620)/G1620</f>
        <v/>
      </c>
      <c r="S1620" s="55">
        <f>VLOOKUP(D1620,Products!$A$2:$F$61,6,FALSE())</f>
        <v/>
      </c>
    </row>
    <row r="1621" ht="15" customHeight="1" s="56">
      <c r="A1621" s="55">
        <f>Orders!A1621</f>
        <v/>
      </c>
      <c r="B1621" s="103">
        <f>Orders!B1621</f>
        <v/>
      </c>
      <c r="C1621" s="55">
        <f>Orders!C1621</f>
        <v/>
      </c>
      <c r="D1621" s="55">
        <f>Orders!D1621</f>
        <v/>
      </c>
      <c r="E1621" s="55">
        <f>Orders!E1621</f>
        <v/>
      </c>
      <c r="F1621" s="55">
        <f>Orders!F1621</f>
        <v/>
      </c>
      <c r="G1621" s="55">
        <f>Orders!G1621</f>
        <v/>
      </c>
      <c r="H1621" s="55">
        <f>Orders!H1621</f>
        <v/>
      </c>
      <c r="I1621" s="55">
        <f>Orders!I1621</f>
        <v/>
      </c>
      <c r="J1621" s="55">
        <f>Orders!J1621</f>
        <v/>
      </c>
      <c r="K1621" s="55">
        <f>Orders!K1621</f>
        <v/>
      </c>
      <c r="L1621" s="55">
        <f>VLOOKUP(D1621,Products!$A$2:$F$61,3,FALSE())</f>
        <v/>
      </c>
      <c r="M1621" s="55">
        <f>VLOOKUP(C1621,Customers!$A$2:$F$301,5,FALSE())</f>
        <v/>
      </c>
      <c r="N1621" s="55">
        <f>VLOOKUP(E1621,Sales_Reps!$A$2:$E$31,3,FALSE())</f>
        <v/>
      </c>
      <c r="O1621" s="55">
        <f>VLOOKUP(D1621,Products!$A$2:$F$61,4,FALSE())</f>
        <v/>
      </c>
      <c r="P1621" s="55">
        <f>VLOOKUP(C1621,Customers!$A$2:$F$301,3,FALSE())</f>
        <v/>
      </c>
      <c r="Q1621" s="55">
        <f>UPPER(TRIM(K1621))</f>
        <v/>
      </c>
      <c r="R1621" s="55">
        <f>(G1621-O1621)/G1621</f>
        <v/>
      </c>
      <c r="S1621" s="55">
        <f>VLOOKUP(D1621,Products!$A$2:$F$61,6,FALSE())</f>
        <v/>
      </c>
    </row>
    <row r="1622" ht="15" customHeight="1" s="56">
      <c r="A1622" s="55">
        <f>Orders!A1622</f>
        <v/>
      </c>
      <c r="B1622" s="103">
        <f>Orders!B1622</f>
        <v/>
      </c>
      <c r="C1622" s="55">
        <f>Orders!C1622</f>
        <v/>
      </c>
      <c r="D1622" s="55">
        <f>Orders!D1622</f>
        <v/>
      </c>
      <c r="E1622" s="55">
        <f>Orders!E1622</f>
        <v/>
      </c>
      <c r="F1622" s="55">
        <f>Orders!F1622</f>
        <v/>
      </c>
      <c r="G1622" s="55">
        <f>Orders!G1622</f>
        <v/>
      </c>
      <c r="H1622" s="55">
        <f>Orders!H1622</f>
        <v/>
      </c>
      <c r="I1622" s="55">
        <f>Orders!I1622</f>
        <v/>
      </c>
      <c r="J1622" s="55">
        <f>Orders!J1622</f>
        <v/>
      </c>
      <c r="K1622" s="55">
        <f>Orders!K1622</f>
        <v/>
      </c>
      <c r="L1622" s="55">
        <f>VLOOKUP(D1622,Products!$A$2:$F$61,3,FALSE())</f>
        <v/>
      </c>
      <c r="M1622" s="55">
        <f>VLOOKUP(C1622,Customers!$A$2:$F$301,5,FALSE())</f>
        <v/>
      </c>
      <c r="N1622" s="55">
        <f>VLOOKUP(E1622,Sales_Reps!$A$2:$E$31,3,FALSE())</f>
        <v/>
      </c>
      <c r="O1622" s="55">
        <f>VLOOKUP(D1622,Products!$A$2:$F$61,4,FALSE())</f>
        <v/>
      </c>
      <c r="P1622" s="55">
        <f>VLOOKUP(C1622,Customers!$A$2:$F$301,3,FALSE())</f>
        <v/>
      </c>
      <c r="Q1622" s="55">
        <f>UPPER(TRIM(K1622))</f>
        <v/>
      </c>
      <c r="R1622" s="55">
        <f>(G1622-O1622)/G1622</f>
        <v/>
      </c>
      <c r="S1622" s="55">
        <f>VLOOKUP(D1622,Products!$A$2:$F$61,6,FALSE())</f>
        <v/>
      </c>
    </row>
    <row r="1623" ht="15" customHeight="1" s="56">
      <c r="A1623" s="55">
        <f>Orders!A1623</f>
        <v/>
      </c>
      <c r="B1623" s="103">
        <f>Orders!B1623</f>
        <v/>
      </c>
      <c r="C1623" s="55">
        <f>Orders!C1623</f>
        <v/>
      </c>
      <c r="D1623" s="55">
        <f>Orders!D1623</f>
        <v/>
      </c>
      <c r="E1623" s="55">
        <f>Orders!E1623</f>
        <v/>
      </c>
      <c r="F1623" s="55">
        <f>Orders!F1623</f>
        <v/>
      </c>
      <c r="G1623" s="55">
        <f>Orders!G1623</f>
        <v/>
      </c>
      <c r="H1623" s="55">
        <f>Orders!H1623</f>
        <v/>
      </c>
      <c r="I1623" s="55">
        <f>Orders!I1623</f>
        <v/>
      </c>
      <c r="J1623" s="55">
        <f>Orders!J1623</f>
        <v/>
      </c>
      <c r="K1623" s="55">
        <f>Orders!K1623</f>
        <v/>
      </c>
      <c r="L1623" s="55">
        <f>VLOOKUP(D1623,Products!$A$2:$F$61,3,FALSE())</f>
        <v/>
      </c>
      <c r="M1623" s="55">
        <f>VLOOKUP(C1623,Customers!$A$2:$F$301,5,FALSE())</f>
        <v/>
      </c>
      <c r="N1623" s="55">
        <f>VLOOKUP(E1623,Sales_Reps!$A$2:$E$31,3,FALSE())</f>
        <v/>
      </c>
      <c r="O1623" s="55">
        <f>VLOOKUP(D1623,Products!$A$2:$F$61,4,FALSE())</f>
        <v/>
      </c>
      <c r="P1623" s="55">
        <f>VLOOKUP(C1623,Customers!$A$2:$F$301,3,FALSE())</f>
        <v/>
      </c>
      <c r="Q1623" s="55">
        <f>UPPER(TRIM(K1623))</f>
        <v/>
      </c>
      <c r="R1623" s="55">
        <f>(G1623-O1623)/G1623</f>
        <v/>
      </c>
      <c r="S1623" s="55">
        <f>VLOOKUP(D1623,Products!$A$2:$F$61,6,FALSE())</f>
        <v/>
      </c>
    </row>
    <row r="1624" ht="15" customHeight="1" s="56">
      <c r="A1624" s="55">
        <f>Orders!A1624</f>
        <v/>
      </c>
      <c r="B1624" s="103">
        <f>Orders!B1624</f>
        <v/>
      </c>
      <c r="C1624" s="55">
        <f>Orders!C1624</f>
        <v/>
      </c>
      <c r="D1624" s="55">
        <f>Orders!D1624</f>
        <v/>
      </c>
      <c r="E1624" s="55">
        <f>Orders!E1624</f>
        <v/>
      </c>
      <c r="F1624" s="55">
        <f>Orders!F1624</f>
        <v/>
      </c>
      <c r="G1624" s="55">
        <f>Orders!G1624</f>
        <v/>
      </c>
      <c r="H1624" s="55">
        <f>Orders!H1624</f>
        <v/>
      </c>
      <c r="I1624" s="55">
        <f>Orders!I1624</f>
        <v/>
      </c>
      <c r="J1624" s="55">
        <f>Orders!J1624</f>
        <v/>
      </c>
      <c r="K1624" s="55">
        <f>Orders!K1624</f>
        <v/>
      </c>
      <c r="L1624" s="55">
        <f>VLOOKUP(D1624,Products!$A$2:$F$61,3,FALSE())</f>
        <v/>
      </c>
      <c r="M1624" s="55">
        <f>VLOOKUP(C1624,Customers!$A$2:$F$301,5,FALSE())</f>
        <v/>
      </c>
      <c r="N1624" s="55">
        <f>VLOOKUP(E1624,Sales_Reps!$A$2:$E$31,3,FALSE())</f>
        <v/>
      </c>
      <c r="O1624" s="55">
        <f>VLOOKUP(D1624,Products!$A$2:$F$61,4,FALSE())</f>
        <v/>
      </c>
      <c r="P1624" s="55">
        <f>VLOOKUP(C1624,Customers!$A$2:$F$301,3,FALSE())</f>
        <v/>
      </c>
      <c r="Q1624" s="55">
        <f>UPPER(TRIM(K1624))</f>
        <v/>
      </c>
      <c r="R1624" s="55">
        <f>(G1624-O1624)/G1624</f>
        <v/>
      </c>
      <c r="S1624" s="55">
        <f>VLOOKUP(D1624,Products!$A$2:$F$61,6,FALSE())</f>
        <v/>
      </c>
    </row>
    <row r="1625" ht="15" customHeight="1" s="56">
      <c r="A1625" s="55">
        <f>Orders!A1625</f>
        <v/>
      </c>
      <c r="B1625" s="103">
        <f>Orders!B1625</f>
        <v/>
      </c>
      <c r="C1625" s="55">
        <f>Orders!C1625</f>
        <v/>
      </c>
      <c r="D1625" s="55">
        <f>Orders!D1625</f>
        <v/>
      </c>
      <c r="E1625" s="55">
        <f>Orders!E1625</f>
        <v/>
      </c>
      <c r="F1625" s="55">
        <f>Orders!F1625</f>
        <v/>
      </c>
      <c r="G1625" s="55">
        <f>Orders!G1625</f>
        <v/>
      </c>
      <c r="H1625" s="55">
        <f>Orders!H1625</f>
        <v/>
      </c>
      <c r="I1625" s="55">
        <f>Orders!I1625</f>
        <v/>
      </c>
      <c r="J1625" s="55">
        <f>Orders!J1625</f>
        <v/>
      </c>
      <c r="K1625" s="55">
        <f>Orders!K1625</f>
        <v/>
      </c>
      <c r="L1625" s="55">
        <f>VLOOKUP(D1625,Products!$A$2:$F$61,3,FALSE())</f>
        <v/>
      </c>
      <c r="M1625" s="55">
        <f>VLOOKUP(C1625,Customers!$A$2:$F$301,5,FALSE())</f>
        <v/>
      </c>
      <c r="N1625" s="55">
        <f>VLOOKUP(E1625,Sales_Reps!$A$2:$E$31,3,FALSE())</f>
        <v/>
      </c>
      <c r="O1625" s="55">
        <f>VLOOKUP(D1625,Products!$A$2:$F$61,4,FALSE())</f>
        <v/>
      </c>
      <c r="P1625" s="55">
        <f>VLOOKUP(C1625,Customers!$A$2:$F$301,3,FALSE())</f>
        <v/>
      </c>
      <c r="Q1625" s="55">
        <f>UPPER(TRIM(K1625))</f>
        <v/>
      </c>
      <c r="R1625" s="55">
        <f>(G1625-O1625)/G1625</f>
        <v/>
      </c>
      <c r="S1625" s="55">
        <f>VLOOKUP(D1625,Products!$A$2:$F$61,6,FALSE())</f>
        <v/>
      </c>
    </row>
    <row r="1626" ht="15" customHeight="1" s="56">
      <c r="A1626" s="55">
        <f>Orders!A1626</f>
        <v/>
      </c>
      <c r="B1626" s="103">
        <f>Orders!B1626</f>
        <v/>
      </c>
      <c r="C1626" s="55">
        <f>Orders!C1626</f>
        <v/>
      </c>
      <c r="D1626" s="55">
        <f>Orders!D1626</f>
        <v/>
      </c>
      <c r="E1626" s="55">
        <f>Orders!E1626</f>
        <v/>
      </c>
      <c r="F1626" s="55">
        <f>Orders!F1626</f>
        <v/>
      </c>
      <c r="G1626" s="55">
        <f>Orders!G1626</f>
        <v/>
      </c>
      <c r="H1626" s="55">
        <f>Orders!H1626</f>
        <v/>
      </c>
      <c r="I1626" s="55">
        <f>Orders!I1626</f>
        <v/>
      </c>
      <c r="J1626" s="55">
        <f>Orders!J1626</f>
        <v/>
      </c>
      <c r="K1626" s="55">
        <f>Orders!K1626</f>
        <v/>
      </c>
      <c r="L1626" s="55">
        <f>VLOOKUP(D1626,Products!$A$2:$F$61,3,FALSE())</f>
        <v/>
      </c>
      <c r="M1626" s="55">
        <f>VLOOKUP(C1626,Customers!$A$2:$F$301,5,FALSE())</f>
        <v/>
      </c>
      <c r="N1626" s="55">
        <f>VLOOKUP(E1626,Sales_Reps!$A$2:$E$31,3,FALSE())</f>
        <v/>
      </c>
      <c r="O1626" s="55">
        <f>VLOOKUP(D1626,Products!$A$2:$F$61,4,FALSE())</f>
        <v/>
      </c>
      <c r="P1626" s="55">
        <f>VLOOKUP(C1626,Customers!$A$2:$F$301,3,FALSE())</f>
        <v/>
      </c>
      <c r="Q1626" s="55">
        <f>UPPER(TRIM(K1626))</f>
        <v/>
      </c>
      <c r="R1626" s="55">
        <f>(G1626-O1626)/G1626</f>
        <v/>
      </c>
      <c r="S1626" s="55">
        <f>VLOOKUP(D1626,Products!$A$2:$F$61,6,FALSE())</f>
        <v/>
      </c>
    </row>
    <row r="1627" ht="15" customHeight="1" s="56">
      <c r="A1627" s="55">
        <f>Orders!A1627</f>
        <v/>
      </c>
      <c r="B1627" s="103">
        <f>Orders!B1627</f>
        <v/>
      </c>
      <c r="C1627" s="55">
        <f>Orders!C1627</f>
        <v/>
      </c>
      <c r="D1627" s="55">
        <f>Orders!D1627</f>
        <v/>
      </c>
      <c r="E1627" s="55">
        <f>Orders!E1627</f>
        <v/>
      </c>
      <c r="F1627" s="55">
        <f>Orders!F1627</f>
        <v/>
      </c>
      <c r="G1627" s="55">
        <f>Orders!G1627</f>
        <v/>
      </c>
      <c r="H1627" s="55">
        <f>Orders!H1627</f>
        <v/>
      </c>
      <c r="I1627" s="55">
        <f>Orders!I1627</f>
        <v/>
      </c>
      <c r="J1627" s="55">
        <f>Orders!J1627</f>
        <v/>
      </c>
      <c r="K1627" s="55">
        <f>Orders!K1627</f>
        <v/>
      </c>
      <c r="L1627" s="55">
        <f>VLOOKUP(D1627,Products!$A$2:$F$61,3,FALSE())</f>
        <v/>
      </c>
      <c r="M1627" s="55">
        <f>VLOOKUP(C1627,Customers!$A$2:$F$301,5,FALSE())</f>
        <v/>
      </c>
      <c r="N1627" s="55">
        <f>VLOOKUP(E1627,Sales_Reps!$A$2:$E$31,3,FALSE())</f>
        <v/>
      </c>
      <c r="O1627" s="55">
        <f>VLOOKUP(D1627,Products!$A$2:$F$61,4,FALSE())</f>
        <v/>
      </c>
      <c r="P1627" s="55">
        <f>VLOOKUP(C1627,Customers!$A$2:$F$301,3,FALSE())</f>
        <v/>
      </c>
      <c r="Q1627" s="55">
        <f>UPPER(TRIM(K1627))</f>
        <v/>
      </c>
      <c r="R1627" s="55">
        <f>(G1627-O1627)/G1627</f>
        <v/>
      </c>
      <c r="S1627" s="55">
        <f>VLOOKUP(D1627,Products!$A$2:$F$61,6,FALSE())</f>
        <v/>
      </c>
    </row>
    <row r="1628" ht="15" customHeight="1" s="56">
      <c r="A1628" s="55">
        <f>Orders!A1628</f>
        <v/>
      </c>
      <c r="B1628" s="103">
        <f>Orders!B1628</f>
        <v/>
      </c>
      <c r="C1628" s="55">
        <f>Orders!C1628</f>
        <v/>
      </c>
      <c r="D1628" s="55">
        <f>Orders!D1628</f>
        <v/>
      </c>
      <c r="E1628" s="55">
        <f>Orders!E1628</f>
        <v/>
      </c>
      <c r="F1628" s="55">
        <f>Orders!F1628</f>
        <v/>
      </c>
      <c r="G1628" s="55">
        <f>Orders!G1628</f>
        <v/>
      </c>
      <c r="H1628" s="55">
        <f>Orders!H1628</f>
        <v/>
      </c>
      <c r="I1628" s="55">
        <f>Orders!I1628</f>
        <v/>
      </c>
      <c r="J1628" s="55">
        <f>Orders!J1628</f>
        <v/>
      </c>
      <c r="K1628" s="55">
        <f>Orders!K1628</f>
        <v/>
      </c>
      <c r="L1628" s="55">
        <f>VLOOKUP(D1628,Products!$A$2:$F$61,3,FALSE())</f>
        <v/>
      </c>
      <c r="M1628" s="55">
        <f>VLOOKUP(C1628,Customers!$A$2:$F$301,5,FALSE())</f>
        <v/>
      </c>
      <c r="N1628" s="55">
        <f>VLOOKUP(E1628,Sales_Reps!$A$2:$E$31,3,FALSE())</f>
        <v/>
      </c>
      <c r="O1628" s="55">
        <f>VLOOKUP(D1628,Products!$A$2:$F$61,4,FALSE())</f>
        <v/>
      </c>
      <c r="P1628" s="55">
        <f>VLOOKUP(C1628,Customers!$A$2:$F$301,3,FALSE())</f>
        <v/>
      </c>
      <c r="Q1628" s="55">
        <f>UPPER(TRIM(K1628))</f>
        <v/>
      </c>
      <c r="R1628" s="55">
        <f>(G1628-O1628)/G1628</f>
        <v/>
      </c>
      <c r="S1628" s="55">
        <f>VLOOKUP(D1628,Products!$A$2:$F$61,6,FALSE())</f>
        <v/>
      </c>
    </row>
    <row r="1629" ht="15" customHeight="1" s="56">
      <c r="A1629" s="55">
        <f>Orders!A1629</f>
        <v/>
      </c>
      <c r="B1629" s="103">
        <f>Orders!B1629</f>
        <v/>
      </c>
      <c r="C1629" s="55">
        <f>Orders!C1629</f>
        <v/>
      </c>
      <c r="D1629" s="55">
        <f>Orders!D1629</f>
        <v/>
      </c>
      <c r="E1629" s="55">
        <f>Orders!E1629</f>
        <v/>
      </c>
      <c r="F1629" s="55">
        <f>Orders!F1629</f>
        <v/>
      </c>
      <c r="G1629" s="55">
        <f>Orders!G1629</f>
        <v/>
      </c>
      <c r="H1629" s="55">
        <f>Orders!H1629</f>
        <v/>
      </c>
      <c r="I1629" s="55">
        <f>Orders!I1629</f>
        <v/>
      </c>
      <c r="J1629" s="55">
        <f>Orders!J1629</f>
        <v/>
      </c>
      <c r="K1629" s="55">
        <f>Orders!K1629</f>
        <v/>
      </c>
      <c r="L1629" s="55">
        <f>VLOOKUP(D1629,Products!$A$2:$F$61,3,FALSE())</f>
        <v/>
      </c>
      <c r="M1629" s="55">
        <f>VLOOKUP(C1629,Customers!$A$2:$F$301,5,FALSE())</f>
        <v/>
      </c>
      <c r="N1629" s="55">
        <f>VLOOKUP(E1629,Sales_Reps!$A$2:$E$31,3,FALSE())</f>
        <v/>
      </c>
      <c r="O1629" s="55">
        <f>VLOOKUP(D1629,Products!$A$2:$F$61,4,FALSE())</f>
        <v/>
      </c>
      <c r="P1629" s="55">
        <f>VLOOKUP(C1629,Customers!$A$2:$F$301,3,FALSE())</f>
        <v/>
      </c>
      <c r="Q1629" s="55">
        <f>UPPER(TRIM(K1629))</f>
        <v/>
      </c>
      <c r="R1629" s="55">
        <f>(G1629-O1629)/G1629</f>
        <v/>
      </c>
      <c r="S1629" s="55">
        <f>VLOOKUP(D1629,Products!$A$2:$F$61,6,FALSE())</f>
        <v/>
      </c>
    </row>
    <row r="1630" ht="15" customHeight="1" s="56">
      <c r="A1630" s="55">
        <f>Orders!A1630</f>
        <v/>
      </c>
      <c r="B1630" s="103">
        <f>Orders!B1630</f>
        <v/>
      </c>
      <c r="C1630" s="55">
        <f>Orders!C1630</f>
        <v/>
      </c>
      <c r="D1630" s="55">
        <f>Orders!D1630</f>
        <v/>
      </c>
      <c r="E1630" s="55">
        <f>Orders!E1630</f>
        <v/>
      </c>
      <c r="F1630" s="55">
        <f>Orders!F1630</f>
        <v/>
      </c>
      <c r="G1630" s="55">
        <f>Orders!G1630</f>
        <v/>
      </c>
      <c r="H1630" s="55">
        <f>Orders!H1630</f>
        <v/>
      </c>
      <c r="I1630" s="55">
        <f>Orders!I1630</f>
        <v/>
      </c>
      <c r="J1630" s="55">
        <f>Orders!J1630</f>
        <v/>
      </c>
      <c r="K1630" s="55">
        <f>Orders!K1630</f>
        <v/>
      </c>
      <c r="L1630" s="55">
        <f>VLOOKUP(D1630,Products!$A$2:$F$61,3,FALSE())</f>
        <v/>
      </c>
      <c r="M1630" s="55">
        <f>VLOOKUP(C1630,Customers!$A$2:$F$301,5,FALSE())</f>
        <v/>
      </c>
      <c r="N1630" s="55">
        <f>VLOOKUP(E1630,Sales_Reps!$A$2:$E$31,3,FALSE())</f>
        <v/>
      </c>
      <c r="O1630" s="55">
        <f>VLOOKUP(D1630,Products!$A$2:$F$61,4,FALSE())</f>
        <v/>
      </c>
      <c r="P1630" s="55">
        <f>VLOOKUP(C1630,Customers!$A$2:$F$301,3,FALSE())</f>
        <v/>
      </c>
      <c r="Q1630" s="55">
        <f>UPPER(TRIM(K1630))</f>
        <v/>
      </c>
      <c r="R1630" s="55">
        <f>(G1630-O1630)/G1630</f>
        <v/>
      </c>
      <c r="S1630" s="55">
        <f>VLOOKUP(D1630,Products!$A$2:$F$61,6,FALSE())</f>
        <v/>
      </c>
    </row>
    <row r="1631" ht="15" customHeight="1" s="56">
      <c r="A1631" s="55">
        <f>Orders!A1631</f>
        <v/>
      </c>
      <c r="B1631" s="103">
        <f>Orders!B1631</f>
        <v/>
      </c>
      <c r="C1631" s="55">
        <f>Orders!C1631</f>
        <v/>
      </c>
      <c r="D1631" s="55">
        <f>Orders!D1631</f>
        <v/>
      </c>
      <c r="E1631" s="55">
        <f>Orders!E1631</f>
        <v/>
      </c>
      <c r="F1631" s="55">
        <f>Orders!F1631</f>
        <v/>
      </c>
      <c r="G1631" s="55">
        <f>Orders!G1631</f>
        <v/>
      </c>
      <c r="H1631" s="55">
        <f>Orders!H1631</f>
        <v/>
      </c>
      <c r="I1631" s="55">
        <f>Orders!I1631</f>
        <v/>
      </c>
      <c r="J1631" s="55">
        <f>Orders!J1631</f>
        <v/>
      </c>
      <c r="K1631" s="55">
        <f>Orders!K1631</f>
        <v/>
      </c>
      <c r="L1631" s="55">
        <f>VLOOKUP(D1631,Products!$A$2:$F$61,3,FALSE())</f>
        <v/>
      </c>
      <c r="M1631" s="55">
        <f>VLOOKUP(C1631,Customers!$A$2:$F$301,5,FALSE())</f>
        <v/>
      </c>
      <c r="N1631" s="55">
        <f>VLOOKUP(E1631,Sales_Reps!$A$2:$E$31,3,FALSE())</f>
        <v/>
      </c>
      <c r="O1631" s="55">
        <f>VLOOKUP(D1631,Products!$A$2:$F$61,4,FALSE())</f>
        <v/>
      </c>
      <c r="P1631" s="55">
        <f>VLOOKUP(C1631,Customers!$A$2:$F$301,3,FALSE())</f>
        <v/>
      </c>
      <c r="Q1631" s="55">
        <f>UPPER(TRIM(K1631))</f>
        <v/>
      </c>
      <c r="R1631" s="55">
        <f>(G1631-O1631)/G1631</f>
        <v/>
      </c>
      <c r="S1631" s="55">
        <f>VLOOKUP(D1631,Products!$A$2:$F$61,6,FALSE())</f>
        <v/>
      </c>
    </row>
    <row r="1632" ht="15" customHeight="1" s="56">
      <c r="A1632" s="55">
        <f>Orders!A1632</f>
        <v/>
      </c>
      <c r="B1632" s="103">
        <f>Orders!B1632</f>
        <v/>
      </c>
      <c r="C1632" s="55">
        <f>Orders!C1632</f>
        <v/>
      </c>
      <c r="D1632" s="55">
        <f>Orders!D1632</f>
        <v/>
      </c>
      <c r="E1632" s="55">
        <f>Orders!E1632</f>
        <v/>
      </c>
      <c r="F1632" s="55">
        <f>Orders!F1632</f>
        <v/>
      </c>
      <c r="G1632" s="55">
        <f>Orders!G1632</f>
        <v/>
      </c>
      <c r="H1632" s="55">
        <f>Orders!H1632</f>
        <v/>
      </c>
      <c r="I1632" s="55">
        <f>Orders!I1632</f>
        <v/>
      </c>
      <c r="J1632" s="55">
        <f>Orders!J1632</f>
        <v/>
      </c>
      <c r="K1632" s="55">
        <f>Orders!K1632</f>
        <v/>
      </c>
      <c r="L1632" s="55">
        <f>VLOOKUP(D1632,Products!$A$2:$F$61,3,FALSE())</f>
        <v/>
      </c>
      <c r="M1632" s="55">
        <f>VLOOKUP(C1632,Customers!$A$2:$F$301,5,FALSE())</f>
        <v/>
      </c>
      <c r="N1632" s="55">
        <f>VLOOKUP(E1632,Sales_Reps!$A$2:$E$31,3,FALSE())</f>
        <v/>
      </c>
      <c r="O1632" s="55">
        <f>VLOOKUP(D1632,Products!$A$2:$F$61,4,FALSE())</f>
        <v/>
      </c>
      <c r="P1632" s="55">
        <f>VLOOKUP(C1632,Customers!$A$2:$F$301,3,FALSE())</f>
        <v/>
      </c>
      <c r="Q1632" s="55">
        <f>UPPER(TRIM(K1632))</f>
        <v/>
      </c>
      <c r="R1632" s="55">
        <f>(G1632-O1632)/G1632</f>
        <v/>
      </c>
      <c r="S1632" s="55">
        <f>VLOOKUP(D1632,Products!$A$2:$F$61,6,FALSE())</f>
        <v/>
      </c>
    </row>
    <row r="1633" ht="15" customHeight="1" s="56">
      <c r="A1633" s="55">
        <f>Orders!A1633</f>
        <v/>
      </c>
      <c r="B1633" s="103">
        <f>Orders!B1633</f>
        <v/>
      </c>
      <c r="C1633" s="55">
        <f>Orders!C1633</f>
        <v/>
      </c>
      <c r="D1633" s="55">
        <f>Orders!D1633</f>
        <v/>
      </c>
      <c r="E1633" s="55">
        <f>Orders!E1633</f>
        <v/>
      </c>
      <c r="F1633" s="55">
        <f>Orders!F1633</f>
        <v/>
      </c>
      <c r="G1633" s="55">
        <f>Orders!G1633</f>
        <v/>
      </c>
      <c r="H1633" s="55">
        <f>Orders!H1633</f>
        <v/>
      </c>
      <c r="I1633" s="55">
        <f>Orders!I1633</f>
        <v/>
      </c>
      <c r="J1633" s="55">
        <f>Orders!J1633</f>
        <v/>
      </c>
      <c r="K1633" s="55">
        <f>Orders!K1633</f>
        <v/>
      </c>
      <c r="L1633" s="55">
        <f>VLOOKUP(D1633,Products!$A$2:$F$61,3,FALSE())</f>
        <v/>
      </c>
      <c r="M1633" s="55">
        <f>VLOOKUP(C1633,Customers!$A$2:$F$301,5,FALSE())</f>
        <v/>
      </c>
      <c r="N1633" s="55">
        <f>VLOOKUP(E1633,Sales_Reps!$A$2:$E$31,3,FALSE())</f>
        <v/>
      </c>
      <c r="O1633" s="55">
        <f>VLOOKUP(D1633,Products!$A$2:$F$61,4,FALSE())</f>
        <v/>
      </c>
      <c r="P1633" s="55">
        <f>VLOOKUP(C1633,Customers!$A$2:$F$301,3,FALSE())</f>
        <v/>
      </c>
      <c r="Q1633" s="55">
        <f>UPPER(TRIM(K1633))</f>
        <v/>
      </c>
      <c r="R1633" s="55">
        <f>(G1633-O1633)/G1633</f>
        <v/>
      </c>
      <c r="S1633" s="55">
        <f>VLOOKUP(D1633,Products!$A$2:$F$61,6,FALSE())</f>
        <v/>
      </c>
    </row>
    <row r="1634" ht="15" customHeight="1" s="56">
      <c r="A1634" s="55">
        <f>Orders!A1634</f>
        <v/>
      </c>
      <c r="B1634" s="103">
        <f>Orders!B1634</f>
        <v/>
      </c>
      <c r="C1634" s="55">
        <f>Orders!C1634</f>
        <v/>
      </c>
      <c r="D1634" s="55">
        <f>Orders!D1634</f>
        <v/>
      </c>
      <c r="E1634" s="55">
        <f>Orders!E1634</f>
        <v/>
      </c>
      <c r="F1634" s="55">
        <f>Orders!F1634</f>
        <v/>
      </c>
      <c r="G1634" s="55">
        <f>Orders!G1634</f>
        <v/>
      </c>
      <c r="H1634" s="55">
        <f>Orders!H1634</f>
        <v/>
      </c>
      <c r="I1634" s="55">
        <f>Orders!I1634</f>
        <v/>
      </c>
      <c r="J1634" s="55">
        <f>Orders!J1634</f>
        <v/>
      </c>
      <c r="K1634" s="55">
        <f>Orders!K1634</f>
        <v/>
      </c>
      <c r="L1634" s="55">
        <f>VLOOKUP(D1634,Products!$A$2:$F$61,3,FALSE())</f>
        <v/>
      </c>
      <c r="M1634" s="55">
        <f>VLOOKUP(C1634,Customers!$A$2:$F$301,5,FALSE())</f>
        <v/>
      </c>
      <c r="N1634" s="55">
        <f>VLOOKUP(E1634,Sales_Reps!$A$2:$E$31,3,FALSE())</f>
        <v/>
      </c>
      <c r="O1634" s="55">
        <f>VLOOKUP(D1634,Products!$A$2:$F$61,4,FALSE())</f>
        <v/>
      </c>
      <c r="P1634" s="55">
        <f>VLOOKUP(C1634,Customers!$A$2:$F$301,3,FALSE())</f>
        <v/>
      </c>
      <c r="Q1634" s="55">
        <f>UPPER(TRIM(K1634))</f>
        <v/>
      </c>
      <c r="R1634" s="55">
        <f>(G1634-O1634)/G1634</f>
        <v/>
      </c>
      <c r="S1634" s="55">
        <f>VLOOKUP(D1634,Products!$A$2:$F$61,6,FALSE())</f>
        <v/>
      </c>
    </row>
    <row r="1635" ht="15" customHeight="1" s="56">
      <c r="A1635" s="55">
        <f>Orders!A1635</f>
        <v/>
      </c>
      <c r="B1635" s="103">
        <f>Orders!B1635</f>
        <v/>
      </c>
      <c r="C1635" s="55">
        <f>Orders!C1635</f>
        <v/>
      </c>
      <c r="D1635" s="55">
        <f>Orders!D1635</f>
        <v/>
      </c>
      <c r="E1635" s="55">
        <f>Orders!E1635</f>
        <v/>
      </c>
      <c r="F1635" s="55">
        <f>Orders!F1635</f>
        <v/>
      </c>
      <c r="G1635" s="55">
        <f>Orders!G1635</f>
        <v/>
      </c>
      <c r="H1635" s="55">
        <f>Orders!H1635</f>
        <v/>
      </c>
      <c r="I1635" s="55">
        <f>Orders!I1635</f>
        <v/>
      </c>
      <c r="J1635" s="55">
        <f>Orders!J1635</f>
        <v/>
      </c>
      <c r="K1635" s="55">
        <f>Orders!K1635</f>
        <v/>
      </c>
      <c r="L1635" s="55">
        <f>VLOOKUP(D1635,Products!$A$2:$F$61,3,FALSE())</f>
        <v/>
      </c>
      <c r="M1635" s="55">
        <f>VLOOKUP(C1635,Customers!$A$2:$F$301,5,FALSE())</f>
        <v/>
      </c>
      <c r="N1635" s="55">
        <f>VLOOKUP(E1635,Sales_Reps!$A$2:$E$31,3,FALSE())</f>
        <v/>
      </c>
      <c r="O1635" s="55">
        <f>VLOOKUP(D1635,Products!$A$2:$F$61,4,FALSE())</f>
        <v/>
      </c>
      <c r="P1635" s="55">
        <f>VLOOKUP(C1635,Customers!$A$2:$F$301,3,FALSE())</f>
        <v/>
      </c>
      <c r="Q1635" s="55">
        <f>UPPER(TRIM(K1635))</f>
        <v/>
      </c>
      <c r="R1635" s="55">
        <f>(G1635-O1635)/G1635</f>
        <v/>
      </c>
      <c r="S1635" s="55">
        <f>VLOOKUP(D1635,Products!$A$2:$F$61,6,FALSE())</f>
        <v/>
      </c>
    </row>
    <row r="1636" ht="15" customHeight="1" s="56">
      <c r="A1636" s="55">
        <f>Orders!A1636</f>
        <v/>
      </c>
      <c r="B1636" s="103">
        <f>Orders!B1636</f>
        <v/>
      </c>
      <c r="C1636" s="55">
        <f>Orders!C1636</f>
        <v/>
      </c>
      <c r="D1636" s="55">
        <f>Orders!D1636</f>
        <v/>
      </c>
      <c r="E1636" s="55">
        <f>Orders!E1636</f>
        <v/>
      </c>
      <c r="F1636" s="55">
        <f>Orders!F1636</f>
        <v/>
      </c>
      <c r="G1636" s="55">
        <f>Orders!G1636</f>
        <v/>
      </c>
      <c r="H1636" s="55">
        <f>Orders!H1636</f>
        <v/>
      </c>
      <c r="I1636" s="55">
        <f>Orders!I1636</f>
        <v/>
      </c>
      <c r="J1636" s="55">
        <f>Orders!J1636</f>
        <v/>
      </c>
      <c r="K1636" s="55">
        <f>Orders!K1636</f>
        <v/>
      </c>
      <c r="L1636" s="55">
        <f>VLOOKUP(D1636,Products!$A$2:$F$61,3,FALSE())</f>
        <v/>
      </c>
      <c r="M1636" s="55">
        <f>VLOOKUP(C1636,Customers!$A$2:$F$301,5,FALSE())</f>
        <v/>
      </c>
      <c r="N1636" s="55">
        <f>VLOOKUP(E1636,Sales_Reps!$A$2:$E$31,3,FALSE())</f>
        <v/>
      </c>
      <c r="O1636" s="55">
        <f>VLOOKUP(D1636,Products!$A$2:$F$61,4,FALSE())</f>
        <v/>
      </c>
      <c r="P1636" s="55">
        <f>VLOOKUP(C1636,Customers!$A$2:$F$301,3,FALSE())</f>
        <v/>
      </c>
      <c r="Q1636" s="55">
        <f>UPPER(TRIM(K1636))</f>
        <v/>
      </c>
      <c r="R1636" s="55">
        <f>(G1636-O1636)/G1636</f>
        <v/>
      </c>
      <c r="S1636" s="55">
        <f>VLOOKUP(D1636,Products!$A$2:$F$61,6,FALSE())</f>
        <v/>
      </c>
    </row>
    <row r="1637" ht="15" customHeight="1" s="56">
      <c r="A1637" s="55">
        <f>Orders!A1637</f>
        <v/>
      </c>
      <c r="B1637" s="103">
        <f>Orders!B1637</f>
        <v/>
      </c>
      <c r="C1637" s="55">
        <f>Orders!C1637</f>
        <v/>
      </c>
      <c r="D1637" s="55">
        <f>Orders!D1637</f>
        <v/>
      </c>
      <c r="E1637" s="55">
        <f>Orders!E1637</f>
        <v/>
      </c>
      <c r="F1637" s="55">
        <f>Orders!F1637</f>
        <v/>
      </c>
      <c r="G1637" s="55">
        <f>Orders!G1637</f>
        <v/>
      </c>
      <c r="H1637" s="55">
        <f>Orders!H1637</f>
        <v/>
      </c>
      <c r="I1637" s="55">
        <f>Orders!I1637</f>
        <v/>
      </c>
      <c r="J1637" s="55">
        <f>Orders!J1637</f>
        <v/>
      </c>
      <c r="K1637" s="55">
        <f>Orders!K1637</f>
        <v/>
      </c>
      <c r="L1637" s="55">
        <f>VLOOKUP(D1637,Products!$A$2:$F$61,3,FALSE())</f>
        <v/>
      </c>
      <c r="M1637" s="55">
        <f>VLOOKUP(C1637,Customers!$A$2:$F$301,5,FALSE())</f>
        <v/>
      </c>
      <c r="N1637" s="55">
        <f>VLOOKUP(E1637,Sales_Reps!$A$2:$E$31,3,FALSE())</f>
        <v/>
      </c>
      <c r="O1637" s="55">
        <f>VLOOKUP(D1637,Products!$A$2:$F$61,4,FALSE())</f>
        <v/>
      </c>
      <c r="P1637" s="55">
        <f>VLOOKUP(C1637,Customers!$A$2:$F$301,3,FALSE())</f>
        <v/>
      </c>
      <c r="Q1637" s="55">
        <f>UPPER(TRIM(K1637))</f>
        <v/>
      </c>
      <c r="R1637" s="55">
        <f>(G1637-O1637)/G1637</f>
        <v/>
      </c>
      <c r="S1637" s="55">
        <f>VLOOKUP(D1637,Products!$A$2:$F$61,6,FALSE())</f>
        <v/>
      </c>
    </row>
    <row r="1638" ht="15" customHeight="1" s="56">
      <c r="A1638" s="55">
        <f>Orders!A1638</f>
        <v/>
      </c>
      <c r="B1638" s="103">
        <f>Orders!B1638</f>
        <v/>
      </c>
      <c r="C1638" s="55">
        <f>Orders!C1638</f>
        <v/>
      </c>
      <c r="D1638" s="55">
        <f>Orders!D1638</f>
        <v/>
      </c>
      <c r="E1638" s="55">
        <f>Orders!E1638</f>
        <v/>
      </c>
      <c r="F1638" s="55">
        <f>Orders!F1638</f>
        <v/>
      </c>
      <c r="G1638" s="55">
        <f>Orders!G1638</f>
        <v/>
      </c>
      <c r="H1638" s="55">
        <f>Orders!H1638</f>
        <v/>
      </c>
      <c r="I1638" s="55">
        <f>Orders!I1638</f>
        <v/>
      </c>
      <c r="J1638" s="55">
        <f>Orders!J1638</f>
        <v/>
      </c>
      <c r="K1638" s="55">
        <f>Orders!K1638</f>
        <v/>
      </c>
      <c r="L1638" s="55">
        <f>VLOOKUP(D1638,Products!$A$2:$F$61,3,FALSE())</f>
        <v/>
      </c>
      <c r="M1638" s="55">
        <f>VLOOKUP(C1638,Customers!$A$2:$F$301,5,FALSE())</f>
        <v/>
      </c>
      <c r="N1638" s="55">
        <f>VLOOKUP(E1638,Sales_Reps!$A$2:$E$31,3,FALSE())</f>
        <v/>
      </c>
      <c r="O1638" s="55">
        <f>VLOOKUP(D1638,Products!$A$2:$F$61,4,FALSE())</f>
        <v/>
      </c>
      <c r="P1638" s="55">
        <f>VLOOKUP(C1638,Customers!$A$2:$F$301,3,FALSE())</f>
        <v/>
      </c>
      <c r="Q1638" s="55">
        <f>UPPER(TRIM(K1638))</f>
        <v/>
      </c>
      <c r="R1638" s="55">
        <f>(G1638-O1638)/G1638</f>
        <v/>
      </c>
      <c r="S1638" s="55">
        <f>VLOOKUP(D1638,Products!$A$2:$F$61,6,FALSE())</f>
        <v/>
      </c>
    </row>
    <row r="1639" ht="15" customHeight="1" s="56">
      <c r="A1639" s="55">
        <f>Orders!A1639</f>
        <v/>
      </c>
      <c r="B1639" s="103">
        <f>Orders!B1639</f>
        <v/>
      </c>
      <c r="C1639" s="55">
        <f>Orders!C1639</f>
        <v/>
      </c>
      <c r="D1639" s="55">
        <f>Orders!D1639</f>
        <v/>
      </c>
      <c r="E1639" s="55">
        <f>Orders!E1639</f>
        <v/>
      </c>
      <c r="F1639" s="55">
        <f>Orders!F1639</f>
        <v/>
      </c>
      <c r="G1639" s="55">
        <f>Orders!G1639</f>
        <v/>
      </c>
      <c r="H1639" s="55">
        <f>Orders!H1639</f>
        <v/>
      </c>
      <c r="I1639" s="55">
        <f>Orders!I1639</f>
        <v/>
      </c>
      <c r="J1639" s="55">
        <f>Orders!J1639</f>
        <v/>
      </c>
      <c r="K1639" s="55">
        <f>Orders!K1639</f>
        <v/>
      </c>
      <c r="L1639" s="55">
        <f>VLOOKUP(D1639,Products!$A$2:$F$61,3,FALSE())</f>
        <v/>
      </c>
      <c r="M1639" s="55">
        <f>VLOOKUP(C1639,Customers!$A$2:$F$301,5,FALSE())</f>
        <v/>
      </c>
      <c r="N1639" s="55">
        <f>VLOOKUP(E1639,Sales_Reps!$A$2:$E$31,3,FALSE())</f>
        <v/>
      </c>
      <c r="O1639" s="55">
        <f>VLOOKUP(D1639,Products!$A$2:$F$61,4,FALSE())</f>
        <v/>
      </c>
      <c r="P1639" s="55">
        <f>VLOOKUP(C1639,Customers!$A$2:$F$301,3,FALSE())</f>
        <v/>
      </c>
      <c r="Q1639" s="55">
        <f>UPPER(TRIM(K1639))</f>
        <v/>
      </c>
      <c r="R1639" s="55">
        <f>(G1639-O1639)/G1639</f>
        <v/>
      </c>
      <c r="S1639" s="55">
        <f>VLOOKUP(D1639,Products!$A$2:$F$61,6,FALSE())</f>
        <v/>
      </c>
    </row>
    <row r="1640" ht="15" customHeight="1" s="56">
      <c r="A1640" s="55">
        <f>Orders!A1640</f>
        <v/>
      </c>
      <c r="B1640" s="103">
        <f>Orders!B1640</f>
        <v/>
      </c>
      <c r="C1640" s="55">
        <f>Orders!C1640</f>
        <v/>
      </c>
      <c r="D1640" s="55">
        <f>Orders!D1640</f>
        <v/>
      </c>
      <c r="E1640" s="55">
        <f>Orders!E1640</f>
        <v/>
      </c>
      <c r="F1640" s="55">
        <f>Orders!F1640</f>
        <v/>
      </c>
      <c r="G1640" s="55">
        <f>Orders!G1640</f>
        <v/>
      </c>
      <c r="H1640" s="55">
        <f>Orders!H1640</f>
        <v/>
      </c>
      <c r="I1640" s="55">
        <f>Orders!I1640</f>
        <v/>
      </c>
      <c r="J1640" s="55">
        <f>Orders!J1640</f>
        <v/>
      </c>
      <c r="K1640" s="55">
        <f>Orders!K1640</f>
        <v/>
      </c>
      <c r="L1640" s="55">
        <f>VLOOKUP(D1640,Products!$A$2:$F$61,3,FALSE())</f>
        <v/>
      </c>
      <c r="M1640" s="55">
        <f>VLOOKUP(C1640,Customers!$A$2:$F$301,5,FALSE())</f>
        <v/>
      </c>
      <c r="N1640" s="55">
        <f>VLOOKUP(E1640,Sales_Reps!$A$2:$E$31,3,FALSE())</f>
        <v/>
      </c>
      <c r="O1640" s="55">
        <f>VLOOKUP(D1640,Products!$A$2:$F$61,4,FALSE())</f>
        <v/>
      </c>
      <c r="P1640" s="55">
        <f>VLOOKUP(C1640,Customers!$A$2:$F$301,3,FALSE())</f>
        <v/>
      </c>
      <c r="Q1640" s="55">
        <f>UPPER(TRIM(K1640))</f>
        <v/>
      </c>
      <c r="R1640" s="55">
        <f>(G1640-O1640)/G1640</f>
        <v/>
      </c>
      <c r="S1640" s="55">
        <f>VLOOKUP(D1640,Products!$A$2:$F$61,6,FALSE())</f>
        <v/>
      </c>
    </row>
    <row r="1641" ht="15" customHeight="1" s="56">
      <c r="A1641" s="55">
        <f>Orders!A1641</f>
        <v/>
      </c>
      <c r="B1641" s="103">
        <f>Orders!B1641</f>
        <v/>
      </c>
      <c r="C1641" s="55">
        <f>Orders!C1641</f>
        <v/>
      </c>
      <c r="D1641" s="55">
        <f>Orders!D1641</f>
        <v/>
      </c>
      <c r="E1641" s="55">
        <f>Orders!E1641</f>
        <v/>
      </c>
      <c r="F1641" s="55">
        <f>Orders!F1641</f>
        <v/>
      </c>
      <c r="G1641" s="55">
        <f>Orders!G1641</f>
        <v/>
      </c>
      <c r="H1641" s="55">
        <f>Orders!H1641</f>
        <v/>
      </c>
      <c r="I1641" s="55">
        <f>Orders!I1641</f>
        <v/>
      </c>
      <c r="J1641" s="55">
        <f>Orders!J1641</f>
        <v/>
      </c>
      <c r="K1641" s="55">
        <f>Orders!K1641</f>
        <v/>
      </c>
      <c r="L1641" s="55">
        <f>VLOOKUP(D1641,Products!$A$2:$F$61,3,FALSE())</f>
        <v/>
      </c>
      <c r="M1641" s="55">
        <f>VLOOKUP(C1641,Customers!$A$2:$F$301,5,FALSE())</f>
        <v/>
      </c>
      <c r="N1641" s="55">
        <f>VLOOKUP(E1641,Sales_Reps!$A$2:$E$31,3,FALSE())</f>
        <v/>
      </c>
      <c r="O1641" s="55">
        <f>VLOOKUP(D1641,Products!$A$2:$F$61,4,FALSE())</f>
        <v/>
      </c>
      <c r="P1641" s="55">
        <f>VLOOKUP(C1641,Customers!$A$2:$F$301,3,FALSE())</f>
        <v/>
      </c>
      <c r="Q1641" s="55">
        <f>UPPER(TRIM(K1641))</f>
        <v/>
      </c>
      <c r="R1641" s="55">
        <f>(G1641-O1641)/G1641</f>
        <v/>
      </c>
      <c r="S1641" s="55">
        <f>VLOOKUP(D1641,Products!$A$2:$F$61,6,FALSE())</f>
        <v/>
      </c>
    </row>
    <row r="1642" ht="15" customHeight="1" s="56">
      <c r="A1642" s="55">
        <f>Orders!A1642</f>
        <v/>
      </c>
      <c r="B1642" s="103">
        <f>Orders!B1642</f>
        <v/>
      </c>
      <c r="C1642" s="55">
        <f>Orders!C1642</f>
        <v/>
      </c>
      <c r="D1642" s="55">
        <f>Orders!D1642</f>
        <v/>
      </c>
      <c r="E1642" s="55">
        <f>Orders!E1642</f>
        <v/>
      </c>
      <c r="F1642" s="55">
        <f>Orders!F1642</f>
        <v/>
      </c>
      <c r="G1642" s="55">
        <f>Orders!G1642</f>
        <v/>
      </c>
      <c r="H1642" s="55">
        <f>Orders!H1642</f>
        <v/>
      </c>
      <c r="I1642" s="55">
        <f>Orders!I1642</f>
        <v/>
      </c>
      <c r="J1642" s="55">
        <f>Orders!J1642</f>
        <v/>
      </c>
      <c r="K1642" s="55">
        <f>Orders!K1642</f>
        <v/>
      </c>
      <c r="L1642" s="55">
        <f>VLOOKUP(D1642,Products!$A$2:$F$61,3,FALSE())</f>
        <v/>
      </c>
      <c r="M1642" s="55">
        <f>VLOOKUP(C1642,Customers!$A$2:$F$301,5,FALSE())</f>
        <v/>
      </c>
      <c r="N1642" s="55">
        <f>VLOOKUP(E1642,Sales_Reps!$A$2:$E$31,3,FALSE())</f>
        <v/>
      </c>
      <c r="O1642" s="55">
        <f>VLOOKUP(D1642,Products!$A$2:$F$61,4,FALSE())</f>
        <v/>
      </c>
      <c r="P1642" s="55">
        <f>VLOOKUP(C1642,Customers!$A$2:$F$301,3,FALSE())</f>
        <v/>
      </c>
      <c r="Q1642" s="55">
        <f>UPPER(TRIM(K1642))</f>
        <v/>
      </c>
      <c r="R1642" s="55">
        <f>(G1642-O1642)/G1642</f>
        <v/>
      </c>
      <c r="S1642" s="55">
        <f>VLOOKUP(D1642,Products!$A$2:$F$61,6,FALSE())</f>
        <v/>
      </c>
    </row>
    <row r="1643" ht="15" customHeight="1" s="56">
      <c r="A1643" s="55">
        <f>Orders!A1643</f>
        <v/>
      </c>
      <c r="B1643" s="103">
        <f>Orders!B1643</f>
        <v/>
      </c>
      <c r="C1643" s="55">
        <f>Orders!C1643</f>
        <v/>
      </c>
      <c r="D1643" s="55">
        <f>Orders!D1643</f>
        <v/>
      </c>
      <c r="E1643" s="55">
        <f>Orders!E1643</f>
        <v/>
      </c>
      <c r="F1643" s="55">
        <f>Orders!F1643</f>
        <v/>
      </c>
      <c r="G1643" s="55">
        <f>Orders!G1643</f>
        <v/>
      </c>
      <c r="H1643" s="55">
        <f>Orders!H1643</f>
        <v/>
      </c>
      <c r="I1643" s="55">
        <f>Orders!I1643</f>
        <v/>
      </c>
      <c r="J1643" s="55">
        <f>Orders!J1643</f>
        <v/>
      </c>
      <c r="K1643" s="55">
        <f>Orders!K1643</f>
        <v/>
      </c>
      <c r="L1643" s="55">
        <f>VLOOKUP(D1643,Products!$A$2:$F$61,3,FALSE())</f>
        <v/>
      </c>
      <c r="M1643" s="55">
        <f>VLOOKUP(C1643,Customers!$A$2:$F$301,5,FALSE())</f>
        <v/>
      </c>
      <c r="N1643" s="55">
        <f>VLOOKUP(E1643,Sales_Reps!$A$2:$E$31,3,FALSE())</f>
        <v/>
      </c>
      <c r="O1643" s="55">
        <f>VLOOKUP(D1643,Products!$A$2:$F$61,4,FALSE())</f>
        <v/>
      </c>
      <c r="P1643" s="55">
        <f>VLOOKUP(C1643,Customers!$A$2:$F$301,3,FALSE())</f>
        <v/>
      </c>
      <c r="Q1643" s="55">
        <f>UPPER(TRIM(K1643))</f>
        <v/>
      </c>
      <c r="R1643" s="55">
        <f>(G1643-O1643)/G1643</f>
        <v/>
      </c>
      <c r="S1643" s="55">
        <f>VLOOKUP(D1643,Products!$A$2:$F$61,6,FALSE())</f>
        <v/>
      </c>
    </row>
    <row r="1644" ht="15" customHeight="1" s="56">
      <c r="A1644" s="55">
        <f>Orders!A1644</f>
        <v/>
      </c>
      <c r="B1644" s="103">
        <f>Orders!B1644</f>
        <v/>
      </c>
      <c r="C1644" s="55">
        <f>Orders!C1644</f>
        <v/>
      </c>
      <c r="D1644" s="55">
        <f>Orders!D1644</f>
        <v/>
      </c>
      <c r="E1644" s="55">
        <f>Orders!E1644</f>
        <v/>
      </c>
      <c r="F1644" s="55">
        <f>Orders!F1644</f>
        <v/>
      </c>
      <c r="G1644" s="55">
        <f>Orders!G1644</f>
        <v/>
      </c>
      <c r="H1644" s="55">
        <f>Orders!H1644</f>
        <v/>
      </c>
      <c r="I1644" s="55">
        <f>Orders!I1644</f>
        <v/>
      </c>
      <c r="J1644" s="55">
        <f>Orders!J1644</f>
        <v/>
      </c>
      <c r="K1644" s="55">
        <f>Orders!K1644</f>
        <v/>
      </c>
      <c r="L1644" s="55">
        <f>VLOOKUP(D1644,Products!$A$2:$F$61,3,FALSE())</f>
        <v/>
      </c>
      <c r="M1644" s="55">
        <f>VLOOKUP(C1644,Customers!$A$2:$F$301,5,FALSE())</f>
        <v/>
      </c>
      <c r="N1644" s="55">
        <f>VLOOKUP(E1644,Sales_Reps!$A$2:$E$31,3,FALSE())</f>
        <v/>
      </c>
      <c r="O1644" s="55">
        <f>VLOOKUP(D1644,Products!$A$2:$F$61,4,FALSE())</f>
        <v/>
      </c>
      <c r="P1644" s="55">
        <f>VLOOKUP(C1644,Customers!$A$2:$F$301,3,FALSE())</f>
        <v/>
      </c>
      <c r="Q1644" s="55">
        <f>UPPER(TRIM(K1644))</f>
        <v/>
      </c>
      <c r="R1644" s="55">
        <f>(G1644-O1644)/G1644</f>
        <v/>
      </c>
      <c r="S1644" s="55">
        <f>VLOOKUP(D1644,Products!$A$2:$F$61,6,FALSE())</f>
        <v/>
      </c>
    </row>
    <row r="1645" ht="15" customHeight="1" s="56">
      <c r="A1645" s="55">
        <f>Orders!A1645</f>
        <v/>
      </c>
      <c r="B1645" s="103">
        <f>Orders!B1645</f>
        <v/>
      </c>
      <c r="C1645" s="55">
        <f>Orders!C1645</f>
        <v/>
      </c>
      <c r="D1645" s="55">
        <f>Orders!D1645</f>
        <v/>
      </c>
      <c r="E1645" s="55">
        <f>Orders!E1645</f>
        <v/>
      </c>
      <c r="F1645" s="55">
        <f>Orders!F1645</f>
        <v/>
      </c>
      <c r="G1645" s="55">
        <f>Orders!G1645</f>
        <v/>
      </c>
      <c r="H1645" s="55">
        <f>Orders!H1645</f>
        <v/>
      </c>
      <c r="I1645" s="55">
        <f>Orders!I1645</f>
        <v/>
      </c>
      <c r="J1645" s="55">
        <f>Orders!J1645</f>
        <v/>
      </c>
      <c r="K1645" s="55">
        <f>Orders!K1645</f>
        <v/>
      </c>
      <c r="L1645" s="55">
        <f>VLOOKUP(D1645,Products!$A$2:$F$61,3,FALSE())</f>
        <v/>
      </c>
      <c r="M1645" s="55">
        <f>VLOOKUP(C1645,Customers!$A$2:$F$301,5,FALSE())</f>
        <v/>
      </c>
      <c r="N1645" s="55">
        <f>VLOOKUP(E1645,Sales_Reps!$A$2:$E$31,3,FALSE())</f>
        <v/>
      </c>
      <c r="O1645" s="55">
        <f>VLOOKUP(D1645,Products!$A$2:$F$61,4,FALSE())</f>
        <v/>
      </c>
      <c r="P1645" s="55">
        <f>VLOOKUP(C1645,Customers!$A$2:$F$301,3,FALSE())</f>
        <v/>
      </c>
      <c r="Q1645" s="55">
        <f>UPPER(TRIM(K1645))</f>
        <v/>
      </c>
      <c r="R1645" s="55">
        <f>(G1645-O1645)/G1645</f>
        <v/>
      </c>
      <c r="S1645" s="55">
        <f>VLOOKUP(D1645,Products!$A$2:$F$61,6,FALSE())</f>
        <v/>
      </c>
    </row>
    <row r="1646" ht="15" customHeight="1" s="56">
      <c r="A1646" s="55">
        <f>Orders!A1646</f>
        <v/>
      </c>
      <c r="B1646" s="103">
        <f>Orders!B1646</f>
        <v/>
      </c>
      <c r="C1646" s="55">
        <f>Orders!C1646</f>
        <v/>
      </c>
      <c r="D1646" s="55">
        <f>Orders!D1646</f>
        <v/>
      </c>
      <c r="E1646" s="55">
        <f>Orders!E1646</f>
        <v/>
      </c>
      <c r="F1646" s="55">
        <f>Orders!F1646</f>
        <v/>
      </c>
      <c r="G1646" s="55">
        <f>Orders!G1646</f>
        <v/>
      </c>
      <c r="H1646" s="55">
        <f>Orders!H1646</f>
        <v/>
      </c>
      <c r="I1646" s="55">
        <f>Orders!I1646</f>
        <v/>
      </c>
      <c r="J1646" s="55">
        <f>Orders!J1646</f>
        <v/>
      </c>
      <c r="K1646" s="55">
        <f>Orders!K1646</f>
        <v/>
      </c>
      <c r="L1646" s="55">
        <f>VLOOKUP(D1646,Products!$A$2:$F$61,3,FALSE())</f>
        <v/>
      </c>
      <c r="M1646" s="55">
        <f>VLOOKUP(C1646,Customers!$A$2:$F$301,5,FALSE())</f>
        <v/>
      </c>
      <c r="N1646" s="55">
        <f>VLOOKUP(E1646,Sales_Reps!$A$2:$E$31,3,FALSE())</f>
        <v/>
      </c>
      <c r="O1646" s="55">
        <f>VLOOKUP(D1646,Products!$A$2:$F$61,4,FALSE())</f>
        <v/>
      </c>
      <c r="P1646" s="55">
        <f>VLOOKUP(C1646,Customers!$A$2:$F$301,3,FALSE())</f>
        <v/>
      </c>
      <c r="Q1646" s="55">
        <f>UPPER(TRIM(K1646))</f>
        <v/>
      </c>
      <c r="R1646" s="55">
        <f>(G1646-O1646)/G1646</f>
        <v/>
      </c>
      <c r="S1646" s="55">
        <f>VLOOKUP(D1646,Products!$A$2:$F$61,6,FALSE())</f>
        <v/>
      </c>
    </row>
    <row r="1647" ht="15" customHeight="1" s="56">
      <c r="A1647" s="55">
        <f>Orders!A1647</f>
        <v/>
      </c>
      <c r="B1647" s="103">
        <f>Orders!B1647</f>
        <v/>
      </c>
      <c r="C1647" s="55">
        <f>Orders!C1647</f>
        <v/>
      </c>
      <c r="D1647" s="55">
        <f>Orders!D1647</f>
        <v/>
      </c>
      <c r="E1647" s="55">
        <f>Orders!E1647</f>
        <v/>
      </c>
      <c r="F1647" s="55">
        <f>Orders!F1647</f>
        <v/>
      </c>
      <c r="G1647" s="55">
        <f>Orders!G1647</f>
        <v/>
      </c>
      <c r="H1647" s="55">
        <f>Orders!H1647</f>
        <v/>
      </c>
      <c r="I1647" s="55">
        <f>Orders!I1647</f>
        <v/>
      </c>
      <c r="J1647" s="55">
        <f>Orders!J1647</f>
        <v/>
      </c>
      <c r="K1647" s="55">
        <f>Orders!K1647</f>
        <v/>
      </c>
      <c r="L1647" s="55">
        <f>VLOOKUP(D1647,Products!$A$2:$F$61,3,FALSE())</f>
        <v/>
      </c>
      <c r="M1647" s="55">
        <f>VLOOKUP(C1647,Customers!$A$2:$F$301,5,FALSE())</f>
        <v/>
      </c>
      <c r="N1647" s="55">
        <f>VLOOKUP(E1647,Sales_Reps!$A$2:$E$31,3,FALSE())</f>
        <v/>
      </c>
      <c r="O1647" s="55">
        <f>VLOOKUP(D1647,Products!$A$2:$F$61,4,FALSE())</f>
        <v/>
      </c>
      <c r="P1647" s="55">
        <f>VLOOKUP(C1647,Customers!$A$2:$F$301,3,FALSE())</f>
        <v/>
      </c>
      <c r="Q1647" s="55">
        <f>UPPER(TRIM(K1647))</f>
        <v/>
      </c>
      <c r="R1647" s="55">
        <f>(G1647-O1647)/G1647</f>
        <v/>
      </c>
      <c r="S1647" s="55">
        <f>VLOOKUP(D1647,Products!$A$2:$F$61,6,FALSE())</f>
        <v/>
      </c>
    </row>
    <row r="1648" ht="15" customHeight="1" s="56">
      <c r="A1648" s="55">
        <f>Orders!A1648</f>
        <v/>
      </c>
      <c r="B1648" s="103">
        <f>Orders!B1648</f>
        <v/>
      </c>
      <c r="C1648" s="55">
        <f>Orders!C1648</f>
        <v/>
      </c>
      <c r="D1648" s="55">
        <f>Orders!D1648</f>
        <v/>
      </c>
      <c r="E1648" s="55">
        <f>Orders!E1648</f>
        <v/>
      </c>
      <c r="F1648" s="55">
        <f>Orders!F1648</f>
        <v/>
      </c>
      <c r="G1648" s="55">
        <f>Orders!G1648</f>
        <v/>
      </c>
      <c r="H1648" s="55">
        <f>Orders!H1648</f>
        <v/>
      </c>
      <c r="I1648" s="55">
        <f>Orders!I1648</f>
        <v/>
      </c>
      <c r="J1648" s="55">
        <f>Orders!J1648</f>
        <v/>
      </c>
      <c r="K1648" s="55">
        <f>Orders!K1648</f>
        <v/>
      </c>
      <c r="L1648" s="55">
        <f>VLOOKUP(D1648,Products!$A$2:$F$61,3,FALSE())</f>
        <v/>
      </c>
      <c r="M1648" s="55">
        <f>VLOOKUP(C1648,Customers!$A$2:$F$301,5,FALSE())</f>
        <v/>
      </c>
      <c r="N1648" s="55">
        <f>VLOOKUP(E1648,Sales_Reps!$A$2:$E$31,3,FALSE())</f>
        <v/>
      </c>
      <c r="O1648" s="55">
        <f>VLOOKUP(D1648,Products!$A$2:$F$61,4,FALSE())</f>
        <v/>
      </c>
      <c r="P1648" s="55">
        <f>VLOOKUP(C1648,Customers!$A$2:$F$301,3,FALSE())</f>
        <v/>
      </c>
      <c r="Q1648" s="55">
        <f>UPPER(TRIM(K1648))</f>
        <v/>
      </c>
      <c r="R1648" s="55">
        <f>(G1648-O1648)/G1648</f>
        <v/>
      </c>
      <c r="S1648" s="55">
        <f>VLOOKUP(D1648,Products!$A$2:$F$61,6,FALSE())</f>
        <v/>
      </c>
    </row>
    <row r="1649" ht="15" customHeight="1" s="56">
      <c r="A1649" s="55">
        <f>Orders!A1649</f>
        <v/>
      </c>
      <c r="B1649" s="103">
        <f>Orders!B1649</f>
        <v/>
      </c>
      <c r="C1649" s="55">
        <f>Orders!C1649</f>
        <v/>
      </c>
      <c r="D1649" s="55">
        <f>Orders!D1649</f>
        <v/>
      </c>
      <c r="E1649" s="55">
        <f>Orders!E1649</f>
        <v/>
      </c>
      <c r="F1649" s="55">
        <f>Orders!F1649</f>
        <v/>
      </c>
      <c r="G1649" s="55">
        <f>Orders!G1649</f>
        <v/>
      </c>
      <c r="H1649" s="55">
        <f>Orders!H1649</f>
        <v/>
      </c>
      <c r="I1649" s="55">
        <f>Orders!I1649</f>
        <v/>
      </c>
      <c r="J1649" s="55">
        <f>Orders!J1649</f>
        <v/>
      </c>
      <c r="K1649" s="55">
        <f>Orders!K1649</f>
        <v/>
      </c>
      <c r="L1649" s="55">
        <f>VLOOKUP(D1649,Products!$A$2:$F$61,3,FALSE())</f>
        <v/>
      </c>
      <c r="M1649" s="55">
        <f>VLOOKUP(C1649,Customers!$A$2:$F$301,5,FALSE())</f>
        <v/>
      </c>
      <c r="N1649" s="55">
        <f>VLOOKUP(E1649,Sales_Reps!$A$2:$E$31,3,FALSE())</f>
        <v/>
      </c>
      <c r="O1649" s="55">
        <f>VLOOKUP(D1649,Products!$A$2:$F$61,4,FALSE())</f>
        <v/>
      </c>
      <c r="P1649" s="55">
        <f>VLOOKUP(C1649,Customers!$A$2:$F$301,3,FALSE())</f>
        <v/>
      </c>
      <c r="Q1649" s="55">
        <f>UPPER(TRIM(K1649))</f>
        <v/>
      </c>
      <c r="R1649" s="55">
        <f>(G1649-O1649)/G1649</f>
        <v/>
      </c>
      <c r="S1649" s="55">
        <f>VLOOKUP(D1649,Products!$A$2:$F$61,6,FALSE())</f>
        <v/>
      </c>
    </row>
    <row r="1650" ht="15" customHeight="1" s="56">
      <c r="A1650" s="55">
        <f>Orders!A1650</f>
        <v/>
      </c>
      <c r="B1650" s="103">
        <f>Orders!B1650</f>
        <v/>
      </c>
      <c r="C1650" s="55">
        <f>Orders!C1650</f>
        <v/>
      </c>
      <c r="D1650" s="55">
        <f>Orders!D1650</f>
        <v/>
      </c>
      <c r="E1650" s="55">
        <f>Orders!E1650</f>
        <v/>
      </c>
      <c r="F1650" s="55">
        <f>Orders!F1650</f>
        <v/>
      </c>
      <c r="G1650" s="55">
        <f>Orders!G1650</f>
        <v/>
      </c>
      <c r="H1650" s="55">
        <f>Orders!H1650</f>
        <v/>
      </c>
      <c r="I1650" s="55">
        <f>Orders!I1650</f>
        <v/>
      </c>
      <c r="J1650" s="55">
        <f>Orders!J1650</f>
        <v/>
      </c>
      <c r="K1650" s="55">
        <f>Orders!K1650</f>
        <v/>
      </c>
      <c r="L1650" s="55">
        <f>VLOOKUP(D1650,Products!$A$2:$F$61,3,FALSE())</f>
        <v/>
      </c>
      <c r="M1650" s="55">
        <f>VLOOKUP(C1650,Customers!$A$2:$F$301,5,FALSE())</f>
        <v/>
      </c>
      <c r="N1650" s="55">
        <f>VLOOKUP(E1650,Sales_Reps!$A$2:$E$31,3,FALSE())</f>
        <v/>
      </c>
      <c r="O1650" s="55">
        <f>VLOOKUP(D1650,Products!$A$2:$F$61,4,FALSE())</f>
        <v/>
      </c>
      <c r="P1650" s="55">
        <f>VLOOKUP(C1650,Customers!$A$2:$F$301,3,FALSE())</f>
        <v/>
      </c>
      <c r="Q1650" s="55">
        <f>UPPER(TRIM(K1650))</f>
        <v/>
      </c>
      <c r="R1650" s="55">
        <f>(G1650-O1650)/G1650</f>
        <v/>
      </c>
      <c r="S1650" s="55">
        <f>VLOOKUP(D1650,Products!$A$2:$F$61,6,FALSE())</f>
        <v/>
      </c>
    </row>
    <row r="1651" ht="15" customHeight="1" s="56">
      <c r="A1651" s="55">
        <f>Orders!A1651</f>
        <v/>
      </c>
      <c r="B1651" s="103">
        <f>Orders!B1651</f>
        <v/>
      </c>
      <c r="C1651" s="55">
        <f>Orders!C1651</f>
        <v/>
      </c>
      <c r="D1651" s="55">
        <f>Orders!D1651</f>
        <v/>
      </c>
      <c r="E1651" s="55">
        <f>Orders!E1651</f>
        <v/>
      </c>
      <c r="F1651" s="55">
        <f>Orders!F1651</f>
        <v/>
      </c>
      <c r="G1651" s="55">
        <f>Orders!G1651</f>
        <v/>
      </c>
      <c r="H1651" s="55">
        <f>Orders!H1651</f>
        <v/>
      </c>
      <c r="I1651" s="55">
        <f>Orders!I1651</f>
        <v/>
      </c>
      <c r="J1651" s="55">
        <f>Orders!J1651</f>
        <v/>
      </c>
      <c r="K1651" s="55">
        <f>Orders!K1651</f>
        <v/>
      </c>
      <c r="L1651" s="55">
        <f>VLOOKUP(D1651,Products!$A$2:$F$61,3,FALSE())</f>
        <v/>
      </c>
      <c r="M1651" s="55">
        <f>VLOOKUP(C1651,Customers!$A$2:$F$301,5,FALSE())</f>
        <v/>
      </c>
      <c r="N1651" s="55">
        <f>VLOOKUP(E1651,Sales_Reps!$A$2:$E$31,3,FALSE())</f>
        <v/>
      </c>
      <c r="O1651" s="55">
        <f>VLOOKUP(D1651,Products!$A$2:$F$61,4,FALSE())</f>
        <v/>
      </c>
      <c r="P1651" s="55">
        <f>VLOOKUP(C1651,Customers!$A$2:$F$301,3,FALSE())</f>
        <v/>
      </c>
      <c r="Q1651" s="55">
        <f>UPPER(TRIM(K1651))</f>
        <v/>
      </c>
      <c r="R1651" s="55">
        <f>(G1651-O1651)/G1651</f>
        <v/>
      </c>
      <c r="S1651" s="55">
        <f>VLOOKUP(D1651,Products!$A$2:$F$61,6,FALSE())</f>
        <v/>
      </c>
    </row>
    <row r="1652" ht="15" customHeight="1" s="56">
      <c r="A1652" s="55">
        <f>Orders!A1652</f>
        <v/>
      </c>
      <c r="B1652" s="103">
        <f>Orders!B1652</f>
        <v/>
      </c>
      <c r="C1652" s="55">
        <f>Orders!C1652</f>
        <v/>
      </c>
      <c r="D1652" s="55">
        <f>Orders!D1652</f>
        <v/>
      </c>
      <c r="E1652" s="55">
        <f>Orders!E1652</f>
        <v/>
      </c>
      <c r="F1652" s="55">
        <f>Orders!F1652</f>
        <v/>
      </c>
      <c r="G1652" s="55">
        <f>Orders!G1652</f>
        <v/>
      </c>
      <c r="H1652" s="55">
        <f>Orders!H1652</f>
        <v/>
      </c>
      <c r="I1652" s="55">
        <f>Orders!I1652</f>
        <v/>
      </c>
      <c r="J1652" s="55">
        <f>Orders!J1652</f>
        <v/>
      </c>
      <c r="K1652" s="55">
        <f>Orders!K1652</f>
        <v/>
      </c>
      <c r="L1652" s="55">
        <f>VLOOKUP(D1652,Products!$A$2:$F$61,3,FALSE())</f>
        <v/>
      </c>
      <c r="M1652" s="55">
        <f>VLOOKUP(C1652,Customers!$A$2:$F$301,5,FALSE())</f>
        <v/>
      </c>
      <c r="N1652" s="55">
        <f>VLOOKUP(E1652,Sales_Reps!$A$2:$E$31,3,FALSE())</f>
        <v/>
      </c>
      <c r="O1652" s="55">
        <f>VLOOKUP(D1652,Products!$A$2:$F$61,4,FALSE())</f>
        <v/>
      </c>
      <c r="P1652" s="55">
        <f>VLOOKUP(C1652,Customers!$A$2:$F$301,3,FALSE())</f>
        <v/>
      </c>
      <c r="Q1652" s="55">
        <f>UPPER(TRIM(K1652))</f>
        <v/>
      </c>
      <c r="R1652" s="55">
        <f>(G1652-O1652)/G1652</f>
        <v/>
      </c>
      <c r="S1652" s="55">
        <f>VLOOKUP(D1652,Products!$A$2:$F$61,6,FALSE())</f>
        <v/>
      </c>
    </row>
    <row r="1653" ht="15" customHeight="1" s="56">
      <c r="A1653" s="55">
        <f>Orders!A1653</f>
        <v/>
      </c>
      <c r="B1653" s="103">
        <f>Orders!B1653</f>
        <v/>
      </c>
      <c r="C1653" s="55">
        <f>Orders!C1653</f>
        <v/>
      </c>
      <c r="D1653" s="55">
        <f>Orders!D1653</f>
        <v/>
      </c>
      <c r="E1653" s="55">
        <f>Orders!E1653</f>
        <v/>
      </c>
      <c r="F1653" s="55">
        <f>Orders!F1653</f>
        <v/>
      </c>
      <c r="G1653" s="55">
        <f>Orders!G1653</f>
        <v/>
      </c>
      <c r="H1653" s="55">
        <f>Orders!H1653</f>
        <v/>
      </c>
      <c r="I1653" s="55">
        <f>Orders!I1653</f>
        <v/>
      </c>
      <c r="J1653" s="55">
        <f>Orders!J1653</f>
        <v/>
      </c>
      <c r="K1653" s="55">
        <f>Orders!K1653</f>
        <v/>
      </c>
      <c r="L1653" s="55">
        <f>VLOOKUP(D1653,Products!$A$2:$F$61,3,FALSE())</f>
        <v/>
      </c>
      <c r="M1653" s="55">
        <f>VLOOKUP(C1653,Customers!$A$2:$F$301,5,FALSE())</f>
        <v/>
      </c>
      <c r="N1653" s="55">
        <f>VLOOKUP(E1653,Sales_Reps!$A$2:$E$31,3,FALSE())</f>
        <v/>
      </c>
      <c r="O1653" s="55">
        <f>VLOOKUP(D1653,Products!$A$2:$F$61,4,FALSE())</f>
        <v/>
      </c>
      <c r="P1653" s="55">
        <f>VLOOKUP(C1653,Customers!$A$2:$F$301,3,FALSE())</f>
        <v/>
      </c>
      <c r="Q1653" s="55">
        <f>UPPER(TRIM(K1653))</f>
        <v/>
      </c>
      <c r="R1653" s="55">
        <f>(G1653-O1653)/G1653</f>
        <v/>
      </c>
      <c r="S1653" s="55">
        <f>VLOOKUP(D1653,Products!$A$2:$F$61,6,FALSE())</f>
        <v/>
      </c>
    </row>
    <row r="1654" ht="15" customHeight="1" s="56">
      <c r="A1654" s="55">
        <f>Orders!A1654</f>
        <v/>
      </c>
      <c r="B1654" s="103">
        <f>Orders!B1654</f>
        <v/>
      </c>
      <c r="C1654" s="55">
        <f>Orders!C1654</f>
        <v/>
      </c>
      <c r="D1654" s="55">
        <f>Orders!D1654</f>
        <v/>
      </c>
      <c r="E1654" s="55">
        <f>Orders!E1654</f>
        <v/>
      </c>
      <c r="F1654" s="55">
        <f>Orders!F1654</f>
        <v/>
      </c>
      <c r="G1654" s="55">
        <f>Orders!G1654</f>
        <v/>
      </c>
      <c r="H1654" s="55">
        <f>Orders!H1654</f>
        <v/>
      </c>
      <c r="I1654" s="55">
        <f>Orders!I1654</f>
        <v/>
      </c>
      <c r="J1654" s="55">
        <f>Orders!J1654</f>
        <v/>
      </c>
      <c r="K1654" s="55">
        <f>Orders!K1654</f>
        <v/>
      </c>
      <c r="L1654" s="55">
        <f>VLOOKUP(D1654,Products!$A$2:$F$61,3,FALSE())</f>
        <v/>
      </c>
      <c r="M1654" s="55">
        <f>VLOOKUP(C1654,Customers!$A$2:$F$301,5,FALSE())</f>
        <v/>
      </c>
      <c r="N1654" s="55">
        <f>VLOOKUP(E1654,Sales_Reps!$A$2:$E$31,3,FALSE())</f>
        <v/>
      </c>
      <c r="O1654" s="55">
        <f>VLOOKUP(D1654,Products!$A$2:$F$61,4,FALSE())</f>
        <v/>
      </c>
      <c r="P1654" s="55">
        <f>VLOOKUP(C1654,Customers!$A$2:$F$301,3,FALSE())</f>
        <v/>
      </c>
      <c r="Q1654" s="55">
        <f>UPPER(TRIM(K1654))</f>
        <v/>
      </c>
      <c r="R1654" s="55">
        <f>(G1654-O1654)/G1654</f>
        <v/>
      </c>
      <c r="S1654" s="55">
        <f>VLOOKUP(D1654,Products!$A$2:$F$61,6,FALSE())</f>
        <v/>
      </c>
    </row>
    <row r="1655" ht="15" customHeight="1" s="56">
      <c r="A1655" s="55">
        <f>Orders!A1655</f>
        <v/>
      </c>
      <c r="B1655" s="103">
        <f>Orders!B1655</f>
        <v/>
      </c>
      <c r="C1655" s="55">
        <f>Orders!C1655</f>
        <v/>
      </c>
      <c r="D1655" s="55">
        <f>Orders!D1655</f>
        <v/>
      </c>
      <c r="E1655" s="55">
        <f>Orders!E1655</f>
        <v/>
      </c>
      <c r="F1655" s="55">
        <f>Orders!F1655</f>
        <v/>
      </c>
      <c r="G1655" s="55">
        <f>Orders!G1655</f>
        <v/>
      </c>
      <c r="H1655" s="55">
        <f>Orders!H1655</f>
        <v/>
      </c>
      <c r="I1655" s="55">
        <f>Orders!I1655</f>
        <v/>
      </c>
      <c r="J1655" s="55">
        <f>Orders!J1655</f>
        <v/>
      </c>
      <c r="K1655" s="55">
        <f>Orders!K1655</f>
        <v/>
      </c>
      <c r="L1655" s="55">
        <f>VLOOKUP(D1655,Products!$A$2:$F$61,3,FALSE())</f>
        <v/>
      </c>
      <c r="M1655" s="55">
        <f>VLOOKUP(C1655,Customers!$A$2:$F$301,5,FALSE())</f>
        <v/>
      </c>
      <c r="N1655" s="55">
        <f>VLOOKUP(E1655,Sales_Reps!$A$2:$E$31,3,FALSE())</f>
        <v/>
      </c>
      <c r="O1655" s="55">
        <f>VLOOKUP(D1655,Products!$A$2:$F$61,4,FALSE())</f>
        <v/>
      </c>
      <c r="P1655" s="55">
        <f>VLOOKUP(C1655,Customers!$A$2:$F$301,3,FALSE())</f>
        <v/>
      </c>
      <c r="Q1655" s="55">
        <f>UPPER(TRIM(K1655))</f>
        <v/>
      </c>
      <c r="R1655" s="55">
        <f>(G1655-O1655)/G1655</f>
        <v/>
      </c>
      <c r="S1655" s="55">
        <f>VLOOKUP(D1655,Products!$A$2:$F$61,6,FALSE())</f>
        <v/>
      </c>
    </row>
    <row r="1656" ht="15" customHeight="1" s="56">
      <c r="A1656" s="55">
        <f>Orders!A1656</f>
        <v/>
      </c>
      <c r="B1656" s="103">
        <f>Orders!B1656</f>
        <v/>
      </c>
      <c r="C1656" s="55">
        <f>Orders!C1656</f>
        <v/>
      </c>
      <c r="D1656" s="55">
        <f>Orders!D1656</f>
        <v/>
      </c>
      <c r="E1656" s="55">
        <f>Orders!E1656</f>
        <v/>
      </c>
      <c r="F1656" s="55">
        <f>Orders!F1656</f>
        <v/>
      </c>
      <c r="G1656" s="55">
        <f>Orders!G1656</f>
        <v/>
      </c>
      <c r="H1656" s="55">
        <f>Orders!H1656</f>
        <v/>
      </c>
      <c r="I1656" s="55">
        <f>Orders!I1656</f>
        <v/>
      </c>
      <c r="J1656" s="55">
        <f>Orders!J1656</f>
        <v/>
      </c>
      <c r="K1656" s="55">
        <f>Orders!K1656</f>
        <v/>
      </c>
      <c r="L1656" s="55">
        <f>VLOOKUP(D1656,Products!$A$2:$F$61,3,FALSE())</f>
        <v/>
      </c>
      <c r="M1656" s="55">
        <f>VLOOKUP(C1656,Customers!$A$2:$F$301,5,FALSE())</f>
        <v/>
      </c>
      <c r="N1656" s="55">
        <f>VLOOKUP(E1656,Sales_Reps!$A$2:$E$31,3,FALSE())</f>
        <v/>
      </c>
      <c r="O1656" s="55">
        <f>VLOOKUP(D1656,Products!$A$2:$F$61,4,FALSE())</f>
        <v/>
      </c>
      <c r="P1656" s="55">
        <f>VLOOKUP(C1656,Customers!$A$2:$F$301,3,FALSE())</f>
        <v/>
      </c>
      <c r="Q1656" s="55">
        <f>UPPER(TRIM(K1656))</f>
        <v/>
      </c>
      <c r="R1656" s="55">
        <f>(G1656-O1656)/G1656</f>
        <v/>
      </c>
      <c r="S1656" s="55">
        <f>VLOOKUP(D1656,Products!$A$2:$F$61,6,FALSE())</f>
        <v/>
      </c>
    </row>
    <row r="1657" ht="15" customHeight="1" s="56">
      <c r="A1657" s="55">
        <f>Orders!A1657</f>
        <v/>
      </c>
      <c r="B1657" s="103">
        <f>Orders!B1657</f>
        <v/>
      </c>
      <c r="C1657" s="55">
        <f>Orders!C1657</f>
        <v/>
      </c>
      <c r="D1657" s="55">
        <f>Orders!D1657</f>
        <v/>
      </c>
      <c r="E1657" s="55">
        <f>Orders!E1657</f>
        <v/>
      </c>
      <c r="F1657" s="55">
        <f>Orders!F1657</f>
        <v/>
      </c>
      <c r="G1657" s="55">
        <f>Orders!G1657</f>
        <v/>
      </c>
      <c r="H1657" s="55">
        <f>Orders!H1657</f>
        <v/>
      </c>
      <c r="I1657" s="55">
        <f>Orders!I1657</f>
        <v/>
      </c>
      <c r="J1657" s="55">
        <f>Orders!J1657</f>
        <v/>
      </c>
      <c r="K1657" s="55">
        <f>Orders!K1657</f>
        <v/>
      </c>
      <c r="L1657" s="55">
        <f>VLOOKUP(D1657,Products!$A$2:$F$61,3,FALSE())</f>
        <v/>
      </c>
      <c r="M1657" s="55">
        <f>VLOOKUP(C1657,Customers!$A$2:$F$301,5,FALSE())</f>
        <v/>
      </c>
      <c r="N1657" s="55">
        <f>VLOOKUP(E1657,Sales_Reps!$A$2:$E$31,3,FALSE())</f>
        <v/>
      </c>
      <c r="O1657" s="55">
        <f>VLOOKUP(D1657,Products!$A$2:$F$61,4,FALSE())</f>
        <v/>
      </c>
      <c r="P1657" s="55">
        <f>VLOOKUP(C1657,Customers!$A$2:$F$301,3,FALSE())</f>
        <v/>
      </c>
      <c r="Q1657" s="55">
        <f>UPPER(TRIM(K1657))</f>
        <v/>
      </c>
      <c r="R1657" s="55">
        <f>(G1657-O1657)/G1657</f>
        <v/>
      </c>
      <c r="S1657" s="55">
        <f>VLOOKUP(D1657,Products!$A$2:$F$61,6,FALSE())</f>
        <v/>
      </c>
    </row>
    <row r="1658" ht="15" customHeight="1" s="56">
      <c r="A1658" s="55">
        <f>Orders!A1658</f>
        <v/>
      </c>
      <c r="B1658" s="103">
        <f>Orders!B1658</f>
        <v/>
      </c>
      <c r="C1658" s="55">
        <f>Orders!C1658</f>
        <v/>
      </c>
      <c r="D1658" s="55">
        <f>Orders!D1658</f>
        <v/>
      </c>
      <c r="E1658" s="55">
        <f>Orders!E1658</f>
        <v/>
      </c>
      <c r="F1658" s="55">
        <f>Orders!F1658</f>
        <v/>
      </c>
      <c r="G1658" s="55">
        <f>Orders!G1658</f>
        <v/>
      </c>
      <c r="H1658" s="55">
        <f>Orders!H1658</f>
        <v/>
      </c>
      <c r="I1658" s="55">
        <f>Orders!I1658</f>
        <v/>
      </c>
      <c r="J1658" s="55">
        <f>Orders!J1658</f>
        <v/>
      </c>
      <c r="K1658" s="55">
        <f>Orders!K1658</f>
        <v/>
      </c>
      <c r="L1658" s="55">
        <f>VLOOKUP(D1658,Products!$A$2:$F$61,3,FALSE())</f>
        <v/>
      </c>
      <c r="M1658" s="55">
        <f>VLOOKUP(C1658,Customers!$A$2:$F$301,5,FALSE())</f>
        <v/>
      </c>
      <c r="N1658" s="55">
        <f>VLOOKUP(E1658,Sales_Reps!$A$2:$E$31,3,FALSE())</f>
        <v/>
      </c>
      <c r="O1658" s="55">
        <f>VLOOKUP(D1658,Products!$A$2:$F$61,4,FALSE())</f>
        <v/>
      </c>
      <c r="P1658" s="55">
        <f>VLOOKUP(C1658,Customers!$A$2:$F$301,3,FALSE())</f>
        <v/>
      </c>
      <c r="Q1658" s="55">
        <f>UPPER(TRIM(K1658))</f>
        <v/>
      </c>
      <c r="R1658" s="55">
        <f>(G1658-O1658)/G1658</f>
        <v/>
      </c>
      <c r="S1658" s="55">
        <f>VLOOKUP(D1658,Products!$A$2:$F$61,6,FALSE())</f>
        <v/>
      </c>
    </row>
    <row r="1659" ht="15" customHeight="1" s="56">
      <c r="A1659" s="55">
        <f>Orders!A1659</f>
        <v/>
      </c>
      <c r="B1659" s="103">
        <f>Orders!B1659</f>
        <v/>
      </c>
      <c r="C1659" s="55">
        <f>Orders!C1659</f>
        <v/>
      </c>
      <c r="D1659" s="55">
        <f>Orders!D1659</f>
        <v/>
      </c>
      <c r="E1659" s="55">
        <f>Orders!E1659</f>
        <v/>
      </c>
      <c r="F1659" s="55">
        <f>Orders!F1659</f>
        <v/>
      </c>
      <c r="G1659" s="55">
        <f>Orders!G1659</f>
        <v/>
      </c>
      <c r="H1659" s="55">
        <f>Orders!H1659</f>
        <v/>
      </c>
      <c r="I1659" s="55">
        <f>Orders!I1659</f>
        <v/>
      </c>
      <c r="J1659" s="55">
        <f>Orders!J1659</f>
        <v/>
      </c>
      <c r="K1659" s="55">
        <f>Orders!K1659</f>
        <v/>
      </c>
      <c r="L1659" s="55">
        <f>VLOOKUP(D1659,Products!$A$2:$F$61,3,FALSE())</f>
        <v/>
      </c>
      <c r="M1659" s="55">
        <f>VLOOKUP(C1659,Customers!$A$2:$F$301,5,FALSE())</f>
        <v/>
      </c>
      <c r="N1659" s="55">
        <f>VLOOKUP(E1659,Sales_Reps!$A$2:$E$31,3,FALSE())</f>
        <v/>
      </c>
      <c r="O1659" s="55">
        <f>VLOOKUP(D1659,Products!$A$2:$F$61,4,FALSE())</f>
        <v/>
      </c>
      <c r="P1659" s="55">
        <f>VLOOKUP(C1659,Customers!$A$2:$F$301,3,FALSE())</f>
        <v/>
      </c>
      <c r="Q1659" s="55">
        <f>UPPER(TRIM(K1659))</f>
        <v/>
      </c>
      <c r="R1659" s="55">
        <f>(G1659-O1659)/G1659</f>
        <v/>
      </c>
      <c r="S1659" s="55">
        <f>VLOOKUP(D1659,Products!$A$2:$F$61,6,FALSE())</f>
        <v/>
      </c>
    </row>
    <row r="1660" ht="15" customHeight="1" s="56">
      <c r="A1660" s="55">
        <f>Orders!A1660</f>
        <v/>
      </c>
      <c r="B1660" s="103">
        <f>Orders!B1660</f>
        <v/>
      </c>
      <c r="C1660" s="55">
        <f>Orders!C1660</f>
        <v/>
      </c>
      <c r="D1660" s="55">
        <f>Orders!D1660</f>
        <v/>
      </c>
      <c r="E1660" s="55">
        <f>Orders!E1660</f>
        <v/>
      </c>
      <c r="F1660" s="55">
        <f>Orders!F1660</f>
        <v/>
      </c>
      <c r="G1660" s="55">
        <f>Orders!G1660</f>
        <v/>
      </c>
      <c r="H1660" s="55">
        <f>Orders!H1660</f>
        <v/>
      </c>
      <c r="I1660" s="55">
        <f>Orders!I1660</f>
        <v/>
      </c>
      <c r="J1660" s="55">
        <f>Orders!J1660</f>
        <v/>
      </c>
      <c r="K1660" s="55">
        <f>Orders!K1660</f>
        <v/>
      </c>
      <c r="L1660" s="55">
        <f>VLOOKUP(D1660,Products!$A$2:$F$61,3,FALSE())</f>
        <v/>
      </c>
      <c r="M1660" s="55">
        <f>VLOOKUP(C1660,Customers!$A$2:$F$301,5,FALSE())</f>
        <v/>
      </c>
      <c r="N1660" s="55">
        <f>VLOOKUP(E1660,Sales_Reps!$A$2:$E$31,3,FALSE())</f>
        <v/>
      </c>
      <c r="O1660" s="55">
        <f>VLOOKUP(D1660,Products!$A$2:$F$61,4,FALSE())</f>
        <v/>
      </c>
      <c r="P1660" s="55">
        <f>VLOOKUP(C1660,Customers!$A$2:$F$301,3,FALSE())</f>
        <v/>
      </c>
      <c r="Q1660" s="55">
        <f>UPPER(TRIM(K1660))</f>
        <v/>
      </c>
      <c r="R1660" s="55">
        <f>(G1660-O1660)/G1660</f>
        <v/>
      </c>
      <c r="S1660" s="55">
        <f>VLOOKUP(D1660,Products!$A$2:$F$61,6,FALSE())</f>
        <v/>
      </c>
    </row>
    <row r="1661" ht="15" customHeight="1" s="56">
      <c r="A1661" s="55">
        <f>Orders!A1661</f>
        <v/>
      </c>
      <c r="B1661" s="103">
        <f>Orders!B1661</f>
        <v/>
      </c>
      <c r="C1661" s="55">
        <f>Orders!C1661</f>
        <v/>
      </c>
      <c r="D1661" s="55">
        <f>Orders!D1661</f>
        <v/>
      </c>
      <c r="E1661" s="55">
        <f>Orders!E1661</f>
        <v/>
      </c>
      <c r="F1661" s="55">
        <f>Orders!F1661</f>
        <v/>
      </c>
      <c r="G1661" s="55">
        <f>Orders!G1661</f>
        <v/>
      </c>
      <c r="H1661" s="55">
        <f>Orders!H1661</f>
        <v/>
      </c>
      <c r="I1661" s="55">
        <f>Orders!I1661</f>
        <v/>
      </c>
      <c r="J1661" s="55">
        <f>Orders!J1661</f>
        <v/>
      </c>
      <c r="K1661" s="55">
        <f>Orders!K1661</f>
        <v/>
      </c>
      <c r="L1661" s="55">
        <f>VLOOKUP(D1661,Products!$A$2:$F$61,3,FALSE())</f>
        <v/>
      </c>
      <c r="M1661" s="55">
        <f>VLOOKUP(C1661,Customers!$A$2:$F$301,5,FALSE())</f>
        <v/>
      </c>
      <c r="N1661" s="55">
        <f>VLOOKUP(E1661,Sales_Reps!$A$2:$E$31,3,FALSE())</f>
        <v/>
      </c>
      <c r="O1661" s="55">
        <f>VLOOKUP(D1661,Products!$A$2:$F$61,4,FALSE())</f>
        <v/>
      </c>
      <c r="P1661" s="55">
        <f>VLOOKUP(C1661,Customers!$A$2:$F$301,3,FALSE())</f>
        <v/>
      </c>
      <c r="Q1661" s="55">
        <f>UPPER(TRIM(K1661))</f>
        <v/>
      </c>
      <c r="R1661" s="55">
        <f>(G1661-O1661)/G1661</f>
        <v/>
      </c>
      <c r="S1661" s="55">
        <f>VLOOKUP(D1661,Products!$A$2:$F$61,6,FALSE())</f>
        <v/>
      </c>
    </row>
    <row r="1662" ht="15" customHeight="1" s="56">
      <c r="A1662" s="55">
        <f>Orders!A1662</f>
        <v/>
      </c>
      <c r="B1662" s="103">
        <f>Orders!B1662</f>
        <v/>
      </c>
      <c r="C1662" s="55">
        <f>Orders!C1662</f>
        <v/>
      </c>
      <c r="D1662" s="55">
        <f>Orders!D1662</f>
        <v/>
      </c>
      <c r="E1662" s="55">
        <f>Orders!E1662</f>
        <v/>
      </c>
      <c r="F1662" s="55">
        <f>Orders!F1662</f>
        <v/>
      </c>
      <c r="G1662" s="55">
        <f>Orders!G1662</f>
        <v/>
      </c>
      <c r="H1662" s="55">
        <f>Orders!H1662</f>
        <v/>
      </c>
      <c r="I1662" s="55">
        <f>Orders!I1662</f>
        <v/>
      </c>
      <c r="J1662" s="55">
        <f>Orders!J1662</f>
        <v/>
      </c>
      <c r="K1662" s="55">
        <f>Orders!K1662</f>
        <v/>
      </c>
      <c r="L1662" s="55">
        <f>VLOOKUP(D1662,Products!$A$2:$F$61,3,FALSE())</f>
        <v/>
      </c>
      <c r="M1662" s="55">
        <f>VLOOKUP(C1662,Customers!$A$2:$F$301,5,FALSE())</f>
        <v/>
      </c>
      <c r="N1662" s="55">
        <f>VLOOKUP(E1662,Sales_Reps!$A$2:$E$31,3,FALSE())</f>
        <v/>
      </c>
      <c r="O1662" s="55">
        <f>VLOOKUP(D1662,Products!$A$2:$F$61,4,FALSE())</f>
        <v/>
      </c>
      <c r="P1662" s="55">
        <f>VLOOKUP(C1662,Customers!$A$2:$F$301,3,FALSE())</f>
        <v/>
      </c>
      <c r="Q1662" s="55">
        <f>UPPER(TRIM(K1662))</f>
        <v/>
      </c>
      <c r="R1662" s="55">
        <f>(G1662-O1662)/G1662</f>
        <v/>
      </c>
      <c r="S1662" s="55">
        <f>VLOOKUP(D1662,Products!$A$2:$F$61,6,FALSE())</f>
        <v/>
      </c>
    </row>
    <row r="1663" ht="15" customHeight="1" s="56">
      <c r="A1663" s="55">
        <f>Orders!A1663</f>
        <v/>
      </c>
      <c r="B1663" s="103">
        <f>Orders!B1663</f>
        <v/>
      </c>
      <c r="C1663" s="55">
        <f>Orders!C1663</f>
        <v/>
      </c>
      <c r="D1663" s="55">
        <f>Orders!D1663</f>
        <v/>
      </c>
      <c r="E1663" s="55">
        <f>Orders!E1663</f>
        <v/>
      </c>
      <c r="F1663" s="55">
        <f>Orders!F1663</f>
        <v/>
      </c>
      <c r="G1663" s="55">
        <f>Orders!G1663</f>
        <v/>
      </c>
      <c r="H1663" s="55">
        <f>Orders!H1663</f>
        <v/>
      </c>
      <c r="I1663" s="55">
        <f>Orders!I1663</f>
        <v/>
      </c>
      <c r="J1663" s="55">
        <f>Orders!J1663</f>
        <v/>
      </c>
      <c r="K1663" s="55">
        <f>Orders!K1663</f>
        <v/>
      </c>
      <c r="L1663" s="55">
        <f>VLOOKUP(D1663,Products!$A$2:$F$61,3,FALSE())</f>
        <v/>
      </c>
      <c r="M1663" s="55">
        <f>VLOOKUP(C1663,Customers!$A$2:$F$301,5,FALSE())</f>
        <v/>
      </c>
      <c r="N1663" s="55">
        <f>VLOOKUP(E1663,Sales_Reps!$A$2:$E$31,3,FALSE())</f>
        <v/>
      </c>
      <c r="O1663" s="55">
        <f>VLOOKUP(D1663,Products!$A$2:$F$61,4,FALSE())</f>
        <v/>
      </c>
      <c r="P1663" s="55">
        <f>VLOOKUP(C1663,Customers!$A$2:$F$301,3,FALSE())</f>
        <v/>
      </c>
      <c r="Q1663" s="55">
        <f>UPPER(TRIM(K1663))</f>
        <v/>
      </c>
      <c r="R1663" s="55">
        <f>(G1663-O1663)/G1663</f>
        <v/>
      </c>
      <c r="S1663" s="55">
        <f>VLOOKUP(D1663,Products!$A$2:$F$61,6,FALSE())</f>
        <v/>
      </c>
    </row>
    <row r="1664" ht="15" customHeight="1" s="56">
      <c r="A1664" s="55">
        <f>Orders!A1664</f>
        <v/>
      </c>
      <c r="B1664" s="103">
        <f>Orders!B1664</f>
        <v/>
      </c>
      <c r="C1664" s="55">
        <f>Orders!C1664</f>
        <v/>
      </c>
      <c r="D1664" s="55">
        <f>Orders!D1664</f>
        <v/>
      </c>
      <c r="E1664" s="55">
        <f>Orders!E1664</f>
        <v/>
      </c>
      <c r="F1664" s="55">
        <f>Orders!F1664</f>
        <v/>
      </c>
      <c r="G1664" s="55">
        <f>Orders!G1664</f>
        <v/>
      </c>
      <c r="H1664" s="55">
        <f>Orders!H1664</f>
        <v/>
      </c>
      <c r="I1664" s="55">
        <f>Orders!I1664</f>
        <v/>
      </c>
      <c r="J1664" s="55">
        <f>Orders!J1664</f>
        <v/>
      </c>
      <c r="K1664" s="55">
        <f>Orders!K1664</f>
        <v/>
      </c>
      <c r="L1664" s="55">
        <f>VLOOKUP(D1664,Products!$A$2:$F$61,3,FALSE())</f>
        <v/>
      </c>
      <c r="M1664" s="55">
        <f>VLOOKUP(C1664,Customers!$A$2:$F$301,5,FALSE())</f>
        <v/>
      </c>
      <c r="N1664" s="55">
        <f>VLOOKUP(E1664,Sales_Reps!$A$2:$E$31,3,FALSE())</f>
        <v/>
      </c>
      <c r="O1664" s="55">
        <f>VLOOKUP(D1664,Products!$A$2:$F$61,4,FALSE())</f>
        <v/>
      </c>
      <c r="P1664" s="55">
        <f>VLOOKUP(C1664,Customers!$A$2:$F$301,3,FALSE())</f>
        <v/>
      </c>
      <c r="Q1664" s="55">
        <f>UPPER(TRIM(K1664))</f>
        <v/>
      </c>
      <c r="R1664" s="55">
        <f>(G1664-O1664)/G1664</f>
        <v/>
      </c>
      <c r="S1664" s="55">
        <f>VLOOKUP(D1664,Products!$A$2:$F$61,6,FALSE())</f>
        <v/>
      </c>
    </row>
    <row r="1665" ht="15" customHeight="1" s="56">
      <c r="A1665" s="55">
        <f>Orders!A1665</f>
        <v/>
      </c>
      <c r="B1665" s="103">
        <f>Orders!B1665</f>
        <v/>
      </c>
      <c r="C1665" s="55">
        <f>Orders!C1665</f>
        <v/>
      </c>
      <c r="D1665" s="55">
        <f>Orders!D1665</f>
        <v/>
      </c>
      <c r="E1665" s="55">
        <f>Orders!E1665</f>
        <v/>
      </c>
      <c r="F1665" s="55">
        <f>Orders!F1665</f>
        <v/>
      </c>
      <c r="G1665" s="55">
        <f>Orders!G1665</f>
        <v/>
      </c>
      <c r="H1665" s="55">
        <f>Orders!H1665</f>
        <v/>
      </c>
      <c r="I1665" s="55">
        <f>Orders!I1665</f>
        <v/>
      </c>
      <c r="J1665" s="55">
        <f>Orders!J1665</f>
        <v/>
      </c>
      <c r="K1665" s="55">
        <f>Orders!K1665</f>
        <v/>
      </c>
      <c r="L1665" s="55">
        <f>VLOOKUP(D1665,Products!$A$2:$F$61,3,FALSE())</f>
        <v/>
      </c>
      <c r="M1665" s="55">
        <f>VLOOKUP(C1665,Customers!$A$2:$F$301,5,FALSE())</f>
        <v/>
      </c>
      <c r="N1665" s="55">
        <f>VLOOKUP(E1665,Sales_Reps!$A$2:$E$31,3,FALSE())</f>
        <v/>
      </c>
      <c r="O1665" s="55">
        <f>VLOOKUP(D1665,Products!$A$2:$F$61,4,FALSE())</f>
        <v/>
      </c>
      <c r="P1665" s="55">
        <f>VLOOKUP(C1665,Customers!$A$2:$F$301,3,FALSE())</f>
        <v/>
      </c>
      <c r="Q1665" s="55">
        <f>UPPER(TRIM(K1665))</f>
        <v/>
      </c>
      <c r="R1665" s="55">
        <f>(G1665-O1665)/G1665</f>
        <v/>
      </c>
      <c r="S1665" s="55">
        <f>VLOOKUP(D1665,Products!$A$2:$F$61,6,FALSE())</f>
        <v/>
      </c>
    </row>
    <row r="1666" ht="15" customHeight="1" s="56">
      <c r="A1666" s="55">
        <f>Orders!A1666</f>
        <v/>
      </c>
      <c r="B1666" s="103">
        <f>Orders!B1666</f>
        <v/>
      </c>
      <c r="C1666" s="55">
        <f>Orders!C1666</f>
        <v/>
      </c>
      <c r="D1666" s="55">
        <f>Orders!D1666</f>
        <v/>
      </c>
      <c r="E1666" s="55">
        <f>Orders!E1666</f>
        <v/>
      </c>
      <c r="F1666" s="55">
        <f>Orders!F1666</f>
        <v/>
      </c>
      <c r="G1666" s="55">
        <f>Orders!G1666</f>
        <v/>
      </c>
      <c r="H1666" s="55">
        <f>Orders!H1666</f>
        <v/>
      </c>
      <c r="I1666" s="55">
        <f>Orders!I1666</f>
        <v/>
      </c>
      <c r="J1666" s="55">
        <f>Orders!J1666</f>
        <v/>
      </c>
      <c r="K1666" s="55">
        <f>Orders!K1666</f>
        <v/>
      </c>
      <c r="L1666" s="55">
        <f>VLOOKUP(D1666,Products!$A$2:$F$61,3,FALSE())</f>
        <v/>
      </c>
      <c r="M1666" s="55">
        <f>VLOOKUP(C1666,Customers!$A$2:$F$301,5,FALSE())</f>
        <v/>
      </c>
      <c r="N1666" s="55">
        <f>VLOOKUP(E1666,Sales_Reps!$A$2:$E$31,3,FALSE())</f>
        <v/>
      </c>
      <c r="O1666" s="55">
        <f>VLOOKUP(D1666,Products!$A$2:$F$61,4,FALSE())</f>
        <v/>
      </c>
      <c r="P1666" s="55">
        <f>VLOOKUP(C1666,Customers!$A$2:$F$301,3,FALSE())</f>
        <v/>
      </c>
      <c r="Q1666" s="55">
        <f>UPPER(TRIM(K1666))</f>
        <v/>
      </c>
      <c r="R1666" s="55">
        <f>(G1666-O1666)/G1666</f>
        <v/>
      </c>
      <c r="S1666" s="55">
        <f>VLOOKUP(D1666,Products!$A$2:$F$61,6,FALSE())</f>
        <v/>
      </c>
    </row>
    <row r="1667" ht="15" customHeight="1" s="56">
      <c r="A1667" s="55">
        <f>Orders!A1667</f>
        <v/>
      </c>
      <c r="B1667" s="103">
        <f>Orders!B1667</f>
        <v/>
      </c>
      <c r="C1667" s="55">
        <f>Orders!C1667</f>
        <v/>
      </c>
      <c r="D1667" s="55">
        <f>Orders!D1667</f>
        <v/>
      </c>
      <c r="E1667" s="55">
        <f>Orders!E1667</f>
        <v/>
      </c>
      <c r="F1667" s="55">
        <f>Orders!F1667</f>
        <v/>
      </c>
      <c r="G1667" s="55">
        <f>Orders!G1667</f>
        <v/>
      </c>
      <c r="H1667" s="55">
        <f>Orders!H1667</f>
        <v/>
      </c>
      <c r="I1667" s="55">
        <f>Orders!I1667</f>
        <v/>
      </c>
      <c r="J1667" s="55">
        <f>Orders!J1667</f>
        <v/>
      </c>
      <c r="K1667" s="55">
        <f>Orders!K1667</f>
        <v/>
      </c>
      <c r="L1667" s="55">
        <f>VLOOKUP(D1667,Products!$A$2:$F$61,3,FALSE())</f>
        <v/>
      </c>
      <c r="M1667" s="55">
        <f>VLOOKUP(C1667,Customers!$A$2:$F$301,5,FALSE())</f>
        <v/>
      </c>
      <c r="N1667" s="55">
        <f>VLOOKUP(E1667,Sales_Reps!$A$2:$E$31,3,FALSE())</f>
        <v/>
      </c>
      <c r="O1667" s="55">
        <f>VLOOKUP(D1667,Products!$A$2:$F$61,4,FALSE())</f>
        <v/>
      </c>
      <c r="P1667" s="55">
        <f>VLOOKUP(C1667,Customers!$A$2:$F$301,3,FALSE())</f>
        <v/>
      </c>
      <c r="Q1667" s="55">
        <f>UPPER(TRIM(K1667))</f>
        <v/>
      </c>
      <c r="R1667" s="55">
        <f>(G1667-O1667)/G1667</f>
        <v/>
      </c>
      <c r="S1667" s="55">
        <f>VLOOKUP(D1667,Products!$A$2:$F$61,6,FALSE())</f>
        <v/>
      </c>
    </row>
    <row r="1668" ht="15" customHeight="1" s="56">
      <c r="A1668" s="55">
        <f>Orders!A1668</f>
        <v/>
      </c>
      <c r="B1668" s="103">
        <f>Orders!B1668</f>
        <v/>
      </c>
      <c r="C1668" s="55">
        <f>Orders!C1668</f>
        <v/>
      </c>
      <c r="D1668" s="55">
        <f>Orders!D1668</f>
        <v/>
      </c>
      <c r="E1668" s="55">
        <f>Orders!E1668</f>
        <v/>
      </c>
      <c r="F1668" s="55">
        <f>Orders!F1668</f>
        <v/>
      </c>
      <c r="G1668" s="55">
        <f>Orders!G1668</f>
        <v/>
      </c>
      <c r="H1668" s="55">
        <f>Orders!H1668</f>
        <v/>
      </c>
      <c r="I1668" s="55">
        <f>Orders!I1668</f>
        <v/>
      </c>
      <c r="J1668" s="55">
        <f>Orders!J1668</f>
        <v/>
      </c>
      <c r="K1668" s="55">
        <f>Orders!K1668</f>
        <v/>
      </c>
      <c r="L1668" s="55">
        <f>VLOOKUP(D1668,Products!$A$2:$F$61,3,FALSE())</f>
        <v/>
      </c>
      <c r="M1668" s="55">
        <f>VLOOKUP(C1668,Customers!$A$2:$F$301,5,FALSE())</f>
        <v/>
      </c>
      <c r="N1668" s="55">
        <f>VLOOKUP(E1668,Sales_Reps!$A$2:$E$31,3,FALSE())</f>
        <v/>
      </c>
      <c r="O1668" s="55">
        <f>VLOOKUP(D1668,Products!$A$2:$F$61,4,FALSE())</f>
        <v/>
      </c>
      <c r="P1668" s="55">
        <f>VLOOKUP(C1668,Customers!$A$2:$F$301,3,FALSE())</f>
        <v/>
      </c>
      <c r="Q1668" s="55">
        <f>UPPER(TRIM(K1668))</f>
        <v/>
      </c>
      <c r="R1668" s="55">
        <f>(G1668-O1668)/G1668</f>
        <v/>
      </c>
      <c r="S1668" s="55">
        <f>VLOOKUP(D1668,Products!$A$2:$F$61,6,FALSE())</f>
        <v/>
      </c>
    </row>
    <row r="1669" ht="15" customHeight="1" s="56">
      <c r="A1669" s="55">
        <f>Orders!A1669</f>
        <v/>
      </c>
      <c r="B1669" s="103">
        <f>Orders!B1669</f>
        <v/>
      </c>
      <c r="C1669" s="55">
        <f>Orders!C1669</f>
        <v/>
      </c>
      <c r="D1669" s="55">
        <f>Orders!D1669</f>
        <v/>
      </c>
      <c r="E1669" s="55">
        <f>Orders!E1669</f>
        <v/>
      </c>
      <c r="F1669" s="55">
        <f>Orders!F1669</f>
        <v/>
      </c>
      <c r="G1669" s="55">
        <f>Orders!G1669</f>
        <v/>
      </c>
      <c r="H1669" s="55">
        <f>Orders!H1669</f>
        <v/>
      </c>
      <c r="I1669" s="55">
        <f>Orders!I1669</f>
        <v/>
      </c>
      <c r="J1669" s="55">
        <f>Orders!J1669</f>
        <v/>
      </c>
      <c r="K1669" s="55">
        <f>Orders!K1669</f>
        <v/>
      </c>
      <c r="L1669" s="55">
        <f>VLOOKUP(D1669,Products!$A$2:$F$61,3,FALSE())</f>
        <v/>
      </c>
      <c r="M1669" s="55">
        <f>VLOOKUP(C1669,Customers!$A$2:$F$301,5,FALSE())</f>
        <v/>
      </c>
      <c r="N1669" s="55">
        <f>VLOOKUP(E1669,Sales_Reps!$A$2:$E$31,3,FALSE())</f>
        <v/>
      </c>
      <c r="O1669" s="55">
        <f>VLOOKUP(D1669,Products!$A$2:$F$61,4,FALSE())</f>
        <v/>
      </c>
      <c r="P1669" s="55">
        <f>VLOOKUP(C1669,Customers!$A$2:$F$301,3,FALSE())</f>
        <v/>
      </c>
      <c r="Q1669" s="55">
        <f>UPPER(TRIM(K1669))</f>
        <v/>
      </c>
      <c r="R1669" s="55">
        <f>(G1669-O1669)/G1669</f>
        <v/>
      </c>
      <c r="S1669" s="55">
        <f>VLOOKUP(D1669,Products!$A$2:$F$61,6,FALSE())</f>
        <v/>
      </c>
    </row>
    <row r="1670" ht="15" customHeight="1" s="56">
      <c r="A1670" s="55">
        <f>Orders!A1670</f>
        <v/>
      </c>
      <c r="B1670" s="103">
        <f>Orders!B1670</f>
        <v/>
      </c>
      <c r="C1670" s="55">
        <f>Orders!C1670</f>
        <v/>
      </c>
      <c r="D1670" s="55">
        <f>Orders!D1670</f>
        <v/>
      </c>
      <c r="E1670" s="55">
        <f>Orders!E1670</f>
        <v/>
      </c>
      <c r="F1670" s="55">
        <f>Orders!F1670</f>
        <v/>
      </c>
      <c r="G1670" s="55">
        <f>Orders!G1670</f>
        <v/>
      </c>
      <c r="H1670" s="55">
        <f>Orders!H1670</f>
        <v/>
      </c>
      <c r="I1670" s="55">
        <f>Orders!I1670</f>
        <v/>
      </c>
      <c r="J1670" s="55">
        <f>Orders!J1670</f>
        <v/>
      </c>
      <c r="K1670" s="55">
        <f>Orders!K1670</f>
        <v/>
      </c>
      <c r="L1670" s="55">
        <f>VLOOKUP(D1670,Products!$A$2:$F$61,3,FALSE())</f>
        <v/>
      </c>
      <c r="M1670" s="55">
        <f>VLOOKUP(C1670,Customers!$A$2:$F$301,5,FALSE())</f>
        <v/>
      </c>
      <c r="N1670" s="55">
        <f>VLOOKUP(E1670,Sales_Reps!$A$2:$E$31,3,FALSE())</f>
        <v/>
      </c>
      <c r="O1670" s="55">
        <f>VLOOKUP(D1670,Products!$A$2:$F$61,4,FALSE())</f>
        <v/>
      </c>
      <c r="P1670" s="55">
        <f>VLOOKUP(C1670,Customers!$A$2:$F$301,3,FALSE())</f>
        <v/>
      </c>
      <c r="Q1670" s="55">
        <f>UPPER(TRIM(K1670))</f>
        <v/>
      </c>
      <c r="R1670" s="55">
        <f>(G1670-O1670)/G1670</f>
        <v/>
      </c>
      <c r="S1670" s="55">
        <f>VLOOKUP(D1670,Products!$A$2:$F$61,6,FALSE())</f>
        <v/>
      </c>
    </row>
    <row r="1671" ht="15" customHeight="1" s="56">
      <c r="A1671" s="55">
        <f>Orders!A1671</f>
        <v/>
      </c>
      <c r="B1671" s="103">
        <f>Orders!B1671</f>
        <v/>
      </c>
      <c r="C1671" s="55">
        <f>Orders!C1671</f>
        <v/>
      </c>
      <c r="D1671" s="55">
        <f>Orders!D1671</f>
        <v/>
      </c>
      <c r="E1671" s="55">
        <f>Orders!E1671</f>
        <v/>
      </c>
      <c r="F1671" s="55">
        <f>Orders!F1671</f>
        <v/>
      </c>
      <c r="G1671" s="55">
        <f>Orders!G1671</f>
        <v/>
      </c>
      <c r="H1671" s="55">
        <f>Orders!H1671</f>
        <v/>
      </c>
      <c r="I1671" s="55">
        <f>Orders!I1671</f>
        <v/>
      </c>
      <c r="J1671" s="55">
        <f>Orders!J1671</f>
        <v/>
      </c>
      <c r="K1671" s="55">
        <f>Orders!K1671</f>
        <v/>
      </c>
      <c r="L1671" s="55">
        <f>VLOOKUP(D1671,Products!$A$2:$F$61,3,FALSE())</f>
        <v/>
      </c>
      <c r="M1671" s="55">
        <f>VLOOKUP(C1671,Customers!$A$2:$F$301,5,FALSE())</f>
        <v/>
      </c>
      <c r="N1671" s="55">
        <f>VLOOKUP(E1671,Sales_Reps!$A$2:$E$31,3,FALSE())</f>
        <v/>
      </c>
      <c r="O1671" s="55">
        <f>VLOOKUP(D1671,Products!$A$2:$F$61,4,FALSE())</f>
        <v/>
      </c>
      <c r="P1671" s="55">
        <f>VLOOKUP(C1671,Customers!$A$2:$F$301,3,FALSE())</f>
        <v/>
      </c>
      <c r="Q1671" s="55">
        <f>UPPER(TRIM(K1671))</f>
        <v/>
      </c>
      <c r="R1671" s="55">
        <f>(G1671-O1671)/G1671</f>
        <v/>
      </c>
      <c r="S1671" s="55">
        <f>VLOOKUP(D1671,Products!$A$2:$F$61,6,FALSE())</f>
        <v/>
      </c>
    </row>
    <row r="1672" ht="15" customHeight="1" s="56">
      <c r="A1672" s="55">
        <f>Orders!A1672</f>
        <v/>
      </c>
      <c r="B1672" s="103">
        <f>Orders!B1672</f>
        <v/>
      </c>
      <c r="C1672" s="55">
        <f>Orders!C1672</f>
        <v/>
      </c>
      <c r="D1672" s="55">
        <f>Orders!D1672</f>
        <v/>
      </c>
      <c r="E1672" s="55">
        <f>Orders!E1672</f>
        <v/>
      </c>
      <c r="F1672" s="55">
        <f>Orders!F1672</f>
        <v/>
      </c>
      <c r="G1672" s="55">
        <f>Orders!G1672</f>
        <v/>
      </c>
      <c r="H1672" s="55">
        <f>Orders!H1672</f>
        <v/>
      </c>
      <c r="I1672" s="55">
        <f>Orders!I1672</f>
        <v/>
      </c>
      <c r="J1672" s="55">
        <f>Orders!J1672</f>
        <v/>
      </c>
      <c r="K1672" s="55">
        <f>Orders!K1672</f>
        <v/>
      </c>
      <c r="L1672" s="55">
        <f>VLOOKUP(D1672,Products!$A$2:$F$61,3,FALSE())</f>
        <v/>
      </c>
      <c r="M1672" s="55">
        <f>VLOOKUP(C1672,Customers!$A$2:$F$301,5,FALSE())</f>
        <v/>
      </c>
      <c r="N1672" s="55">
        <f>VLOOKUP(E1672,Sales_Reps!$A$2:$E$31,3,FALSE())</f>
        <v/>
      </c>
      <c r="O1672" s="55">
        <f>VLOOKUP(D1672,Products!$A$2:$F$61,4,FALSE())</f>
        <v/>
      </c>
      <c r="P1672" s="55">
        <f>VLOOKUP(C1672,Customers!$A$2:$F$301,3,FALSE())</f>
        <v/>
      </c>
      <c r="Q1672" s="55">
        <f>UPPER(TRIM(K1672))</f>
        <v/>
      </c>
      <c r="R1672" s="55">
        <f>(G1672-O1672)/G1672</f>
        <v/>
      </c>
      <c r="S1672" s="55">
        <f>VLOOKUP(D1672,Products!$A$2:$F$61,6,FALSE())</f>
        <v/>
      </c>
    </row>
    <row r="1673" ht="15" customHeight="1" s="56">
      <c r="A1673" s="55">
        <f>Orders!A1673</f>
        <v/>
      </c>
      <c r="B1673" s="103">
        <f>Orders!B1673</f>
        <v/>
      </c>
      <c r="C1673" s="55">
        <f>Orders!C1673</f>
        <v/>
      </c>
      <c r="D1673" s="55">
        <f>Orders!D1673</f>
        <v/>
      </c>
      <c r="E1673" s="55">
        <f>Orders!E1673</f>
        <v/>
      </c>
      <c r="F1673" s="55">
        <f>Orders!F1673</f>
        <v/>
      </c>
      <c r="G1673" s="55">
        <f>Orders!G1673</f>
        <v/>
      </c>
      <c r="H1673" s="55">
        <f>Orders!H1673</f>
        <v/>
      </c>
      <c r="I1673" s="55">
        <f>Orders!I1673</f>
        <v/>
      </c>
      <c r="J1673" s="55">
        <f>Orders!J1673</f>
        <v/>
      </c>
      <c r="K1673" s="55">
        <f>Orders!K1673</f>
        <v/>
      </c>
      <c r="L1673" s="55">
        <f>VLOOKUP(D1673,Products!$A$2:$F$61,3,FALSE())</f>
        <v/>
      </c>
      <c r="M1673" s="55">
        <f>VLOOKUP(C1673,Customers!$A$2:$F$301,5,FALSE())</f>
        <v/>
      </c>
      <c r="N1673" s="55">
        <f>VLOOKUP(E1673,Sales_Reps!$A$2:$E$31,3,FALSE())</f>
        <v/>
      </c>
      <c r="O1673" s="55">
        <f>VLOOKUP(D1673,Products!$A$2:$F$61,4,FALSE())</f>
        <v/>
      </c>
      <c r="P1673" s="55">
        <f>VLOOKUP(C1673,Customers!$A$2:$F$301,3,FALSE())</f>
        <v/>
      </c>
      <c r="Q1673" s="55">
        <f>UPPER(TRIM(K1673))</f>
        <v/>
      </c>
      <c r="R1673" s="55">
        <f>(G1673-O1673)/G1673</f>
        <v/>
      </c>
      <c r="S1673" s="55">
        <f>VLOOKUP(D1673,Products!$A$2:$F$61,6,FALSE())</f>
        <v/>
      </c>
    </row>
    <row r="1674" ht="15" customHeight="1" s="56">
      <c r="A1674" s="55">
        <f>Orders!A1674</f>
        <v/>
      </c>
      <c r="B1674" s="103">
        <f>Orders!B1674</f>
        <v/>
      </c>
      <c r="C1674" s="55">
        <f>Orders!C1674</f>
        <v/>
      </c>
      <c r="D1674" s="55">
        <f>Orders!D1674</f>
        <v/>
      </c>
      <c r="E1674" s="55">
        <f>Orders!E1674</f>
        <v/>
      </c>
      <c r="F1674" s="55">
        <f>Orders!F1674</f>
        <v/>
      </c>
      <c r="G1674" s="55">
        <f>Orders!G1674</f>
        <v/>
      </c>
      <c r="H1674" s="55">
        <f>Orders!H1674</f>
        <v/>
      </c>
      <c r="I1674" s="55">
        <f>Orders!I1674</f>
        <v/>
      </c>
      <c r="J1674" s="55">
        <f>Orders!J1674</f>
        <v/>
      </c>
      <c r="K1674" s="55">
        <f>Orders!K1674</f>
        <v/>
      </c>
      <c r="L1674" s="55">
        <f>VLOOKUP(D1674,Products!$A$2:$F$61,3,FALSE())</f>
        <v/>
      </c>
      <c r="M1674" s="55">
        <f>VLOOKUP(C1674,Customers!$A$2:$F$301,5,FALSE())</f>
        <v/>
      </c>
      <c r="N1674" s="55">
        <f>VLOOKUP(E1674,Sales_Reps!$A$2:$E$31,3,FALSE())</f>
        <v/>
      </c>
      <c r="O1674" s="55">
        <f>VLOOKUP(D1674,Products!$A$2:$F$61,4,FALSE())</f>
        <v/>
      </c>
      <c r="P1674" s="55">
        <f>VLOOKUP(C1674,Customers!$A$2:$F$301,3,FALSE())</f>
        <v/>
      </c>
      <c r="Q1674" s="55">
        <f>UPPER(TRIM(K1674))</f>
        <v/>
      </c>
      <c r="R1674" s="55">
        <f>(G1674-O1674)/G1674</f>
        <v/>
      </c>
      <c r="S1674" s="55">
        <f>VLOOKUP(D1674,Products!$A$2:$F$61,6,FALSE())</f>
        <v/>
      </c>
    </row>
    <row r="1675" ht="15" customHeight="1" s="56">
      <c r="A1675" s="55">
        <f>Orders!A1675</f>
        <v/>
      </c>
      <c r="B1675" s="103">
        <f>Orders!B1675</f>
        <v/>
      </c>
      <c r="C1675" s="55">
        <f>Orders!C1675</f>
        <v/>
      </c>
      <c r="D1675" s="55">
        <f>Orders!D1675</f>
        <v/>
      </c>
      <c r="E1675" s="55">
        <f>Orders!E1675</f>
        <v/>
      </c>
      <c r="F1675" s="55">
        <f>Orders!F1675</f>
        <v/>
      </c>
      <c r="G1675" s="55">
        <f>Orders!G1675</f>
        <v/>
      </c>
      <c r="H1675" s="55">
        <f>Orders!H1675</f>
        <v/>
      </c>
      <c r="I1675" s="55">
        <f>Orders!I1675</f>
        <v/>
      </c>
      <c r="J1675" s="55">
        <f>Orders!J1675</f>
        <v/>
      </c>
      <c r="K1675" s="55">
        <f>Orders!K1675</f>
        <v/>
      </c>
      <c r="L1675" s="55">
        <f>VLOOKUP(D1675,Products!$A$2:$F$61,3,FALSE())</f>
        <v/>
      </c>
      <c r="M1675" s="55">
        <f>VLOOKUP(C1675,Customers!$A$2:$F$301,5,FALSE())</f>
        <v/>
      </c>
      <c r="N1675" s="55">
        <f>VLOOKUP(E1675,Sales_Reps!$A$2:$E$31,3,FALSE())</f>
        <v/>
      </c>
      <c r="O1675" s="55">
        <f>VLOOKUP(D1675,Products!$A$2:$F$61,4,FALSE())</f>
        <v/>
      </c>
      <c r="P1675" s="55">
        <f>VLOOKUP(C1675,Customers!$A$2:$F$301,3,FALSE())</f>
        <v/>
      </c>
      <c r="Q1675" s="55">
        <f>UPPER(TRIM(K1675))</f>
        <v/>
      </c>
      <c r="R1675" s="55">
        <f>(G1675-O1675)/G1675</f>
        <v/>
      </c>
      <c r="S1675" s="55">
        <f>VLOOKUP(D1675,Products!$A$2:$F$61,6,FALSE())</f>
        <v/>
      </c>
    </row>
    <row r="1676" ht="15" customHeight="1" s="56">
      <c r="A1676" s="55">
        <f>Orders!A1676</f>
        <v/>
      </c>
      <c r="B1676" s="103">
        <f>Orders!B1676</f>
        <v/>
      </c>
      <c r="C1676" s="55">
        <f>Orders!C1676</f>
        <v/>
      </c>
      <c r="D1676" s="55">
        <f>Orders!D1676</f>
        <v/>
      </c>
      <c r="E1676" s="55">
        <f>Orders!E1676</f>
        <v/>
      </c>
      <c r="F1676" s="55">
        <f>Orders!F1676</f>
        <v/>
      </c>
      <c r="G1676" s="55">
        <f>Orders!G1676</f>
        <v/>
      </c>
      <c r="H1676" s="55">
        <f>Orders!H1676</f>
        <v/>
      </c>
      <c r="I1676" s="55">
        <f>Orders!I1676</f>
        <v/>
      </c>
      <c r="J1676" s="55">
        <f>Orders!J1676</f>
        <v/>
      </c>
      <c r="K1676" s="55">
        <f>Orders!K1676</f>
        <v/>
      </c>
      <c r="L1676" s="55">
        <f>VLOOKUP(D1676,Products!$A$2:$F$61,3,FALSE())</f>
        <v/>
      </c>
      <c r="M1676" s="55">
        <f>VLOOKUP(C1676,Customers!$A$2:$F$301,5,FALSE())</f>
        <v/>
      </c>
      <c r="N1676" s="55">
        <f>VLOOKUP(E1676,Sales_Reps!$A$2:$E$31,3,FALSE())</f>
        <v/>
      </c>
      <c r="O1676" s="55">
        <f>VLOOKUP(D1676,Products!$A$2:$F$61,4,FALSE())</f>
        <v/>
      </c>
      <c r="P1676" s="55">
        <f>VLOOKUP(C1676,Customers!$A$2:$F$301,3,FALSE())</f>
        <v/>
      </c>
      <c r="Q1676" s="55">
        <f>UPPER(TRIM(K1676))</f>
        <v/>
      </c>
      <c r="R1676" s="55">
        <f>(G1676-O1676)/G1676</f>
        <v/>
      </c>
      <c r="S1676" s="55">
        <f>VLOOKUP(D1676,Products!$A$2:$F$61,6,FALSE())</f>
        <v/>
      </c>
    </row>
    <row r="1677" ht="15" customHeight="1" s="56">
      <c r="A1677" s="55">
        <f>Orders!A1677</f>
        <v/>
      </c>
      <c r="B1677" s="103">
        <f>Orders!B1677</f>
        <v/>
      </c>
      <c r="C1677" s="55">
        <f>Orders!C1677</f>
        <v/>
      </c>
      <c r="D1677" s="55">
        <f>Orders!D1677</f>
        <v/>
      </c>
      <c r="E1677" s="55">
        <f>Orders!E1677</f>
        <v/>
      </c>
      <c r="F1677" s="55">
        <f>Orders!F1677</f>
        <v/>
      </c>
      <c r="G1677" s="55">
        <f>Orders!G1677</f>
        <v/>
      </c>
      <c r="H1677" s="55">
        <f>Orders!H1677</f>
        <v/>
      </c>
      <c r="I1677" s="55">
        <f>Orders!I1677</f>
        <v/>
      </c>
      <c r="J1677" s="55">
        <f>Orders!J1677</f>
        <v/>
      </c>
      <c r="K1677" s="55">
        <f>Orders!K1677</f>
        <v/>
      </c>
      <c r="L1677" s="55">
        <f>VLOOKUP(D1677,Products!$A$2:$F$61,3,FALSE())</f>
        <v/>
      </c>
      <c r="M1677" s="55">
        <f>VLOOKUP(C1677,Customers!$A$2:$F$301,5,FALSE())</f>
        <v/>
      </c>
      <c r="N1677" s="55">
        <f>VLOOKUP(E1677,Sales_Reps!$A$2:$E$31,3,FALSE())</f>
        <v/>
      </c>
      <c r="O1677" s="55">
        <f>VLOOKUP(D1677,Products!$A$2:$F$61,4,FALSE())</f>
        <v/>
      </c>
      <c r="P1677" s="55">
        <f>VLOOKUP(C1677,Customers!$A$2:$F$301,3,FALSE())</f>
        <v/>
      </c>
      <c r="Q1677" s="55">
        <f>UPPER(TRIM(K1677))</f>
        <v/>
      </c>
      <c r="R1677" s="55">
        <f>(G1677-O1677)/G1677</f>
        <v/>
      </c>
      <c r="S1677" s="55">
        <f>VLOOKUP(D1677,Products!$A$2:$F$61,6,FALSE())</f>
        <v/>
      </c>
    </row>
    <row r="1678" ht="15" customHeight="1" s="56">
      <c r="A1678" s="55">
        <f>Orders!A1678</f>
        <v/>
      </c>
      <c r="B1678" s="103">
        <f>Orders!B1678</f>
        <v/>
      </c>
      <c r="C1678" s="55">
        <f>Orders!C1678</f>
        <v/>
      </c>
      <c r="D1678" s="55">
        <f>Orders!D1678</f>
        <v/>
      </c>
      <c r="E1678" s="55">
        <f>Orders!E1678</f>
        <v/>
      </c>
      <c r="F1678" s="55">
        <f>Orders!F1678</f>
        <v/>
      </c>
      <c r="G1678" s="55">
        <f>Orders!G1678</f>
        <v/>
      </c>
      <c r="H1678" s="55">
        <f>Orders!H1678</f>
        <v/>
      </c>
      <c r="I1678" s="55">
        <f>Orders!I1678</f>
        <v/>
      </c>
      <c r="J1678" s="55">
        <f>Orders!J1678</f>
        <v/>
      </c>
      <c r="K1678" s="55">
        <f>Orders!K1678</f>
        <v/>
      </c>
      <c r="L1678" s="55">
        <f>VLOOKUP(D1678,Products!$A$2:$F$61,3,FALSE())</f>
        <v/>
      </c>
      <c r="M1678" s="55">
        <f>VLOOKUP(C1678,Customers!$A$2:$F$301,5,FALSE())</f>
        <v/>
      </c>
      <c r="N1678" s="55">
        <f>VLOOKUP(E1678,Sales_Reps!$A$2:$E$31,3,FALSE())</f>
        <v/>
      </c>
      <c r="O1678" s="55">
        <f>VLOOKUP(D1678,Products!$A$2:$F$61,4,FALSE())</f>
        <v/>
      </c>
      <c r="P1678" s="55">
        <f>VLOOKUP(C1678,Customers!$A$2:$F$301,3,FALSE())</f>
        <v/>
      </c>
      <c r="Q1678" s="55">
        <f>UPPER(TRIM(K1678))</f>
        <v/>
      </c>
      <c r="R1678" s="55">
        <f>(G1678-O1678)/G1678</f>
        <v/>
      </c>
      <c r="S1678" s="55">
        <f>VLOOKUP(D1678,Products!$A$2:$F$61,6,FALSE())</f>
        <v/>
      </c>
    </row>
    <row r="1679" ht="15" customHeight="1" s="56">
      <c r="A1679" s="55">
        <f>Orders!A1679</f>
        <v/>
      </c>
      <c r="B1679" s="103">
        <f>Orders!B1679</f>
        <v/>
      </c>
      <c r="C1679" s="55">
        <f>Orders!C1679</f>
        <v/>
      </c>
      <c r="D1679" s="55">
        <f>Orders!D1679</f>
        <v/>
      </c>
      <c r="E1679" s="55">
        <f>Orders!E1679</f>
        <v/>
      </c>
      <c r="F1679" s="55">
        <f>Orders!F1679</f>
        <v/>
      </c>
      <c r="G1679" s="55">
        <f>Orders!G1679</f>
        <v/>
      </c>
      <c r="H1679" s="55">
        <f>Orders!H1679</f>
        <v/>
      </c>
      <c r="I1679" s="55">
        <f>Orders!I1679</f>
        <v/>
      </c>
      <c r="J1679" s="55">
        <f>Orders!J1679</f>
        <v/>
      </c>
      <c r="K1679" s="55">
        <f>Orders!K1679</f>
        <v/>
      </c>
      <c r="L1679" s="55">
        <f>VLOOKUP(D1679,Products!$A$2:$F$61,3,FALSE())</f>
        <v/>
      </c>
      <c r="M1679" s="55">
        <f>VLOOKUP(C1679,Customers!$A$2:$F$301,5,FALSE())</f>
        <v/>
      </c>
      <c r="N1679" s="55">
        <f>VLOOKUP(E1679,Sales_Reps!$A$2:$E$31,3,FALSE())</f>
        <v/>
      </c>
      <c r="O1679" s="55">
        <f>VLOOKUP(D1679,Products!$A$2:$F$61,4,FALSE())</f>
        <v/>
      </c>
      <c r="P1679" s="55">
        <f>VLOOKUP(C1679,Customers!$A$2:$F$301,3,FALSE())</f>
        <v/>
      </c>
      <c r="Q1679" s="55">
        <f>UPPER(TRIM(K1679))</f>
        <v/>
      </c>
      <c r="R1679" s="55">
        <f>(G1679-O1679)/G1679</f>
        <v/>
      </c>
      <c r="S1679" s="55">
        <f>VLOOKUP(D1679,Products!$A$2:$F$61,6,FALSE())</f>
        <v/>
      </c>
    </row>
    <row r="1680" ht="15" customHeight="1" s="56">
      <c r="A1680" s="55">
        <f>Orders!A1680</f>
        <v/>
      </c>
      <c r="B1680" s="103">
        <f>Orders!B1680</f>
        <v/>
      </c>
      <c r="C1680" s="55">
        <f>Orders!C1680</f>
        <v/>
      </c>
      <c r="D1680" s="55">
        <f>Orders!D1680</f>
        <v/>
      </c>
      <c r="E1680" s="55">
        <f>Orders!E1680</f>
        <v/>
      </c>
      <c r="F1680" s="55">
        <f>Orders!F1680</f>
        <v/>
      </c>
      <c r="G1680" s="55">
        <f>Orders!G1680</f>
        <v/>
      </c>
      <c r="H1680" s="55">
        <f>Orders!H1680</f>
        <v/>
      </c>
      <c r="I1680" s="55">
        <f>Orders!I1680</f>
        <v/>
      </c>
      <c r="J1680" s="55">
        <f>Orders!J1680</f>
        <v/>
      </c>
      <c r="K1680" s="55">
        <f>Orders!K1680</f>
        <v/>
      </c>
      <c r="L1680" s="55">
        <f>VLOOKUP(D1680,Products!$A$2:$F$61,3,FALSE())</f>
        <v/>
      </c>
      <c r="M1680" s="55">
        <f>VLOOKUP(C1680,Customers!$A$2:$F$301,5,FALSE())</f>
        <v/>
      </c>
      <c r="N1680" s="55">
        <f>VLOOKUP(E1680,Sales_Reps!$A$2:$E$31,3,FALSE())</f>
        <v/>
      </c>
      <c r="O1680" s="55">
        <f>VLOOKUP(D1680,Products!$A$2:$F$61,4,FALSE())</f>
        <v/>
      </c>
      <c r="P1680" s="55">
        <f>VLOOKUP(C1680,Customers!$A$2:$F$301,3,FALSE())</f>
        <v/>
      </c>
      <c r="Q1680" s="55">
        <f>UPPER(TRIM(K1680))</f>
        <v/>
      </c>
      <c r="R1680" s="55">
        <f>(G1680-O1680)/G1680</f>
        <v/>
      </c>
      <c r="S1680" s="55">
        <f>VLOOKUP(D1680,Products!$A$2:$F$61,6,FALSE())</f>
        <v/>
      </c>
    </row>
    <row r="1681" ht="15" customHeight="1" s="56">
      <c r="A1681" s="55">
        <f>Orders!A1681</f>
        <v/>
      </c>
      <c r="B1681" s="103">
        <f>Orders!B1681</f>
        <v/>
      </c>
      <c r="C1681" s="55">
        <f>Orders!C1681</f>
        <v/>
      </c>
      <c r="D1681" s="55">
        <f>Orders!D1681</f>
        <v/>
      </c>
      <c r="E1681" s="55">
        <f>Orders!E1681</f>
        <v/>
      </c>
      <c r="F1681" s="55">
        <f>Orders!F1681</f>
        <v/>
      </c>
      <c r="G1681" s="55">
        <f>Orders!G1681</f>
        <v/>
      </c>
      <c r="H1681" s="55">
        <f>Orders!H1681</f>
        <v/>
      </c>
      <c r="I1681" s="55">
        <f>Orders!I1681</f>
        <v/>
      </c>
      <c r="J1681" s="55">
        <f>Orders!J1681</f>
        <v/>
      </c>
      <c r="K1681" s="55">
        <f>Orders!K1681</f>
        <v/>
      </c>
      <c r="L1681" s="55">
        <f>VLOOKUP(D1681,Products!$A$2:$F$61,3,FALSE())</f>
        <v/>
      </c>
      <c r="M1681" s="55">
        <f>VLOOKUP(C1681,Customers!$A$2:$F$301,5,FALSE())</f>
        <v/>
      </c>
      <c r="N1681" s="55">
        <f>VLOOKUP(E1681,Sales_Reps!$A$2:$E$31,3,FALSE())</f>
        <v/>
      </c>
      <c r="O1681" s="55">
        <f>VLOOKUP(D1681,Products!$A$2:$F$61,4,FALSE())</f>
        <v/>
      </c>
      <c r="P1681" s="55">
        <f>VLOOKUP(C1681,Customers!$A$2:$F$301,3,FALSE())</f>
        <v/>
      </c>
      <c r="Q1681" s="55">
        <f>UPPER(TRIM(K1681))</f>
        <v/>
      </c>
      <c r="R1681" s="55">
        <f>(G1681-O1681)/G1681</f>
        <v/>
      </c>
      <c r="S1681" s="55">
        <f>VLOOKUP(D1681,Products!$A$2:$F$61,6,FALSE())</f>
        <v/>
      </c>
    </row>
    <row r="1682" ht="15" customHeight="1" s="56">
      <c r="A1682" s="55">
        <f>Orders!A1682</f>
        <v/>
      </c>
      <c r="B1682" s="103">
        <f>Orders!B1682</f>
        <v/>
      </c>
      <c r="C1682" s="55">
        <f>Orders!C1682</f>
        <v/>
      </c>
      <c r="D1682" s="55">
        <f>Orders!D1682</f>
        <v/>
      </c>
      <c r="E1682" s="55">
        <f>Orders!E1682</f>
        <v/>
      </c>
      <c r="F1682" s="55">
        <f>Orders!F1682</f>
        <v/>
      </c>
      <c r="G1682" s="55">
        <f>Orders!G1682</f>
        <v/>
      </c>
      <c r="H1682" s="55">
        <f>Orders!H1682</f>
        <v/>
      </c>
      <c r="I1682" s="55">
        <f>Orders!I1682</f>
        <v/>
      </c>
      <c r="J1682" s="55">
        <f>Orders!J1682</f>
        <v/>
      </c>
      <c r="K1682" s="55">
        <f>Orders!K1682</f>
        <v/>
      </c>
      <c r="L1682" s="55">
        <f>VLOOKUP(D1682,Products!$A$2:$F$61,3,FALSE())</f>
        <v/>
      </c>
      <c r="M1682" s="55">
        <f>VLOOKUP(C1682,Customers!$A$2:$F$301,5,FALSE())</f>
        <v/>
      </c>
      <c r="N1682" s="55">
        <f>VLOOKUP(E1682,Sales_Reps!$A$2:$E$31,3,FALSE())</f>
        <v/>
      </c>
      <c r="O1682" s="55">
        <f>VLOOKUP(D1682,Products!$A$2:$F$61,4,FALSE())</f>
        <v/>
      </c>
      <c r="P1682" s="55">
        <f>VLOOKUP(C1682,Customers!$A$2:$F$301,3,FALSE())</f>
        <v/>
      </c>
      <c r="Q1682" s="55">
        <f>UPPER(TRIM(K1682))</f>
        <v/>
      </c>
      <c r="R1682" s="55">
        <f>(G1682-O1682)/G1682</f>
        <v/>
      </c>
      <c r="S1682" s="55">
        <f>VLOOKUP(D1682,Products!$A$2:$F$61,6,FALSE())</f>
        <v/>
      </c>
    </row>
    <row r="1683" ht="15" customHeight="1" s="56">
      <c r="A1683" s="55">
        <f>Orders!A1683</f>
        <v/>
      </c>
      <c r="B1683" s="103">
        <f>Orders!B1683</f>
        <v/>
      </c>
      <c r="C1683" s="55">
        <f>Orders!C1683</f>
        <v/>
      </c>
      <c r="D1683" s="55">
        <f>Orders!D1683</f>
        <v/>
      </c>
      <c r="E1683" s="55">
        <f>Orders!E1683</f>
        <v/>
      </c>
      <c r="F1683" s="55">
        <f>Orders!F1683</f>
        <v/>
      </c>
      <c r="G1683" s="55">
        <f>Orders!G1683</f>
        <v/>
      </c>
      <c r="H1683" s="55">
        <f>Orders!H1683</f>
        <v/>
      </c>
      <c r="I1683" s="55">
        <f>Orders!I1683</f>
        <v/>
      </c>
      <c r="J1683" s="55">
        <f>Orders!J1683</f>
        <v/>
      </c>
      <c r="K1683" s="55">
        <f>Orders!K1683</f>
        <v/>
      </c>
      <c r="L1683" s="55">
        <f>VLOOKUP(D1683,Products!$A$2:$F$61,3,FALSE())</f>
        <v/>
      </c>
      <c r="M1683" s="55">
        <f>VLOOKUP(C1683,Customers!$A$2:$F$301,5,FALSE())</f>
        <v/>
      </c>
      <c r="N1683" s="55">
        <f>VLOOKUP(E1683,Sales_Reps!$A$2:$E$31,3,FALSE())</f>
        <v/>
      </c>
      <c r="O1683" s="55">
        <f>VLOOKUP(D1683,Products!$A$2:$F$61,4,FALSE())</f>
        <v/>
      </c>
      <c r="P1683" s="55">
        <f>VLOOKUP(C1683,Customers!$A$2:$F$301,3,FALSE())</f>
        <v/>
      </c>
      <c r="Q1683" s="55">
        <f>UPPER(TRIM(K1683))</f>
        <v/>
      </c>
      <c r="R1683" s="55">
        <f>(G1683-O1683)/G1683</f>
        <v/>
      </c>
      <c r="S1683" s="55">
        <f>VLOOKUP(D1683,Products!$A$2:$F$61,6,FALSE())</f>
        <v/>
      </c>
    </row>
    <row r="1684" ht="15" customHeight="1" s="56">
      <c r="A1684" s="55">
        <f>Orders!A1684</f>
        <v/>
      </c>
      <c r="B1684" s="103">
        <f>Orders!B1684</f>
        <v/>
      </c>
      <c r="C1684" s="55">
        <f>Orders!C1684</f>
        <v/>
      </c>
      <c r="D1684" s="55">
        <f>Orders!D1684</f>
        <v/>
      </c>
      <c r="E1684" s="55">
        <f>Orders!E1684</f>
        <v/>
      </c>
      <c r="F1684" s="55">
        <f>Orders!F1684</f>
        <v/>
      </c>
      <c r="G1684" s="55">
        <f>Orders!G1684</f>
        <v/>
      </c>
      <c r="H1684" s="55">
        <f>Orders!H1684</f>
        <v/>
      </c>
      <c r="I1684" s="55">
        <f>Orders!I1684</f>
        <v/>
      </c>
      <c r="J1684" s="55">
        <f>Orders!J1684</f>
        <v/>
      </c>
      <c r="K1684" s="55">
        <f>Orders!K1684</f>
        <v/>
      </c>
      <c r="L1684" s="55">
        <f>VLOOKUP(D1684,Products!$A$2:$F$61,3,FALSE())</f>
        <v/>
      </c>
      <c r="M1684" s="55">
        <f>VLOOKUP(C1684,Customers!$A$2:$F$301,5,FALSE())</f>
        <v/>
      </c>
      <c r="N1684" s="55">
        <f>VLOOKUP(E1684,Sales_Reps!$A$2:$E$31,3,FALSE())</f>
        <v/>
      </c>
      <c r="O1684" s="55">
        <f>VLOOKUP(D1684,Products!$A$2:$F$61,4,FALSE())</f>
        <v/>
      </c>
      <c r="P1684" s="55">
        <f>VLOOKUP(C1684,Customers!$A$2:$F$301,3,FALSE())</f>
        <v/>
      </c>
      <c r="Q1684" s="55">
        <f>UPPER(TRIM(K1684))</f>
        <v/>
      </c>
      <c r="R1684" s="55">
        <f>(G1684-O1684)/G1684</f>
        <v/>
      </c>
      <c r="S1684" s="55">
        <f>VLOOKUP(D1684,Products!$A$2:$F$61,6,FALSE())</f>
        <v/>
      </c>
    </row>
    <row r="1685" ht="15" customHeight="1" s="56">
      <c r="A1685" s="55">
        <f>Orders!A1685</f>
        <v/>
      </c>
      <c r="B1685" s="103">
        <f>Orders!B1685</f>
        <v/>
      </c>
      <c r="C1685" s="55">
        <f>Orders!C1685</f>
        <v/>
      </c>
      <c r="D1685" s="55">
        <f>Orders!D1685</f>
        <v/>
      </c>
      <c r="E1685" s="55">
        <f>Orders!E1685</f>
        <v/>
      </c>
      <c r="F1685" s="55">
        <f>Orders!F1685</f>
        <v/>
      </c>
      <c r="G1685" s="55">
        <f>Orders!G1685</f>
        <v/>
      </c>
      <c r="H1685" s="55">
        <f>Orders!H1685</f>
        <v/>
      </c>
      <c r="I1685" s="55">
        <f>Orders!I1685</f>
        <v/>
      </c>
      <c r="J1685" s="55">
        <f>Orders!J1685</f>
        <v/>
      </c>
      <c r="K1685" s="55">
        <f>Orders!K1685</f>
        <v/>
      </c>
      <c r="L1685" s="55">
        <f>VLOOKUP(D1685,Products!$A$2:$F$61,3,FALSE())</f>
        <v/>
      </c>
      <c r="M1685" s="55">
        <f>VLOOKUP(C1685,Customers!$A$2:$F$301,5,FALSE())</f>
        <v/>
      </c>
      <c r="N1685" s="55">
        <f>VLOOKUP(E1685,Sales_Reps!$A$2:$E$31,3,FALSE())</f>
        <v/>
      </c>
      <c r="O1685" s="55">
        <f>VLOOKUP(D1685,Products!$A$2:$F$61,4,FALSE())</f>
        <v/>
      </c>
      <c r="P1685" s="55">
        <f>VLOOKUP(C1685,Customers!$A$2:$F$301,3,FALSE())</f>
        <v/>
      </c>
      <c r="Q1685" s="55">
        <f>UPPER(TRIM(K1685))</f>
        <v/>
      </c>
      <c r="R1685" s="55">
        <f>(G1685-O1685)/G1685</f>
        <v/>
      </c>
      <c r="S1685" s="55">
        <f>VLOOKUP(D1685,Products!$A$2:$F$61,6,FALSE())</f>
        <v/>
      </c>
    </row>
    <row r="1686" ht="15" customHeight="1" s="56">
      <c r="A1686" s="55">
        <f>Orders!A1686</f>
        <v/>
      </c>
      <c r="B1686" s="103">
        <f>Orders!B1686</f>
        <v/>
      </c>
      <c r="C1686" s="55">
        <f>Orders!C1686</f>
        <v/>
      </c>
      <c r="D1686" s="55">
        <f>Orders!D1686</f>
        <v/>
      </c>
      <c r="E1686" s="55">
        <f>Orders!E1686</f>
        <v/>
      </c>
      <c r="F1686" s="55">
        <f>Orders!F1686</f>
        <v/>
      </c>
      <c r="G1686" s="55">
        <f>Orders!G1686</f>
        <v/>
      </c>
      <c r="H1686" s="55">
        <f>Orders!H1686</f>
        <v/>
      </c>
      <c r="I1686" s="55">
        <f>Orders!I1686</f>
        <v/>
      </c>
      <c r="J1686" s="55">
        <f>Orders!J1686</f>
        <v/>
      </c>
      <c r="K1686" s="55">
        <f>Orders!K1686</f>
        <v/>
      </c>
      <c r="L1686" s="55">
        <f>VLOOKUP(D1686,Products!$A$2:$F$61,3,FALSE())</f>
        <v/>
      </c>
      <c r="M1686" s="55">
        <f>VLOOKUP(C1686,Customers!$A$2:$F$301,5,FALSE())</f>
        <v/>
      </c>
      <c r="N1686" s="55">
        <f>VLOOKUP(E1686,Sales_Reps!$A$2:$E$31,3,FALSE())</f>
        <v/>
      </c>
      <c r="O1686" s="55">
        <f>VLOOKUP(D1686,Products!$A$2:$F$61,4,FALSE())</f>
        <v/>
      </c>
      <c r="P1686" s="55">
        <f>VLOOKUP(C1686,Customers!$A$2:$F$301,3,FALSE())</f>
        <v/>
      </c>
      <c r="Q1686" s="55">
        <f>UPPER(TRIM(K1686))</f>
        <v/>
      </c>
      <c r="R1686" s="55">
        <f>(G1686-O1686)/G1686</f>
        <v/>
      </c>
      <c r="S1686" s="55">
        <f>VLOOKUP(D1686,Products!$A$2:$F$61,6,FALSE())</f>
        <v/>
      </c>
    </row>
    <row r="1687" ht="15" customHeight="1" s="56">
      <c r="A1687" s="55">
        <f>Orders!A1687</f>
        <v/>
      </c>
      <c r="B1687" s="103">
        <f>Orders!B1687</f>
        <v/>
      </c>
      <c r="C1687" s="55">
        <f>Orders!C1687</f>
        <v/>
      </c>
      <c r="D1687" s="55">
        <f>Orders!D1687</f>
        <v/>
      </c>
      <c r="E1687" s="55">
        <f>Orders!E1687</f>
        <v/>
      </c>
      <c r="F1687" s="55">
        <f>Orders!F1687</f>
        <v/>
      </c>
      <c r="G1687" s="55">
        <f>Orders!G1687</f>
        <v/>
      </c>
      <c r="H1687" s="55">
        <f>Orders!H1687</f>
        <v/>
      </c>
      <c r="I1687" s="55">
        <f>Orders!I1687</f>
        <v/>
      </c>
      <c r="J1687" s="55">
        <f>Orders!J1687</f>
        <v/>
      </c>
      <c r="K1687" s="55">
        <f>Orders!K1687</f>
        <v/>
      </c>
      <c r="L1687" s="55">
        <f>VLOOKUP(D1687,Products!$A$2:$F$61,3,FALSE())</f>
        <v/>
      </c>
      <c r="M1687" s="55">
        <f>VLOOKUP(C1687,Customers!$A$2:$F$301,5,FALSE())</f>
        <v/>
      </c>
      <c r="N1687" s="55">
        <f>VLOOKUP(E1687,Sales_Reps!$A$2:$E$31,3,FALSE())</f>
        <v/>
      </c>
      <c r="O1687" s="55">
        <f>VLOOKUP(D1687,Products!$A$2:$F$61,4,FALSE())</f>
        <v/>
      </c>
      <c r="P1687" s="55">
        <f>VLOOKUP(C1687,Customers!$A$2:$F$301,3,FALSE())</f>
        <v/>
      </c>
      <c r="Q1687" s="55">
        <f>UPPER(TRIM(K1687))</f>
        <v/>
      </c>
      <c r="R1687" s="55">
        <f>(G1687-O1687)/G1687</f>
        <v/>
      </c>
      <c r="S1687" s="55">
        <f>VLOOKUP(D1687,Products!$A$2:$F$61,6,FALSE())</f>
        <v/>
      </c>
    </row>
    <row r="1688" ht="15" customHeight="1" s="56">
      <c r="A1688" s="55">
        <f>Orders!A1688</f>
        <v/>
      </c>
      <c r="B1688" s="103">
        <f>Orders!B1688</f>
        <v/>
      </c>
      <c r="C1688" s="55">
        <f>Orders!C1688</f>
        <v/>
      </c>
      <c r="D1688" s="55">
        <f>Orders!D1688</f>
        <v/>
      </c>
      <c r="E1688" s="55">
        <f>Orders!E1688</f>
        <v/>
      </c>
      <c r="F1688" s="55">
        <f>Orders!F1688</f>
        <v/>
      </c>
      <c r="G1688" s="55">
        <f>Orders!G1688</f>
        <v/>
      </c>
      <c r="H1688" s="55">
        <f>Orders!H1688</f>
        <v/>
      </c>
      <c r="I1688" s="55">
        <f>Orders!I1688</f>
        <v/>
      </c>
      <c r="J1688" s="55">
        <f>Orders!J1688</f>
        <v/>
      </c>
      <c r="K1688" s="55">
        <f>Orders!K1688</f>
        <v/>
      </c>
      <c r="L1688" s="55">
        <f>VLOOKUP(D1688,Products!$A$2:$F$61,3,FALSE())</f>
        <v/>
      </c>
      <c r="M1688" s="55">
        <f>VLOOKUP(C1688,Customers!$A$2:$F$301,5,FALSE())</f>
        <v/>
      </c>
      <c r="N1688" s="55">
        <f>VLOOKUP(E1688,Sales_Reps!$A$2:$E$31,3,FALSE())</f>
        <v/>
      </c>
      <c r="O1688" s="55">
        <f>VLOOKUP(D1688,Products!$A$2:$F$61,4,FALSE())</f>
        <v/>
      </c>
      <c r="P1688" s="55">
        <f>VLOOKUP(C1688,Customers!$A$2:$F$301,3,FALSE())</f>
        <v/>
      </c>
      <c r="Q1688" s="55">
        <f>UPPER(TRIM(K1688))</f>
        <v/>
      </c>
      <c r="R1688" s="55">
        <f>(G1688-O1688)/G1688</f>
        <v/>
      </c>
      <c r="S1688" s="55">
        <f>VLOOKUP(D1688,Products!$A$2:$F$61,6,FALSE())</f>
        <v/>
      </c>
    </row>
    <row r="1689" ht="15" customHeight="1" s="56">
      <c r="A1689" s="55">
        <f>Orders!A1689</f>
        <v/>
      </c>
      <c r="B1689" s="103">
        <f>Orders!B1689</f>
        <v/>
      </c>
      <c r="C1689" s="55">
        <f>Orders!C1689</f>
        <v/>
      </c>
      <c r="D1689" s="55">
        <f>Orders!D1689</f>
        <v/>
      </c>
      <c r="E1689" s="55">
        <f>Orders!E1689</f>
        <v/>
      </c>
      <c r="F1689" s="55">
        <f>Orders!F1689</f>
        <v/>
      </c>
      <c r="G1689" s="55">
        <f>Orders!G1689</f>
        <v/>
      </c>
      <c r="H1689" s="55">
        <f>Orders!H1689</f>
        <v/>
      </c>
      <c r="I1689" s="55">
        <f>Orders!I1689</f>
        <v/>
      </c>
      <c r="J1689" s="55">
        <f>Orders!J1689</f>
        <v/>
      </c>
      <c r="K1689" s="55">
        <f>Orders!K1689</f>
        <v/>
      </c>
      <c r="L1689" s="55">
        <f>VLOOKUP(D1689,Products!$A$2:$F$61,3,FALSE())</f>
        <v/>
      </c>
      <c r="M1689" s="55">
        <f>VLOOKUP(C1689,Customers!$A$2:$F$301,5,FALSE())</f>
        <v/>
      </c>
      <c r="N1689" s="55">
        <f>VLOOKUP(E1689,Sales_Reps!$A$2:$E$31,3,FALSE())</f>
        <v/>
      </c>
      <c r="O1689" s="55">
        <f>VLOOKUP(D1689,Products!$A$2:$F$61,4,FALSE())</f>
        <v/>
      </c>
      <c r="P1689" s="55">
        <f>VLOOKUP(C1689,Customers!$A$2:$F$301,3,FALSE())</f>
        <v/>
      </c>
      <c r="Q1689" s="55">
        <f>UPPER(TRIM(K1689))</f>
        <v/>
      </c>
      <c r="R1689" s="55">
        <f>(G1689-O1689)/G1689</f>
        <v/>
      </c>
      <c r="S1689" s="55">
        <f>VLOOKUP(D1689,Products!$A$2:$F$61,6,FALSE())</f>
        <v/>
      </c>
    </row>
    <row r="1690" ht="15" customHeight="1" s="56">
      <c r="A1690" s="55">
        <f>Orders!A1690</f>
        <v/>
      </c>
      <c r="B1690" s="103">
        <f>Orders!B1690</f>
        <v/>
      </c>
      <c r="C1690" s="55">
        <f>Orders!C1690</f>
        <v/>
      </c>
      <c r="D1690" s="55">
        <f>Orders!D1690</f>
        <v/>
      </c>
      <c r="E1690" s="55">
        <f>Orders!E1690</f>
        <v/>
      </c>
      <c r="F1690" s="55">
        <f>Orders!F1690</f>
        <v/>
      </c>
      <c r="G1690" s="55">
        <f>Orders!G1690</f>
        <v/>
      </c>
      <c r="H1690" s="55">
        <f>Orders!H1690</f>
        <v/>
      </c>
      <c r="I1690" s="55">
        <f>Orders!I1690</f>
        <v/>
      </c>
      <c r="J1690" s="55">
        <f>Orders!J1690</f>
        <v/>
      </c>
      <c r="K1690" s="55">
        <f>Orders!K1690</f>
        <v/>
      </c>
      <c r="L1690" s="55">
        <f>VLOOKUP(D1690,Products!$A$2:$F$61,3,FALSE())</f>
        <v/>
      </c>
      <c r="M1690" s="55">
        <f>VLOOKUP(C1690,Customers!$A$2:$F$301,5,FALSE())</f>
        <v/>
      </c>
      <c r="N1690" s="55">
        <f>VLOOKUP(E1690,Sales_Reps!$A$2:$E$31,3,FALSE())</f>
        <v/>
      </c>
      <c r="O1690" s="55">
        <f>VLOOKUP(D1690,Products!$A$2:$F$61,4,FALSE())</f>
        <v/>
      </c>
      <c r="P1690" s="55">
        <f>VLOOKUP(C1690,Customers!$A$2:$F$301,3,FALSE())</f>
        <v/>
      </c>
      <c r="Q1690" s="55">
        <f>UPPER(TRIM(K1690))</f>
        <v/>
      </c>
      <c r="R1690" s="55">
        <f>(G1690-O1690)/G1690</f>
        <v/>
      </c>
      <c r="S1690" s="55">
        <f>VLOOKUP(D1690,Products!$A$2:$F$61,6,FALSE())</f>
        <v/>
      </c>
    </row>
    <row r="1691" ht="15" customHeight="1" s="56">
      <c r="A1691" s="55">
        <f>Orders!A1691</f>
        <v/>
      </c>
      <c r="B1691" s="103">
        <f>Orders!B1691</f>
        <v/>
      </c>
      <c r="C1691" s="55">
        <f>Orders!C1691</f>
        <v/>
      </c>
      <c r="D1691" s="55">
        <f>Orders!D1691</f>
        <v/>
      </c>
      <c r="E1691" s="55">
        <f>Orders!E1691</f>
        <v/>
      </c>
      <c r="F1691" s="55">
        <f>Orders!F1691</f>
        <v/>
      </c>
      <c r="G1691" s="55">
        <f>Orders!G1691</f>
        <v/>
      </c>
      <c r="H1691" s="55">
        <f>Orders!H1691</f>
        <v/>
      </c>
      <c r="I1691" s="55">
        <f>Orders!I1691</f>
        <v/>
      </c>
      <c r="J1691" s="55">
        <f>Orders!J1691</f>
        <v/>
      </c>
      <c r="K1691" s="55">
        <f>Orders!K1691</f>
        <v/>
      </c>
      <c r="L1691" s="55">
        <f>VLOOKUP(D1691,Products!$A$2:$F$61,3,FALSE())</f>
        <v/>
      </c>
      <c r="M1691" s="55">
        <f>VLOOKUP(C1691,Customers!$A$2:$F$301,5,FALSE())</f>
        <v/>
      </c>
      <c r="N1691" s="55">
        <f>VLOOKUP(E1691,Sales_Reps!$A$2:$E$31,3,FALSE())</f>
        <v/>
      </c>
      <c r="O1691" s="55">
        <f>VLOOKUP(D1691,Products!$A$2:$F$61,4,FALSE())</f>
        <v/>
      </c>
      <c r="P1691" s="55">
        <f>VLOOKUP(C1691,Customers!$A$2:$F$301,3,FALSE())</f>
        <v/>
      </c>
      <c r="Q1691" s="55">
        <f>UPPER(TRIM(K1691))</f>
        <v/>
      </c>
      <c r="R1691" s="55">
        <f>(G1691-O1691)/G1691</f>
        <v/>
      </c>
      <c r="S1691" s="55">
        <f>VLOOKUP(D1691,Products!$A$2:$F$61,6,FALSE())</f>
        <v/>
      </c>
    </row>
    <row r="1692" ht="15" customHeight="1" s="56">
      <c r="A1692" s="55">
        <f>Orders!A1692</f>
        <v/>
      </c>
      <c r="B1692" s="103">
        <f>Orders!B1692</f>
        <v/>
      </c>
      <c r="C1692" s="55">
        <f>Orders!C1692</f>
        <v/>
      </c>
      <c r="D1692" s="55">
        <f>Orders!D1692</f>
        <v/>
      </c>
      <c r="E1692" s="55">
        <f>Orders!E1692</f>
        <v/>
      </c>
      <c r="F1692" s="55">
        <f>Orders!F1692</f>
        <v/>
      </c>
      <c r="G1692" s="55">
        <f>Orders!G1692</f>
        <v/>
      </c>
      <c r="H1692" s="55">
        <f>Orders!H1692</f>
        <v/>
      </c>
      <c r="I1692" s="55">
        <f>Orders!I1692</f>
        <v/>
      </c>
      <c r="J1692" s="55">
        <f>Orders!J1692</f>
        <v/>
      </c>
      <c r="K1692" s="55">
        <f>Orders!K1692</f>
        <v/>
      </c>
      <c r="L1692" s="55">
        <f>VLOOKUP(D1692,Products!$A$2:$F$61,3,FALSE())</f>
        <v/>
      </c>
      <c r="M1692" s="55">
        <f>VLOOKUP(C1692,Customers!$A$2:$F$301,5,FALSE())</f>
        <v/>
      </c>
      <c r="N1692" s="55">
        <f>VLOOKUP(E1692,Sales_Reps!$A$2:$E$31,3,FALSE())</f>
        <v/>
      </c>
      <c r="O1692" s="55">
        <f>VLOOKUP(D1692,Products!$A$2:$F$61,4,FALSE())</f>
        <v/>
      </c>
      <c r="P1692" s="55">
        <f>VLOOKUP(C1692,Customers!$A$2:$F$301,3,FALSE())</f>
        <v/>
      </c>
      <c r="Q1692" s="55">
        <f>UPPER(TRIM(K1692))</f>
        <v/>
      </c>
      <c r="R1692" s="55">
        <f>(G1692-O1692)/G1692</f>
        <v/>
      </c>
      <c r="S1692" s="55">
        <f>VLOOKUP(D1692,Products!$A$2:$F$61,6,FALSE())</f>
        <v/>
      </c>
    </row>
    <row r="1693" ht="15" customHeight="1" s="56">
      <c r="A1693" s="55">
        <f>Orders!A1693</f>
        <v/>
      </c>
      <c r="B1693" s="103">
        <f>Orders!B1693</f>
        <v/>
      </c>
      <c r="C1693" s="55">
        <f>Orders!C1693</f>
        <v/>
      </c>
      <c r="D1693" s="55">
        <f>Orders!D1693</f>
        <v/>
      </c>
      <c r="E1693" s="55">
        <f>Orders!E1693</f>
        <v/>
      </c>
      <c r="F1693" s="55">
        <f>Orders!F1693</f>
        <v/>
      </c>
      <c r="G1693" s="55">
        <f>Orders!G1693</f>
        <v/>
      </c>
      <c r="H1693" s="55">
        <f>Orders!H1693</f>
        <v/>
      </c>
      <c r="I1693" s="55">
        <f>Orders!I1693</f>
        <v/>
      </c>
      <c r="J1693" s="55">
        <f>Orders!J1693</f>
        <v/>
      </c>
      <c r="K1693" s="55">
        <f>Orders!K1693</f>
        <v/>
      </c>
      <c r="L1693" s="55">
        <f>VLOOKUP(D1693,Products!$A$2:$F$61,3,FALSE())</f>
        <v/>
      </c>
      <c r="M1693" s="55">
        <f>VLOOKUP(C1693,Customers!$A$2:$F$301,5,FALSE())</f>
        <v/>
      </c>
      <c r="N1693" s="55">
        <f>VLOOKUP(E1693,Sales_Reps!$A$2:$E$31,3,FALSE())</f>
        <v/>
      </c>
      <c r="O1693" s="55">
        <f>VLOOKUP(D1693,Products!$A$2:$F$61,4,FALSE())</f>
        <v/>
      </c>
      <c r="P1693" s="55">
        <f>VLOOKUP(C1693,Customers!$A$2:$F$301,3,FALSE())</f>
        <v/>
      </c>
      <c r="Q1693" s="55">
        <f>UPPER(TRIM(K1693))</f>
        <v/>
      </c>
      <c r="R1693" s="55">
        <f>(G1693-O1693)/G1693</f>
        <v/>
      </c>
      <c r="S1693" s="55">
        <f>VLOOKUP(D1693,Products!$A$2:$F$61,6,FALSE())</f>
        <v/>
      </c>
    </row>
    <row r="1694" ht="15" customHeight="1" s="56">
      <c r="A1694" s="55">
        <f>Orders!A1694</f>
        <v/>
      </c>
      <c r="B1694" s="103">
        <f>Orders!B1694</f>
        <v/>
      </c>
      <c r="C1694" s="55">
        <f>Orders!C1694</f>
        <v/>
      </c>
      <c r="D1694" s="55">
        <f>Orders!D1694</f>
        <v/>
      </c>
      <c r="E1694" s="55">
        <f>Orders!E1694</f>
        <v/>
      </c>
      <c r="F1694" s="55">
        <f>Orders!F1694</f>
        <v/>
      </c>
      <c r="G1694" s="55">
        <f>Orders!G1694</f>
        <v/>
      </c>
      <c r="H1694" s="55">
        <f>Orders!H1694</f>
        <v/>
      </c>
      <c r="I1694" s="55">
        <f>Orders!I1694</f>
        <v/>
      </c>
      <c r="J1694" s="55">
        <f>Orders!J1694</f>
        <v/>
      </c>
      <c r="K1694" s="55">
        <f>Orders!K1694</f>
        <v/>
      </c>
      <c r="L1694" s="55">
        <f>VLOOKUP(D1694,Products!$A$2:$F$61,3,FALSE())</f>
        <v/>
      </c>
      <c r="M1694" s="55">
        <f>VLOOKUP(C1694,Customers!$A$2:$F$301,5,FALSE())</f>
        <v/>
      </c>
      <c r="N1694" s="55">
        <f>VLOOKUP(E1694,Sales_Reps!$A$2:$E$31,3,FALSE())</f>
        <v/>
      </c>
      <c r="O1694" s="55">
        <f>VLOOKUP(D1694,Products!$A$2:$F$61,4,FALSE())</f>
        <v/>
      </c>
      <c r="P1694" s="55">
        <f>VLOOKUP(C1694,Customers!$A$2:$F$301,3,FALSE())</f>
        <v/>
      </c>
      <c r="Q1694" s="55">
        <f>UPPER(TRIM(K1694))</f>
        <v/>
      </c>
      <c r="R1694" s="55">
        <f>(G1694-O1694)/G1694</f>
        <v/>
      </c>
      <c r="S1694" s="55">
        <f>VLOOKUP(D1694,Products!$A$2:$F$61,6,FALSE())</f>
        <v/>
      </c>
    </row>
    <row r="1695" ht="15" customHeight="1" s="56">
      <c r="A1695" s="55">
        <f>Orders!A1695</f>
        <v/>
      </c>
      <c r="B1695" s="103">
        <f>Orders!B1695</f>
        <v/>
      </c>
      <c r="C1695" s="55">
        <f>Orders!C1695</f>
        <v/>
      </c>
      <c r="D1695" s="55">
        <f>Orders!D1695</f>
        <v/>
      </c>
      <c r="E1695" s="55">
        <f>Orders!E1695</f>
        <v/>
      </c>
      <c r="F1695" s="55">
        <f>Orders!F1695</f>
        <v/>
      </c>
      <c r="G1695" s="55">
        <f>Orders!G1695</f>
        <v/>
      </c>
      <c r="H1695" s="55">
        <f>Orders!H1695</f>
        <v/>
      </c>
      <c r="I1695" s="55">
        <f>Orders!I1695</f>
        <v/>
      </c>
      <c r="J1695" s="55">
        <f>Orders!J1695</f>
        <v/>
      </c>
      <c r="K1695" s="55">
        <f>Orders!K1695</f>
        <v/>
      </c>
      <c r="L1695" s="55">
        <f>VLOOKUP(D1695,Products!$A$2:$F$61,3,FALSE())</f>
        <v/>
      </c>
      <c r="M1695" s="55">
        <f>VLOOKUP(C1695,Customers!$A$2:$F$301,5,FALSE())</f>
        <v/>
      </c>
      <c r="N1695" s="55">
        <f>VLOOKUP(E1695,Sales_Reps!$A$2:$E$31,3,FALSE())</f>
        <v/>
      </c>
      <c r="O1695" s="55">
        <f>VLOOKUP(D1695,Products!$A$2:$F$61,4,FALSE())</f>
        <v/>
      </c>
      <c r="P1695" s="55">
        <f>VLOOKUP(C1695,Customers!$A$2:$F$301,3,FALSE())</f>
        <v/>
      </c>
      <c r="Q1695" s="55">
        <f>UPPER(TRIM(K1695))</f>
        <v/>
      </c>
      <c r="R1695" s="55">
        <f>(G1695-O1695)/G1695</f>
        <v/>
      </c>
      <c r="S1695" s="55">
        <f>VLOOKUP(D1695,Products!$A$2:$F$61,6,FALSE())</f>
        <v/>
      </c>
    </row>
    <row r="1696" ht="15" customHeight="1" s="56">
      <c r="A1696" s="55">
        <f>Orders!A1696</f>
        <v/>
      </c>
      <c r="B1696" s="103">
        <f>Orders!B1696</f>
        <v/>
      </c>
      <c r="C1696" s="55">
        <f>Orders!C1696</f>
        <v/>
      </c>
      <c r="D1696" s="55">
        <f>Orders!D1696</f>
        <v/>
      </c>
      <c r="E1696" s="55">
        <f>Orders!E1696</f>
        <v/>
      </c>
      <c r="F1696" s="55">
        <f>Orders!F1696</f>
        <v/>
      </c>
      <c r="G1696" s="55">
        <f>Orders!G1696</f>
        <v/>
      </c>
      <c r="H1696" s="55">
        <f>Orders!H1696</f>
        <v/>
      </c>
      <c r="I1696" s="55">
        <f>Orders!I1696</f>
        <v/>
      </c>
      <c r="J1696" s="55">
        <f>Orders!J1696</f>
        <v/>
      </c>
      <c r="K1696" s="55">
        <f>Orders!K1696</f>
        <v/>
      </c>
      <c r="L1696" s="55">
        <f>VLOOKUP(D1696,Products!$A$2:$F$61,3,FALSE())</f>
        <v/>
      </c>
      <c r="M1696" s="55">
        <f>VLOOKUP(C1696,Customers!$A$2:$F$301,5,FALSE())</f>
        <v/>
      </c>
      <c r="N1696" s="55">
        <f>VLOOKUP(E1696,Sales_Reps!$A$2:$E$31,3,FALSE())</f>
        <v/>
      </c>
      <c r="O1696" s="55">
        <f>VLOOKUP(D1696,Products!$A$2:$F$61,4,FALSE())</f>
        <v/>
      </c>
      <c r="P1696" s="55">
        <f>VLOOKUP(C1696,Customers!$A$2:$F$301,3,FALSE())</f>
        <v/>
      </c>
      <c r="Q1696" s="55">
        <f>UPPER(TRIM(K1696))</f>
        <v/>
      </c>
      <c r="R1696" s="55">
        <f>(G1696-O1696)/G1696</f>
        <v/>
      </c>
      <c r="S1696" s="55">
        <f>VLOOKUP(D1696,Products!$A$2:$F$61,6,FALSE())</f>
        <v/>
      </c>
    </row>
    <row r="1697" ht="15" customHeight="1" s="56">
      <c r="A1697" s="55">
        <f>Orders!A1697</f>
        <v/>
      </c>
      <c r="B1697" s="103">
        <f>Orders!B1697</f>
        <v/>
      </c>
      <c r="C1697" s="55">
        <f>Orders!C1697</f>
        <v/>
      </c>
      <c r="D1697" s="55">
        <f>Orders!D1697</f>
        <v/>
      </c>
      <c r="E1697" s="55">
        <f>Orders!E1697</f>
        <v/>
      </c>
      <c r="F1697" s="55">
        <f>Orders!F1697</f>
        <v/>
      </c>
      <c r="G1697" s="55">
        <f>Orders!G1697</f>
        <v/>
      </c>
      <c r="H1697" s="55">
        <f>Orders!H1697</f>
        <v/>
      </c>
      <c r="I1697" s="55">
        <f>Orders!I1697</f>
        <v/>
      </c>
      <c r="J1697" s="55">
        <f>Orders!J1697</f>
        <v/>
      </c>
      <c r="K1697" s="55">
        <f>Orders!K1697</f>
        <v/>
      </c>
      <c r="L1697" s="55">
        <f>VLOOKUP(D1697,Products!$A$2:$F$61,3,FALSE())</f>
        <v/>
      </c>
      <c r="M1697" s="55">
        <f>VLOOKUP(C1697,Customers!$A$2:$F$301,5,FALSE())</f>
        <v/>
      </c>
      <c r="N1697" s="55">
        <f>VLOOKUP(E1697,Sales_Reps!$A$2:$E$31,3,FALSE())</f>
        <v/>
      </c>
      <c r="O1697" s="55">
        <f>VLOOKUP(D1697,Products!$A$2:$F$61,4,FALSE())</f>
        <v/>
      </c>
      <c r="P1697" s="55">
        <f>VLOOKUP(C1697,Customers!$A$2:$F$301,3,FALSE())</f>
        <v/>
      </c>
      <c r="Q1697" s="55">
        <f>UPPER(TRIM(K1697))</f>
        <v/>
      </c>
      <c r="R1697" s="55">
        <f>(G1697-O1697)/G1697</f>
        <v/>
      </c>
      <c r="S1697" s="55">
        <f>VLOOKUP(D1697,Products!$A$2:$F$61,6,FALSE())</f>
        <v/>
      </c>
    </row>
    <row r="1698" ht="15" customHeight="1" s="56">
      <c r="A1698" s="55">
        <f>Orders!A1698</f>
        <v/>
      </c>
      <c r="B1698" s="103">
        <f>Orders!B1698</f>
        <v/>
      </c>
      <c r="C1698" s="55">
        <f>Orders!C1698</f>
        <v/>
      </c>
      <c r="D1698" s="55">
        <f>Orders!D1698</f>
        <v/>
      </c>
      <c r="E1698" s="55">
        <f>Orders!E1698</f>
        <v/>
      </c>
      <c r="F1698" s="55">
        <f>Orders!F1698</f>
        <v/>
      </c>
      <c r="G1698" s="55">
        <f>Orders!G1698</f>
        <v/>
      </c>
      <c r="H1698" s="55">
        <f>Orders!H1698</f>
        <v/>
      </c>
      <c r="I1698" s="55">
        <f>Orders!I1698</f>
        <v/>
      </c>
      <c r="J1698" s="55">
        <f>Orders!J1698</f>
        <v/>
      </c>
      <c r="K1698" s="55">
        <f>Orders!K1698</f>
        <v/>
      </c>
      <c r="L1698" s="55">
        <f>VLOOKUP(D1698,Products!$A$2:$F$61,3,FALSE())</f>
        <v/>
      </c>
      <c r="M1698" s="55">
        <f>VLOOKUP(C1698,Customers!$A$2:$F$301,5,FALSE())</f>
        <v/>
      </c>
      <c r="N1698" s="55">
        <f>VLOOKUP(E1698,Sales_Reps!$A$2:$E$31,3,FALSE())</f>
        <v/>
      </c>
      <c r="O1698" s="55">
        <f>VLOOKUP(D1698,Products!$A$2:$F$61,4,FALSE())</f>
        <v/>
      </c>
      <c r="P1698" s="55">
        <f>VLOOKUP(C1698,Customers!$A$2:$F$301,3,FALSE())</f>
        <v/>
      </c>
      <c r="Q1698" s="55">
        <f>UPPER(TRIM(K1698))</f>
        <v/>
      </c>
      <c r="R1698" s="55">
        <f>(G1698-O1698)/G1698</f>
        <v/>
      </c>
      <c r="S1698" s="55">
        <f>VLOOKUP(D1698,Products!$A$2:$F$61,6,FALSE())</f>
        <v/>
      </c>
    </row>
    <row r="1699" ht="15" customHeight="1" s="56">
      <c r="A1699" s="55">
        <f>Orders!A1699</f>
        <v/>
      </c>
      <c r="B1699" s="103">
        <f>Orders!B1699</f>
        <v/>
      </c>
      <c r="C1699" s="55">
        <f>Orders!C1699</f>
        <v/>
      </c>
      <c r="D1699" s="55">
        <f>Orders!D1699</f>
        <v/>
      </c>
      <c r="E1699" s="55">
        <f>Orders!E1699</f>
        <v/>
      </c>
      <c r="F1699" s="55">
        <f>Orders!F1699</f>
        <v/>
      </c>
      <c r="G1699" s="55">
        <f>Orders!G1699</f>
        <v/>
      </c>
      <c r="H1699" s="55">
        <f>Orders!H1699</f>
        <v/>
      </c>
      <c r="I1699" s="55">
        <f>Orders!I1699</f>
        <v/>
      </c>
      <c r="J1699" s="55">
        <f>Orders!J1699</f>
        <v/>
      </c>
      <c r="K1699" s="55">
        <f>Orders!K1699</f>
        <v/>
      </c>
      <c r="L1699" s="55">
        <f>VLOOKUP(D1699,Products!$A$2:$F$61,3,FALSE())</f>
        <v/>
      </c>
      <c r="M1699" s="55">
        <f>VLOOKUP(C1699,Customers!$A$2:$F$301,5,FALSE())</f>
        <v/>
      </c>
      <c r="N1699" s="55">
        <f>VLOOKUP(E1699,Sales_Reps!$A$2:$E$31,3,FALSE())</f>
        <v/>
      </c>
      <c r="O1699" s="55">
        <f>VLOOKUP(D1699,Products!$A$2:$F$61,4,FALSE())</f>
        <v/>
      </c>
      <c r="P1699" s="55">
        <f>VLOOKUP(C1699,Customers!$A$2:$F$301,3,FALSE())</f>
        <v/>
      </c>
      <c r="Q1699" s="55">
        <f>UPPER(TRIM(K1699))</f>
        <v/>
      </c>
      <c r="R1699" s="55">
        <f>(G1699-O1699)/G1699</f>
        <v/>
      </c>
      <c r="S1699" s="55">
        <f>VLOOKUP(D1699,Products!$A$2:$F$61,6,FALSE())</f>
        <v/>
      </c>
    </row>
    <row r="1700" ht="15" customHeight="1" s="56">
      <c r="A1700" s="55">
        <f>Orders!A1700</f>
        <v/>
      </c>
      <c r="B1700" s="103">
        <f>Orders!B1700</f>
        <v/>
      </c>
      <c r="C1700" s="55">
        <f>Orders!C1700</f>
        <v/>
      </c>
      <c r="D1700" s="55">
        <f>Orders!D1700</f>
        <v/>
      </c>
      <c r="E1700" s="55">
        <f>Orders!E1700</f>
        <v/>
      </c>
      <c r="F1700" s="55">
        <f>Orders!F1700</f>
        <v/>
      </c>
      <c r="G1700" s="55">
        <f>Orders!G1700</f>
        <v/>
      </c>
      <c r="H1700" s="55">
        <f>Orders!H1700</f>
        <v/>
      </c>
      <c r="I1700" s="55">
        <f>Orders!I1700</f>
        <v/>
      </c>
      <c r="J1700" s="55">
        <f>Orders!J1700</f>
        <v/>
      </c>
      <c r="K1700" s="55">
        <f>Orders!K1700</f>
        <v/>
      </c>
      <c r="L1700" s="55">
        <f>VLOOKUP(D1700,Products!$A$2:$F$61,3,FALSE())</f>
        <v/>
      </c>
      <c r="M1700" s="55">
        <f>VLOOKUP(C1700,Customers!$A$2:$F$301,5,FALSE())</f>
        <v/>
      </c>
      <c r="N1700" s="55">
        <f>VLOOKUP(E1700,Sales_Reps!$A$2:$E$31,3,FALSE())</f>
        <v/>
      </c>
      <c r="O1700" s="55">
        <f>VLOOKUP(D1700,Products!$A$2:$F$61,4,FALSE())</f>
        <v/>
      </c>
      <c r="P1700" s="55">
        <f>VLOOKUP(C1700,Customers!$A$2:$F$301,3,FALSE())</f>
        <v/>
      </c>
      <c r="Q1700" s="55">
        <f>UPPER(TRIM(K1700))</f>
        <v/>
      </c>
      <c r="R1700" s="55">
        <f>(G1700-O1700)/G1700</f>
        <v/>
      </c>
      <c r="S1700" s="55">
        <f>VLOOKUP(D1700,Products!$A$2:$F$61,6,FALSE())</f>
        <v/>
      </c>
    </row>
    <row r="1701" ht="15" customHeight="1" s="56">
      <c r="A1701" s="55">
        <f>Orders!A1701</f>
        <v/>
      </c>
      <c r="B1701" s="103">
        <f>Orders!B1701</f>
        <v/>
      </c>
      <c r="C1701" s="55">
        <f>Orders!C1701</f>
        <v/>
      </c>
      <c r="D1701" s="55">
        <f>Orders!D1701</f>
        <v/>
      </c>
      <c r="E1701" s="55">
        <f>Orders!E1701</f>
        <v/>
      </c>
      <c r="F1701" s="55">
        <f>Orders!F1701</f>
        <v/>
      </c>
      <c r="G1701" s="55">
        <f>Orders!G1701</f>
        <v/>
      </c>
      <c r="H1701" s="55">
        <f>Orders!H1701</f>
        <v/>
      </c>
      <c r="I1701" s="55">
        <f>Orders!I1701</f>
        <v/>
      </c>
      <c r="J1701" s="55">
        <f>Orders!J1701</f>
        <v/>
      </c>
      <c r="K1701" s="55">
        <f>Orders!K1701</f>
        <v/>
      </c>
      <c r="L1701" s="55">
        <f>VLOOKUP(D1701,Products!$A$2:$F$61,3,FALSE())</f>
        <v/>
      </c>
      <c r="M1701" s="55">
        <f>VLOOKUP(C1701,Customers!$A$2:$F$301,5,FALSE())</f>
        <v/>
      </c>
      <c r="N1701" s="55">
        <f>VLOOKUP(E1701,Sales_Reps!$A$2:$E$31,3,FALSE())</f>
        <v/>
      </c>
      <c r="O1701" s="55">
        <f>VLOOKUP(D1701,Products!$A$2:$F$61,4,FALSE())</f>
        <v/>
      </c>
      <c r="P1701" s="55">
        <f>VLOOKUP(C1701,Customers!$A$2:$F$301,3,FALSE())</f>
        <v/>
      </c>
      <c r="Q1701" s="55">
        <f>UPPER(TRIM(K1701))</f>
        <v/>
      </c>
      <c r="R1701" s="55">
        <f>(G1701-O1701)/G1701</f>
        <v/>
      </c>
      <c r="S1701" s="55">
        <f>VLOOKUP(D1701,Products!$A$2:$F$61,6,FALSE())</f>
        <v/>
      </c>
    </row>
    <row r="1702" ht="15" customHeight="1" s="56">
      <c r="A1702" s="55">
        <f>Orders!A1702</f>
        <v/>
      </c>
      <c r="B1702" s="103">
        <f>Orders!B1702</f>
        <v/>
      </c>
      <c r="C1702" s="55">
        <f>Orders!C1702</f>
        <v/>
      </c>
      <c r="D1702" s="55">
        <f>Orders!D1702</f>
        <v/>
      </c>
      <c r="E1702" s="55">
        <f>Orders!E1702</f>
        <v/>
      </c>
      <c r="F1702" s="55">
        <f>Orders!F1702</f>
        <v/>
      </c>
      <c r="G1702" s="55">
        <f>Orders!G1702</f>
        <v/>
      </c>
      <c r="H1702" s="55">
        <f>Orders!H1702</f>
        <v/>
      </c>
      <c r="I1702" s="55">
        <f>Orders!I1702</f>
        <v/>
      </c>
      <c r="J1702" s="55">
        <f>Orders!J1702</f>
        <v/>
      </c>
      <c r="K1702" s="55">
        <f>Orders!K1702</f>
        <v/>
      </c>
      <c r="L1702" s="55">
        <f>VLOOKUP(D1702,Products!$A$2:$F$61,3,FALSE())</f>
        <v/>
      </c>
      <c r="M1702" s="55">
        <f>VLOOKUP(C1702,Customers!$A$2:$F$301,5,FALSE())</f>
        <v/>
      </c>
      <c r="N1702" s="55">
        <f>VLOOKUP(E1702,Sales_Reps!$A$2:$E$31,3,FALSE())</f>
        <v/>
      </c>
      <c r="O1702" s="55">
        <f>VLOOKUP(D1702,Products!$A$2:$F$61,4,FALSE())</f>
        <v/>
      </c>
      <c r="P1702" s="55">
        <f>VLOOKUP(C1702,Customers!$A$2:$F$301,3,FALSE())</f>
        <v/>
      </c>
      <c r="Q1702" s="55">
        <f>UPPER(TRIM(K1702))</f>
        <v/>
      </c>
      <c r="R1702" s="55">
        <f>(G1702-O1702)/G1702</f>
        <v/>
      </c>
      <c r="S1702" s="55">
        <f>VLOOKUP(D1702,Products!$A$2:$F$61,6,FALSE())</f>
        <v/>
      </c>
    </row>
    <row r="1703" ht="15" customHeight="1" s="56">
      <c r="A1703" s="55">
        <f>Orders!A1703</f>
        <v/>
      </c>
      <c r="B1703" s="103">
        <f>Orders!B1703</f>
        <v/>
      </c>
      <c r="C1703" s="55">
        <f>Orders!C1703</f>
        <v/>
      </c>
      <c r="D1703" s="55">
        <f>Orders!D1703</f>
        <v/>
      </c>
      <c r="E1703" s="55">
        <f>Orders!E1703</f>
        <v/>
      </c>
      <c r="F1703" s="55">
        <f>Orders!F1703</f>
        <v/>
      </c>
      <c r="G1703" s="55">
        <f>Orders!G1703</f>
        <v/>
      </c>
      <c r="H1703" s="55">
        <f>Orders!H1703</f>
        <v/>
      </c>
      <c r="I1703" s="55">
        <f>Orders!I1703</f>
        <v/>
      </c>
      <c r="J1703" s="55">
        <f>Orders!J1703</f>
        <v/>
      </c>
      <c r="K1703" s="55">
        <f>Orders!K1703</f>
        <v/>
      </c>
      <c r="L1703" s="55">
        <f>VLOOKUP(D1703,Products!$A$2:$F$61,3,FALSE())</f>
        <v/>
      </c>
      <c r="M1703" s="55">
        <f>VLOOKUP(C1703,Customers!$A$2:$F$301,5,FALSE())</f>
        <v/>
      </c>
      <c r="N1703" s="55">
        <f>VLOOKUP(E1703,Sales_Reps!$A$2:$E$31,3,FALSE())</f>
        <v/>
      </c>
      <c r="O1703" s="55">
        <f>VLOOKUP(D1703,Products!$A$2:$F$61,4,FALSE())</f>
        <v/>
      </c>
      <c r="P1703" s="55">
        <f>VLOOKUP(C1703,Customers!$A$2:$F$301,3,FALSE())</f>
        <v/>
      </c>
      <c r="Q1703" s="55">
        <f>UPPER(TRIM(K1703))</f>
        <v/>
      </c>
      <c r="R1703" s="55">
        <f>(G1703-O1703)/G1703</f>
        <v/>
      </c>
      <c r="S1703" s="55">
        <f>VLOOKUP(D1703,Products!$A$2:$F$61,6,FALSE())</f>
        <v/>
      </c>
    </row>
    <row r="1704" ht="15" customHeight="1" s="56">
      <c r="A1704" s="55">
        <f>Orders!A1704</f>
        <v/>
      </c>
      <c r="B1704" s="103">
        <f>Orders!B1704</f>
        <v/>
      </c>
      <c r="C1704" s="55">
        <f>Orders!C1704</f>
        <v/>
      </c>
      <c r="D1704" s="55">
        <f>Orders!D1704</f>
        <v/>
      </c>
      <c r="E1704" s="55">
        <f>Orders!E1704</f>
        <v/>
      </c>
      <c r="F1704" s="55">
        <f>Orders!F1704</f>
        <v/>
      </c>
      <c r="G1704" s="55">
        <f>Orders!G1704</f>
        <v/>
      </c>
      <c r="H1704" s="55">
        <f>Orders!H1704</f>
        <v/>
      </c>
      <c r="I1704" s="55">
        <f>Orders!I1704</f>
        <v/>
      </c>
      <c r="J1704" s="55">
        <f>Orders!J1704</f>
        <v/>
      </c>
      <c r="K1704" s="55">
        <f>Orders!K1704</f>
        <v/>
      </c>
      <c r="L1704" s="55">
        <f>VLOOKUP(D1704,Products!$A$2:$F$61,3,FALSE())</f>
        <v/>
      </c>
      <c r="M1704" s="55">
        <f>VLOOKUP(C1704,Customers!$A$2:$F$301,5,FALSE())</f>
        <v/>
      </c>
      <c r="N1704" s="55">
        <f>VLOOKUP(E1704,Sales_Reps!$A$2:$E$31,3,FALSE())</f>
        <v/>
      </c>
      <c r="O1704" s="55">
        <f>VLOOKUP(D1704,Products!$A$2:$F$61,4,FALSE())</f>
        <v/>
      </c>
      <c r="P1704" s="55">
        <f>VLOOKUP(C1704,Customers!$A$2:$F$301,3,FALSE())</f>
        <v/>
      </c>
      <c r="Q1704" s="55">
        <f>UPPER(TRIM(K1704))</f>
        <v/>
      </c>
      <c r="R1704" s="55">
        <f>(G1704-O1704)/G1704</f>
        <v/>
      </c>
      <c r="S1704" s="55">
        <f>VLOOKUP(D1704,Products!$A$2:$F$61,6,FALSE())</f>
        <v/>
      </c>
    </row>
    <row r="1705" ht="15" customHeight="1" s="56">
      <c r="A1705" s="55">
        <f>Orders!A1705</f>
        <v/>
      </c>
      <c r="B1705" s="103">
        <f>Orders!B1705</f>
        <v/>
      </c>
      <c r="C1705" s="55">
        <f>Orders!C1705</f>
        <v/>
      </c>
      <c r="D1705" s="55">
        <f>Orders!D1705</f>
        <v/>
      </c>
      <c r="E1705" s="55">
        <f>Orders!E1705</f>
        <v/>
      </c>
      <c r="F1705" s="55">
        <f>Orders!F1705</f>
        <v/>
      </c>
      <c r="G1705" s="55">
        <f>Orders!G1705</f>
        <v/>
      </c>
      <c r="H1705" s="55">
        <f>Orders!H1705</f>
        <v/>
      </c>
      <c r="I1705" s="55">
        <f>Orders!I1705</f>
        <v/>
      </c>
      <c r="J1705" s="55">
        <f>Orders!J1705</f>
        <v/>
      </c>
      <c r="K1705" s="55">
        <f>Orders!K1705</f>
        <v/>
      </c>
      <c r="L1705" s="55">
        <f>VLOOKUP(D1705,Products!$A$2:$F$61,3,FALSE())</f>
        <v/>
      </c>
      <c r="M1705" s="55">
        <f>VLOOKUP(C1705,Customers!$A$2:$F$301,5,FALSE())</f>
        <v/>
      </c>
      <c r="N1705" s="55">
        <f>VLOOKUP(E1705,Sales_Reps!$A$2:$E$31,3,FALSE())</f>
        <v/>
      </c>
      <c r="O1705" s="55">
        <f>VLOOKUP(D1705,Products!$A$2:$F$61,4,FALSE())</f>
        <v/>
      </c>
      <c r="P1705" s="55">
        <f>VLOOKUP(C1705,Customers!$A$2:$F$301,3,FALSE())</f>
        <v/>
      </c>
      <c r="Q1705" s="55">
        <f>UPPER(TRIM(K1705))</f>
        <v/>
      </c>
      <c r="R1705" s="55">
        <f>(G1705-O1705)/G1705</f>
        <v/>
      </c>
      <c r="S1705" s="55">
        <f>VLOOKUP(D1705,Products!$A$2:$F$61,6,FALSE())</f>
        <v/>
      </c>
    </row>
    <row r="1706" ht="15" customHeight="1" s="56">
      <c r="A1706" s="55">
        <f>Orders!A1706</f>
        <v/>
      </c>
      <c r="B1706" s="103">
        <f>Orders!B1706</f>
        <v/>
      </c>
      <c r="C1706" s="55">
        <f>Orders!C1706</f>
        <v/>
      </c>
      <c r="D1706" s="55">
        <f>Orders!D1706</f>
        <v/>
      </c>
      <c r="E1706" s="55">
        <f>Orders!E1706</f>
        <v/>
      </c>
      <c r="F1706" s="55">
        <f>Orders!F1706</f>
        <v/>
      </c>
      <c r="G1706" s="55">
        <f>Orders!G1706</f>
        <v/>
      </c>
      <c r="H1706" s="55">
        <f>Orders!H1706</f>
        <v/>
      </c>
      <c r="I1706" s="55">
        <f>Orders!I1706</f>
        <v/>
      </c>
      <c r="J1706" s="55">
        <f>Orders!J1706</f>
        <v/>
      </c>
      <c r="K1706" s="55">
        <f>Orders!K1706</f>
        <v/>
      </c>
      <c r="L1706" s="55">
        <f>VLOOKUP(D1706,Products!$A$2:$F$61,3,FALSE())</f>
        <v/>
      </c>
      <c r="M1706" s="55">
        <f>VLOOKUP(C1706,Customers!$A$2:$F$301,5,FALSE())</f>
        <v/>
      </c>
      <c r="N1706" s="55">
        <f>VLOOKUP(E1706,Sales_Reps!$A$2:$E$31,3,FALSE())</f>
        <v/>
      </c>
      <c r="O1706" s="55">
        <f>VLOOKUP(D1706,Products!$A$2:$F$61,4,FALSE())</f>
        <v/>
      </c>
      <c r="P1706" s="55">
        <f>VLOOKUP(C1706,Customers!$A$2:$F$301,3,FALSE())</f>
        <v/>
      </c>
      <c r="Q1706" s="55">
        <f>UPPER(TRIM(K1706))</f>
        <v/>
      </c>
      <c r="R1706" s="55">
        <f>(G1706-O1706)/G1706</f>
        <v/>
      </c>
      <c r="S1706" s="55">
        <f>VLOOKUP(D1706,Products!$A$2:$F$61,6,FALSE())</f>
        <v/>
      </c>
    </row>
    <row r="1707" ht="15" customHeight="1" s="56">
      <c r="A1707" s="55">
        <f>Orders!A1707</f>
        <v/>
      </c>
      <c r="B1707" s="103">
        <f>Orders!B1707</f>
        <v/>
      </c>
      <c r="C1707" s="55">
        <f>Orders!C1707</f>
        <v/>
      </c>
      <c r="D1707" s="55">
        <f>Orders!D1707</f>
        <v/>
      </c>
      <c r="E1707" s="55">
        <f>Orders!E1707</f>
        <v/>
      </c>
      <c r="F1707" s="55">
        <f>Orders!F1707</f>
        <v/>
      </c>
      <c r="G1707" s="55">
        <f>Orders!G1707</f>
        <v/>
      </c>
      <c r="H1707" s="55">
        <f>Orders!H1707</f>
        <v/>
      </c>
      <c r="I1707" s="55">
        <f>Orders!I1707</f>
        <v/>
      </c>
      <c r="J1707" s="55">
        <f>Orders!J1707</f>
        <v/>
      </c>
      <c r="K1707" s="55">
        <f>Orders!K1707</f>
        <v/>
      </c>
      <c r="L1707" s="55">
        <f>VLOOKUP(D1707,Products!$A$2:$F$61,3,FALSE())</f>
        <v/>
      </c>
      <c r="M1707" s="55">
        <f>VLOOKUP(C1707,Customers!$A$2:$F$301,5,FALSE())</f>
        <v/>
      </c>
      <c r="N1707" s="55">
        <f>VLOOKUP(E1707,Sales_Reps!$A$2:$E$31,3,FALSE())</f>
        <v/>
      </c>
      <c r="O1707" s="55">
        <f>VLOOKUP(D1707,Products!$A$2:$F$61,4,FALSE())</f>
        <v/>
      </c>
      <c r="P1707" s="55">
        <f>VLOOKUP(C1707,Customers!$A$2:$F$301,3,FALSE())</f>
        <v/>
      </c>
      <c r="Q1707" s="55">
        <f>UPPER(TRIM(K1707))</f>
        <v/>
      </c>
      <c r="R1707" s="55">
        <f>(G1707-O1707)/G1707</f>
        <v/>
      </c>
      <c r="S1707" s="55">
        <f>VLOOKUP(D1707,Products!$A$2:$F$61,6,FALSE())</f>
        <v/>
      </c>
    </row>
    <row r="1708" ht="15" customHeight="1" s="56">
      <c r="A1708" s="55">
        <f>Orders!A1708</f>
        <v/>
      </c>
      <c r="B1708" s="103">
        <f>Orders!B1708</f>
        <v/>
      </c>
      <c r="C1708" s="55">
        <f>Orders!C1708</f>
        <v/>
      </c>
      <c r="D1708" s="55">
        <f>Orders!D1708</f>
        <v/>
      </c>
      <c r="E1708" s="55">
        <f>Orders!E1708</f>
        <v/>
      </c>
      <c r="F1708" s="55">
        <f>Orders!F1708</f>
        <v/>
      </c>
      <c r="G1708" s="55">
        <f>Orders!G1708</f>
        <v/>
      </c>
      <c r="H1708" s="55">
        <f>Orders!H1708</f>
        <v/>
      </c>
      <c r="I1708" s="55">
        <f>Orders!I1708</f>
        <v/>
      </c>
      <c r="J1708" s="55">
        <f>Orders!J1708</f>
        <v/>
      </c>
      <c r="K1708" s="55">
        <f>Orders!K1708</f>
        <v/>
      </c>
      <c r="L1708" s="55">
        <f>VLOOKUP(D1708,Products!$A$2:$F$61,3,FALSE())</f>
        <v/>
      </c>
      <c r="M1708" s="55">
        <f>VLOOKUP(C1708,Customers!$A$2:$F$301,5,FALSE())</f>
        <v/>
      </c>
      <c r="N1708" s="55">
        <f>VLOOKUP(E1708,Sales_Reps!$A$2:$E$31,3,FALSE())</f>
        <v/>
      </c>
      <c r="O1708" s="55">
        <f>VLOOKUP(D1708,Products!$A$2:$F$61,4,FALSE())</f>
        <v/>
      </c>
      <c r="P1708" s="55">
        <f>VLOOKUP(C1708,Customers!$A$2:$F$301,3,FALSE())</f>
        <v/>
      </c>
      <c r="Q1708" s="55">
        <f>UPPER(TRIM(K1708))</f>
        <v/>
      </c>
      <c r="R1708" s="55">
        <f>(G1708-O1708)/G1708</f>
        <v/>
      </c>
      <c r="S1708" s="55">
        <f>VLOOKUP(D1708,Products!$A$2:$F$61,6,FALSE())</f>
        <v/>
      </c>
    </row>
    <row r="1709" ht="15" customHeight="1" s="56">
      <c r="A1709" s="55">
        <f>Orders!A1709</f>
        <v/>
      </c>
      <c r="B1709" s="103">
        <f>Orders!B1709</f>
        <v/>
      </c>
      <c r="C1709" s="55">
        <f>Orders!C1709</f>
        <v/>
      </c>
      <c r="D1709" s="55">
        <f>Orders!D1709</f>
        <v/>
      </c>
      <c r="E1709" s="55">
        <f>Orders!E1709</f>
        <v/>
      </c>
      <c r="F1709" s="55">
        <f>Orders!F1709</f>
        <v/>
      </c>
      <c r="G1709" s="55">
        <f>Orders!G1709</f>
        <v/>
      </c>
      <c r="H1709" s="55">
        <f>Orders!H1709</f>
        <v/>
      </c>
      <c r="I1709" s="55">
        <f>Orders!I1709</f>
        <v/>
      </c>
      <c r="J1709" s="55">
        <f>Orders!J1709</f>
        <v/>
      </c>
      <c r="K1709" s="55">
        <f>Orders!K1709</f>
        <v/>
      </c>
      <c r="L1709" s="55">
        <f>VLOOKUP(D1709,Products!$A$2:$F$61,3,FALSE())</f>
        <v/>
      </c>
      <c r="M1709" s="55">
        <f>VLOOKUP(C1709,Customers!$A$2:$F$301,5,FALSE())</f>
        <v/>
      </c>
      <c r="N1709" s="55">
        <f>VLOOKUP(E1709,Sales_Reps!$A$2:$E$31,3,FALSE())</f>
        <v/>
      </c>
      <c r="O1709" s="55">
        <f>VLOOKUP(D1709,Products!$A$2:$F$61,4,FALSE())</f>
        <v/>
      </c>
      <c r="P1709" s="55">
        <f>VLOOKUP(C1709,Customers!$A$2:$F$301,3,FALSE())</f>
        <v/>
      </c>
      <c r="Q1709" s="55">
        <f>UPPER(TRIM(K1709))</f>
        <v/>
      </c>
      <c r="R1709" s="55">
        <f>(G1709-O1709)/G1709</f>
        <v/>
      </c>
      <c r="S1709" s="55">
        <f>VLOOKUP(D1709,Products!$A$2:$F$61,6,FALSE())</f>
        <v/>
      </c>
    </row>
    <row r="1710" ht="15" customHeight="1" s="56">
      <c r="A1710" s="55">
        <f>Orders!A1710</f>
        <v/>
      </c>
      <c r="B1710" s="103">
        <f>Orders!B1710</f>
        <v/>
      </c>
      <c r="C1710" s="55">
        <f>Orders!C1710</f>
        <v/>
      </c>
      <c r="D1710" s="55">
        <f>Orders!D1710</f>
        <v/>
      </c>
      <c r="E1710" s="55">
        <f>Orders!E1710</f>
        <v/>
      </c>
      <c r="F1710" s="55">
        <f>Orders!F1710</f>
        <v/>
      </c>
      <c r="G1710" s="55">
        <f>Orders!G1710</f>
        <v/>
      </c>
      <c r="H1710" s="55">
        <f>Orders!H1710</f>
        <v/>
      </c>
      <c r="I1710" s="55">
        <f>Orders!I1710</f>
        <v/>
      </c>
      <c r="J1710" s="55">
        <f>Orders!J1710</f>
        <v/>
      </c>
      <c r="K1710" s="55">
        <f>Orders!K1710</f>
        <v/>
      </c>
      <c r="L1710" s="55">
        <f>VLOOKUP(D1710,Products!$A$2:$F$61,3,FALSE())</f>
        <v/>
      </c>
      <c r="M1710" s="55">
        <f>VLOOKUP(C1710,Customers!$A$2:$F$301,5,FALSE())</f>
        <v/>
      </c>
      <c r="N1710" s="55">
        <f>VLOOKUP(E1710,Sales_Reps!$A$2:$E$31,3,FALSE())</f>
        <v/>
      </c>
      <c r="O1710" s="55">
        <f>VLOOKUP(D1710,Products!$A$2:$F$61,4,FALSE())</f>
        <v/>
      </c>
      <c r="P1710" s="55">
        <f>VLOOKUP(C1710,Customers!$A$2:$F$301,3,FALSE())</f>
        <v/>
      </c>
      <c r="Q1710" s="55">
        <f>UPPER(TRIM(K1710))</f>
        <v/>
      </c>
      <c r="R1710" s="55">
        <f>(G1710-O1710)/G1710</f>
        <v/>
      </c>
      <c r="S1710" s="55">
        <f>VLOOKUP(D1710,Products!$A$2:$F$61,6,FALSE())</f>
        <v/>
      </c>
    </row>
    <row r="1711" ht="15" customHeight="1" s="56">
      <c r="A1711" s="55">
        <f>Orders!A1711</f>
        <v/>
      </c>
      <c r="B1711" s="103">
        <f>Orders!B1711</f>
        <v/>
      </c>
      <c r="C1711" s="55">
        <f>Orders!C1711</f>
        <v/>
      </c>
      <c r="D1711" s="55">
        <f>Orders!D1711</f>
        <v/>
      </c>
      <c r="E1711" s="55">
        <f>Orders!E1711</f>
        <v/>
      </c>
      <c r="F1711" s="55">
        <f>Orders!F1711</f>
        <v/>
      </c>
      <c r="G1711" s="55">
        <f>Orders!G1711</f>
        <v/>
      </c>
      <c r="H1711" s="55">
        <f>Orders!H1711</f>
        <v/>
      </c>
      <c r="I1711" s="55">
        <f>Orders!I1711</f>
        <v/>
      </c>
      <c r="J1711" s="55">
        <f>Orders!J1711</f>
        <v/>
      </c>
      <c r="K1711" s="55">
        <f>Orders!K1711</f>
        <v/>
      </c>
      <c r="L1711" s="55">
        <f>VLOOKUP(D1711,Products!$A$2:$F$61,3,FALSE())</f>
        <v/>
      </c>
      <c r="M1711" s="55">
        <f>VLOOKUP(C1711,Customers!$A$2:$F$301,5,FALSE())</f>
        <v/>
      </c>
      <c r="N1711" s="55">
        <f>VLOOKUP(E1711,Sales_Reps!$A$2:$E$31,3,FALSE())</f>
        <v/>
      </c>
      <c r="O1711" s="55">
        <f>VLOOKUP(D1711,Products!$A$2:$F$61,4,FALSE())</f>
        <v/>
      </c>
      <c r="P1711" s="55">
        <f>VLOOKUP(C1711,Customers!$A$2:$F$301,3,FALSE())</f>
        <v/>
      </c>
      <c r="Q1711" s="55">
        <f>UPPER(TRIM(K1711))</f>
        <v/>
      </c>
      <c r="R1711" s="55">
        <f>(G1711-O1711)/G1711</f>
        <v/>
      </c>
      <c r="S1711" s="55">
        <f>VLOOKUP(D1711,Products!$A$2:$F$61,6,FALSE())</f>
        <v/>
      </c>
    </row>
    <row r="1712" ht="15" customHeight="1" s="56">
      <c r="A1712" s="55">
        <f>Orders!A1712</f>
        <v/>
      </c>
      <c r="B1712" s="103">
        <f>Orders!B1712</f>
        <v/>
      </c>
      <c r="C1712" s="55">
        <f>Orders!C1712</f>
        <v/>
      </c>
      <c r="D1712" s="55">
        <f>Orders!D1712</f>
        <v/>
      </c>
      <c r="E1712" s="55">
        <f>Orders!E1712</f>
        <v/>
      </c>
      <c r="F1712" s="55">
        <f>Orders!F1712</f>
        <v/>
      </c>
      <c r="G1712" s="55">
        <f>Orders!G1712</f>
        <v/>
      </c>
      <c r="H1712" s="55">
        <f>Orders!H1712</f>
        <v/>
      </c>
      <c r="I1712" s="55">
        <f>Orders!I1712</f>
        <v/>
      </c>
      <c r="J1712" s="55">
        <f>Orders!J1712</f>
        <v/>
      </c>
      <c r="K1712" s="55">
        <f>Orders!K1712</f>
        <v/>
      </c>
      <c r="L1712" s="55">
        <f>VLOOKUP(D1712,Products!$A$2:$F$61,3,FALSE())</f>
        <v/>
      </c>
      <c r="M1712" s="55">
        <f>VLOOKUP(C1712,Customers!$A$2:$F$301,5,FALSE())</f>
        <v/>
      </c>
      <c r="N1712" s="55">
        <f>VLOOKUP(E1712,Sales_Reps!$A$2:$E$31,3,FALSE())</f>
        <v/>
      </c>
      <c r="O1712" s="55">
        <f>VLOOKUP(D1712,Products!$A$2:$F$61,4,FALSE())</f>
        <v/>
      </c>
      <c r="P1712" s="55">
        <f>VLOOKUP(C1712,Customers!$A$2:$F$301,3,FALSE())</f>
        <v/>
      </c>
      <c r="Q1712" s="55">
        <f>UPPER(TRIM(K1712))</f>
        <v/>
      </c>
      <c r="R1712" s="55">
        <f>(G1712-O1712)/G1712</f>
        <v/>
      </c>
      <c r="S1712" s="55">
        <f>VLOOKUP(D1712,Products!$A$2:$F$61,6,FALSE())</f>
        <v/>
      </c>
    </row>
    <row r="1713" ht="15" customHeight="1" s="56">
      <c r="A1713" s="55">
        <f>Orders!A1713</f>
        <v/>
      </c>
      <c r="B1713" s="103">
        <f>Orders!B1713</f>
        <v/>
      </c>
      <c r="C1713" s="55">
        <f>Orders!C1713</f>
        <v/>
      </c>
      <c r="D1713" s="55">
        <f>Orders!D1713</f>
        <v/>
      </c>
      <c r="E1713" s="55">
        <f>Orders!E1713</f>
        <v/>
      </c>
      <c r="F1713" s="55">
        <f>Orders!F1713</f>
        <v/>
      </c>
      <c r="G1713" s="55">
        <f>Orders!G1713</f>
        <v/>
      </c>
      <c r="H1713" s="55">
        <f>Orders!H1713</f>
        <v/>
      </c>
      <c r="I1713" s="55">
        <f>Orders!I1713</f>
        <v/>
      </c>
      <c r="J1713" s="55">
        <f>Orders!J1713</f>
        <v/>
      </c>
      <c r="K1713" s="55">
        <f>Orders!K1713</f>
        <v/>
      </c>
      <c r="L1713" s="55">
        <f>VLOOKUP(D1713,Products!$A$2:$F$61,3,FALSE())</f>
        <v/>
      </c>
      <c r="M1713" s="55">
        <f>VLOOKUP(C1713,Customers!$A$2:$F$301,5,FALSE())</f>
        <v/>
      </c>
      <c r="N1713" s="55">
        <f>VLOOKUP(E1713,Sales_Reps!$A$2:$E$31,3,FALSE())</f>
        <v/>
      </c>
      <c r="O1713" s="55">
        <f>VLOOKUP(D1713,Products!$A$2:$F$61,4,FALSE())</f>
        <v/>
      </c>
      <c r="P1713" s="55">
        <f>VLOOKUP(C1713,Customers!$A$2:$F$301,3,FALSE())</f>
        <v/>
      </c>
      <c r="Q1713" s="55">
        <f>UPPER(TRIM(K1713))</f>
        <v/>
      </c>
      <c r="R1713" s="55">
        <f>(G1713-O1713)/G1713</f>
        <v/>
      </c>
      <c r="S1713" s="55">
        <f>VLOOKUP(D1713,Products!$A$2:$F$61,6,FALSE())</f>
        <v/>
      </c>
    </row>
    <row r="1714" ht="15" customHeight="1" s="56">
      <c r="A1714" s="55">
        <f>Orders!A1714</f>
        <v/>
      </c>
      <c r="B1714" s="103">
        <f>Orders!B1714</f>
        <v/>
      </c>
      <c r="C1714" s="55">
        <f>Orders!C1714</f>
        <v/>
      </c>
      <c r="D1714" s="55">
        <f>Orders!D1714</f>
        <v/>
      </c>
      <c r="E1714" s="55">
        <f>Orders!E1714</f>
        <v/>
      </c>
      <c r="F1714" s="55">
        <f>Orders!F1714</f>
        <v/>
      </c>
      <c r="G1714" s="55">
        <f>Orders!G1714</f>
        <v/>
      </c>
      <c r="H1714" s="55">
        <f>Orders!H1714</f>
        <v/>
      </c>
      <c r="I1714" s="55">
        <f>Orders!I1714</f>
        <v/>
      </c>
      <c r="J1714" s="55">
        <f>Orders!J1714</f>
        <v/>
      </c>
      <c r="K1714" s="55">
        <f>Orders!K1714</f>
        <v/>
      </c>
      <c r="L1714" s="55">
        <f>VLOOKUP(D1714,Products!$A$2:$F$61,3,FALSE())</f>
        <v/>
      </c>
      <c r="M1714" s="55">
        <f>VLOOKUP(C1714,Customers!$A$2:$F$301,5,FALSE())</f>
        <v/>
      </c>
      <c r="N1714" s="55">
        <f>VLOOKUP(E1714,Sales_Reps!$A$2:$E$31,3,FALSE())</f>
        <v/>
      </c>
      <c r="O1714" s="55">
        <f>VLOOKUP(D1714,Products!$A$2:$F$61,4,FALSE())</f>
        <v/>
      </c>
      <c r="P1714" s="55">
        <f>VLOOKUP(C1714,Customers!$A$2:$F$301,3,FALSE())</f>
        <v/>
      </c>
      <c r="Q1714" s="55">
        <f>UPPER(TRIM(K1714))</f>
        <v/>
      </c>
      <c r="R1714" s="55">
        <f>(G1714-O1714)/G1714</f>
        <v/>
      </c>
      <c r="S1714" s="55">
        <f>VLOOKUP(D1714,Products!$A$2:$F$61,6,FALSE())</f>
        <v/>
      </c>
    </row>
    <row r="1715" ht="15" customHeight="1" s="56">
      <c r="A1715" s="55">
        <f>Orders!A1715</f>
        <v/>
      </c>
      <c r="B1715" s="103">
        <f>Orders!B1715</f>
        <v/>
      </c>
      <c r="C1715" s="55">
        <f>Orders!C1715</f>
        <v/>
      </c>
      <c r="D1715" s="55">
        <f>Orders!D1715</f>
        <v/>
      </c>
      <c r="E1715" s="55">
        <f>Orders!E1715</f>
        <v/>
      </c>
      <c r="F1715" s="55">
        <f>Orders!F1715</f>
        <v/>
      </c>
      <c r="G1715" s="55">
        <f>Orders!G1715</f>
        <v/>
      </c>
      <c r="H1715" s="55">
        <f>Orders!H1715</f>
        <v/>
      </c>
      <c r="I1715" s="55">
        <f>Orders!I1715</f>
        <v/>
      </c>
      <c r="J1715" s="55">
        <f>Orders!J1715</f>
        <v/>
      </c>
      <c r="K1715" s="55">
        <f>Orders!K1715</f>
        <v/>
      </c>
      <c r="L1715" s="55">
        <f>VLOOKUP(D1715,Products!$A$2:$F$61,3,FALSE())</f>
        <v/>
      </c>
      <c r="M1715" s="55">
        <f>VLOOKUP(C1715,Customers!$A$2:$F$301,5,FALSE())</f>
        <v/>
      </c>
      <c r="N1715" s="55">
        <f>VLOOKUP(E1715,Sales_Reps!$A$2:$E$31,3,FALSE())</f>
        <v/>
      </c>
      <c r="O1715" s="55">
        <f>VLOOKUP(D1715,Products!$A$2:$F$61,4,FALSE())</f>
        <v/>
      </c>
      <c r="P1715" s="55">
        <f>VLOOKUP(C1715,Customers!$A$2:$F$301,3,FALSE())</f>
        <v/>
      </c>
      <c r="Q1715" s="55">
        <f>UPPER(TRIM(K1715))</f>
        <v/>
      </c>
      <c r="R1715" s="55">
        <f>(G1715-O1715)/G1715</f>
        <v/>
      </c>
      <c r="S1715" s="55">
        <f>VLOOKUP(D1715,Products!$A$2:$F$61,6,FALSE())</f>
        <v/>
      </c>
    </row>
    <row r="1716" ht="15" customHeight="1" s="56">
      <c r="A1716" s="55">
        <f>Orders!A1716</f>
        <v/>
      </c>
      <c r="B1716" s="103">
        <f>Orders!B1716</f>
        <v/>
      </c>
      <c r="C1716" s="55">
        <f>Orders!C1716</f>
        <v/>
      </c>
      <c r="D1716" s="55">
        <f>Orders!D1716</f>
        <v/>
      </c>
      <c r="E1716" s="55">
        <f>Orders!E1716</f>
        <v/>
      </c>
      <c r="F1716" s="55">
        <f>Orders!F1716</f>
        <v/>
      </c>
      <c r="G1716" s="55">
        <f>Orders!G1716</f>
        <v/>
      </c>
      <c r="H1716" s="55">
        <f>Orders!H1716</f>
        <v/>
      </c>
      <c r="I1716" s="55">
        <f>Orders!I1716</f>
        <v/>
      </c>
      <c r="J1716" s="55">
        <f>Orders!J1716</f>
        <v/>
      </c>
      <c r="K1716" s="55">
        <f>Orders!K1716</f>
        <v/>
      </c>
      <c r="L1716" s="55">
        <f>VLOOKUP(D1716,Products!$A$2:$F$61,3,FALSE())</f>
        <v/>
      </c>
      <c r="M1716" s="55">
        <f>VLOOKUP(C1716,Customers!$A$2:$F$301,5,FALSE())</f>
        <v/>
      </c>
      <c r="N1716" s="55">
        <f>VLOOKUP(E1716,Sales_Reps!$A$2:$E$31,3,FALSE())</f>
        <v/>
      </c>
      <c r="O1716" s="55">
        <f>VLOOKUP(D1716,Products!$A$2:$F$61,4,FALSE())</f>
        <v/>
      </c>
      <c r="P1716" s="55">
        <f>VLOOKUP(C1716,Customers!$A$2:$F$301,3,FALSE())</f>
        <v/>
      </c>
      <c r="Q1716" s="55">
        <f>UPPER(TRIM(K1716))</f>
        <v/>
      </c>
      <c r="R1716" s="55">
        <f>(G1716-O1716)/G1716</f>
        <v/>
      </c>
      <c r="S1716" s="55">
        <f>VLOOKUP(D1716,Products!$A$2:$F$61,6,FALSE())</f>
        <v/>
      </c>
    </row>
    <row r="1717" ht="15" customHeight="1" s="56">
      <c r="A1717" s="55">
        <f>Orders!A1717</f>
        <v/>
      </c>
      <c r="B1717" s="103">
        <f>Orders!B1717</f>
        <v/>
      </c>
      <c r="C1717" s="55">
        <f>Orders!C1717</f>
        <v/>
      </c>
      <c r="D1717" s="55">
        <f>Orders!D1717</f>
        <v/>
      </c>
      <c r="E1717" s="55">
        <f>Orders!E1717</f>
        <v/>
      </c>
      <c r="F1717" s="55">
        <f>Orders!F1717</f>
        <v/>
      </c>
      <c r="G1717" s="55">
        <f>Orders!G1717</f>
        <v/>
      </c>
      <c r="H1717" s="55">
        <f>Orders!H1717</f>
        <v/>
      </c>
      <c r="I1717" s="55">
        <f>Orders!I1717</f>
        <v/>
      </c>
      <c r="J1717" s="55">
        <f>Orders!J1717</f>
        <v/>
      </c>
      <c r="K1717" s="55">
        <f>Orders!K1717</f>
        <v/>
      </c>
      <c r="L1717" s="55">
        <f>VLOOKUP(D1717,Products!$A$2:$F$61,3,FALSE())</f>
        <v/>
      </c>
      <c r="M1717" s="55">
        <f>VLOOKUP(C1717,Customers!$A$2:$F$301,5,FALSE())</f>
        <v/>
      </c>
      <c r="N1717" s="55">
        <f>VLOOKUP(E1717,Sales_Reps!$A$2:$E$31,3,FALSE())</f>
        <v/>
      </c>
      <c r="O1717" s="55">
        <f>VLOOKUP(D1717,Products!$A$2:$F$61,4,FALSE())</f>
        <v/>
      </c>
      <c r="P1717" s="55">
        <f>VLOOKUP(C1717,Customers!$A$2:$F$301,3,FALSE())</f>
        <v/>
      </c>
      <c r="Q1717" s="55">
        <f>UPPER(TRIM(K1717))</f>
        <v/>
      </c>
      <c r="R1717" s="55">
        <f>(G1717-O1717)/G1717</f>
        <v/>
      </c>
      <c r="S1717" s="55">
        <f>VLOOKUP(D1717,Products!$A$2:$F$61,6,FALSE())</f>
        <v/>
      </c>
    </row>
    <row r="1718" ht="15" customHeight="1" s="56">
      <c r="A1718" s="55">
        <f>Orders!A1718</f>
        <v/>
      </c>
      <c r="B1718" s="103">
        <f>Orders!B1718</f>
        <v/>
      </c>
      <c r="C1718" s="55">
        <f>Orders!C1718</f>
        <v/>
      </c>
      <c r="D1718" s="55">
        <f>Orders!D1718</f>
        <v/>
      </c>
      <c r="E1718" s="55">
        <f>Orders!E1718</f>
        <v/>
      </c>
      <c r="F1718" s="55">
        <f>Orders!F1718</f>
        <v/>
      </c>
      <c r="G1718" s="55">
        <f>Orders!G1718</f>
        <v/>
      </c>
      <c r="H1718" s="55">
        <f>Orders!H1718</f>
        <v/>
      </c>
      <c r="I1718" s="55">
        <f>Orders!I1718</f>
        <v/>
      </c>
      <c r="J1718" s="55">
        <f>Orders!J1718</f>
        <v/>
      </c>
      <c r="K1718" s="55">
        <f>Orders!K1718</f>
        <v/>
      </c>
      <c r="L1718" s="55">
        <f>VLOOKUP(D1718,Products!$A$2:$F$61,3,FALSE())</f>
        <v/>
      </c>
      <c r="M1718" s="55">
        <f>VLOOKUP(C1718,Customers!$A$2:$F$301,5,FALSE())</f>
        <v/>
      </c>
      <c r="N1718" s="55">
        <f>VLOOKUP(E1718,Sales_Reps!$A$2:$E$31,3,FALSE())</f>
        <v/>
      </c>
      <c r="O1718" s="55">
        <f>VLOOKUP(D1718,Products!$A$2:$F$61,4,FALSE())</f>
        <v/>
      </c>
      <c r="P1718" s="55">
        <f>VLOOKUP(C1718,Customers!$A$2:$F$301,3,FALSE())</f>
        <v/>
      </c>
      <c r="Q1718" s="55">
        <f>UPPER(TRIM(K1718))</f>
        <v/>
      </c>
      <c r="R1718" s="55">
        <f>(G1718-O1718)/G1718</f>
        <v/>
      </c>
      <c r="S1718" s="55">
        <f>VLOOKUP(D1718,Products!$A$2:$F$61,6,FALSE())</f>
        <v/>
      </c>
    </row>
    <row r="1719" ht="15" customHeight="1" s="56">
      <c r="A1719" s="55">
        <f>Orders!A1719</f>
        <v/>
      </c>
      <c r="B1719" s="103">
        <f>Orders!B1719</f>
        <v/>
      </c>
      <c r="C1719" s="55">
        <f>Orders!C1719</f>
        <v/>
      </c>
      <c r="D1719" s="55">
        <f>Orders!D1719</f>
        <v/>
      </c>
      <c r="E1719" s="55">
        <f>Orders!E1719</f>
        <v/>
      </c>
      <c r="F1719" s="55">
        <f>Orders!F1719</f>
        <v/>
      </c>
      <c r="G1719" s="55">
        <f>Orders!G1719</f>
        <v/>
      </c>
      <c r="H1719" s="55">
        <f>Orders!H1719</f>
        <v/>
      </c>
      <c r="I1719" s="55">
        <f>Orders!I1719</f>
        <v/>
      </c>
      <c r="J1719" s="55">
        <f>Orders!J1719</f>
        <v/>
      </c>
      <c r="K1719" s="55">
        <f>Orders!K1719</f>
        <v/>
      </c>
      <c r="L1719" s="55">
        <f>VLOOKUP(D1719,Products!$A$2:$F$61,3,FALSE())</f>
        <v/>
      </c>
      <c r="M1719" s="55">
        <f>VLOOKUP(C1719,Customers!$A$2:$F$301,5,FALSE())</f>
        <v/>
      </c>
      <c r="N1719" s="55">
        <f>VLOOKUP(E1719,Sales_Reps!$A$2:$E$31,3,FALSE())</f>
        <v/>
      </c>
      <c r="O1719" s="55">
        <f>VLOOKUP(D1719,Products!$A$2:$F$61,4,FALSE())</f>
        <v/>
      </c>
      <c r="P1719" s="55">
        <f>VLOOKUP(C1719,Customers!$A$2:$F$301,3,FALSE())</f>
        <v/>
      </c>
      <c r="Q1719" s="55">
        <f>UPPER(TRIM(K1719))</f>
        <v/>
      </c>
      <c r="R1719" s="55">
        <f>(G1719-O1719)/G1719</f>
        <v/>
      </c>
      <c r="S1719" s="55">
        <f>VLOOKUP(D1719,Products!$A$2:$F$61,6,FALSE())</f>
        <v/>
      </c>
    </row>
    <row r="1720" ht="15" customHeight="1" s="56">
      <c r="A1720" s="55">
        <f>Orders!A1720</f>
        <v/>
      </c>
      <c r="B1720" s="103">
        <f>Orders!B1720</f>
        <v/>
      </c>
      <c r="C1720" s="55">
        <f>Orders!C1720</f>
        <v/>
      </c>
      <c r="D1720" s="55">
        <f>Orders!D1720</f>
        <v/>
      </c>
      <c r="E1720" s="55">
        <f>Orders!E1720</f>
        <v/>
      </c>
      <c r="F1720" s="55">
        <f>Orders!F1720</f>
        <v/>
      </c>
      <c r="G1720" s="55">
        <f>Orders!G1720</f>
        <v/>
      </c>
      <c r="H1720" s="55">
        <f>Orders!H1720</f>
        <v/>
      </c>
      <c r="I1720" s="55">
        <f>Orders!I1720</f>
        <v/>
      </c>
      <c r="J1720" s="55">
        <f>Orders!J1720</f>
        <v/>
      </c>
      <c r="K1720" s="55">
        <f>Orders!K1720</f>
        <v/>
      </c>
      <c r="L1720" s="55">
        <f>VLOOKUP(D1720,Products!$A$2:$F$61,3,FALSE())</f>
        <v/>
      </c>
      <c r="M1720" s="55">
        <f>VLOOKUP(C1720,Customers!$A$2:$F$301,5,FALSE())</f>
        <v/>
      </c>
      <c r="N1720" s="55">
        <f>VLOOKUP(E1720,Sales_Reps!$A$2:$E$31,3,FALSE())</f>
        <v/>
      </c>
      <c r="O1720" s="55">
        <f>VLOOKUP(D1720,Products!$A$2:$F$61,4,FALSE())</f>
        <v/>
      </c>
      <c r="P1720" s="55">
        <f>VLOOKUP(C1720,Customers!$A$2:$F$301,3,FALSE())</f>
        <v/>
      </c>
      <c r="Q1720" s="55">
        <f>UPPER(TRIM(K1720))</f>
        <v/>
      </c>
      <c r="R1720" s="55">
        <f>(G1720-O1720)/G1720</f>
        <v/>
      </c>
      <c r="S1720" s="55">
        <f>VLOOKUP(D1720,Products!$A$2:$F$61,6,FALSE())</f>
        <v/>
      </c>
    </row>
    <row r="1721" ht="15" customHeight="1" s="56">
      <c r="A1721" s="55">
        <f>Orders!A1721</f>
        <v/>
      </c>
      <c r="B1721" s="103">
        <f>Orders!B1721</f>
        <v/>
      </c>
      <c r="C1721" s="55">
        <f>Orders!C1721</f>
        <v/>
      </c>
      <c r="D1721" s="55">
        <f>Orders!D1721</f>
        <v/>
      </c>
      <c r="E1721" s="55">
        <f>Orders!E1721</f>
        <v/>
      </c>
      <c r="F1721" s="55">
        <f>Orders!F1721</f>
        <v/>
      </c>
      <c r="G1721" s="55">
        <f>Orders!G1721</f>
        <v/>
      </c>
      <c r="H1721" s="55">
        <f>Orders!H1721</f>
        <v/>
      </c>
      <c r="I1721" s="55">
        <f>Orders!I1721</f>
        <v/>
      </c>
      <c r="J1721" s="55">
        <f>Orders!J1721</f>
        <v/>
      </c>
      <c r="K1721" s="55">
        <f>Orders!K1721</f>
        <v/>
      </c>
      <c r="L1721" s="55">
        <f>VLOOKUP(D1721,Products!$A$2:$F$61,3,FALSE())</f>
        <v/>
      </c>
      <c r="M1721" s="55">
        <f>VLOOKUP(C1721,Customers!$A$2:$F$301,5,FALSE())</f>
        <v/>
      </c>
      <c r="N1721" s="55">
        <f>VLOOKUP(E1721,Sales_Reps!$A$2:$E$31,3,FALSE())</f>
        <v/>
      </c>
      <c r="O1721" s="55">
        <f>VLOOKUP(D1721,Products!$A$2:$F$61,4,FALSE())</f>
        <v/>
      </c>
      <c r="P1721" s="55">
        <f>VLOOKUP(C1721,Customers!$A$2:$F$301,3,FALSE())</f>
        <v/>
      </c>
      <c r="Q1721" s="55">
        <f>UPPER(TRIM(K1721))</f>
        <v/>
      </c>
      <c r="R1721" s="55">
        <f>(G1721-O1721)/G1721</f>
        <v/>
      </c>
      <c r="S1721" s="55">
        <f>VLOOKUP(D1721,Products!$A$2:$F$61,6,FALSE())</f>
        <v/>
      </c>
    </row>
    <row r="1722" ht="15" customHeight="1" s="56">
      <c r="A1722" s="55">
        <f>Orders!A1722</f>
        <v/>
      </c>
      <c r="B1722" s="103">
        <f>Orders!B1722</f>
        <v/>
      </c>
      <c r="C1722" s="55">
        <f>Orders!C1722</f>
        <v/>
      </c>
      <c r="D1722" s="55">
        <f>Orders!D1722</f>
        <v/>
      </c>
      <c r="E1722" s="55">
        <f>Orders!E1722</f>
        <v/>
      </c>
      <c r="F1722" s="55">
        <f>Orders!F1722</f>
        <v/>
      </c>
      <c r="G1722" s="55">
        <f>Orders!G1722</f>
        <v/>
      </c>
      <c r="H1722" s="55">
        <f>Orders!H1722</f>
        <v/>
      </c>
      <c r="I1722" s="55">
        <f>Orders!I1722</f>
        <v/>
      </c>
      <c r="J1722" s="55">
        <f>Orders!J1722</f>
        <v/>
      </c>
      <c r="K1722" s="55">
        <f>Orders!K1722</f>
        <v/>
      </c>
      <c r="L1722" s="55">
        <f>VLOOKUP(D1722,Products!$A$2:$F$61,3,FALSE())</f>
        <v/>
      </c>
      <c r="M1722" s="55">
        <f>VLOOKUP(C1722,Customers!$A$2:$F$301,5,FALSE())</f>
        <v/>
      </c>
      <c r="N1722" s="55">
        <f>VLOOKUP(E1722,Sales_Reps!$A$2:$E$31,3,FALSE())</f>
        <v/>
      </c>
      <c r="O1722" s="55">
        <f>VLOOKUP(D1722,Products!$A$2:$F$61,4,FALSE())</f>
        <v/>
      </c>
      <c r="P1722" s="55">
        <f>VLOOKUP(C1722,Customers!$A$2:$F$301,3,FALSE())</f>
        <v/>
      </c>
      <c r="Q1722" s="55">
        <f>UPPER(TRIM(K1722))</f>
        <v/>
      </c>
      <c r="R1722" s="55">
        <f>(G1722-O1722)/G1722</f>
        <v/>
      </c>
      <c r="S1722" s="55">
        <f>VLOOKUP(D1722,Products!$A$2:$F$61,6,FALSE())</f>
        <v/>
      </c>
    </row>
    <row r="1723" ht="15" customHeight="1" s="56">
      <c r="A1723" s="55">
        <f>Orders!A1723</f>
        <v/>
      </c>
      <c r="B1723" s="103">
        <f>Orders!B1723</f>
        <v/>
      </c>
      <c r="C1723" s="55">
        <f>Orders!C1723</f>
        <v/>
      </c>
      <c r="D1723" s="55">
        <f>Orders!D1723</f>
        <v/>
      </c>
      <c r="E1723" s="55">
        <f>Orders!E1723</f>
        <v/>
      </c>
      <c r="F1723" s="55">
        <f>Orders!F1723</f>
        <v/>
      </c>
      <c r="G1723" s="55">
        <f>Orders!G1723</f>
        <v/>
      </c>
      <c r="H1723" s="55">
        <f>Orders!H1723</f>
        <v/>
      </c>
      <c r="I1723" s="55">
        <f>Orders!I1723</f>
        <v/>
      </c>
      <c r="J1723" s="55">
        <f>Orders!J1723</f>
        <v/>
      </c>
      <c r="K1723" s="55">
        <f>Orders!K1723</f>
        <v/>
      </c>
      <c r="L1723" s="55">
        <f>VLOOKUP(D1723,Products!$A$2:$F$61,3,FALSE())</f>
        <v/>
      </c>
      <c r="M1723" s="55">
        <f>VLOOKUP(C1723,Customers!$A$2:$F$301,5,FALSE())</f>
        <v/>
      </c>
      <c r="N1723" s="55">
        <f>VLOOKUP(E1723,Sales_Reps!$A$2:$E$31,3,FALSE())</f>
        <v/>
      </c>
      <c r="O1723" s="55">
        <f>VLOOKUP(D1723,Products!$A$2:$F$61,4,FALSE())</f>
        <v/>
      </c>
      <c r="P1723" s="55">
        <f>VLOOKUP(C1723,Customers!$A$2:$F$301,3,FALSE())</f>
        <v/>
      </c>
      <c r="Q1723" s="55">
        <f>UPPER(TRIM(K1723))</f>
        <v/>
      </c>
      <c r="R1723" s="55">
        <f>(G1723-O1723)/G1723</f>
        <v/>
      </c>
      <c r="S1723" s="55">
        <f>VLOOKUP(D1723,Products!$A$2:$F$61,6,FALSE())</f>
        <v/>
      </c>
    </row>
    <row r="1724" ht="15" customHeight="1" s="56">
      <c r="A1724" s="55">
        <f>Orders!A1724</f>
        <v/>
      </c>
      <c r="B1724" s="103">
        <f>Orders!B1724</f>
        <v/>
      </c>
      <c r="C1724" s="55">
        <f>Orders!C1724</f>
        <v/>
      </c>
      <c r="D1724" s="55">
        <f>Orders!D1724</f>
        <v/>
      </c>
      <c r="E1724" s="55">
        <f>Orders!E1724</f>
        <v/>
      </c>
      <c r="F1724" s="55">
        <f>Orders!F1724</f>
        <v/>
      </c>
      <c r="G1724" s="55">
        <f>Orders!G1724</f>
        <v/>
      </c>
      <c r="H1724" s="55">
        <f>Orders!H1724</f>
        <v/>
      </c>
      <c r="I1724" s="55">
        <f>Orders!I1724</f>
        <v/>
      </c>
      <c r="J1724" s="55">
        <f>Orders!J1724</f>
        <v/>
      </c>
      <c r="K1724" s="55">
        <f>Orders!K1724</f>
        <v/>
      </c>
      <c r="L1724" s="55">
        <f>VLOOKUP(D1724,Products!$A$2:$F$61,3,FALSE())</f>
        <v/>
      </c>
      <c r="M1724" s="55">
        <f>VLOOKUP(C1724,Customers!$A$2:$F$301,5,FALSE())</f>
        <v/>
      </c>
      <c r="N1724" s="55">
        <f>VLOOKUP(E1724,Sales_Reps!$A$2:$E$31,3,FALSE())</f>
        <v/>
      </c>
      <c r="O1724" s="55">
        <f>VLOOKUP(D1724,Products!$A$2:$F$61,4,FALSE())</f>
        <v/>
      </c>
      <c r="P1724" s="55">
        <f>VLOOKUP(C1724,Customers!$A$2:$F$301,3,FALSE())</f>
        <v/>
      </c>
      <c r="Q1724" s="55">
        <f>UPPER(TRIM(K1724))</f>
        <v/>
      </c>
      <c r="R1724" s="55">
        <f>(G1724-O1724)/G1724</f>
        <v/>
      </c>
      <c r="S1724" s="55">
        <f>VLOOKUP(D1724,Products!$A$2:$F$61,6,FALSE())</f>
        <v/>
      </c>
    </row>
    <row r="1725" ht="15" customHeight="1" s="56">
      <c r="A1725" s="55">
        <f>Orders!A1725</f>
        <v/>
      </c>
      <c r="B1725" s="103">
        <f>Orders!B1725</f>
        <v/>
      </c>
      <c r="C1725" s="55">
        <f>Orders!C1725</f>
        <v/>
      </c>
      <c r="D1725" s="55">
        <f>Orders!D1725</f>
        <v/>
      </c>
      <c r="E1725" s="55">
        <f>Orders!E1725</f>
        <v/>
      </c>
      <c r="F1725" s="55">
        <f>Orders!F1725</f>
        <v/>
      </c>
      <c r="G1725" s="55">
        <f>Orders!G1725</f>
        <v/>
      </c>
      <c r="H1725" s="55">
        <f>Orders!H1725</f>
        <v/>
      </c>
      <c r="I1725" s="55">
        <f>Orders!I1725</f>
        <v/>
      </c>
      <c r="J1725" s="55">
        <f>Orders!J1725</f>
        <v/>
      </c>
      <c r="K1725" s="55">
        <f>Orders!K1725</f>
        <v/>
      </c>
      <c r="L1725" s="55">
        <f>VLOOKUP(D1725,Products!$A$2:$F$61,3,FALSE())</f>
        <v/>
      </c>
      <c r="M1725" s="55">
        <f>VLOOKUP(C1725,Customers!$A$2:$F$301,5,FALSE())</f>
        <v/>
      </c>
      <c r="N1725" s="55">
        <f>VLOOKUP(E1725,Sales_Reps!$A$2:$E$31,3,FALSE())</f>
        <v/>
      </c>
      <c r="O1725" s="55">
        <f>VLOOKUP(D1725,Products!$A$2:$F$61,4,FALSE())</f>
        <v/>
      </c>
      <c r="P1725" s="55">
        <f>VLOOKUP(C1725,Customers!$A$2:$F$301,3,FALSE())</f>
        <v/>
      </c>
      <c r="Q1725" s="55">
        <f>UPPER(TRIM(K1725))</f>
        <v/>
      </c>
      <c r="R1725" s="55">
        <f>(G1725-O1725)/G1725</f>
        <v/>
      </c>
      <c r="S1725" s="55">
        <f>VLOOKUP(D1725,Products!$A$2:$F$61,6,FALSE())</f>
        <v/>
      </c>
    </row>
    <row r="1726" ht="15" customHeight="1" s="56">
      <c r="A1726" s="55">
        <f>Orders!A1726</f>
        <v/>
      </c>
      <c r="B1726" s="103">
        <f>Orders!B1726</f>
        <v/>
      </c>
      <c r="C1726" s="55">
        <f>Orders!C1726</f>
        <v/>
      </c>
      <c r="D1726" s="55">
        <f>Orders!D1726</f>
        <v/>
      </c>
      <c r="E1726" s="55">
        <f>Orders!E1726</f>
        <v/>
      </c>
      <c r="F1726" s="55">
        <f>Orders!F1726</f>
        <v/>
      </c>
      <c r="G1726" s="55">
        <f>Orders!G1726</f>
        <v/>
      </c>
      <c r="H1726" s="55">
        <f>Orders!H1726</f>
        <v/>
      </c>
      <c r="I1726" s="55">
        <f>Orders!I1726</f>
        <v/>
      </c>
      <c r="J1726" s="55">
        <f>Orders!J1726</f>
        <v/>
      </c>
      <c r="K1726" s="55">
        <f>Orders!K1726</f>
        <v/>
      </c>
      <c r="L1726" s="55">
        <f>VLOOKUP(D1726,Products!$A$2:$F$61,3,FALSE())</f>
        <v/>
      </c>
      <c r="M1726" s="55">
        <f>VLOOKUP(C1726,Customers!$A$2:$F$301,5,FALSE())</f>
        <v/>
      </c>
      <c r="N1726" s="55">
        <f>VLOOKUP(E1726,Sales_Reps!$A$2:$E$31,3,FALSE())</f>
        <v/>
      </c>
      <c r="O1726" s="55">
        <f>VLOOKUP(D1726,Products!$A$2:$F$61,4,FALSE())</f>
        <v/>
      </c>
      <c r="P1726" s="55">
        <f>VLOOKUP(C1726,Customers!$A$2:$F$301,3,FALSE())</f>
        <v/>
      </c>
      <c r="Q1726" s="55">
        <f>UPPER(TRIM(K1726))</f>
        <v/>
      </c>
      <c r="R1726" s="55">
        <f>(G1726-O1726)/G1726</f>
        <v/>
      </c>
      <c r="S1726" s="55">
        <f>VLOOKUP(D1726,Products!$A$2:$F$61,6,FALSE())</f>
        <v/>
      </c>
    </row>
    <row r="1727" ht="15" customHeight="1" s="56">
      <c r="A1727" s="55">
        <f>Orders!A1727</f>
        <v/>
      </c>
      <c r="B1727" s="103">
        <f>Orders!B1727</f>
        <v/>
      </c>
      <c r="C1727" s="55">
        <f>Orders!C1727</f>
        <v/>
      </c>
      <c r="D1727" s="55">
        <f>Orders!D1727</f>
        <v/>
      </c>
      <c r="E1727" s="55">
        <f>Orders!E1727</f>
        <v/>
      </c>
      <c r="F1727" s="55">
        <f>Orders!F1727</f>
        <v/>
      </c>
      <c r="G1727" s="55">
        <f>Orders!G1727</f>
        <v/>
      </c>
      <c r="H1727" s="55">
        <f>Orders!H1727</f>
        <v/>
      </c>
      <c r="I1727" s="55">
        <f>Orders!I1727</f>
        <v/>
      </c>
      <c r="J1727" s="55">
        <f>Orders!J1727</f>
        <v/>
      </c>
      <c r="K1727" s="55">
        <f>Orders!K1727</f>
        <v/>
      </c>
      <c r="L1727" s="55">
        <f>VLOOKUP(D1727,Products!$A$2:$F$61,3,FALSE())</f>
        <v/>
      </c>
      <c r="M1727" s="55">
        <f>VLOOKUP(C1727,Customers!$A$2:$F$301,5,FALSE())</f>
        <v/>
      </c>
      <c r="N1727" s="55">
        <f>VLOOKUP(E1727,Sales_Reps!$A$2:$E$31,3,FALSE())</f>
        <v/>
      </c>
      <c r="O1727" s="55">
        <f>VLOOKUP(D1727,Products!$A$2:$F$61,4,FALSE())</f>
        <v/>
      </c>
      <c r="P1727" s="55">
        <f>VLOOKUP(C1727,Customers!$A$2:$F$301,3,FALSE())</f>
        <v/>
      </c>
      <c r="Q1727" s="55">
        <f>UPPER(TRIM(K1727))</f>
        <v/>
      </c>
      <c r="R1727" s="55">
        <f>(G1727-O1727)/G1727</f>
        <v/>
      </c>
      <c r="S1727" s="55">
        <f>VLOOKUP(D1727,Products!$A$2:$F$61,6,FALSE())</f>
        <v/>
      </c>
    </row>
    <row r="1728" ht="15" customHeight="1" s="56">
      <c r="A1728" s="55">
        <f>Orders!A1728</f>
        <v/>
      </c>
      <c r="B1728" s="103">
        <f>Orders!B1728</f>
        <v/>
      </c>
      <c r="C1728" s="55">
        <f>Orders!C1728</f>
        <v/>
      </c>
      <c r="D1728" s="55">
        <f>Orders!D1728</f>
        <v/>
      </c>
      <c r="E1728" s="55">
        <f>Orders!E1728</f>
        <v/>
      </c>
      <c r="F1728" s="55">
        <f>Orders!F1728</f>
        <v/>
      </c>
      <c r="G1728" s="55">
        <f>Orders!G1728</f>
        <v/>
      </c>
      <c r="H1728" s="55">
        <f>Orders!H1728</f>
        <v/>
      </c>
      <c r="I1728" s="55">
        <f>Orders!I1728</f>
        <v/>
      </c>
      <c r="J1728" s="55">
        <f>Orders!J1728</f>
        <v/>
      </c>
      <c r="K1728" s="55">
        <f>Orders!K1728</f>
        <v/>
      </c>
      <c r="L1728" s="55">
        <f>VLOOKUP(D1728,Products!$A$2:$F$61,3,FALSE())</f>
        <v/>
      </c>
      <c r="M1728" s="55">
        <f>VLOOKUP(C1728,Customers!$A$2:$F$301,5,FALSE())</f>
        <v/>
      </c>
      <c r="N1728" s="55">
        <f>VLOOKUP(E1728,Sales_Reps!$A$2:$E$31,3,FALSE())</f>
        <v/>
      </c>
      <c r="O1728" s="55">
        <f>VLOOKUP(D1728,Products!$A$2:$F$61,4,FALSE())</f>
        <v/>
      </c>
      <c r="P1728" s="55">
        <f>VLOOKUP(C1728,Customers!$A$2:$F$301,3,FALSE())</f>
        <v/>
      </c>
      <c r="Q1728" s="55">
        <f>UPPER(TRIM(K1728))</f>
        <v/>
      </c>
      <c r="R1728" s="55">
        <f>(G1728-O1728)/G1728</f>
        <v/>
      </c>
      <c r="S1728" s="55">
        <f>VLOOKUP(D1728,Products!$A$2:$F$61,6,FALSE())</f>
        <v/>
      </c>
    </row>
    <row r="1729" ht="15" customHeight="1" s="56">
      <c r="A1729" s="55">
        <f>Orders!A1729</f>
        <v/>
      </c>
      <c r="B1729" s="103">
        <f>Orders!B1729</f>
        <v/>
      </c>
      <c r="C1729" s="55">
        <f>Orders!C1729</f>
        <v/>
      </c>
      <c r="D1729" s="55">
        <f>Orders!D1729</f>
        <v/>
      </c>
      <c r="E1729" s="55">
        <f>Orders!E1729</f>
        <v/>
      </c>
      <c r="F1729" s="55">
        <f>Orders!F1729</f>
        <v/>
      </c>
      <c r="G1729" s="55">
        <f>Orders!G1729</f>
        <v/>
      </c>
      <c r="H1729" s="55">
        <f>Orders!H1729</f>
        <v/>
      </c>
      <c r="I1729" s="55">
        <f>Orders!I1729</f>
        <v/>
      </c>
      <c r="J1729" s="55">
        <f>Orders!J1729</f>
        <v/>
      </c>
      <c r="K1729" s="55">
        <f>Orders!K1729</f>
        <v/>
      </c>
      <c r="L1729" s="55">
        <f>VLOOKUP(D1729,Products!$A$2:$F$61,3,FALSE())</f>
        <v/>
      </c>
      <c r="M1729" s="55">
        <f>VLOOKUP(C1729,Customers!$A$2:$F$301,5,FALSE())</f>
        <v/>
      </c>
      <c r="N1729" s="55">
        <f>VLOOKUP(E1729,Sales_Reps!$A$2:$E$31,3,FALSE())</f>
        <v/>
      </c>
      <c r="O1729" s="55">
        <f>VLOOKUP(D1729,Products!$A$2:$F$61,4,FALSE())</f>
        <v/>
      </c>
      <c r="P1729" s="55">
        <f>VLOOKUP(C1729,Customers!$A$2:$F$301,3,FALSE())</f>
        <v/>
      </c>
      <c r="Q1729" s="55">
        <f>UPPER(TRIM(K1729))</f>
        <v/>
      </c>
      <c r="R1729" s="55">
        <f>(G1729-O1729)/G1729</f>
        <v/>
      </c>
      <c r="S1729" s="55">
        <f>VLOOKUP(D1729,Products!$A$2:$F$61,6,FALSE())</f>
        <v/>
      </c>
    </row>
    <row r="1730" ht="15" customHeight="1" s="56">
      <c r="A1730" s="55">
        <f>Orders!A1730</f>
        <v/>
      </c>
      <c r="B1730" s="103">
        <f>Orders!B1730</f>
        <v/>
      </c>
      <c r="C1730" s="55">
        <f>Orders!C1730</f>
        <v/>
      </c>
      <c r="D1730" s="55">
        <f>Orders!D1730</f>
        <v/>
      </c>
      <c r="E1730" s="55">
        <f>Orders!E1730</f>
        <v/>
      </c>
      <c r="F1730" s="55">
        <f>Orders!F1730</f>
        <v/>
      </c>
      <c r="G1730" s="55">
        <f>Orders!G1730</f>
        <v/>
      </c>
      <c r="H1730" s="55">
        <f>Orders!H1730</f>
        <v/>
      </c>
      <c r="I1730" s="55">
        <f>Orders!I1730</f>
        <v/>
      </c>
      <c r="J1730" s="55">
        <f>Orders!J1730</f>
        <v/>
      </c>
      <c r="K1730" s="55">
        <f>Orders!K1730</f>
        <v/>
      </c>
      <c r="L1730" s="55">
        <f>VLOOKUP(D1730,Products!$A$2:$F$61,3,FALSE())</f>
        <v/>
      </c>
      <c r="M1730" s="55">
        <f>VLOOKUP(C1730,Customers!$A$2:$F$301,5,FALSE())</f>
        <v/>
      </c>
      <c r="N1730" s="55">
        <f>VLOOKUP(E1730,Sales_Reps!$A$2:$E$31,3,FALSE())</f>
        <v/>
      </c>
      <c r="O1730" s="55">
        <f>VLOOKUP(D1730,Products!$A$2:$F$61,4,FALSE())</f>
        <v/>
      </c>
      <c r="P1730" s="55">
        <f>VLOOKUP(C1730,Customers!$A$2:$F$301,3,FALSE())</f>
        <v/>
      </c>
      <c r="Q1730" s="55">
        <f>UPPER(TRIM(K1730))</f>
        <v/>
      </c>
      <c r="R1730" s="55">
        <f>(G1730-O1730)/G1730</f>
        <v/>
      </c>
      <c r="S1730" s="55">
        <f>VLOOKUP(D1730,Products!$A$2:$F$61,6,FALSE())</f>
        <v/>
      </c>
    </row>
    <row r="1731" ht="15" customHeight="1" s="56">
      <c r="A1731" s="55">
        <f>Orders!A1731</f>
        <v/>
      </c>
      <c r="B1731" s="103">
        <f>Orders!B1731</f>
        <v/>
      </c>
      <c r="C1731" s="55">
        <f>Orders!C1731</f>
        <v/>
      </c>
      <c r="D1731" s="55">
        <f>Orders!D1731</f>
        <v/>
      </c>
      <c r="E1731" s="55">
        <f>Orders!E1731</f>
        <v/>
      </c>
      <c r="F1731" s="55">
        <f>Orders!F1731</f>
        <v/>
      </c>
      <c r="G1731" s="55">
        <f>Orders!G1731</f>
        <v/>
      </c>
      <c r="H1731" s="55">
        <f>Orders!H1731</f>
        <v/>
      </c>
      <c r="I1731" s="55">
        <f>Orders!I1731</f>
        <v/>
      </c>
      <c r="J1731" s="55">
        <f>Orders!J1731</f>
        <v/>
      </c>
      <c r="K1731" s="55">
        <f>Orders!K1731</f>
        <v/>
      </c>
      <c r="L1731" s="55">
        <f>VLOOKUP(D1731,Products!$A$2:$F$61,3,FALSE())</f>
        <v/>
      </c>
      <c r="M1731" s="55">
        <f>VLOOKUP(C1731,Customers!$A$2:$F$301,5,FALSE())</f>
        <v/>
      </c>
      <c r="N1731" s="55">
        <f>VLOOKUP(E1731,Sales_Reps!$A$2:$E$31,3,FALSE())</f>
        <v/>
      </c>
      <c r="O1731" s="55">
        <f>VLOOKUP(D1731,Products!$A$2:$F$61,4,FALSE())</f>
        <v/>
      </c>
      <c r="P1731" s="55">
        <f>VLOOKUP(C1731,Customers!$A$2:$F$301,3,FALSE())</f>
        <v/>
      </c>
      <c r="Q1731" s="55">
        <f>UPPER(TRIM(K1731))</f>
        <v/>
      </c>
      <c r="R1731" s="55">
        <f>(G1731-O1731)/G1731</f>
        <v/>
      </c>
      <c r="S1731" s="55">
        <f>VLOOKUP(D1731,Products!$A$2:$F$61,6,FALSE())</f>
        <v/>
      </c>
    </row>
    <row r="1732" ht="15" customHeight="1" s="56">
      <c r="A1732" s="55">
        <f>Orders!A1732</f>
        <v/>
      </c>
      <c r="B1732" s="103">
        <f>Orders!B1732</f>
        <v/>
      </c>
      <c r="C1732" s="55">
        <f>Orders!C1732</f>
        <v/>
      </c>
      <c r="D1732" s="55">
        <f>Orders!D1732</f>
        <v/>
      </c>
      <c r="E1732" s="55">
        <f>Orders!E1732</f>
        <v/>
      </c>
      <c r="F1732" s="55">
        <f>Orders!F1732</f>
        <v/>
      </c>
      <c r="G1732" s="55">
        <f>Orders!G1732</f>
        <v/>
      </c>
      <c r="H1732" s="55">
        <f>Orders!H1732</f>
        <v/>
      </c>
      <c r="I1732" s="55">
        <f>Orders!I1732</f>
        <v/>
      </c>
      <c r="J1732" s="55">
        <f>Orders!J1732</f>
        <v/>
      </c>
      <c r="K1732" s="55">
        <f>Orders!K1732</f>
        <v/>
      </c>
      <c r="L1732" s="55">
        <f>VLOOKUP(D1732,Products!$A$2:$F$61,3,FALSE())</f>
        <v/>
      </c>
      <c r="M1732" s="55">
        <f>VLOOKUP(C1732,Customers!$A$2:$F$301,5,FALSE())</f>
        <v/>
      </c>
      <c r="N1732" s="55">
        <f>VLOOKUP(E1732,Sales_Reps!$A$2:$E$31,3,FALSE())</f>
        <v/>
      </c>
      <c r="O1732" s="55">
        <f>VLOOKUP(D1732,Products!$A$2:$F$61,4,FALSE())</f>
        <v/>
      </c>
      <c r="P1732" s="55">
        <f>VLOOKUP(C1732,Customers!$A$2:$F$301,3,FALSE())</f>
        <v/>
      </c>
      <c r="Q1732" s="55">
        <f>UPPER(TRIM(K1732))</f>
        <v/>
      </c>
      <c r="R1732" s="55">
        <f>(G1732-O1732)/G1732</f>
        <v/>
      </c>
      <c r="S1732" s="55">
        <f>VLOOKUP(D1732,Products!$A$2:$F$61,6,FALSE())</f>
        <v/>
      </c>
    </row>
    <row r="1733" ht="15" customHeight="1" s="56">
      <c r="A1733" s="55">
        <f>Orders!A1733</f>
        <v/>
      </c>
      <c r="B1733" s="103">
        <f>Orders!B1733</f>
        <v/>
      </c>
      <c r="C1733" s="55">
        <f>Orders!C1733</f>
        <v/>
      </c>
      <c r="D1733" s="55">
        <f>Orders!D1733</f>
        <v/>
      </c>
      <c r="E1733" s="55">
        <f>Orders!E1733</f>
        <v/>
      </c>
      <c r="F1733" s="55">
        <f>Orders!F1733</f>
        <v/>
      </c>
      <c r="G1733" s="55">
        <f>Orders!G1733</f>
        <v/>
      </c>
      <c r="H1733" s="55">
        <f>Orders!H1733</f>
        <v/>
      </c>
      <c r="I1733" s="55">
        <f>Orders!I1733</f>
        <v/>
      </c>
      <c r="J1733" s="55">
        <f>Orders!J1733</f>
        <v/>
      </c>
      <c r="K1733" s="55">
        <f>Orders!K1733</f>
        <v/>
      </c>
      <c r="L1733" s="55">
        <f>VLOOKUP(D1733,Products!$A$2:$F$61,3,FALSE())</f>
        <v/>
      </c>
      <c r="M1733" s="55">
        <f>VLOOKUP(C1733,Customers!$A$2:$F$301,5,FALSE())</f>
        <v/>
      </c>
      <c r="N1733" s="55">
        <f>VLOOKUP(E1733,Sales_Reps!$A$2:$E$31,3,FALSE())</f>
        <v/>
      </c>
      <c r="O1733" s="55">
        <f>VLOOKUP(D1733,Products!$A$2:$F$61,4,FALSE())</f>
        <v/>
      </c>
      <c r="P1733" s="55">
        <f>VLOOKUP(C1733,Customers!$A$2:$F$301,3,FALSE())</f>
        <v/>
      </c>
      <c r="Q1733" s="55">
        <f>UPPER(TRIM(K1733))</f>
        <v/>
      </c>
      <c r="R1733" s="55">
        <f>(G1733-O1733)/G1733</f>
        <v/>
      </c>
      <c r="S1733" s="55">
        <f>VLOOKUP(D1733,Products!$A$2:$F$61,6,FALSE())</f>
        <v/>
      </c>
    </row>
    <row r="1734" ht="15" customHeight="1" s="56">
      <c r="A1734" s="55">
        <f>Orders!A1734</f>
        <v/>
      </c>
      <c r="B1734" s="103">
        <f>Orders!B1734</f>
        <v/>
      </c>
      <c r="C1734" s="55">
        <f>Orders!C1734</f>
        <v/>
      </c>
      <c r="D1734" s="55">
        <f>Orders!D1734</f>
        <v/>
      </c>
      <c r="E1734" s="55">
        <f>Orders!E1734</f>
        <v/>
      </c>
      <c r="F1734" s="55">
        <f>Orders!F1734</f>
        <v/>
      </c>
      <c r="G1734" s="55">
        <f>Orders!G1734</f>
        <v/>
      </c>
      <c r="H1734" s="55">
        <f>Orders!H1734</f>
        <v/>
      </c>
      <c r="I1734" s="55">
        <f>Orders!I1734</f>
        <v/>
      </c>
      <c r="J1734" s="55">
        <f>Orders!J1734</f>
        <v/>
      </c>
      <c r="K1734" s="55">
        <f>Orders!K1734</f>
        <v/>
      </c>
      <c r="L1734" s="55">
        <f>VLOOKUP(D1734,Products!$A$2:$F$61,3,FALSE())</f>
        <v/>
      </c>
      <c r="M1734" s="55">
        <f>VLOOKUP(C1734,Customers!$A$2:$F$301,5,FALSE())</f>
        <v/>
      </c>
      <c r="N1734" s="55">
        <f>VLOOKUP(E1734,Sales_Reps!$A$2:$E$31,3,FALSE())</f>
        <v/>
      </c>
      <c r="O1734" s="55">
        <f>VLOOKUP(D1734,Products!$A$2:$F$61,4,FALSE())</f>
        <v/>
      </c>
      <c r="P1734" s="55">
        <f>VLOOKUP(C1734,Customers!$A$2:$F$301,3,FALSE())</f>
        <v/>
      </c>
      <c r="Q1734" s="55">
        <f>UPPER(TRIM(K1734))</f>
        <v/>
      </c>
      <c r="R1734" s="55">
        <f>(G1734-O1734)/G1734</f>
        <v/>
      </c>
      <c r="S1734" s="55">
        <f>VLOOKUP(D1734,Products!$A$2:$F$61,6,FALSE())</f>
        <v/>
      </c>
    </row>
    <row r="1735" ht="15" customHeight="1" s="56">
      <c r="A1735" s="55">
        <f>Orders!A1735</f>
        <v/>
      </c>
      <c r="B1735" s="103">
        <f>Orders!B1735</f>
        <v/>
      </c>
      <c r="C1735" s="55">
        <f>Orders!C1735</f>
        <v/>
      </c>
      <c r="D1735" s="55">
        <f>Orders!D1735</f>
        <v/>
      </c>
      <c r="E1735" s="55">
        <f>Orders!E1735</f>
        <v/>
      </c>
      <c r="F1735" s="55">
        <f>Orders!F1735</f>
        <v/>
      </c>
      <c r="G1735" s="55">
        <f>Orders!G1735</f>
        <v/>
      </c>
      <c r="H1735" s="55">
        <f>Orders!H1735</f>
        <v/>
      </c>
      <c r="I1735" s="55">
        <f>Orders!I1735</f>
        <v/>
      </c>
      <c r="J1735" s="55">
        <f>Orders!J1735</f>
        <v/>
      </c>
      <c r="K1735" s="55">
        <f>Orders!K1735</f>
        <v/>
      </c>
      <c r="L1735" s="55">
        <f>VLOOKUP(D1735,Products!$A$2:$F$61,3,FALSE())</f>
        <v/>
      </c>
      <c r="M1735" s="55">
        <f>VLOOKUP(C1735,Customers!$A$2:$F$301,5,FALSE())</f>
        <v/>
      </c>
      <c r="N1735" s="55">
        <f>VLOOKUP(E1735,Sales_Reps!$A$2:$E$31,3,FALSE())</f>
        <v/>
      </c>
      <c r="O1735" s="55">
        <f>VLOOKUP(D1735,Products!$A$2:$F$61,4,FALSE())</f>
        <v/>
      </c>
      <c r="P1735" s="55">
        <f>VLOOKUP(C1735,Customers!$A$2:$F$301,3,FALSE())</f>
        <v/>
      </c>
      <c r="Q1735" s="55">
        <f>UPPER(TRIM(K1735))</f>
        <v/>
      </c>
      <c r="R1735" s="55">
        <f>(G1735-O1735)/G1735</f>
        <v/>
      </c>
      <c r="S1735" s="55">
        <f>VLOOKUP(D1735,Products!$A$2:$F$61,6,FALSE())</f>
        <v/>
      </c>
    </row>
    <row r="1736" ht="15" customHeight="1" s="56">
      <c r="A1736" s="55">
        <f>Orders!A1736</f>
        <v/>
      </c>
      <c r="B1736" s="103">
        <f>Orders!B1736</f>
        <v/>
      </c>
      <c r="C1736" s="55">
        <f>Orders!C1736</f>
        <v/>
      </c>
      <c r="D1736" s="55">
        <f>Orders!D1736</f>
        <v/>
      </c>
      <c r="E1736" s="55">
        <f>Orders!E1736</f>
        <v/>
      </c>
      <c r="F1736" s="55">
        <f>Orders!F1736</f>
        <v/>
      </c>
      <c r="G1736" s="55">
        <f>Orders!G1736</f>
        <v/>
      </c>
      <c r="H1736" s="55">
        <f>Orders!H1736</f>
        <v/>
      </c>
      <c r="I1736" s="55">
        <f>Orders!I1736</f>
        <v/>
      </c>
      <c r="J1736" s="55">
        <f>Orders!J1736</f>
        <v/>
      </c>
      <c r="K1736" s="55">
        <f>Orders!K1736</f>
        <v/>
      </c>
      <c r="L1736" s="55">
        <f>VLOOKUP(D1736,Products!$A$2:$F$61,3,FALSE())</f>
        <v/>
      </c>
      <c r="M1736" s="55">
        <f>VLOOKUP(C1736,Customers!$A$2:$F$301,5,FALSE())</f>
        <v/>
      </c>
      <c r="N1736" s="55">
        <f>VLOOKUP(E1736,Sales_Reps!$A$2:$E$31,3,FALSE())</f>
        <v/>
      </c>
      <c r="O1736" s="55">
        <f>VLOOKUP(D1736,Products!$A$2:$F$61,4,FALSE())</f>
        <v/>
      </c>
      <c r="P1736" s="55">
        <f>VLOOKUP(C1736,Customers!$A$2:$F$301,3,FALSE())</f>
        <v/>
      </c>
      <c r="Q1736" s="55">
        <f>UPPER(TRIM(K1736))</f>
        <v/>
      </c>
      <c r="R1736" s="55">
        <f>(G1736-O1736)/G1736</f>
        <v/>
      </c>
      <c r="S1736" s="55">
        <f>VLOOKUP(D1736,Products!$A$2:$F$61,6,FALSE())</f>
        <v/>
      </c>
    </row>
    <row r="1737" ht="15" customHeight="1" s="56">
      <c r="A1737" s="55">
        <f>Orders!A1737</f>
        <v/>
      </c>
      <c r="B1737" s="103">
        <f>Orders!B1737</f>
        <v/>
      </c>
      <c r="C1737" s="55">
        <f>Orders!C1737</f>
        <v/>
      </c>
      <c r="D1737" s="55">
        <f>Orders!D1737</f>
        <v/>
      </c>
      <c r="E1737" s="55">
        <f>Orders!E1737</f>
        <v/>
      </c>
      <c r="F1737" s="55">
        <f>Orders!F1737</f>
        <v/>
      </c>
      <c r="G1737" s="55">
        <f>Orders!G1737</f>
        <v/>
      </c>
      <c r="H1737" s="55">
        <f>Orders!H1737</f>
        <v/>
      </c>
      <c r="I1737" s="55">
        <f>Orders!I1737</f>
        <v/>
      </c>
      <c r="J1737" s="55">
        <f>Orders!J1737</f>
        <v/>
      </c>
      <c r="K1737" s="55">
        <f>Orders!K1737</f>
        <v/>
      </c>
      <c r="L1737" s="55">
        <f>VLOOKUP(D1737,Products!$A$2:$F$61,3,FALSE())</f>
        <v/>
      </c>
      <c r="M1737" s="55">
        <f>VLOOKUP(C1737,Customers!$A$2:$F$301,5,FALSE())</f>
        <v/>
      </c>
      <c r="N1737" s="55">
        <f>VLOOKUP(E1737,Sales_Reps!$A$2:$E$31,3,FALSE())</f>
        <v/>
      </c>
      <c r="O1737" s="55">
        <f>VLOOKUP(D1737,Products!$A$2:$F$61,4,FALSE())</f>
        <v/>
      </c>
      <c r="P1737" s="55">
        <f>VLOOKUP(C1737,Customers!$A$2:$F$301,3,FALSE())</f>
        <v/>
      </c>
      <c r="Q1737" s="55">
        <f>UPPER(TRIM(K1737))</f>
        <v/>
      </c>
      <c r="R1737" s="55">
        <f>(G1737-O1737)/G1737</f>
        <v/>
      </c>
      <c r="S1737" s="55">
        <f>VLOOKUP(D1737,Products!$A$2:$F$61,6,FALSE())</f>
        <v/>
      </c>
    </row>
    <row r="1738" ht="15" customHeight="1" s="56">
      <c r="A1738" s="55">
        <f>Orders!A1738</f>
        <v/>
      </c>
      <c r="B1738" s="103">
        <f>Orders!B1738</f>
        <v/>
      </c>
      <c r="C1738" s="55">
        <f>Orders!C1738</f>
        <v/>
      </c>
      <c r="D1738" s="55">
        <f>Orders!D1738</f>
        <v/>
      </c>
      <c r="E1738" s="55">
        <f>Orders!E1738</f>
        <v/>
      </c>
      <c r="F1738" s="55">
        <f>Orders!F1738</f>
        <v/>
      </c>
      <c r="G1738" s="55">
        <f>Orders!G1738</f>
        <v/>
      </c>
      <c r="H1738" s="55">
        <f>Orders!H1738</f>
        <v/>
      </c>
      <c r="I1738" s="55">
        <f>Orders!I1738</f>
        <v/>
      </c>
      <c r="J1738" s="55">
        <f>Orders!J1738</f>
        <v/>
      </c>
      <c r="K1738" s="55">
        <f>Orders!K1738</f>
        <v/>
      </c>
      <c r="L1738" s="55">
        <f>VLOOKUP(D1738,Products!$A$2:$F$61,3,FALSE())</f>
        <v/>
      </c>
      <c r="M1738" s="55">
        <f>VLOOKUP(C1738,Customers!$A$2:$F$301,5,FALSE())</f>
        <v/>
      </c>
      <c r="N1738" s="55">
        <f>VLOOKUP(E1738,Sales_Reps!$A$2:$E$31,3,FALSE())</f>
        <v/>
      </c>
      <c r="O1738" s="55">
        <f>VLOOKUP(D1738,Products!$A$2:$F$61,4,FALSE())</f>
        <v/>
      </c>
      <c r="P1738" s="55">
        <f>VLOOKUP(C1738,Customers!$A$2:$F$301,3,FALSE())</f>
        <v/>
      </c>
      <c r="Q1738" s="55">
        <f>UPPER(TRIM(K1738))</f>
        <v/>
      </c>
      <c r="R1738" s="55">
        <f>(G1738-O1738)/G1738</f>
        <v/>
      </c>
      <c r="S1738" s="55">
        <f>VLOOKUP(D1738,Products!$A$2:$F$61,6,FALSE())</f>
        <v/>
      </c>
    </row>
    <row r="1739" ht="15" customHeight="1" s="56">
      <c r="A1739" s="55">
        <f>Orders!A1739</f>
        <v/>
      </c>
      <c r="B1739" s="103">
        <f>Orders!B1739</f>
        <v/>
      </c>
      <c r="C1739" s="55">
        <f>Orders!C1739</f>
        <v/>
      </c>
      <c r="D1739" s="55">
        <f>Orders!D1739</f>
        <v/>
      </c>
      <c r="E1739" s="55">
        <f>Orders!E1739</f>
        <v/>
      </c>
      <c r="F1739" s="55">
        <f>Orders!F1739</f>
        <v/>
      </c>
      <c r="G1739" s="55">
        <f>Orders!G1739</f>
        <v/>
      </c>
      <c r="H1739" s="55">
        <f>Orders!H1739</f>
        <v/>
      </c>
      <c r="I1739" s="55">
        <f>Orders!I1739</f>
        <v/>
      </c>
      <c r="J1739" s="55">
        <f>Orders!J1739</f>
        <v/>
      </c>
      <c r="K1739" s="55">
        <f>Orders!K1739</f>
        <v/>
      </c>
      <c r="L1739" s="55">
        <f>VLOOKUP(D1739,Products!$A$2:$F$61,3,FALSE())</f>
        <v/>
      </c>
      <c r="M1739" s="55">
        <f>VLOOKUP(C1739,Customers!$A$2:$F$301,5,FALSE())</f>
        <v/>
      </c>
      <c r="N1739" s="55">
        <f>VLOOKUP(E1739,Sales_Reps!$A$2:$E$31,3,FALSE())</f>
        <v/>
      </c>
      <c r="O1739" s="55">
        <f>VLOOKUP(D1739,Products!$A$2:$F$61,4,FALSE())</f>
        <v/>
      </c>
      <c r="P1739" s="55">
        <f>VLOOKUP(C1739,Customers!$A$2:$F$301,3,FALSE())</f>
        <v/>
      </c>
      <c r="Q1739" s="55">
        <f>UPPER(TRIM(K1739))</f>
        <v/>
      </c>
      <c r="R1739" s="55">
        <f>(G1739-O1739)/G1739</f>
        <v/>
      </c>
      <c r="S1739" s="55">
        <f>VLOOKUP(D1739,Products!$A$2:$F$61,6,FALSE())</f>
        <v/>
      </c>
    </row>
    <row r="1740" ht="15" customHeight="1" s="56">
      <c r="A1740" s="55">
        <f>Orders!A1740</f>
        <v/>
      </c>
      <c r="B1740" s="103">
        <f>Orders!B1740</f>
        <v/>
      </c>
      <c r="C1740" s="55">
        <f>Orders!C1740</f>
        <v/>
      </c>
      <c r="D1740" s="55">
        <f>Orders!D1740</f>
        <v/>
      </c>
      <c r="E1740" s="55">
        <f>Orders!E1740</f>
        <v/>
      </c>
      <c r="F1740" s="55">
        <f>Orders!F1740</f>
        <v/>
      </c>
      <c r="G1740" s="55">
        <f>Orders!G1740</f>
        <v/>
      </c>
      <c r="H1740" s="55">
        <f>Orders!H1740</f>
        <v/>
      </c>
      <c r="I1740" s="55">
        <f>Orders!I1740</f>
        <v/>
      </c>
      <c r="J1740" s="55">
        <f>Orders!J1740</f>
        <v/>
      </c>
      <c r="K1740" s="55">
        <f>Orders!K1740</f>
        <v/>
      </c>
      <c r="L1740" s="55">
        <f>VLOOKUP(D1740,Products!$A$2:$F$61,3,FALSE())</f>
        <v/>
      </c>
      <c r="M1740" s="55">
        <f>VLOOKUP(C1740,Customers!$A$2:$F$301,5,FALSE())</f>
        <v/>
      </c>
      <c r="N1740" s="55">
        <f>VLOOKUP(E1740,Sales_Reps!$A$2:$E$31,3,FALSE())</f>
        <v/>
      </c>
      <c r="O1740" s="55">
        <f>VLOOKUP(D1740,Products!$A$2:$F$61,4,FALSE())</f>
        <v/>
      </c>
      <c r="P1740" s="55">
        <f>VLOOKUP(C1740,Customers!$A$2:$F$301,3,FALSE())</f>
        <v/>
      </c>
      <c r="Q1740" s="55">
        <f>UPPER(TRIM(K1740))</f>
        <v/>
      </c>
      <c r="R1740" s="55">
        <f>(G1740-O1740)/G1740</f>
        <v/>
      </c>
      <c r="S1740" s="55">
        <f>VLOOKUP(D1740,Products!$A$2:$F$61,6,FALSE())</f>
        <v/>
      </c>
    </row>
    <row r="1741" ht="15" customHeight="1" s="56">
      <c r="A1741" s="55">
        <f>Orders!A1741</f>
        <v/>
      </c>
      <c r="B1741" s="103">
        <f>Orders!B1741</f>
        <v/>
      </c>
      <c r="C1741" s="55">
        <f>Orders!C1741</f>
        <v/>
      </c>
      <c r="D1741" s="55">
        <f>Orders!D1741</f>
        <v/>
      </c>
      <c r="E1741" s="55">
        <f>Orders!E1741</f>
        <v/>
      </c>
      <c r="F1741" s="55">
        <f>Orders!F1741</f>
        <v/>
      </c>
      <c r="G1741" s="55">
        <f>Orders!G1741</f>
        <v/>
      </c>
      <c r="H1741" s="55">
        <f>Orders!H1741</f>
        <v/>
      </c>
      <c r="I1741" s="55">
        <f>Orders!I1741</f>
        <v/>
      </c>
      <c r="J1741" s="55">
        <f>Orders!J1741</f>
        <v/>
      </c>
      <c r="K1741" s="55">
        <f>Orders!K1741</f>
        <v/>
      </c>
      <c r="L1741" s="55">
        <f>VLOOKUP(D1741,Products!$A$2:$F$61,3,FALSE())</f>
        <v/>
      </c>
      <c r="M1741" s="55">
        <f>VLOOKUP(C1741,Customers!$A$2:$F$301,5,FALSE())</f>
        <v/>
      </c>
      <c r="N1741" s="55">
        <f>VLOOKUP(E1741,Sales_Reps!$A$2:$E$31,3,FALSE())</f>
        <v/>
      </c>
      <c r="O1741" s="55">
        <f>VLOOKUP(D1741,Products!$A$2:$F$61,4,FALSE())</f>
        <v/>
      </c>
      <c r="P1741" s="55">
        <f>VLOOKUP(C1741,Customers!$A$2:$F$301,3,FALSE())</f>
        <v/>
      </c>
      <c r="Q1741" s="55">
        <f>UPPER(TRIM(K1741))</f>
        <v/>
      </c>
      <c r="R1741" s="55">
        <f>(G1741-O1741)/G1741</f>
        <v/>
      </c>
      <c r="S1741" s="55">
        <f>VLOOKUP(D1741,Products!$A$2:$F$61,6,FALSE())</f>
        <v/>
      </c>
    </row>
    <row r="1742" ht="15" customHeight="1" s="56">
      <c r="A1742" s="55">
        <f>Orders!A1742</f>
        <v/>
      </c>
      <c r="B1742" s="103">
        <f>Orders!B1742</f>
        <v/>
      </c>
      <c r="C1742" s="55">
        <f>Orders!C1742</f>
        <v/>
      </c>
      <c r="D1742" s="55">
        <f>Orders!D1742</f>
        <v/>
      </c>
      <c r="E1742" s="55">
        <f>Orders!E1742</f>
        <v/>
      </c>
      <c r="F1742" s="55">
        <f>Orders!F1742</f>
        <v/>
      </c>
      <c r="G1742" s="55">
        <f>Orders!G1742</f>
        <v/>
      </c>
      <c r="H1742" s="55">
        <f>Orders!H1742</f>
        <v/>
      </c>
      <c r="I1742" s="55">
        <f>Orders!I1742</f>
        <v/>
      </c>
      <c r="J1742" s="55">
        <f>Orders!J1742</f>
        <v/>
      </c>
      <c r="K1742" s="55">
        <f>Orders!K1742</f>
        <v/>
      </c>
      <c r="L1742" s="55">
        <f>VLOOKUP(D1742,Products!$A$2:$F$61,3,FALSE())</f>
        <v/>
      </c>
      <c r="M1742" s="55">
        <f>VLOOKUP(C1742,Customers!$A$2:$F$301,5,FALSE())</f>
        <v/>
      </c>
      <c r="N1742" s="55">
        <f>VLOOKUP(E1742,Sales_Reps!$A$2:$E$31,3,FALSE())</f>
        <v/>
      </c>
      <c r="O1742" s="55">
        <f>VLOOKUP(D1742,Products!$A$2:$F$61,4,FALSE())</f>
        <v/>
      </c>
      <c r="P1742" s="55">
        <f>VLOOKUP(C1742,Customers!$A$2:$F$301,3,FALSE())</f>
        <v/>
      </c>
      <c r="Q1742" s="55">
        <f>UPPER(TRIM(K1742))</f>
        <v/>
      </c>
      <c r="R1742" s="55">
        <f>(G1742-O1742)/G1742</f>
        <v/>
      </c>
      <c r="S1742" s="55">
        <f>VLOOKUP(D1742,Products!$A$2:$F$61,6,FALSE())</f>
        <v/>
      </c>
    </row>
    <row r="1743" ht="15" customHeight="1" s="56">
      <c r="A1743" s="55">
        <f>Orders!A1743</f>
        <v/>
      </c>
      <c r="B1743" s="103">
        <f>Orders!B1743</f>
        <v/>
      </c>
      <c r="C1743" s="55">
        <f>Orders!C1743</f>
        <v/>
      </c>
      <c r="D1743" s="55">
        <f>Orders!D1743</f>
        <v/>
      </c>
      <c r="E1743" s="55">
        <f>Orders!E1743</f>
        <v/>
      </c>
      <c r="F1743" s="55">
        <f>Orders!F1743</f>
        <v/>
      </c>
      <c r="G1743" s="55">
        <f>Orders!G1743</f>
        <v/>
      </c>
      <c r="H1743" s="55">
        <f>Orders!H1743</f>
        <v/>
      </c>
      <c r="I1743" s="55">
        <f>Orders!I1743</f>
        <v/>
      </c>
      <c r="J1743" s="55">
        <f>Orders!J1743</f>
        <v/>
      </c>
      <c r="K1743" s="55">
        <f>Orders!K1743</f>
        <v/>
      </c>
      <c r="L1743" s="55">
        <f>VLOOKUP(D1743,Products!$A$2:$F$61,3,FALSE())</f>
        <v/>
      </c>
      <c r="M1743" s="55">
        <f>VLOOKUP(C1743,Customers!$A$2:$F$301,5,FALSE())</f>
        <v/>
      </c>
      <c r="N1743" s="55">
        <f>VLOOKUP(E1743,Sales_Reps!$A$2:$E$31,3,FALSE())</f>
        <v/>
      </c>
      <c r="O1743" s="55">
        <f>VLOOKUP(D1743,Products!$A$2:$F$61,4,FALSE())</f>
        <v/>
      </c>
      <c r="P1743" s="55">
        <f>VLOOKUP(C1743,Customers!$A$2:$F$301,3,FALSE())</f>
        <v/>
      </c>
      <c r="Q1743" s="55">
        <f>UPPER(TRIM(K1743))</f>
        <v/>
      </c>
      <c r="R1743" s="55">
        <f>(G1743-O1743)/G1743</f>
        <v/>
      </c>
      <c r="S1743" s="55">
        <f>VLOOKUP(D1743,Products!$A$2:$F$61,6,FALSE())</f>
        <v/>
      </c>
    </row>
    <row r="1744" ht="15" customHeight="1" s="56">
      <c r="A1744" s="55">
        <f>Orders!A1744</f>
        <v/>
      </c>
      <c r="B1744" s="103">
        <f>Orders!B1744</f>
        <v/>
      </c>
      <c r="C1744" s="55">
        <f>Orders!C1744</f>
        <v/>
      </c>
      <c r="D1744" s="55">
        <f>Orders!D1744</f>
        <v/>
      </c>
      <c r="E1744" s="55">
        <f>Orders!E1744</f>
        <v/>
      </c>
      <c r="F1744" s="55">
        <f>Orders!F1744</f>
        <v/>
      </c>
      <c r="G1744" s="55">
        <f>Orders!G1744</f>
        <v/>
      </c>
      <c r="H1744" s="55">
        <f>Orders!H1744</f>
        <v/>
      </c>
      <c r="I1744" s="55">
        <f>Orders!I1744</f>
        <v/>
      </c>
      <c r="J1744" s="55">
        <f>Orders!J1744</f>
        <v/>
      </c>
      <c r="K1744" s="55">
        <f>Orders!K1744</f>
        <v/>
      </c>
      <c r="L1744" s="55">
        <f>VLOOKUP(D1744,Products!$A$2:$F$61,3,FALSE())</f>
        <v/>
      </c>
      <c r="M1744" s="55">
        <f>VLOOKUP(C1744,Customers!$A$2:$F$301,5,FALSE())</f>
        <v/>
      </c>
      <c r="N1744" s="55">
        <f>VLOOKUP(E1744,Sales_Reps!$A$2:$E$31,3,FALSE())</f>
        <v/>
      </c>
      <c r="O1744" s="55">
        <f>VLOOKUP(D1744,Products!$A$2:$F$61,4,FALSE())</f>
        <v/>
      </c>
      <c r="P1744" s="55">
        <f>VLOOKUP(C1744,Customers!$A$2:$F$301,3,FALSE())</f>
        <v/>
      </c>
      <c r="Q1744" s="55">
        <f>UPPER(TRIM(K1744))</f>
        <v/>
      </c>
      <c r="R1744" s="55">
        <f>(G1744-O1744)/G1744</f>
        <v/>
      </c>
      <c r="S1744" s="55">
        <f>VLOOKUP(D1744,Products!$A$2:$F$61,6,FALSE())</f>
        <v/>
      </c>
    </row>
    <row r="1745" ht="15" customHeight="1" s="56">
      <c r="A1745" s="55">
        <f>Orders!A1745</f>
        <v/>
      </c>
      <c r="B1745" s="103">
        <f>Orders!B1745</f>
        <v/>
      </c>
      <c r="C1745" s="55">
        <f>Orders!C1745</f>
        <v/>
      </c>
      <c r="D1745" s="55">
        <f>Orders!D1745</f>
        <v/>
      </c>
      <c r="E1745" s="55">
        <f>Orders!E1745</f>
        <v/>
      </c>
      <c r="F1745" s="55">
        <f>Orders!F1745</f>
        <v/>
      </c>
      <c r="G1745" s="55">
        <f>Orders!G1745</f>
        <v/>
      </c>
      <c r="H1745" s="55">
        <f>Orders!H1745</f>
        <v/>
      </c>
      <c r="I1745" s="55">
        <f>Orders!I1745</f>
        <v/>
      </c>
      <c r="J1745" s="55">
        <f>Orders!J1745</f>
        <v/>
      </c>
      <c r="K1745" s="55">
        <f>Orders!K1745</f>
        <v/>
      </c>
      <c r="L1745" s="55">
        <f>VLOOKUP(D1745,Products!$A$2:$F$61,3,FALSE())</f>
        <v/>
      </c>
      <c r="M1745" s="55">
        <f>VLOOKUP(C1745,Customers!$A$2:$F$301,5,FALSE())</f>
        <v/>
      </c>
      <c r="N1745" s="55">
        <f>VLOOKUP(E1745,Sales_Reps!$A$2:$E$31,3,FALSE())</f>
        <v/>
      </c>
      <c r="O1745" s="55">
        <f>VLOOKUP(D1745,Products!$A$2:$F$61,4,FALSE())</f>
        <v/>
      </c>
      <c r="P1745" s="55">
        <f>VLOOKUP(C1745,Customers!$A$2:$F$301,3,FALSE())</f>
        <v/>
      </c>
      <c r="Q1745" s="55">
        <f>UPPER(TRIM(K1745))</f>
        <v/>
      </c>
      <c r="R1745" s="55">
        <f>(G1745-O1745)/G1745</f>
        <v/>
      </c>
      <c r="S1745" s="55">
        <f>VLOOKUP(D1745,Products!$A$2:$F$61,6,FALSE())</f>
        <v/>
      </c>
    </row>
    <row r="1746" ht="15" customHeight="1" s="56">
      <c r="A1746" s="55">
        <f>Orders!A1746</f>
        <v/>
      </c>
      <c r="B1746" s="103">
        <f>Orders!B1746</f>
        <v/>
      </c>
      <c r="C1746" s="55">
        <f>Orders!C1746</f>
        <v/>
      </c>
      <c r="D1746" s="55">
        <f>Orders!D1746</f>
        <v/>
      </c>
      <c r="E1746" s="55">
        <f>Orders!E1746</f>
        <v/>
      </c>
      <c r="F1746" s="55">
        <f>Orders!F1746</f>
        <v/>
      </c>
      <c r="G1746" s="55">
        <f>Orders!G1746</f>
        <v/>
      </c>
      <c r="H1746" s="55">
        <f>Orders!H1746</f>
        <v/>
      </c>
      <c r="I1746" s="55">
        <f>Orders!I1746</f>
        <v/>
      </c>
      <c r="J1746" s="55">
        <f>Orders!J1746</f>
        <v/>
      </c>
      <c r="K1746" s="55">
        <f>Orders!K1746</f>
        <v/>
      </c>
      <c r="L1746" s="55">
        <f>VLOOKUP(D1746,Products!$A$2:$F$61,3,FALSE())</f>
        <v/>
      </c>
      <c r="M1746" s="55">
        <f>VLOOKUP(C1746,Customers!$A$2:$F$301,5,FALSE())</f>
        <v/>
      </c>
      <c r="N1746" s="55">
        <f>VLOOKUP(E1746,Sales_Reps!$A$2:$E$31,3,FALSE())</f>
        <v/>
      </c>
      <c r="O1746" s="55">
        <f>VLOOKUP(D1746,Products!$A$2:$F$61,4,FALSE())</f>
        <v/>
      </c>
      <c r="P1746" s="55">
        <f>VLOOKUP(C1746,Customers!$A$2:$F$301,3,FALSE())</f>
        <v/>
      </c>
      <c r="Q1746" s="55">
        <f>UPPER(TRIM(K1746))</f>
        <v/>
      </c>
      <c r="R1746" s="55">
        <f>(G1746-O1746)/G1746</f>
        <v/>
      </c>
      <c r="S1746" s="55">
        <f>VLOOKUP(D1746,Products!$A$2:$F$61,6,FALSE())</f>
        <v/>
      </c>
    </row>
    <row r="1747" ht="15" customHeight="1" s="56">
      <c r="A1747" s="55">
        <f>Orders!A1747</f>
        <v/>
      </c>
      <c r="B1747" s="103">
        <f>Orders!B1747</f>
        <v/>
      </c>
      <c r="C1747" s="55">
        <f>Orders!C1747</f>
        <v/>
      </c>
      <c r="D1747" s="55">
        <f>Orders!D1747</f>
        <v/>
      </c>
      <c r="E1747" s="55">
        <f>Orders!E1747</f>
        <v/>
      </c>
      <c r="F1747" s="55">
        <f>Orders!F1747</f>
        <v/>
      </c>
      <c r="G1747" s="55">
        <f>Orders!G1747</f>
        <v/>
      </c>
      <c r="H1747" s="55">
        <f>Orders!H1747</f>
        <v/>
      </c>
      <c r="I1747" s="55">
        <f>Orders!I1747</f>
        <v/>
      </c>
      <c r="J1747" s="55">
        <f>Orders!J1747</f>
        <v/>
      </c>
      <c r="K1747" s="55">
        <f>Orders!K1747</f>
        <v/>
      </c>
      <c r="L1747" s="55">
        <f>VLOOKUP(D1747,Products!$A$2:$F$61,3,FALSE())</f>
        <v/>
      </c>
      <c r="M1747" s="55">
        <f>VLOOKUP(C1747,Customers!$A$2:$F$301,5,FALSE())</f>
        <v/>
      </c>
      <c r="N1747" s="55">
        <f>VLOOKUP(E1747,Sales_Reps!$A$2:$E$31,3,FALSE())</f>
        <v/>
      </c>
      <c r="O1747" s="55">
        <f>VLOOKUP(D1747,Products!$A$2:$F$61,4,FALSE())</f>
        <v/>
      </c>
      <c r="P1747" s="55">
        <f>VLOOKUP(C1747,Customers!$A$2:$F$301,3,FALSE())</f>
        <v/>
      </c>
      <c r="Q1747" s="55">
        <f>UPPER(TRIM(K1747))</f>
        <v/>
      </c>
      <c r="R1747" s="55">
        <f>(G1747-O1747)/G1747</f>
        <v/>
      </c>
      <c r="S1747" s="55">
        <f>VLOOKUP(D1747,Products!$A$2:$F$61,6,FALSE())</f>
        <v/>
      </c>
    </row>
    <row r="1748" ht="15" customHeight="1" s="56">
      <c r="A1748" s="55">
        <f>Orders!A1748</f>
        <v/>
      </c>
      <c r="B1748" s="103">
        <f>Orders!B1748</f>
        <v/>
      </c>
      <c r="C1748" s="55">
        <f>Orders!C1748</f>
        <v/>
      </c>
      <c r="D1748" s="55">
        <f>Orders!D1748</f>
        <v/>
      </c>
      <c r="E1748" s="55">
        <f>Orders!E1748</f>
        <v/>
      </c>
      <c r="F1748" s="55">
        <f>Orders!F1748</f>
        <v/>
      </c>
      <c r="G1748" s="55">
        <f>Orders!G1748</f>
        <v/>
      </c>
      <c r="H1748" s="55">
        <f>Orders!H1748</f>
        <v/>
      </c>
      <c r="I1748" s="55">
        <f>Orders!I1748</f>
        <v/>
      </c>
      <c r="J1748" s="55">
        <f>Orders!J1748</f>
        <v/>
      </c>
      <c r="K1748" s="55">
        <f>Orders!K1748</f>
        <v/>
      </c>
      <c r="L1748" s="55">
        <f>VLOOKUP(D1748,Products!$A$2:$F$61,3,FALSE())</f>
        <v/>
      </c>
      <c r="M1748" s="55">
        <f>VLOOKUP(C1748,Customers!$A$2:$F$301,5,FALSE())</f>
        <v/>
      </c>
      <c r="N1748" s="55">
        <f>VLOOKUP(E1748,Sales_Reps!$A$2:$E$31,3,FALSE())</f>
        <v/>
      </c>
      <c r="O1748" s="55">
        <f>VLOOKUP(D1748,Products!$A$2:$F$61,4,FALSE())</f>
        <v/>
      </c>
      <c r="P1748" s="55">
        <f>VLOOKUP(C1748,Customers!$A$2:$F$301,3,FALSE())</f>
        <v/>
      </c>
      <c r="Q1748" s="55">
        <f>UPPER(TRIM(K1748))</f>
        <v/>
      </c>
      <c r="R1748" s="55">
        <f>(G1748-O1748)/G1748</f>
        <v/>
      </c>
      <c r="S1748" s="55">
        <f>VLOOKUP(D1748,Products!$A$2:$F$61,6,FALSE())</f>
        <v/>
      </c>
    </row>
    <row r="1749" ht="15" customHeight="1" s="56">
      <c r="A1749" s="55">
        <f>Orders!A1749</f>
        <v/>
      </c>
      <c r="B1749" s="103">
        <f>Orders!B1749</f>
        <v/>
      </c>
      <c r="C1749" s="55">
        <f>Orders!C1749</f>
        <v/>
      </c>
      <c r="D1749" s="55">
        <f>Orders!D1749</f>
        <v/>
      </c>
      <c r="E1749" s="55">
        <f>Orders!E1749</f>
        <v/>
      </c>
      <c r="F1749" s="55">
        <f>Orders!F1749</f>
        <v/>
      </c>
      <c r="G1749" s="55">
        <f>Orders!G1749</f>
        <v/>
      </c>
      <c r="H1749" s="55">
        <f>Orders!H1749</f>
        <v/>
      </c>
      <c r="I1749" s="55">
        <f>Orders!I1749</f>
        <v/>
      </c>
      <c r="J1749" s="55">
        <f>Orders!J1749</f>
        <v/>
      </c>
      <c r="K1749" s="55">
        <f>Orders!K1749</f>
        <v/>
      </c>
      <c r="L1749" s="55">
        <f>VLOOKUP(D1749,Products!$A$2:$F$61,3,FALSE())</f>
        <v/>
      </c>
      <c r="M1749" s="55">
        <f>VLOOKUP(C1749,Customers!$A$2:$F$301,5,FALSE())</f>
        <v/>
      </c>
      <c r="N1749" s="55">
        <f>VLOOKUP(E1749,Sales_Reps!$A$2:$E$31,3,FALSE())</f>
        <v/>
      </c>
      <c r="O1749" s="55">
        <f>VLOOKUP(D1749,Products!$A$2:$F$61,4,FALSE())</f>
        <v/>
      </c>
      <c r="P1749" s="55">
        <f>VLOOKUP(C1749,Customers!$A$2:$F$301,3,FALSE())</f>
        <v/>
      </c>
      <c r="Q1749" s="55">
        <f>UPPER(TRIM(K1749))</f>
        <v/>
      </c>
      <c r="R1749" s="55">
        <f>(G1749-O1749)/G1749</f>
        <v/>
      </c>
      <c r="S1749" s="55">
        <f>VLOOKUP(D1749,Products!$A$2:$F$61,6,FALSE())</f>
        <v/>
      </c>
    </row>
    <row r="1750" ht="15" customHeight="1" s="56">
      <c r="A1750" s="55">
        <f>Orders!A1750</f>
        <v/>
      </c>
      <c r="B1750" s="103">
        <f>Orders!B1750</f>
        <v/>
      </c>
      <c r="C1750" s="55">
        <f>Orders!C1750</f>
        <v/>
      </c>
      <c r="D1750" s="55">
        <f>Orders!D1750</f>
        <v/>
      </c>
      <c r="E1750" s="55">
        <f>Orders!E1750</f>
        <v/>
      </c>
      <c r="F1750" s="55">
        <f>Orders!F1750</f>
        <v/>
      </c>
      <c r="G1750" s="55">
        <f>Orders!G1750</f>
        <v/>
      </c>
      <c r="H1750" s="55">
        <f>Orders!H1750</f>
        <v/>
      </c>
      <c r="I1750" s="55">
        <f>Orders!I1750</f>
        <v/>
      </c>
      <c r="J1750" s="55">
        <f>Orders!J1750</f>
        <v/>
      </c>
      <c r="K1750" s="55">
        <f>Orders!K1750</f>
        <v/>
      </c>
      <c r="L1750" s="55">
        <f>VLOOKUP(D1750,Products!$A$2:$F$61,3,FALSE())</f>
        <v/>
      </c>
      <c r="M1750" s="55">
        <f>VLOOKUP(C1750,Customers!$A$2:$F$301,5,FALSE())</f>
        <v/>
      </c>
      <c r="N1750" s="55">
        <f>VLOOKUP(E1750,Sales_Reps!$A$2:$E$31,3,FALSE())</f>
        <v/>
      </c>
      <c r="O1750" s="55">
        <f>VLOOKUP(D1750,Products!$A$2:$F$61,4,FALSE())</f>
        <v/>
      </c>
      <c r="P1750" s="55">
        <f>VLOOKUP(C1750,Customers!$A$2:$F$301,3,FALSE())</f>
        <v/>
      </c>
      <c r="Q1750" s="55">
        <f>UPPER(TRIM(K1750))</f>
        <v/>
      </c>
      <c r="R1750" s="55">
        <f>(G1750-O1750)/G1750</f>
        <v/>
      </c>
      <c r="S1750" s="55">
        <f>VLOOKUP(D1750,Products!$A$2:$F$61,6,FALSE())</f>
        <v/>
      </c>
    </row>
    <row r="1751" ht="15" customHeight="1" s="56">
      <c r="A1751" s="55">
        <f>Orders!A1751</f>
        <v/>
      </c>
      <c r="B1751" s="103">
        <f>Orders!B1751</f>
        <v/>
      </c>
      <c r="C1751" s="55">
        <f>Orders!C1751</f>
        <v/>
      </c>
      <c r="D1751" s="55">
        <f>Orders!D1751</f>
        <v/>
      </c>
      <c r="E1751" s="55">
        <f>Orders!E1751</f>
        <v/>
      </c>
      <c r="F1751" s="55">
        <f>Orders!F1751</f>
        <v/>
      </c>
      <c r="G1751" s="55">
        <f>Orders!G1751</f>
        <v/>
      </c>
      <c r="H1751" s="55">
        <f>Orders!H1751</f>
        <v/>
      </c>
      <c r="I1751" s="55">
        <f>Orders!I1751</f>
        <v/>
      </c>
      <c r="J1751" s="55">
        <f>Orders!J1751</f>
        <v/>
      </c>
      <c r="K1751" s="55">
        <f>Orders!K1751</f>
        <v/>
      </c>
      <c r="L1751" s="55">
        <f>VLOOKUP(D1751,Products!$A$2:$F$61,3,FALSE())</f>
        <v/>
      </c>
      <c r="M1751" s="55">
        <f>VLOOKUP(C1751,Customers!$A$2:$F$301,5,FALSE())</f>
        <v/>
      </c>
      <c r="N1751" s="55">
        <f>VLOOKUP(E1751,Sales_Reps!$A$2:$E$31,3,FALSE())</f>
        <v/>
      </c>
      <c r="O1751" s="55">
        <f>VLOOKUP(D1751,Products!$A$2:$F$61,4,FALSE())</f>
        <v/>
      </c>
      <c r="P1751" s="55">
        <f>VLOOKUP(C1751,Customers!$A$2:$F$301,3,FALSE())</f>
        <v/>
      </c>
      <c r="Q1751" s="55">
        <f>UPPER(TRIM(K1751))</f>
        <v/>
      </c>
      <c r="R1751" s="55">
        <f>(G1751-O1751)/G1751</f>
        <v/>
      </c>
      <c r="S1751" s="55">
        <f>VLOOKUP(D1751,Products!$A$2:$F$61,6,FALSE())</f>
        <v/>
      </c>
    </row>
    <row r="1752" ht="15" customHeight="1" s="56">
      <c r="A1752" s="55">
        <f>Orders!A1752</f>
        <v/>
      </c>
      <c r="B1752" s="103">
        <f>Orders!B1752</f>
        <v/>
      </c>
      <c r="C1752" s="55">
        <f>Orders!C1752</f>
        <v/>
      </c>
      <c r="D1752" s="55">
        <f>Orders!D1752</f>
        <v/>
      </c>
      <c r="E1752" s="55">
        <f>Orders!E1752</f>
        <v/>
      </c>
      <c r="F1752" s="55">
        <f>Orders!F1752</f>
        <v/>
      </c>
      <c r="G1752" s="55">
        <f>Orders!G1752</f>
        <v/>
      </c>
      <c r="H1752" s="55">
        <f>Orders!H1752</f>
        <v/>
      </c>
      <c r="I1752" s="55">
        <f>Orders!I1752</f>
        <v/>
      </c>
      <c r="J1752" s="55">
        <f>Orders!J1752</f>
        <v/>
      </c>
      <c r="K1752" s="55">
        <f>Orders!K1752</f>
        <v/>
      </c>
      <c r="L1752" s="55">
        <f>VLOOKUP(D1752,Products!$A$2:$F$61,3,FALSE())</f>
        <v/>
      </c>
      <c r="M1752" s="55">
        <f>VLOOKUP(C1752,Customers!$A$2:$F$301,5,FALSE())</f>
        <v/>
      </c>
      <c r="N1752" s="55">
        <f>VLOOKUP(E1752,Sales_Reps!$A$2:$E$31,3,FALSE())</f>
        <v/>
      </c>
      <c r="O1752" s="55">
        <f>VLOOKUP(D1752,Products!$A$2:$F$61,4,FALSE())</f>
        <v/>
      </c>
      <c r="P1752" s="55">
        <f>VLOOKUP(C1752,Customers!$A$2:$F$301,3,FALSE())</f>
        <v/>
      </c>
      <c r="Q1752" s="55">
        <f>UPPER(TRIM(K1752))</f>
        <v/>
      </c>
      <c r="R1752" s="55">
        <f>(G1752-O1752)/G1752</f>
        <v/>
      </c>
      <c r="S1752" s="55">
        <f>VLOOKUP(D1752,Products!$A$2:$F$61,6,FALSE())</f>
        <v/>
      </c>
    </row>
    <row r="1753" ht="15" customHeight="1" s="56">
      <c r="A1753" s="55">
        <f>Orders!A1753</f>
        <v/>
      </c>
      <c r="B1753" s="103">
        <f>Orders!B1753</f>
        <v/>
      </c>
      <c r="C1753" s="55">
        <f>Orders!C1753</f>
        <v/>
      </c>
      <c r="D1753" s="55">
        <f>Orders!D1753</f>
        <v/>
      </c>
      <c r="E1753" s="55">
        <f>Orders!E1753</f>
        <v/>
      </c>
      <c r="F1753" s="55">
        <f>Orders!F1753</f>
        <v/>
      </c>
      <c r="G1753" s="55">
        <f>Orders!G1753</f>
        <v/>
      </c>
      <c r="H1753" s="55">
        <f>Orders!H1753</f>
        <v/>
      </c>
      <c r="I1753" s="55">
        <f>Orders!I1753</f>
        <v/>
      </c>
      <c r="J1753" s="55">
        <f>Orders!J1753</f>
        <v/>
      </c>
      <c r="K1753" s="55">
        <f>Orders!K1753</f>
        <v/>
      </c>
      <c r="L1753" s="55">
        <f>VLOOKUP(D1753,Products!$A$2:$F$61,3,FALSE())</f>
        <v/>
      </c>
      <c r="M1753" s="55">
        <f>VLOOKUP(C1753,Customers!$A$2:$F$301,5,FALSE())</f>
        <v/>
      </c>
      <c r="N1753" s="55">
        <f>VLOOKUP(E1753,Sales_Reps!$A$2:$E$31,3,FALSE())</f>
        <v/>
      </c>
      <c r="O1753" s="55">
        <f>VLOOKUP(D1753,Products!$A$2:$F$61,4,FALSE())</f>
        <v/>
      </c>
      <c r="P1753" s="55">
        <f>VLOOKUP(C1753,Customers!$A$2:$F$301,3,FALSE())</f>
        <v/>
      </c>
      <c r="Q1753" s="55">
        <f>UPPER(TRIM(K1753))</f>
        <v/>
      </c>
      <c r="R1753" s="55">
        <f>(G1753-O1753)/G1753</f>
        <v/>
      </c>
      <c r="S1753" s="55">
        <f>VLOOKUP(D1753,Products!$A$2:$F$61,6,FALSE())</f>
        <v/>
      </c>
    </row>
    <row r="1754" ht="15" customHeight="1" s="56">
      <c r="A1754" s="55">
        <f>Orders!A1754</f>
        <v/>
      </c>
      <c r="B1754" s="103">
        <f>Orders!B1754</f>
        <v/>
      </c>
      <c r="C1754" s="55">
        <f>Orders!C1754</f>
        <v/>
      </c>
      <c r="D1754" s="55">
        <f>Orders!D1754</f>
        <v/>
      </c>
      <c r="E1754" s="55">
        <f>Orders!E1754</f>
        <v/>
      </c>
      <c r="F1754" s="55">
        <f>Orders!F1754</f>
        <v/>
      </c>
      <c r="G1754" s="55">
        <f>Orders!G1754</f>
        <v/>
      </c>
      <c r="H1754" s="55">
        <f>Orders!H1754</f>
        <v/>
      </c>
      <c r="I1754" s="55">
        <f>Orders!I1754</f>
        <v/>
      </c>
      <c r="J1754" s="55">
        <f>Orders!J1754</f>
        <v/>
      </c>
      <c r="K1754" s="55">
        <f>Orders!K1754</f>
        <v/>
      </c>
      <c r="L1754" s="55">
        <f>VLOOKUP(D1754,Products!$A$2:$F$61,3,FALSE())</f>
        <v/>
      </c>
      <c r="M1754" s="55">
        <f>VLOOKUP(C1754,Customers!$A$2:$F$301,5,FALSE())</f>
        <v/>
      </c>
      <c r="N1754" s="55">
        <f>VLOOKUP(E1754,Sales_Reps!$A$2:$E$31,3,FALSE())</f>
        <v/>
      </c>
      <c r="O1754" s="55">
        <f>VLOOKUP(D1754,Products!$A$2:$F$61,4,FALSE())</f>
        <v/>
      </c>
      <c r="P1754" s="55">
        <f>VLOOKUP(C1754,Customers!$A$2:$F$301,3,FALSE())</f>
        <v/>
      </c>
      <c r="Q1754" s="55">
        <f>UPPER(TRIM(K1754))</f>
        <v/>
      </c>
      <c r="R1754" s="55">
        <f>(G1754-O1754)/G1754</f>
        <v/>
      </c>
      <c r="S1754" s="55">
        <f>VLOOKUP(D1754,Products!$A$2:$F$61,6,FALSE())</f>
        <v/>
      </c>
    </row>
    <row r="1755" ht="15" customHeight="1" s="56">
      <c r="A1755" s="55">
        <f>Orders!A1755</f>
        <v/>
      </c>
      <c r="B1755" s="103">
        <f>Orders!B1755</f>
        <v/>
      </c>
      <c r="C1755" s="55">
        <f>Orders!C1755</f>
        <v/>
      </c>
      <c r="D1755" s="55">
        <f>Orders!D1755</f>
        <v/>
      </c>
      <c r="E1755" s="55">
        <f>Orders!E1755</f>
        <v/>
      </c>
      <c r="F1755" s="55">
        <f>Orders!F1755</f>
        <v/>
      </c>
      <c r="G1755" s="55">
        <f>Orders!G1755</f>
        <v/>
      </c>
      <c r="H1755" s="55">
        <f>Orders!H1755</f>
        <v/>
      </c>
      <c r="I1755" s="55">
        <f>Orders!I1755</f>
        <v/>
      </c>
      <c r="J1755" s="55">
        <f>Orders!J1755</f>
        <v/>
      </c>
      <c r="K1755" s="55">
        <f>Orders!K1755</f>
        <v/>
      </c>
      <c r="L1755" s="55">
        <f>VLOOKUP(D1755,Products!$A$2:$F$61,3,FALSE())</f>
        <v/>
      </c>
      <c r="M1755" s="55">
        <f>VLOOKUP(C1755,Customers!$A$2:$F$301,5,FALSE())</f>
        <v/>
      </c>
      <c r="N1755" s="55">
        <f>VLOOKUP(E1755,Sales_Reps!$A$2:$E$31,3,FALSE())</f>
        <v/>
      </c>
      <c r="O1755" s="55">
        <f>VLOOKUP(D1755,Products!$A$2:$F$61,4,FALSE())</f>
        <v/>
      </c>
      <c r="P1755" s="55">
        <f>VLOOKUP(C1755,Customers!$A$2:$F$301,3,FALSE())</f>
        <v/>
      </c>
      <c r="Q1755" s="55">
        <f>UPPER(TRIM(K1755))</f>
        <v/>
      </c>
      <c r="R1755" s="55">
        <f>(G1755-O1755)/G1755</f>
        <v/>
      </c>
      <c r="S1755" s="55">
        <f>VLOOKUP(D1755,Products!$A$2:$F$61,6,FALSE())</f>
        <v/>
      </c>
    </row>
    <row r="1756" ht="15" customHeight="1" s="56">
      <c r="A1756" s="55">
        <f>Orders!A1756</f>
        <v/>
      </c>
      <c r="B1756" s="103">
        <f>Orders!B1756</f>
        <v/>
      </c>
      <c r="C1756" s="55">
        <f>Orders!C1756</f>
        <v/>
      </c>
      <c r="D1756" s="55">
        <f>Orders!D1756</f>
        <v/>
      </c>
      <c r="E1756" s="55">
        <f>Orders!E1756</f>
        <v/>
      </c>
      <c r="F1756" s="55">
        <f>Orders!F1756</f>
        <v/>
      </c>
      <c r="G1756" s="55">
        <f>Orders!G1756</f>
        <v/>
      </c>
      <c r="H1756" s="55">
        <f>Orders!H1756</f>
        <v/>
      </c>
      <c r="I1756" s="55">
        <f>Orders!I1756</f>
        <v/>
      </c>
      <c r="J1756" s="55">
        <f>Orders!J1756</f>
        <v/>
      </c>
      <c r="K1756" s="55">
        <f>Orders!K1756</f>
        <v/>
      </c>
      <c r="L1756" s="55">
        <f>VLOOKUP(D1756,Products!$A$2:$F$61,3,FALSE())</f>
        <v/>
      </c>
      <c r="M1756" s="55">
        <f>VLOOKUP(C1756,Customers!$A$2:$F$301,5,FALSE())</f>
        <v/>
      </c>
      <c r="N1756" s="55">
        <f>VLOOKUP(E1756,Sales_Reps!$A$2:$E$31,3,FALSE())</f>
        <v/>
      </c>
      <c r="O1756" s="55">
        <f>VLOOKUP(D1756,Products!$A$2:$F$61,4,FALSE())</f>
        <v/>
      </c>
      <c r="P1756" s="55">
        <f>VLOOKUP(C1756,Customers!$A$2:$F$301,3,FALSE())</f>
        <v/>
      </c>
      <c r="Q1756" s="55">
        <f>UPPER(TRIM(K1756))</f>
        <v/>
      </c>
      <c r="R1756" s="55">
        <f>(G1756-O1756)/G1756</f>
        <v/>
      </c>
      <c r="S1756" s="55">
        <f>VLOOKUP(D1756,Products!$A$2:$F$61,6,FALSE())</f>
        <v/>
      </c>
    </row>
    <row r="1757" ht="15" customHeight="1" s="56">
      <c r="A1757" s="55">
        <f>Orders!A1757</f>
        <v/>
      </c>
      <c r="B1757" s="103">
        <f>Orders!B1757</f>
        <v/>
      </c>
      <c r="C1757" s="55">
        <f>Orders!C1757</f>
        <v/>
      </c>
      <c r="D1757" s="55">
        <f>Orders!D1757</f>
        <v/>
      </c>
      <c r="E1757" s="55">
        <f>Orders!E1757</f>
        <v/>
      </c>
      <c r="F1757" s="55">
        <f>Orders!F1757</f>
        <v/>
      </c>
      <c r="G1757" s="55">
        <f>Orders!G1757</f>
        <v/>
      </c>
      <c r="H1757" s="55">
        <f>Orders!H1757</f>
        <v/>
      </c>
      <c r="I1757" s="55">
        <f>Orders!I1757</f>
        <v/>
      </c>
      <c r="J1757" s="55">
        <f>Orders!J1757</f>
        <v/>
      </c>
      <c r="K1757" s="55">
        <f>Orders!K1757</f>
        <v/>
      </c>
      <c r="L1757" s="55">
        <f>VLOOKUP(D1757,Products!$A$2:$F$61,3,FALSE())</f>
        <v/>
      </c>
      <c r="M1757" s="55">
        <f>VLOOKUP(C1757,Customers!$A$2:$F$301,5,FALSE())</f>
        <v/>
      </c>
      <c r="N1757" s="55">
        <f>VLOOKUP(E1757,Sales_Reps!$A$2:$E$31,3,FALSE())</f>
        <v/>
      </c>
      <c r="O1757" s="55">
        <f>VLOOKUP(D1757,Products!$A$2:$F$61,4,FALSE())</f>
        <v/>
      </c>
      <c r="P1757" s="55">
        <f>VLOOKUP(C1757,Customers!$A$2:$F$301,3,FALSE())</f>
        <v/>
      </c>
      <c r="Q1757" s="55">
        <f>UPPER(TRIM(K1757))</f>
        <v/>
      </c>
      <c r="R1757" s="55">
        <f>(G1757-O1757)/G1757</f>
        <v/>
      </c>
      <c r="S1757" s="55">
        <f>VLOOKUP(D1757,Products!$A$2:$F$61,6,FALSE())</f>
        <v/>
      </c>
    </row>
    <row r="1758" ht="15" customHeight="1" s="56">
      <c r="A1758" s="55">
        <f>Orders!A1758</f>
        <v/>
      </c>
      <c r="B1758" s="103">
        <f>Orders!B1758</f>
        <v/>
      </c>
      <c r="C1758" s="55">
        <f>Orders!C1758</f>
        <v/>
      </c>
      <c r="D1758" s="55">
        <f>Orders!D1758</f>
        <v/>
      </c>
      <c r="E1758" s="55">
        <f>Orders!E1758</f>
        <v/>
      </c>
      <c r="F1758" s="55">
        <f>Orders!F1758</f>
        <v/>
      </c>
      <c r="G1758" s="55">
        <f>Orders!G1758</f>
        <v/>
      </c>
      <c r="H1758" s="55">
        <f>Orders!H1758</f>
        <v/>
      </c>
      <c r="I1758" s="55">
        <f>Orders!I1758</f>
        <v/>
      </c>
      <c r="J1758" s="55">
        <f>Orders!J1758</f>
        <v/>
      </c>
      <c r="K1758" s="55">
        <f>Orders!K1758</f>
        <v/>
      </c>
      <c r="L1758" s="55">
        <f>VLOOKUP(D1758,Products!$A$2:$F$61,3,FALSE())</f>
        <v/>
      </c>
      <c r="M1758" s="55">
        <f>VLOOKUP(C1758,Customers!$A$2:$F$301,5,FALSE())</f>
        <v/>
      </c>
      <c r="N1758" s="55">
        <f>VLOOKUP(E1758,Sales_Reps!$A$2:$E$31,3,FALSE())</f>
        <v/>
      </c>
      <c r="O1758" s="55">
        <f>VLOOKUP(D1758,Products!$A$2:$F$61,4,FALSE())</f>
        <v/>
      </c>
      <c r="P1758" s="55">
        <f>VLOOKUP(C1758,Customers!$A$2:$F$301,3,FALSE())</f>
        <v/>
      </c>
      <c r="Q1758" s="55">
        <f>UPPER(TRIM(K1758))</f>
        <v/>
      </c>
      <c r="R1758" s="55">
        <f>(G1758-O1758)/G1758</f>
        <v/>
      </c>
      <c r="S1758" s="55">
        <f>VLOOKUP(D1758,Products!$A$2:$F$61,6,FALSE())</f>
        <v/>
      </c>
    </row>
    <row r="1759" ht="15" customHeight="1" s="56">
      <c r="A1759" s="55">
        <f>Orders!A1759</f>
        <v/>
      </c>
      <c r="B1759" s="103">
        <f>Orders!B1759</f>
        <v/>
      </c>
      <c r="C1759" s="55">
        <f>Orders!C1759</f>
        <v/>
      </c>
      <c r="D1759" s="55">
        <f>Orders!D1759</f>
        <v/>
      </c>
      <c r="E1759" s="55">
        <f>Orders!E1759</f>
        <v/>
      </c>
      <c r="F1759" s="55">
        <f>Orders!F1759</f>
        <v/>
      </c>
      <c r="G1759" s="55">
        <f>Orders!G1759</f>
        <v/>
      </c>
      <c r="H1759" s="55">
        <f>Orders!H1759</f>
        <v/>
      </c>
      <c r="I1759" s="55">
        <f>Orders!I1759</f>
        <v/>
      </c>
      <c r="J1759" s="55">
        <f>Orders!J1759</f>
        <v/>
      </c>
      <c r="K1759" s="55">
        <f>Orders!K1759</f>
        <v/>
      </c>
      <c r="L1759" s="55">
        <f>VLOOKUP(D1759,Products!$A$2:$F$61,3,FALSE())</f>
        <v/>
      </c>
      <c r="M1759" s="55">
        <f>VLOOKUP(C1759,Customers!$A$2:$F$301,5,FALSE())</f>
        <v/>
      </c>
      <c r="N1759" s="55">
        <f>VLOOKUP(E1759,Sales_Reps!$A$2:$E$31,3,FALSE())</f>
        <v/>
      </c>
      <c r="O1759" s="55">
        <f>VLOOKUP(D1759,Products!$A$2:$F$61,4,FALSE())</f>
        <v/>
      </c>
      <c r="P1759" s="55">
        <f>VLOOKUP(C1759,Customers!$A$2:$F$301,3,FALSE())</f>
        <v/>
      </c>
      <c r="Q1759" s="55">
        <f>UPPER(TRIM(K1759))</f>
        <v/>
      </c>
      <c r="R1759" s="55">
        <f>(G1759-O1759)/G1759</f>
        <v/>
      </c>
      <c r="S1759" s="55">
        <f>VLOOKUP(D1759,Products!$A$2:$F$61,6,FALSE())</f>
        <v/>
      </c>
    </row>
    <row r="1760" ht="15" customHeight="1" s="56">
      <c r="A1760" s="55">
        <f>Orders!A1760</f>
        <v/>
      </c>
      <c r="B1760" s="103">
        <f>Orders!B1760</f>
        <v/>
      </c>
      <c r="C1760" s="55">
        <f>Orders!C1760</f>
        <v/>
      </c>
      <c r="D1760" s="55">
        <f>Orders!D1760</f>
        <v/>
      </c>
      <c r="E1760" s="55">
        <f>Orders!E1760</f>
        <v/>
      </c>
      <c r="F1760" s="55">
        <f>Orders!F1760</f>
        <v/>
      </c>
      <c r="G1760" s="55">
        <f>Orders!G1760</f>
        <v/>
      </c>
      <c r="H1760" s="55">
        <f>Orders!H1760</f>
        <v/>
      </c>
      <c r="I1760" s="55">
        <f>Orders!I1760</f>
        <v/>
      </c>
      <c r="J1760" s="55">
        <f>Orders!J1760</f>
        <v/>
      </c>
      <c r="K1760" s="55">
        <f>Orders!K1760</f>
        <v/>
      </c>
      <c r="L1760" s="55">
        <f>VLOOKUP(D1760,Products!$A$2:$F$61,3,FALSE())</f>
        <v/>
      </c>
      <c r="M1760" s="55">
        <f>VLOOKUP(C1760,Customers!$A$2:$F$301,5,FALSE())</f>
        <v/>
      </c>
      <c r="N1760" s="55">
        <f>VLOOKUP(E1760,Sales_Reps!$A$2:$E$31,3,FALSE())</f>
        <v/>
      </c>
      <c r="O1760" s="55">
        <f>VLOOKUP(D1760,Products!$A$2:$F$61,4,FALSE())</f>
        <v/>
      </c>
      <c r="P1760" s="55">
        <f>VLOOKUP(C1760,Customers!$A$2:$F$301,3,FALSE())</f>
        <v/>
      </c>
      <c r="Q1760" s="55">
        <f>UPPER(TRIM(K1760))</f>
        <v/>
      </c>
      <c r="R1760" s="55">
        <f>(G1760-O1760)/G1760</f>
        <v/>
      </c>
      <c r="S1760" s="55">
        <f>VLOOKUP(D1760,Products!$A$2:$F$61,6,FALSE())</f>
        <v/>
      </c>
    </row>
    <row r="1761" ht="15" customHeight="1" s="56">
      <c r="A1761" s="55">
        <f>Orders!A1761</f>
        <v/>
      </c>
      <c r="B1761" s="103">
        <f>Orders!B1761</f>
        <v/>
      </c>
      <c r="C1761" s="55">
        <f>Orders!C1761</f>
        <v/>
      </c>
      <c r="D1761" s="55">
        <f>Orders!D1761</f>
        <v/>
      </c>
      <c r="E1761" s="55">
        <f>Orders!E1761</f>
        <v/>
      </c>
      <c r="F1761" s="55">
        <f>Orders!F1761</f>
        <v/>
      </c>
      <c r="G1761" s="55">
        <f>Orders!G1761</f>
        <v/>
      </c>
      <c r="H1761" s="55">
        <f>Orders!H1761</f>
        <v/>
      </c>
      <c r="I1761" s="55">
        <f>Orders!I1761</f>
        <v/>
      </c>
      <c r="J1761" s="55">
        <f>Orders!J1761</f>
        <v/>
      </c>
      <c r="K1761" s="55">
        <f>Orders!K1761</f>
        <v/>
      </c>
      <c r="L1761" s="55">
        <f>VLOOKUP(D1761,Products!$A$2:$F$61,3,FALSE())</f>
        <v/>
      </c>
      <c r="M1761" s="55">
        <f>VLOOKUP(C1761,Customers!$A$2:$F$301,5,FALSE())</f>
        <v/>
      </c>
      <c r="N1761" s="55">
        <f>VLOOKUP(E1761,Sales_Reps!$A$2:$E$31,3,FALSE())</f>
        <v/>
      </c>
      <c r="O1761" s="55">
        <f>VLOOKUP(D1761,Products!$A$2:$F$61,4,FALSE())</f>
        <v/>
      </c>
      <c r="P1761" s="55">
        <f>VLOOKUP(C1761,Customers!$A$2:$F$301,3,FALSE())</f>
        <v/>
      </c>
      <c r="Q1761" s="55">
        <f>UPPER(TRIM(K1761))</f>
        <v/>
      </c>
      <c r="R1761" s="55">
        <f>(G1761-O1761)/G1761</f>
        <v/>
      </c>
      <c r="S1761" s="55">
        <f>VLOOKUP(D1761,Products!$A$2:$F$61,6,FALSE())</f>
        <v/>
      </c>
    </row>
    <row r="1762" ht="15" customHeight="1" s="56">
      <c r="A1762" s="55">
        <f>Orders!A1762</f>
        <v/>
      </c>
      <c r="B1762" s="103">
        <f>Orders!B1762</f>
        <v/>
      </c>
      <c r="C1762" s="55">
        <f>Orders!C1762</f>
        <v/>
      </c>
      <c r="D1762" s="55">
        <f>Orders!D1762</f>
        <v/>
      </c>
      <c r="E1762" s="55">
        <f>Orders!E1762</f>
        <v/>
      </c>
      <c r="F1762" s="55">
        <f>Orders!F1762</f>
        <v/>
      </c>
      <c r="G1762" s="55">
        <f>Orders!G1762</f>
        <v/>
      </c>
      <c r="H1762" s="55">
        <f>Orders!H1762</f>
        <v/>
      </c>
      <c r="I1762" s="55">
        <f>Orders!I1762</f>
        <v/>
      </c>
      <c r="J1762" s="55">
        <f>Orders!J1762</f>
        <v/>
      </c>
      <c r="K1762" s="55">
        <f>Orders!K1762</f>
        <v/>
      </c>
      <c r="L1762" s="55">
        <f>VLOOKUP(D1762,Products!$A$2:$F$61,3,FALSE())</f>
        <v/>
      </c>
      <c r="M1762" s="55">
        <f>VLOOKUP(C1762,Customers!$A$2:$F$301,5,FALSE())</f>
        <v/>
      </c>
      <c r="N1762" s="55">
        <f>VLOOKUP(E1762,Sales_Reps!$A$2:$E$31,3,FALSE())</f>
        <v/>
      </c>
      <c r="O1762" s="55">
        <f>VLOOKUP(D1762,Products!$A$2:$F$61,4,FALSE())</f>
        <v/>
      </c>
      <c r="P1762" s="55">
        <f>VLOOKUP(C1762,Customers!$A$2:$F$301,3,FALSE())</f>
        <v/>
      </c>
      <c r="Q1762" s="55">
        <f>UPPER(TRIM(K1762))</f>
        <v/>
      </c>
      <c r="R1762" s="55">
        <f>(G1762-O1762)/G1762</f>
        <v/>
      </c>
      <c r="S1762" s="55">
        <f>VLOOKUP(D1762,Products!$A$2:$F$61,6,FALSE())</f>
        <v/>
      </c>
    </row>
    <row r="1763" ht="15" customHeight="1" s="56">
      <c r="A1763" s="55">
        <f>Orders!A1763</f>
        <v/>
      </c>
      <c r="B1763" s="103">
        <f>Orders!B1763</f>
        <v/>
      </c>
      <c r="C1763" s="55">
        <f>Orders!C1763</f>
        <v/>
      </c>
      <c r="D1763" s="55">
        <f>Orders!D1763</f>
        <v/>
      </c>
      <c r="E1763" s="55">
        <f>Orders!E1763</f>
        <v/>
      </c>
      <c r="F1763" s="55">
        <f>Orders!F1763</f>
        <v/>
      </c>
      <c r="G1763" s="55">
        <f>Orders!G1763</f>
        <v/>
      </c>
      <c r="H1763" s="55">
        <f>Orders!H1763</f>
        <v/>
      </c>
      <c r="I1763" s="55">
        <f>Orders!I1763</f>
        <v/>
      </c>
      <c r="J1763" s="55">
        <f>Orders!J1763</f>
        <v/>
      </c>
      <c r="K1763" s="55">
        <f>Orders!K1763</f>
        <v/>
      </c>
      <c r="L1763" s="55">
        <f>VLOOKUP(D1763,Products!$A$2:$F$61,3,FALSE())</f>
        <v/>
      </c>
      <c r="M1763" s="55">
        <f>VLOOKUP(C1763,Customers!$A$2:$F$301,5,FALSE())</f>
        <v/>
      </c>
      <c r="N1763" s="55">
        <f>VLOOKUP(E1763,Sales_Reps!$A$2:$E$31,3,FALSE())</f>
        <v/>
      </c>
      <c r="O1763" s="55">
        <f>VLOOKUP(D1763,Products!$A$2:$F$61,4,FALSE())</f>
        <v/>
      </c>
      <c r="P1763" s="55">
        <f>VLOOKUP(C1763,Customers!$A$2:$F$301,3,FALSE())</f>
        <v/>
      </c>
      <c r="Q1763" s="55">
        <f>UPPER(TRIM(K1763))</f>
        <v/>
      </c>
      <c r="R1763" s="55">
        <f>(G1763-O1763)/G1763</f>
        <v/>
      </c>
      <c r="S1763" s="55">
        <f>VLOOKUP(D1763,Products!$A$2:$F$61,6,FALSE())</f>
        <v/>
      </c>
    </row>
    <row r="1764" ht="15" customHeight="1" s="56">
      <c r="A1764" s="55">
        <f>Orders!A1764</f>
        <v/>
      </c>
      <c r="B1764" s="103">
        <f>Orders!B1764</f>
        <v/>
      </c>
      <c r="C1764" s="55">
        <f>Orders!C1764</f>
        <v/>
      </c>
      <c r="D1764" s="55">
        <f>Orders!D1764</f>
        <v/>
      </c>
      <c r="E1764" s="55">
        <f>Orders!E1764</f>
        <v/>
      </c>
      <c r="F1764" s="55">
        <f>Orders!F1764</f>
        <v/>
      </c>
      <c r="G1764" s="55">
        <f>Orders!G1764</f>
        <v/>
      </c>
      <c r="H1764" s="55">
        <f>Orders!H1764</f>
        <v/>
      </c>
      <c r="I1764" s="55">
        <f>Orders!I1764</f>
        <v/>
      </c>
      <c r="J1764" s="55">
        <f>Orders!J1764</f>
        <v/>
      </c>
      <c r="K1764" s="55">
        <f>Orders!K1764</f>
        <v/>
      </c>
      <c r="L1764" s="55">
        <f>VLOOKUP(D1764,Products!$A$2:$F$61,3,FALSE())</f>
        <v/>
      </c>
      <c r="M1764" s="55">
        <f>VLOOKUP(C1764,Customers!$A$2:$F$301,5,FALSE())</f>
        <v/>
      </c>
      <c r="N1764" s="55">
        <f>VLOOKUP(E1764,Sales_Reps!$A$2:$E$31,3,FALSE())</f>
        <v/>
      </c>
      <c r="O1764" s="55">
        <f>VLOOKUP(D1764,Products!$A$2:$F$61,4,FALSE())</f>
        <v/>
      </c>
      <c r="P1764" s="55">
        <f>VLOOKUP(C1764,Customers!$A$2:$F$301,3,FALSE())</f>
        <v/>
      </c>
      <c r="Q1764" s="55">
        <f>UPPER(TRIM(K1764))</f>
        <v/>
      </c>
      <c r="R1764" s="55">
        <f>(G1764-O1764)/G1764</f>
        <v/>
      </c>
      <c r="S1764" s="55">
        <f>VLOOKUP(D1764,Products!$A$2:$F$61,6,FALSE())</f>
        <v/>
      </c>
    </row>
    <row r="1765" ht="15" customHeight="1" s="56">
      <c r="A1765" s="55">
        <f>Orders!A1765</f>
        <v/>
      </c>
      <c r="B1765" s="103">
        <f>Orders!B1765</f>
        <v/>
      </c>
      <c r="C1765" s="55">
        <f>Orders!C1765</f>
        <v/>
      </c>
      <c r="D1765" s="55">
        <f>Orders!D1765</f>
        <v/>
      </c>
      <c r="E1765" s="55">
        <f>Orders!E1765</f>
        <v/>
      </c>
      <c r="F1765" s="55">
        <f>Orders!F1765</f>
        <v/>
      </c>
      <c r="G1765" s="55">
        <f>Orders!G1765</f>
        <v/>
      </c>
      <c r="H1765" s="55">
        <f>Orders!H1765</f>
        <v/>
      </c>
      <c r="I1765" s="55">
        <f>Orders!I1765</f>
        <v/>
      </c>
      <c r="J1765" s="55">
        <f>Orders!J1765</f>
        <v/>
      </c>
      <c r="K1765" s="55">
        <f>Orders!K1765</f>
        <v/>
      </c>
      <c r="L1765" s="55">
        <f>VLOOKUP(D1765,Products!$A$2:$F$61,3,FALSE())</f>
        <v/>
      </c>
      <c r="M1765" s="55">
        <f>VLOOKUP(C1765,Customers!$A$2:$F$301,5,FALSE())</f>
        <v/>
      </c>
      <c r="N1765" s="55">
        <f>VLOOKUP(E1765,Sales_Reps!$A$2:$E$31,3,FALSE())</f>
        <v/>
      </c>
      <c r="O1765" s="55">
        <f>VLOOKUP(D1765,Products!$A$2:$F$61,4,FALSE())</f>
        <v/>
      </c>
      <c r="P1765" s="55">
        <f>VLOOKUP(C1765,Customers!$A$2:$F$301,3,FALSE())</f>
        <v/>
      </c>
      <c r="Q1765" s="55">
        <f>UPPER(TRIM(K1765))</f>
        <v/>
      </c>
      <c r="R1765" s="55">
        <f>(G1765-O1765)/G1765</f>
        <v/>
      </c>
      <c r="S1765" s="55">
        <f>VLOOKUP(D1765,Products!$A$2:$F$61,6,FALSE())</f>
        <v/>
      </c>
    </row>
    <row r="1766" ht="15" customHeight="1" s="56">
      <c r="A1766" s="55">
        <f>Orders!A1766</f>
        <v/>
      </c>
      <c r="B1766" s="103">
        <f>Orders!B1766</f>
        <v/>
      </c>
      <c r="C1766" s="55">
        <f>Orders!C1766</f>
        <v/>
      </c>
      <c r="D1766" s="55">
        <f>Orders!D1766</f>
        <v/>
      </c>
      <c r="E1766" s="55">
        <f>Orders!E1766</f>
        <v/>
      </c>
      <c r="F1766" s="55">
        <f>Orders!F1766</f>
        <v/>
      </c>
      <c r="G1766" s="55">
        <f>Orders!G1766</f>
        <v/>
      </c>
      <c r="H1766" s="55">
        <f>Orders!H1766</f>
        <v/>
      </c>
      <c r="I1766" s="55">
        <f>Orders!I1766</f>
        <v/>
      </c>
      <c r="J1766" s="55">
        <f>Orders!J1766</f>
        <v/>
      </c>
      <c r="K1766" s="55">
        <f>Orders!K1766</f>
        <v/>
      </c>
      <c r="L1766" s="55">
        <f>VLOOKUP(D1766,Products!$A$2:$F$61,3,FALSE())</f>
        <v/>
      </c>
      <c r="M1766" s="55">
        <f>VLOOKUP(C1766,Customers!$A$2:$F$301,5,FALSE())</f>
        <v/>
      </c>
      <c r="N1766" s="55">
        <f>VLOOKUP(E1766,Sales_Reps!$A$2:$E$31,3,FALSE())</f>
        <v/>
      </c>
      <c r="O1766" s="55">
        <f>VLOOKUP(D1766,Products!$A$2:$F$61,4,FALSE())</f>
        <v/>
      </c>
      <c r="P1766" s="55">
        <f>VLOOKUP(C1766,Customers!$A$2:$F$301,3,FALSE())</f>
        <v/>
      </c>
      <c r="Q1766" s="55">
        <f>UPPER(TRIM(K1766))</f>
        <v/>
      </c>
      <c r="R1766" s="55">
        <f>(G1766-O1766)/G1766</f>
        <v/>
      </c>
      <c r="S1766" s="55">
        <f>VLOOKUP(D1766,Products!$A$2:$F$61,6,FALSE())</f>
        <v/>
      </c>
    </row>
    <row r="1767" ht="15" customHeight="1" s="56">
      <c r="A1767" s="55">
        <f>Orders!A1767</f>
        <v/>
      </c>
      <c r="B1767" s="103">
        <f>Orders!B1767</f>
        <v/>
      </c>
      <c r="C1767" s="55">
        <f>Orders!C1767</f>
        <v/>
      </c>
      <c r="D1767" s="55">
        <f>Orders!D1767</f>
        <v/>
      </c>
      <c r="E1767" s="55">
        <f>Orders!E1767</f>
        <v/>
      </c>
      <c r="F1767" s="55">
        <f>Orders!F1767</f>
        <v/>
      </c>
      <c r="G1767" s="55">
        <f>Orders!G1767</f>
        <v/>
      </c>
      <c r="H1767" s="55">
        <f>Orders!H1767</f>
        <v/>
      </c>
      <c r="I1767" s="55">
        <f>Orders!I1767</f>
        <v/>
      </c>
      <c r="J1767" s="55">
        <f>Orders!J1767</f>
        <v/>
      </c>
      <c r="K1767" s="55">
        <f>Orders!K1767</f>
        <v/>
      </c>
      <c r="L1767" s="55">
        <f>VLOOKUP(D1767,Products!$A$2:$F$61,3,FALSE())</f>
        <v/>
      </c>
      <c r="M1767" s="55">
        <f>VLOOKUP(C1767,Customers!$A$2:$F$301,5,FALSE())</f>
        <v/>
      </c>
      <c r="N1767" s="55">
        <f>VLOOKUP(E1767,Sales_Reps!$A$2:$E$31,3,FALSE())</f>
        <v/>
      </c>
      <c r="O1767" s="55">
        <f>VLOOKUP(D1767,Products!$A$2:$F$61,4,FALSE())</f>
        <v/>
      </c>
      <c r="P1767" s="55">
        <f>VLOOKUP(C1767,Customers!$A$2:$F$301,3,FALSE())</f>
        <v/>
      </c>
      <c r="Q1767" s="55">
        <f>UPPER(TRIM(K1767))</f>
        <v/>
      </c>
      <c r="R1767" s="55">
        <f>(G1767-O1767)/G1767</f>
        <v/>
      </c>
      <c r="S1767" s="55">
        <f>VLOOKUP(D1767,Products!$A$2:$F$61,6,FALSE())</f>
        <v/>
      </c>
    </row>
    <row r="1768" ht="15" customHeight="1" s="56">
      <c r="A1768" s="55">
        <f>Orders!A1768</f>
        <v/>
      </c>
      <c r="B1768" s="103">
        <f>Orders!B1768</f>
        <v/>
      </c>
      <c r="C1768" s="55">
        <f>Orders!C1768</f>
        <v/>
      </c>
      <c r="D1768" s="55">
        <f>Orders!D1768</f>
        <v/>
      </c>
      <c r="E1768" s="55">
        <f>Orders!E1768</f>
        <v/>
      </c>
      <c r="F1768" s="55">
        <f>Orders!F1768</f>
        <v/>
      </c>
      <c r="G1768" s="55">
        <f>Orders!G1768</f>
        <v/>
      </c>
      <c r="H1768" s="55">
        <f>Orders!H1768</f>
        <v/>
      </c>
      <c r="I1768" s="55">
        <f>Orders!I1768</f>
        <v/>
      </c>
      <c r="J1768" s="55">
        <f>Orders!J1768</f>
        <v/>
      </c>
      <c r="K1768" s="55">
        <f>Orders!K1768</f>
        <v/>
      </c>
      <c r="L1768" s="55">
        <f>VLOOKUP(D1768,Products!$A$2:$F$61,3,FALSE())</f>
        <v/>
      </c>
      <c r="M1768" s="55">
        <f>VLOOKUP(C1768,Customers!$A$2:$F$301,5,FALSE())</f>
        <v/>
      </c>
      <c r="N1768" s="55">
        <f>VLOOKUP(E1768,Sales_Reps!$A$2:$E$31,3,FALSE())</f>
        <v/>
      </c>
      <c r="O1768" s="55">
        <f>VLOOKUP(D1768,Products!$A$2:$F$61,4,FALSE())</f>
        <v/>
      </c>
      <c r="P1768" s="55">
        <f>VLOOKUP(C1768,Customers!$A$2:$F$301,3,FALSE())</f>
        <v/>
      </c>
      <c r="Q1768" s="55">
        <f>UPPER(TRIM(K1768))</f>
        <v/>
      </c>
      <c r="R1768" s="55">
        <f>(G1768-O1768)/G1768</f>
        <v/>
      </c>
      <c r="S1768" s="55">
        <f>VLOOKUP(D1768,Products!$A$2:$F$61,6,FALSE())</f>
        <v/>
      </c>
    </row>
    <row r="1769" ht="15" customHeight="1" s="56">
      <c r="A1769" s="55">
        <f>Orders!A1769</f>
        <v/>
      </c>
      <c r="B1769" s="103">
        <f>Orders!B1769</f>
        <v/>
      </c>
      <c r="C1769" s="55">
        <f>Orders!C1769</f>
        <v/>
      </c>
      <c r="D1769" s="55">
        <f>Orders!D1769</f>
        <v/>
      </c>
      <c r="E1769" s="55">
        <f>Orders!E1769</f>
        <v/>
      </c>
      <c r="F1769" s="55">
        <f>Orders!F1769</f>
        <v/>
      </c>
      <c r="G1769" s="55">
        <f>Orders!G1769</f>
        <v/>
      </c>
      <c r="H1769" s="55">
        <f>Orders!H1769</f>
        <v/>
      </c>
      <c r="I1769" s="55">
        <f>Orders!I1769</f>
        <v/>
      </c>
      <c r="J1769" s="55">
        <f>Orders!J1769</f>
        <v/>
      </c>
      <c r="K1769" s="55">
        <f>Orders!K1769</f>
        <v/>
      </c>
      <c r="L1769" s="55">
        <f>VLOOKUP(D1769,Products!$A$2:$F$61,3,FALSE())</f>
        <v/>
      </c>
      <c r="M1769" s="55">
        <f>VLOOKUP(C1769,Customers!$A$2:$F$301,5,FALSE())</f>
        <v/>
      </c>
      <c r="N1769" s="55">
        <f>VLOOKUP(E1769,Sales_Reps!$A$2:$E$31,3,FALSE())</f>
        <v/>
      </c>
      <c r="O1769" s="55">
        <f>VLOOKUP(D1769,Products!$A$2:$F$61,4,FALSE())</f>
        <v/>
      </c>
      <c r="P1769" s="55">
        <f>VLOOKUP(C1769,Customers!$A$2:$F$301,3,FALSE())</f>
        <v/>
      </c>
      <c r="Q1769" s="55">
        <f>UPPER(TRIM(K1769))</f>
        <v/>
      </c>
      <c r="R1769" s="55">
        <f>(G1769-O1769)/G1769</f>
        <v/>
      </c>
      <c r="S1769" s="55">
        <f>VLOOKUP(D1769,Products!$A$2:$F$61,6,FALSE())</f>
        <v/>
      </c>
    </row>
    <row r="1770" ht="15" customHeight="1" s="56">
      <c r="A1770" s="55">
        <f>Orders!A1770</f>
        <v/>
      </c>
      <c r="B1770" s="103">
        <f>Orders!B1770</f>
        <v/>
      </c>
      <c r="C1770" s="55">
        <f>Orders!C1770</f>
        <v/>
      </c>
      <c r="D1770" s="55">
        <f>Orders!D1770</f>
        <v/>
      </c>
      <c r="E1770" s="55">
        <f>Orders!E1770</f>
        <v/>
      </c>
      <c r="F1770" s="55">
        <f>Orders!F1770</f>
        <v/>
      </c>
      <c r="G1770" s="55">
        <f>Orders!G1770</f>
        <v/>
      </c>
      <c r="H1770" s="55">
        <f>Orders!H1770</f>
        <v/>
      </c>
      <c r="I1770" s="55">
        <f>Orders!I1770</f>
        <v/>
      </c>
      <c r="J1770" s="55">
        <f>Orders!J1770</f>
        <v/>
      </c>
      <c r="K1770" s="55">
        <f>Orders!K1770</f>
        <v/>
      </c>
      <c r="L1770" s="55">
        <f>VLOOKUP(D1770,Products!$A$2:$F$61,3,FALSE())</f>
        <v/>
      </c>
      <c r="M1770" s="55">
        <f>VLOOKUP(C1770,Customers!$A$2:$F$301,5,FALSE())</f>
        <v/>
      </c>
      <c r="N1770" s="55">
        <f>VLOOKUP(E1770,Sales_Reps!$A$2:$E$31,3,FALSE())</f>
        <v/>
      </c>
      <c r="O1770" s="55">
        <f>VLOOKUP(D1770,Products!$A$2:$F$61,4,FALSE())</f>
        <v/>
      </c>
      <c r="P1770" s="55">
        <f>VLOOKUP(C1770,Customers!$A$2:$F$301,3,FALSE())</f>
        <v/>
      </c>
      <c r="Q1770" s="55">
        <f>UPPER(TRIM(K1770))</f>
        <v/>
      </c>
      <c r="R1770" s="55">
        <f>(G1770-O1770)/G1770</f>
        <v/>
      </c>
      <c r="S1770" s="55">
        <f>VLOOKUP(D1770,Products!$A$2:$F$61,6,FALSE())</f>
        <v/>
      </c>
    </row>
    <row r="1771" ht="15" customHeight="1" s="56">
      <c r="A1771" s="55">
        <f>Orders!A1771</f>
        <v/>
      </c>
      <c r="B1771" s="103">
        <f>Orders!B1771</f>
        <v/>
      </c>
      <c r="C1771" s="55">
        <f>Orders!C1771</f>
        <v/>
      </c>
      <c r="D1771" s="55">
        <f>Orders!D1771</f>
        <v/>
      </c>
      <c r="E1771" s="55">
        <f>Orders!E1771</f>
        <v/>
      </c>
      <c r="F1771" s="55">
        <f>Orders!F1771</f>
        <v/>
      </c>
      <c r="G1771" s="55">
        <f>Orders!G1771</f>
        <v/>
      </c>
      <c r="H1771" s="55">
        <f>Orders!H1771</f>
        <v/>
      </c>
      <c r="I1771" s="55">
        <f>Orders!I1771</f>
        <v/>
      </c>
      <c r="J1771" s="55">
        <f>Orders!J1771</f>
        <v/>
      </c>
      <c r="K1771" s="55">
        <f>Orders!K1771</f>
        <v/>
      </c>
      <c r="L1771" s="55">
        <f>VLOOKUP(D1771,Products!$A$2:$F$61,3,FALSE())</f>
        <v/>
      </c>
      <c r="M1771" s="55">
        <f>VLOOKUP(C1771,Customers!$A$2:$F$301,5,FALSE())</f>
        <v/>
      </c>
      <c r="N1771" s="55">
        <f>VLOOKUP(E1771,Sales_Reps!$A$2:$E$31,3,FALSE())</f>
        <v/>
      </c>
      <c r="O1771" s="55">
        <f>VLOOKUP(D1771,Products!$A$2:$F$61,4,FALSE())</f>
        <v/>
      </c>
      <c r="P1771" s="55">
        <f>VLOOKUP(C1771,Customers!$A$2:$F$301,3,FALSE())</f>
        <v/>
      </c>
      <c r="Q1771" s="55">
        <f>UPPER(TRIM(K1771))</f>
        <v/>
      </c>
      <c r="R1771" s="55">
        <f>(G1771-O1771)/G1771</f>
        <v/>
      </c>
      <c r="S1771" s="55">
        <f>VLOOKUP(D1771,Products!$A$2:$F$61,6,FALSE())</f>
        <v/>
      </c>
    </row>
    <row r="1772" ht="15" customHeight="1" s="56">
      <c r="A1772" s="55">
        <f>Orders!A1772</f>
        <v/>
      </c>
      <c r="B1772" s="103">
        <f>Orders!B1772</f>
        <v/>
      </c>
      <c r="C1772" s="55">
        <f>Orders!C1772</f>
        <v/>
      </c>
      <c r="D1772" s="55">
        <f>Orders!D1772</f>
        <v/>
      </c>
      <c r="E1772" s="55">
        <f>Orders!E1772</f>
        <v/>
      </c>
      <c r="F1772" s="55">
        <f>Orders!F1772</f>
        <v/>
      </c>
      <c r="G1772" s="55">
        <f>Orders!G1772</f>
        <v/>
      </c>
      <c r="H1772" s="55">
        <f>Orders!H1772</f>
        <v/>
      </c>
      <c r="I1772" s="55">
        <f>Orders!I1772</f>
        <v/>
      </c>
      <c r="J1772" s="55">
        <f>Orders!J1772</f>
        <v/>
      </c>
      <c r="K1772" s="55">
        <f>Orders!K1772</f>
        <v/>
      </c>
      <c r="L1772" s="55">
        <f>VLOOKUP(D1772,Products!$A$2:$F$61,3,FALSE())</f>
        <v/>
      </c>
      <c r="M1772" s="55">
        <f>VLOOKUP(C1772,Customers!$A$2:$F$301,5,FALSE())</f>
        <v/>
      </c>
      <c r="N1772" s="55">
        <f>VLOOKUP(E1772,Sales_Reps!$A$2:$E$31,3,FALSE())</f>
        <v/>
      </c>
      <c r="O1772" s="55">
        <f>VLOOKUP(D1772,Products!$A$2:$F$61,4,FALSE())</f>
        <v/>
      </c>
      <c r="P1772" s="55">
        <f>VLOOKUP(C1772,Customers!$A$2:$F$301,3,FALSE())</f>
        <v/>
      </c>
      <c r="Q1772" s="55">
        <f>UPPER(TRIM(K1772))</f>
        <v/>
      </c>
      <c r="R1772" s="55">
        <f>(G1772-O1772)/G1772</f>
        <v/>
      </c>
      <c r="S1772" s="55">
        <f>VLOOKUP(D1772,Products!$A$2:$F$61,6,FALSE())</f>
        <v/>
      </c>
    </row>
    <row r="1773" ht="15" customHeight="1" s="56">
      <c r="A1773" s="55">
        <f>Orders!A1773</f>
        <v/>
      </c>
      <c r="B1773" s="103">
        <f>Orders!B1773</f>
        <v/>
      </c>
      <c r="C1773" s="55">
        <f>Orders!C1773</f>
        <v/>
      </c>
      <c r="D1773" s="55">
        <f>Orders!D1773</f>
        <v/>
      </c>
      <c r="E1773" s="55">
        <f>Orders!E1773</f>
        <v/>
      </c>
      <c r="F1773" s="55">
        <f>Orders!F1773</f>
        <v/>
      </c>
      <c r="G1773" s="55">
        <f>Orders!G1773</f>
        <v/>
      </c>
      <c r="H1773" s="55">
        <f>Orders!H1773</f>
        <v/>
      </c>
      <c r="I1773" s="55">
        <f>Orders!I1773</f>
        <v/>
      </c>
      <c r="J1773" s="55">
        <f>Orders!J1773</f>
        <v/>
      </c>
      <c r="K1773" s="55">
        <f>Orders!K1773</f>
        <v/>
      </c>
      <c r="L1773" s="55">
        <f>VLOOKUP(D1773,Products!$A$2:$F$61,3,FALSE())</f>
        <v/>
      </c>
      <c r="M1773" s="55">
        <f>VLOOKUP(C1773,Customers!$A$2:$F$301,5,FALSE())</f>
        <v/>
      </c>
      <c r="N1773" s="55">
        <f>VLOOKUP(E1773,Sales_Reps!$A$2:$E$31,3,FALSE())</f>
        <v/>
      </c>
      <c r="O1773" s="55">
        <f>VLOOKUP(D1773,Products!$A$2:$F$61,4,FALSE())</f>
        <v/>
      </c>
      <c r="P1773" s="55">
        <f>VLOOKUP(C1773,Customers!$A$2:$F$301,3,FALSE())</f>
        <v/>
      </c>
      <c r="Q1773" s="55">
        <f>UPPER(TRIM(K1773))</f>
        <v/>
      </c>
      <c r="R1773" s="55">
        <f>(G1773-O1773)/G1773</f>
        <v/>
      </c>
      <c r="S1773" s="55">
        <f>VLOOKUP(D1773,Products!$A$2:$F$61,6,FALSE())</f>
        <v/>
      </c>
    </row>
    <row r="1774" ht="15" customHeight="1" s="56">
      <c r="A1774" s="55">
        <f>Orders!A1774</f>
        <v/>
      </c>
      <c r="B1774" s="103">
        <f>Orders!B1774</f>
        <v/>
      </c>
      <c r="C1774" s="55">
        <f>Orders!C1774</f>
        <v/>
      </c>
      <c r="D1774" s="55">
        <f>Orders!D1774</f>
        <v/>
      </c>
      <c r="E1774" s="55">
        <f>Orders!E1774</f>
        <v/>
      </c>
      <c r="F1774" s="55">
        <f>Orders!F1774</f>
        <v/>
      </c>
      <c r="G1774" s="55">
        <f>Orders!G1774</f>
        <v/>
      </c>
      <c r="H1774" s="55">
        <f>Orders!H1774</f>
        <v/>
      </c>
      <c r="I1774" s="55">
        <f>Orders!I1774</f>
        <v/>
      </c>
      <c r="J1774" s="55">
        <f>Orders!J1774</f>
        <v/>
      </c>
      <c r="K1774" s="55">
        <f>Orders!K1774</f>
        <v/>
      </c>
      <c r="L1774" s="55">
        <f>VLOOKUP(D1774,Products!$A$2:$F$61,3,FALSE())</f>
        <v/>
      </c>
      <c r="M1774" s="55">
        <f>VLOOKUP(C1774,Customers!$A$2:$F$301,5,FALSE())</f>
        <v/>
      </c>
      <c r="N1774" s="55">
        <f>VLOOKUP(E1774,Sales_Reps!$A$2:$E$31,3,FALSE())</f>
        <v/>
      </c>
      <c r="O1774" s="55">
        <f>VLOOKUP(D1774,Products!$A$2:$F$61,4,FALSE())</f>
        <v/>
      </c>
      <c r="P1774" s="55">
        <f>VLOOKUP(C1774,Customers!$A$2:$F$301,3,FALSE())</f>
        <v/>
      </c>
      <c r="Q1774" s="55">
        <f>UPPER(TRIM(K1774))</f>
        <v/>
      </c>
      <c r="R1774" s="55">
        <f>(G1774-O1774)/G1774</f>
        <v/>
      </c>
      <c r="S1774" s="55">
        <f>VLOOKUP(D1774,Products!$A$2:$F$61,6,FALSE())</f>
        <v/>
      </c>
    </row>
    <row r="1775" ht="15" customHeight="1" s="56">
      <c r="A1775" s="55">
        <f>Orders!A1775</f>
        <v/>
      </c>
      <c r="B1775" s="103">
        <f>Orders!B1775</f>
        <v/>
      </c>
      <c r="C1775" s="55">
        <f>Orders!C1775</f>
        <v/>
      </c>
      <c r="D1775" s="55">
        <f>Orders!D1775</f>
        <v/>
      </c>
      <c r="E1775" s="55">
        <f>Orders!E1775</f>
        <v/>
      </c>
      <c r="F1775" s="55">
        <f>Orders!F1775</f>
        <v/>
      </c>
      <c r="G1775" s="55">
        <f>Orders!G1775</f>
        <v/>
      </c>
      <c r="H1775" s="55">
        <f>Orders!H1775</f>
        <v/>
      </c>
      <c r="I1775" s="55">
        <f>Orders!I1775</f>
        <v/>
      </c>
      <c r="J1775" s="55">
        <f>Orders!J1775</f>
        <v/>
      </c>
      <c r="K1775" s="55">
        <f>Orders!K1775</f>
        <v/>
      </c>
      <c r="L1775" s="55">
        <f>VLOOKUP(D1775,Products!$A$2:$F$61,3,FALSE())</f>
        <v/>
      </c>
      <c r="M1775" s="55">
        <f>VLOOKUP(C1775,Customers!$A$2:$F$301,5,FALSE())</f>
        <v/>
      </c>
      <c r="N1775" s="55">
        <f>VLOOKUP(E1775,Sales_Reps!$A$2:$E$31,3,FALSE())</f>
        <v/>
      </c>
      <c r="O1775" s="55">
        <f>VLOOKUP(D1775,Products!$A$2:$F$61,4,FALSE())</f>
        <v/>
      </c>
      <c r="P1775" s="55">
        <f>VLOOKUP(C1775,Customers!$A$2:$F$301,3,FALSE())</f>
        <v/>
      </c>
      <c r="Q1775" s="55">
        <f>UPPER(TRIM(K1775))</f>
        <v/>
      </c>
      <c r="R1775" s="55">
        <f>(G1775-O1775)/G1775</f>
        <v/>
      </c>
      <c r="S1775" s="55">
        <f>VLOOKUP(D1775,Products!$A$2:$F$61,6,FALSE())</f>
        <v/>
      </c>
    </row>
    <row r="1776" ht="15" customHeight="1" s="56">
      <c r="A1776" s="55">
        <f>Orders!A1776</f>
        <v/>
      </c>
      <c r="B1776" s="103">
        <f>Orders!B1776</f>
        <v/>
      </c>
      <c r="C1776" s="55">
        <f>Orders!C1776</f>
        <v/>
      </c>
      <c r="D1776" s="55">
        <f>Orders!D1776</f>
        <v/>
      </c>
      <c r="E1776" s="55">
        <f>Orders!E1776</f>
        <v/>
      </c>
      <c r="F1776" s="55">
        <f>Orders!F1776</f>
        <v/>
      </c>
      <c r="G1776" s="55">
        <f>Orders!G1776</f>
        <v/>
      </c>
      <c r="H1776" s="55">
        <f>Orders!H1776</f>
        <v/>
      </c>
      <c r="I1776" s="55">
        <f>Orders!I1776</f>
        <v/>
      </c>
      <c r="J1776" s="55">
        <f>Orders!J1776</f>
        <v/>
      </c>
      <c r="K1776" s="55">
        <f>Orders!K1776</f>
        <v/>
      </c>
      <c r="L1776" s="55">
        <f>VLOOKUP(D1776,Products!$A$2:$F$61,3,FALSE())</f>
        <v/>
      </c>
      <c r="M1776" s="55">
        <f>VLOOKUP(C1776,Customers!$A$2:$F$301,5,FALSE())</f>
        <v/>
      </c>
      <c r="N1776" s="55">
        <f>VLOOKUP(E1776,Sales_Reps!$A$2:$E$31,3,FALSE())</f>
        <v/>
      </c>
      <c r="O1776" s="55">
        <f>VLOOKUP(D1776,Products!$A$2:$F$61,4,FALSE())</f>
        <v/>
      </c>
      <c r="P1776" s="55">
        <f>VLOOKUP(C1776,Customers!$A$2:$F$301,3,FALSE())</f>
        <v/>
      </c>
      <c r="Q1776" s="55">
        <f>UPPER(TRIM(K1776))</f>
        <v/>
      </c>
      <c r="R1776" s="55">
        <f>(G1776-O1776)/G1776</f>
        <v/>
      </c>
      <c r="S1776" s="55">
        <f>VLOOKUP(D1776,Products!$A$2:$F$61,6,FALSE())</f>
        <v/>
      </c>
    </row>
    <row r="1777" ht="15" customHeight="1" s="56">
      <c r="A1777" s="55">
        <f>Orders!A1777</f>
        <v/>
      </c>
      <c r="B1777" s="103">
        <f>Orders!B1777</f>
        <v/>
      </c>
      <c r="C1777" s="55">
        <f>Orders!C1777</f>
        <v/>
      </c>
      <c r="D1777" s="55">
        <f>Orders!D1777</f>
        <v/>
      </c>
      <c r="E1777" s="55">
        <f>Orders!E1777</f>
        <v/>
      </c>
      <c r="F1777" s="55">
        <f>Orders!F1777</f>
        <v/>
      </c>
      <c r="G1777" s="55">
        <f>Orders!G1777</f>
        <v/>
      </c>
      <c r="H1777" s="55">
        <f>Orders!H1777</f>
        <v/>
      </c>
      <c r="I1777" s="55">
        <f>Orders!I1777</f>
        <v/>
      </c>
      <c r="J1777" s="55">
        <f>Orders!J1777</f>
        <v/>
      </c>
      <c r="K1777" s="55">
        <f>Orders!K1777</f>
        <v/>
      </c>
      <c r="L1777" s="55">
        <f>VLOOKUP(D1777,Products!$A$2:$F$61,3,FALSE())</f>
        <v/>
      </c>
      <c r="M1777" s="55">
        <f>VLOOKUP(C1777,Customers!$A$2:$F$301,5,FALSE())</f>
        <v/>
      </c>
      <c r="N1777" s="55">
        <f>VLOOKUP(E1777,Sales_Reps!$A$2:$E$31,3,FALSE())</f>
        <v/>
      </c>
      <c r="O1777" s="55">
        <f>VLOOKUP(D1777,Products!$A$2:$F$61,4,FALSE())</f>
        <v/>
      </c>
      <c r="P1777" s="55">
        <f>VLOOKUP(C1777,Customers!$A$2:$F$301,3,FALSE())</f>
        <v/>
      </c>
      <c r="Q1777" s="55">
        <f>UPPER(TRIM(K1777))</f>
        <v/>
      </c>
      <c r="R1777" s="55">
        <f>(G1777-O1777)/G1777</f>
        <v/>
      </c>
      <c r="S1777" s="55">
        <f>VLOOKUP(D1777,Products!$A$2:$F$61,6,FALSE())</f>
        <v/>
      </c>
    </row>
    <row r="1778" ht="15" customHeight="1" s="56">
      <c r="A1778" s="55">
        <f>Orders!A1778</f>
        <v/>
      </c>
      <c r="B1778" s="103">
        <f>Orders!B1778</f>
        <v/>
      </c>
      <c r="C1778" s="55">
        <f>Orders!C1778</f>
        <v/>
      </c>
      <c r="D1778" s="55">
        <f>Orders!D1778</f>
        <v/>
      </c>
      <c r="E1778" s="55">
        <f>Orders!E1778</f>
        <v/>
      </c>
      <c r="F1778" s="55">
        <f>Orders!F1778</f>
        <v/>
      </c>
      <c r="G1778" s="55">
        <f>Orders!G1778</f>
        <v/>
      </c>
      <c r="H1778" s="55">
        <f>Orders!H1778</f>
        <v/>
      </c>
      <c r="I1778" s="55">
        <f>Orders!I1778</f>
        <v/>
      </c>
      <c r="J1778" s="55">
        <f>Orders!J1778</f>
        <v/>
      </c>
      <c r="K1778" s="55">
        <f>Orders!K1778</f>
        <v/>
      </c>
      <c r="L1778" s="55">
        <f>VLOOKUP(D1778,Products!$A$2:$F$61,3,FALSE())</f>
        <v/>
      </c>
      <c r="M1778" s="55">
        <f>VLOOKUP(C1778,Customers!$A$2:$F$301,5,FALSE())</f>
        <v/>
      </c>
      <c r="N1778" s="55">
        <f>VLOOKUP(E1778,Sales_Reps!$A$2:$E$31,3,FALSE())</f>
        <v/>
      </c>
      <c r="O1778" s="55">
        <f>VLOOKUP(D1778,Products!$A$2:$F$61,4,FALSE())</f>
        <v/>
      </c>
      <c r="P1778" s="55">
        <f>VLOOKUP(C1778,Customers!$A$2:$F$301,3,FALSE())</f>
        <v/>
      </c>
      <c r="Q1778" s="55">
        <f>UPPER(TRIM(K1778))</f>
        <v/>
      </c>
      <c r="R1778" s="55">
        <f>(G1778-O1778)/G1778</f>
        <v/>
      </c>
      <c r="S1778" s="55">
        <f>VLOOKUP(D1778,Products!$A$2:$F$61,6,FALSE())</f>
        <v/>
      </c>
    </row>
    <row r="1779" ht="15" customHeight="1" s="56">
      <c r="A1779" s="55">
        <f>Orders!A1779</f>
        <v/>
      </c>
      <c r="B1779" s="103">
        <f>Orders!B1779</f>
        <v/>
      </c>
      <c r="C1779" s="55">
        <f>Orders!C1779</f>
        <v/>
      </c>
      <c r="D1779" s="55">
        <f>Orders!D1779</f>
        <v/>
      </c>
      <c r="E1779" s="55">
        <f>Orders!E1779</f>
        <v/>
      </c>
      <c r="F1779" s="55">
        <f>Orders!F1779</f>
        <v/>
      </c>
      <c r="G1779" s="55">
        <f>Orders!G1779</f>
        <v/>
      </c>
      <c r="H1779" s="55">
        <f>Orders!H1779</f>
        <v/>
      </c>
      <c r="I1779" s="55">
        <f>Orders!I1779</f>
        <v/>
      </c>
      <c r="J1779" s="55">
        <f>Orders!J1779</f>
        <v/>
      </c>
      <c r="K1779" s="55">
        <f>Orders!K1779</f>
        <v/>
      </c>
      <c r="L1779" s="55">
        <f>VLOOKUP(D1779,Products!$A$2:$F$61,3,FALSE())</f>
        <v/>
      </c>
      <c r="M1779" s="55">
        <f>VLOOKUP(C1779,Customers!$A$2:$F$301,5,FALSE())</f>
        <v/>
      </c>
      <c r="N1779" s="55">
        <f>VLOOKUP(E1779,Sales_Reps!$A$2:$E$31,3,FALSE())</f>
        <v/>
      </c>
      <c r="O1779" s="55">
        <f>VLOOKUP(D1779,Products!$A$2:$F$61,4,FALSE())</f>
        <v/>
      </c>
      <c r="P1779" s="55">
        <f>VLOOKUP(C1779,Customers!$A$2:$F$301,3,FALSE())</f>
        <v/>
      </c>
      <c r="Q1779" s="55">
        <f>UPPER(TRIM(K1779))</f>
        <v/>
      </c>
      <c r="R1779" s="55">
        <f>(G1779-O1779)/G1779</f>
        <v/>
      </c>
      <c r="S1779" s="55">
        <f>VLOOKUP(D1779,Products!$A$2:$F$61,6,FALSE())</f>
        <v/>
      </c>
    </row>
    <row r="1780" ht="15" customHeight="1" s="56">
      <c r="A1780" s="55">
        <f>Orders!A1780</f>
        <v/>
      </c>
      <c r="B1780" s="103">
        <f>Orders!B1780</f>
        <v/>
      </c>
      <c r="C1780" s="55">
        <f>Orders!C1780</f>
        <v/>
      </c>
      <c r="D1780" s="55">
        <f>Orders!D1780</f>
        <v/>
      </c>
      <c r="E1780" s="55">
        <f>Orders!E1780</f>
        <v/>
      </c>
      <c r="F1780" s="55">
        <f>Orders!F1780</f>
        <v/>
      </c>
      <c r="G1780" s="55">
        <f>Orders!G1780</f>
        <v/>
      </c>
      <c r="H1780" s="55">
        <f>Orders!H1780</f>
        <v/>
      </c>
      <c r="I1780" s="55">
        <f>Orders!I1780</f>
        <v/>
      </c>
      <c r="J1780" s="55">
        <f>Orders!J1780</f>
        <v/>
      </c>
      <c r="K1780" s="55">
        <f>Orders!K1780</f>
        <v/>
      </c>
      <c r="L1780" s="55">
        <f>VLOOKUP(D1780,Products!$A$2:$F$61,3,FALSE())</f>
        <v/>
      </c>
      <c r="M1780" s="55">
        <f>VLOOKUP(C1780,Customers!$A$2:$F$301,5,FALSE())</f>
        <v/>
      </c>
      <c r="N1780" s="55">
        <f>VLOOKUP(E1780,Sales_Reps!$A$2:$E$31,3,FALSE())</f>
        <v/>
      </c>
      <c r="O1780" s="55">
        <f>VLOOKUP(D1780,Products!$A$2:$F$61,4,FALSE())</f>
        <v/>
      </c>
      <c r="P1780" s="55">
        <f>VLOOKUP(C1780,Customers!$A$2:$F$301,3,FALSE())</f>
        <v/>
      </c>
      <c r="Q1780" s="55">
        <f>UPPER(TRIM(K1780))</f>
        <v/>
      </c>
      <c r="R1780" s="55">
        <f>(G1780-O1780)/G1780</f>
        <v/>
      </c>
      <c r="S1780" s="55">
        <f>VLOOKUP(D1780,Products!$A$2:$F$61,6,FALSE())</f>
        <v/>
      </c>
    </row>
    <row r="1781" ht="15" customHeight="1" s="56">
      <c r="A1781" s="55">
        <f>Orders!A1781</f>
        <v/>
      </c>
      <c r="B1781" s="103">
        <f>Orders!B1781</f>
        <v/>
      </c>
      <c r="C1781" s="55">
        <f>Orders!C1781</f>
        <v/>
      </c>
      <c r="D1781" s="55">
        <f>Orders!D1781</f>
        <v/>
      </c>
      <c r="E1781" s="55">
        <f>Orders!E1781</f>
        <v/>
      </c>
      <c r="F1781" s="55">
        <f>Orders!F1781</f>
        <v/>
      </c>
      <c r="G1781" s="55">
        <f>Orders!G1781</f>
        <v/>
      </c>
      <c r="H1781" s="55">
        <f>Orders!H1781</f>
        <v/>
      </c>
      <c r="I1781" s="55">
        <f>Orders!I1781</f>
        <v/>
      </c>
      <c r="J1781" s="55">
        <f>Orders!J1781</f>
        <v/>
      </c>
      <c r="K1781" s="55">
        <f>Orders!K1781</f>
        <v/>
      </c>
      <c r="L1781" s="55">
        <f>VLOOKUP(D1781,Products!$A$2:$F$61,3,FALSE())</f>
        <v/>
      </c>
      <c r="M1781" s="55">
        <f>VLOOKUP(C1781,Customers!$A$2:$F$301,5,FALSE())</f>
        <v/>
      </c>
      <c r="N1781" s="55">
        <f>VLOOKUP(E1781,Sales_Reps!$A$2:$E$31,3,FALSE())</f>
        <v/>
      </c>
      <c r="O1781" s="55">
        <f>VLOOKUP(D1781,Products!$A$2:$F$61,4,FALSE())</f>
        <v/>
      </c>
      <c r="P1781" s="55">
        <f>VLOOKUP(C1781,Customers!$A$2:$F$301,3,FALSE())</f>
        <v/>
      </c>
      <c r="Q1781" s="55">
        <f>UPPER(TRIM(K1781))</f>
        <v/>
      </c>
      <c r="R1781" s="55">
        <f>(G1781-O1781)/G1781</f>
        <v/>
      </c>
      <c r="S1781" s="55">
        <f>VLOOKUP(D1781,Products!$A$2:$F$61,6,FALSE())</f>
        <v/>
      </c>
    </row>
    <row r="1782" ht="15" customHeight="1" s="56">
      <c r="A1782" s="55">
        <f>Orders!A1782</f>
        <v/>
      </c>
      <c r="B1782" s="103">
        <f>Orders!B1782</f>
        <v/>
      </c>
      <c r="C1782" s="55">
        <f>Orders!C1782</f>
        <v/>
      </c>
      <c r="D1782" s="55">
        <f>Orders!D1782</f>
        <v/>
      </c>
      <c r="E1782" s="55">
        <f>Orders!E1782</f>
        <v/>
      </c>
      <c r="F1782" s="55">
        <f>Orders!F1782</f>
        <v/>
      </c>
      <c r="G1782" s="55">
        <f>Orders!G1782</f>
        <v/>
      </c>
      <c r="H1782" s="55">
        <f>Orders!H1782</f>
        <v/>
      </c>
      <c r="I1782" s="55">
        <f>Orders!I1782</f>
        <v/>
      </c>
      <c r="J1782" s="55">
        <f>Orders!J1782</f>
        <v/>
      </c>
      <c r="K1782" s="55">
        <f>Orders!K1782</f>
        <v/>
      </c>
      <c r="L1782" s="55">
        <f>VLOOKUP(D1782,Products!$A$2:$F$61,3,FALSE())</f>
        <v/>
      </c>
      <c r="M1782" s="55">
        <f>VLOOKUP(C1782,Customers!$A$2:$F$301,5,FALSE())</f>
        <v/>
      </c>
      <c r="N1782" s="55">
        <f>VLOOKUP(E1782,Sales_Reps!$A$2:$E$31,3,FALSE())</f>
        <v/>
      </c>
      <c r="O1782" s="55">
        <f>VLOOKUP(D1782,Products!$A$2:$F$61,4,FALSE())</f>
        <v/>
      </c>
      <c r="P1782" s="55">
        <f>VLOOKUP(C1782,Customers!$A$2:$F$301,3,FALSE())</f>
        <v/>
      </c>
      <c r="Q1782" s="55">
        <f>UPPER(TRIM(K1782))</f>
        <v/>
      </c>
      <c r="R1782" s="55">
        <f>(G1782-O1782)/G1782</f>
        <v/>
      </c>
      <c r="S1782" s="55">
        <f>VLOOKUP(D1782,Products!$A$2:$F$61,6,FALSE())</f>
        <v/>
      </c>
    </row>
    <row r="1783" ht="15" customHeight="1" s="56">
      <c r="A1783" s="55">
        <f>Orders!A1783</f>
        <v/>
      </c>
      <c r="B1783" s="103">
        <f>Orders!B1783</f>
        <v/>
      </c>
      <c r="C1783" s="55">
        <f>Orders!C1783</f>
        <v/>
      </c>
      <c r="D1783" s="55">
        <f>Orders!D1783</f>
        <v/>
      </c>
      <c r="E1783" s="55">
        <f>Orders!E1783</f>
        <v/>
      </c>
      <c r="F1783" s="55">
        <f>Orders!F1783</f>
        <v/>
      </c>
      <c r="G1783" s="55">
        <f>Orders!G1783</f>
        <v/>
      </c>
      <c r="H1783" s="55">
        <f>Orders!H1783</f>
        <v/>
      </c>
      <c r="I1783" s="55">
        <f>Orders!I1783</f>
        <v/>
      </c>
      <c r="J1783" s="55">
        <f>Orders!J1783</f>
        <v/>
      </c>
      <c r="K1783" s="55">
        <f>Orders!K1783</f>
        <v/>
      </c>
      <c r="L1783" s="55">
        <f>VLOOKUP(D1783,Products!$A$2:$F$61,3,FALSE())</f>
        <v/>
      </c>
      <c r="M1783" s="55">
        <f>VLOOKUP(C1783,Customers!$A$2:$F$301,5,FALSE())</f>
        <v/>
      </c>
      <c r="N1783" s="55">
        <f>VLOOKUP(E1783,Sales_Reps!$A$2:$E$31,3,FALSE())</f>
        <v/>
      </c>
      <c r="O1783" s="55">
        <f>VLOOKUP(D1783,Products!$A$2:$F$61,4,FALSE())</f>
        <v/>
      </c>
      <c r="P1783" s="55">
        <f>VLOOKUP(C1783,Customers!$A$2:$F$301,3,FALSE())</f>
        <v/>
      </c>
      <c r="Q1783" s="55">
        <f>UPPER(TRIM(K1783))</f>
        <v/>
      </c>
      <c r="R1783" s="55">
        <f>(G1783-O1783)/G1783</f>
        <v/>
      </c>
      <c r="S1783" s="55">
        <f>VLOOKUP(D1783,Products!$A$2:$F$61,6,FALSE())</f>
        <v/>
      </c>
    </row>
    <row r="1784" ht="15" customHeight="1" s="56">
      <c r="A1784" s="55">
        <f>Orders!A1784</f>
        <v/>
      </c>
      <c r="B1784" s="103">
        <f>Orders!B1784</f>
        <v/>
      </c>
      <c r="C1784" s="55">
        <f>Orders!C1784</f>
        <v/>
      </c>
      <c r="D1784" s="55">
        <f>Orders!D1784</f>
        <v/>
      </c>
      <c r="E1784" s="55">
        <f>Orders!E1784</f>
        <v/>
      </c>
      <c r="F1784" s="55">
        <f>Orders!F1784</f>
        <v/>
      </c>
      <c r="G1784" s="55">
        <f>Orders!G1784</f>
        <v/>
      </c>
      <c r="H1784" s="55">
        <f>Orders!H1784</f>
        <v/>
      </c>
      <c r="I1784" s="55">
        <f>Orders!I1784</f>
        <v/>
      </c>
      <c r="J1784" s="55">
        <f>Orders!J1784</f>
        <v/>
      </c>
      <c r="K1784" s="55">
        <f>Orders!K1784</f>
        <v/>
      </c>
      <c r="L1784" s="55">
        <f>VLOOKUP(D1784,Products!$A$2:$F$61,3,FALSE())</f>
        <v/>
      </c>
      <c r="M1784" s="55">
        <f>VLOOKUP(C1784,Customers!$A$2:$F$301,5,FALSE())</f>
        <v/>
      </c>
      <c r="N1784" s="55">
        <f>VLOOKUP(E1784,Sales_Reps!$A$2:$E$31,3,FALSE())</f>
        <v/>
      </c>
      <c r="O1784" s="55">
        <f>VLOOKUP(D1784,Products!$A$2:$F$61,4,FALSE())</f>
        <v/>
      </c>
      <c r="P1784" s="55">
        <f>VLOOKUP(C1784,Customers!$A$2:$F$301,3,FALSE())</f>
        <v/>
      </c>
      <c r="Q1784" s="55">
        <f>UPPER(TRIM(K1784))</f>
        <v/>
      </c>
      <c r="R1784" s="55">
        <f>(G1784-O1784)/G1784</f>
        <v/>
      </c>
      <c r="S1784" s="55">
        <f>VLOOKUP(D1784,Products!$A$2:$F$61,6,FALSE())</f>
        <v/>
      </c>
    </row>
    <row r="1785" ht="15" customHeight="1" s="56">
      <c r="A1785" s="55">
        <f>Orders!A1785</f>
        <v/>
      </c>
      <c r="B1785" s="103">
        <f>Orders!B1785</f>
        <v/>
      </c>
      <c r="C1785" s="55">
        <f>Orders!C1785</f>
        <v/>
      </c>
      <c r="D1785" s="55">
        <f>Orders!D1785</f>
        <v/>
      </c>
      <c r="E1785" s="55">
        <f>Orders!E1785</f>
        <v/>
      </c>
      <c r="F1785" s="55">
        <f>Orders!F1785</f>
        <v/>
      </c>
      <c r="G1785" s="55">
        <f>Orders!G1785</f>
        <v/>
      </c>
      <c r="H1785" s="55">
        <f>Orders!H1785</f>
        <v/>
      </c>
      <c r="I1785" s="55">
        <f>Orders!I1785</f>
        <v/>
      </c>
      <c r="J1785" s="55">
        <f>Orders!J1785</f>
        <v/>
      </c>
      <c r="K1785" s="55">
        <f>Orders!K1785</f>
        <v/>
      </c>
      <c r="L1785" s="55">
        <f>VLOOKUP(D1785,Products!$A$2:$F$61,3,FALSE())</f>
        <v/>
      </c>
      <c r="M1785" s="55">
        <f>VLOOKUP(C1785,Customers!$A$2:$F$301,5,FALSE())</f>
        <v/>
      </c>
      <c r="N1785" s="55">
        <f>VLOOKUP(E1785,Sales_Reps!$A$2:$E$31,3,FALSE())</f>
        <v/>
      </c>
      <c r="O1785" s="55">
        <f>VLOOKUP(D1785,Products!$A$2:$F$61,4,FALSE())</f>
        <v/>
      </c>
      <c r="P1785" s="55">
        <f>VLOOKUP(C1785,Customers!$A$2:$F$301,3,FALSE())</f>
        <v/>
      </c>
      <c r="Q1785" s="55">
        <f>UPPER(TRIM(K1785))</f>
        <v/>
      </c>
      <c r="R1785" s="55">
        <f>(G1785-O1785)/G1785</f>
        <v/>
      </c>
      <c r="S1785" s="55">
        <f>VLOOKUP(D1785,Products!$A$2:$F$61,6,FALSE())</f>
        <v/>
      </c>
    </row>
    <row r="1786" ht="15" customHeight="1" s="56">
      <c r="A1786" s="55">
        <f>Orders!A1786</f>
        <v/>
      </c>
      <c r="B1786" s="103">
        <f>Orders!B1786</f>
        <v/>
      </c>
      <c r="C1786" s="55">
        <f>Orders!C1786</f>
        <v/>
      </c>
      <c r="D1786" s="55">
        <f>Orders!D1786</f>
        <v/>
      </c>
      <c r="E1786" s="55">
        <f>Orders!E1786</f>
        <v/>
      </c>
      <c r="F1786" s="55">
        <f>Orders!F1786</f>
        <v/>
      </c>
      <c r="G1786" s="55">
        <f>Orders!G1786</f>
        <v/>
      </c>
      <c r="H1786" s="55">
        <f>Orders!H1786</f>
        <v/>
      </c>
      <c r="I1786" s="55">
        <f>Orders!I1786</f>
        <v/>
      </c>
      <c r="J1786" s="55">
        <f>Orders!J1786</f>
        <v/>
      </c>
      <c r="K1786" s="55">
        <f>Orders!K1786</f>
        <v/>
      </c>
      <c r="L1786" s="55">
        <f>VLOOKUP(D1786,Products!$A$2:$F$61,3,FALSE())</f>
        <v/>
      </c>
      <c r="M1786" s="55">
        <f>VLOOKUP(C1786,Customers!$A$2:$F$301,5,FALSE())</f>
        <v/>
      </c>
      <c r="N1786" s="55">
        <f>VLOOKUP(E1786,Sales_Reps!$A$2:$E$31,3,FALSE())</f>
        <v/>
      </c>
      <c r="O1786" s="55">
        <f>VLOOKUP(D1786,Products!$A$2:$F$61,4,FALSE())</f>
        <v/>
      </c>
      <c r="P1786" s="55">
        <f>VLOOKUP(C1786,Customers!$A$2:$F$301,3,FALSE())</f>
        <v/>
      </c>
      <c r="Q1786" s="55">
        <f>UPPER(TRIM(K1786))</f>
        <v/>
      </c>
      <c r="R1786" s="55">
        <f>(G1786-O1786)/G1786</f>
        <v/>
      </c>
      <c r="S1786" s="55">
        <f>VLOOKUP(D1786,Products!$A$2:$F$61,6,FALSE())</f>
        <v/>
      </c>
    </row>
    <row r="1787" ht="15" customHeight="1" s="56">
      <c r="A1787" s="55">
        <f>Orders!A1787</f>
        <v/>
      </c>
      <c r="B1787" s="103">
        <f>Orders!B1787</f>
        <v/>
      </c>
      <c r="C1787" s="55">
        <f>Orders!C1787</f>
        <v/>
      </c>
      <c r="D1787" s="55">
        <f>Orders!D1787</f>
        <v/>
      </c>
      <c r="E1787" s="55">
        <f>Orders!E1787</f>
        <v/>
      </c>
      <c r="F1787" s="55">
        <f>Orders!F1787</f>
        <v/>
      </c>
      <c r="G1787" s="55">
        <f>Orders!G1787</f>
        <v/>
      </c>
      <c r="H1787" s="55">
        <f>Orders!H1787</f>
        <v/>
      </c>
      <c r="I1787" s="55">
        <f>Orders!I1787</f>
        <v/>
      </c>
      <c r="J1787" s="55">
        <f>Orders!J1787</f>
        <v/>
      </c>
      <c r="K1787" s="55">
        <f>Orders!K1787</f>
        <v/>
      </c>
      <c r="L1787" s="55">
        <f>VLOOKUP(D1787,Products!$A$2:$F$61,3,FALSE())</f>
        <v/>
      </c>
      <c r="M1787" s="55">
        <f>VLOOKUP(C1787,Customers!$A$2:$F$301,5,FALSE())</f>
        <v/>
      </c>
      <c r="N1787" s="55">
        <f>VLOOKUP(E1787,Sales_Reps!$A$2:$E$31,3,FALSE())</f>
        <v/>
      </c>
      <c r="O1787" s="55">
        <f>VLOOKUP(D1787,Products!$A$2:$F$61,4,FALSE())</f>
        <v/>
      </c>
      <c r="P1787" s="55">
        <f>VLOOKUP(C1787,Customers!$A$2:$F$301,3,FALSE())</f>
        <v/>
      </c>
      <c r="Q1787" s="55">
        <f>UPPER(TRIM(K1787))</f>
        <v/>
      </c>
      <c r="R1787" s="55">
        <f>(G1787-O1787)/G1787</f>
        <v/>
      </c>
      <c r="S1787" s="55">
        <f>VLOOKUP(D1787,Products!$A$2:$F$61,6,FALSE())</f>
        <v/>
      </c>
    </row>
    <row r="1788" ht="15" customHeight="1" s="56">
      <c r="A1788" s="55">
        <f>Orders!A1788</f>
        <v/>
      </c>
      <c r="B1788" s="103">
        <f>Orders!B1788</f>
        <v/>
      </c>
      <c r="C1788" s="55">
        <f>Orders!C1788</f>
        <v/>
      </c>
      <c r="D1788" s="55">
        <f>Orders!D1788</f>
        <v/>
      </c>
      <c r="E1788" s="55">
        <f>Orders!E1788</f>
        <v/>
      </c>
      <c r="F1788" s="55">
        <f>Orders!F1788</f>
        <v/>
      </c>
      <c r="G1788" s="55">
        <f>Orders!G1788</f>
        <v/>
      </c>
      <c r="H1788" s="55">
        <f>Orders!H1788</f>
        <v/>
      </c>
      <c r="I1788" s="55">
        <f>Orders!I1788</f>
        <v/>
      </c>
      <c r="J1788" s="55">
        <f>Orders!J1788</f>
        <v/>
      </c>
      <c r="K1788" s="55">
        <f>Orders!K1788</f>
        <v/>
      </c>
      <c r="L1788" s="55">
        <f>VLOOKUP(D1788,Products!$A$2:$F$61,3,FALSE())</f>
        <v/>
      </c>
      <c r="M1788" s="55">
        <f>VLOOKUP(C1788,Customers!$A$2:$F$301,5,FALSE())</f>
        <v/>
      </c>
      <c r="N1788" s="55">
        <f>VLOOKUP(E1788,Sales_Reps!$A$2:$E$31,3,FALSE())</f>
        <v/>
      </c>
      <c r="O1788" s="55">
        <f>VLOOKUP(D1788,Products!$A$2:$F$61,4,FALSE())</f>
        <v/>
      </c>
      <c r="P1788" s="55">
        <f>VLOOKUP(C1788,Customers!$A$2:$F$301,3,FALSE())</f>
        <v/>
      </c>
      <c r="Q1788" s="55">
        <f>UPPER(TRIM(K1788))</f>
        <v/>
      </c>
      <c r="R1788" s="55">
        <f>(G1788-O1788)/G1788</f>
        <v/>
      </c>
      <c r="S1788" s="55">
        <f>VLOOKUP(D1788,Products!$A$2:$F$61,6,FALSE())</f>
        <v/>
      </c>
    </row>
    <row r="1789" ht="15" customHeight="1" s="56">
      <c r="A1789" s="55">
        <f>Orders!A1789</f>
        <v/>
      </c>
      <c r="B1789" s="103">
        <f>Orders!B1789</f>
        <v/>
      </c>
      <c r="C1789" s="55">
        <f>Orders!C1789</f>
        <v/>
      </c>
      <c r="D1789" s="55">
        <f>Orders!D1789</f>
        <v/>
      </c>
      <c r="E1789" s="55">
        <f>Orders!E1789</f>
        <v/>
      </c>
      <c r="F1789" s="55">
        <f>Orders!F1789</f>
        <v/>
      </c>
      <c r="G1789" s="55">
        <f>Orders!G1789</f>
        <v/>
      </c>
      <c r="H1789" s="55">
        <f>Orders!H1789</f>
        <v/>
      </c>
      <c r="I1789" s="55">
        <f>Orders!I1789</f>
        <v/>
      </c>
      <c r="J1789" s="55">
        <f>Orders!J1789</f>
        <v/>
      </c>
      <c r="K1789" s="55">
        <f>Orders!K1789</f>
        <v/>
      </c>
      <c r="L1789" s="55">
        <f>VLOOKUP(D1789,Products!$A$2:$F$61,3,FALSE())</f>
        <v/>
      </c>
      <c r="M1789" s="55">
        <f>VLOOKUP(C1789,Customers!$A$2:$F$301,5,FALSE())</f>
        <v/>
      </c>
      <c r="N1789" s="55">
        <f>VLOOKUP(E1789,Sales_Reps!$A$2:$E$31,3,FALSE())</f>
        <v/>
      </c>
      <c r="O1789" s="55">
        <f>VLOOKUP(D1789,Products!$A$2:$F$61,4,FALSE())</f>
        <v/>
      </c>
      <c r="P1789" s="55">
        <f>VLOOKUP(C1789,Customers!$A$2:$F$301,3,FALSE())</f>
        <v/>
      </c>
      <c r="Q1789" s="55">
        <f>UPPER(TRIM(K1789))</f>
        <v/>
      </c>
      <c r="R1789" s="55">
        <f>(G1789-O1789)/G1789</f>
        <v/>
      </c>
      <c r="S1789" s="55">
        <f>VLOOKUP(D1789,Products!$A$2:$F$61,6,FALSE())</f>
        <v/>
      </c>
    </row>
    <row r="1790" ht="15" customHeight="1" s="56">
      <c r="A1790" s="55">
        <f>Orders!A1790</f>
        <v/>
      </c>
      <c r="B1790" s="103">
        <f>Orders!B1790</f>
        <v/>
      </c>
      <c r="C1790" s="55">
        <f>Orders!C1790</f>
        <v/>
      </c>
      <c r="D1790" s="55">
        <f>Orders!D1790</f>
        <v/>
      </c>
      <c r="E1790" s="55">
        <f>Orders!E1790</f>
        <v/>
      </c>
      <c r="F1790" s="55">
        <f>Orders!F1790</f>
        <v/>
      </c>
      <c r="G1790" s="55">
        <f>Orders!G1790</f>
        <v/>
      </c>
      <c r="H1790" s="55">
        <f>Orders!H1790</f>
        <v/>
      </c>
      <c r="I1790" s="55">
        <f>Orders!I1790</f>
        <v/>
      </c>
      <c r="J1790" s="55">
        <f>Orders!J1790</f>
        <v/>
      </c>
      <c r="K1790" s="55">
        <f>Orders!K1790</f>
        <v/>
      </c>
      <c r="L1790" s="55">
        <f>VLOOKUP(D1790,Products!$A$2:$F$61,3,FALSE())</f>
        <v/>
      </c>
      <c r="M1790" s="55">
        <f>VLOOKUP(C1790,Customers!$A$2:$F$301,5,FALSE())</f>
        <v/>
      </c>
      <c r="N1790" s="55">
        <f>VLOOKUP(E1790,Sales_Reps!$A$2:$E$31,3,FALSE())</f>
        <v/>
      </c>
      <c r="O1790" s="55">
        <f>VLOOKUP(D1790,Products!$A$2:$F$61,4,FALSE())</f>
        <v/>
      </c>
      <c r="P1790" s="55">
        <f>VLOOKUP(C1790,Customers!$A$2:$F$301,3,FALSE())</f>
        <v/>
      </c>
      <c r="Q1790" s="55">
        <f>UPPER(TRIM(K1790))</f>
        <v/>
      </c>
      <c r="R1790" s="55">
        <f>(G1790-O1790)/G1790</f>
        <v/>
      </c>
      <c r="S1790" s="55">
        <f>VLOOKUP(D1790,Products!$A$2:$F$61,6,FALSE())</f>
        <v/>
      </c>
    </row>
    <row r="1791" ht="15" customHeight="1" s="56">
      <c r="A1791" s="55">
        <f>Orders!A1791</f>
        <v/>
      </c>
      <c r="B1791" s="103">
        <f>Orders!B1791</f>
        <v/>
      </c>
      <c r="C1791" s="55">
        <f>Orders!C1791</f>
        <v/>
      </c>
      <c r="D1791" s="55">
        <f>Orders!D1791</f>
        <v/>
      </c>
      <c r="E1791" s="55">
        <f>Orders!E1791</f>
        <v/>
      </c>
      <c r="F1791" s="55">
        <f>Orders!F1791</f>
        <v/>
      </c>
      <c r="G1791" s="55">
        <f>Orders!G1791</f>
        <v/>
      </c>
      <c r="H1791" s="55">
        <f>Orders!H1791</f>
        <v/>
      </c>
      <c r="I1791" s="55">
        <f>Orders!I1791</f>
        <v/>
      </c>
      <c r="J1791" s="55">
        <f>Orders!J1791</f>
        <v/>
      </c>
      <c r="K1791" s="55">
        <f>Orders!K1791</f>
        <v/>
      </c>
      <c r="L1791" s="55">
        <f>VLOOKUP(D1791,Products!$A$2:$F$61,3,FALSE())</f>
        <v/>
      </c>
      <c r="M1791" s="55">
        <f>VLOOKUP(C1791,Customers!$A$2:$F$301,5,FALSE())</f>
        <v/>
      </c>
      <c r="N1791" s="55">
        <f>VLOOKUP(E1791,Sales_Reps!$A$2:$E$31,3,FALSE())</f>
        <v/>
      </c>
      <c r="O1791" s="55">
        <f>VLOOKUP(D1791,Products!$A$2:$F$61,4,FALSE())</f>
        <v/>
      </c>
      <c r="P1791" s="55">
        <f>VLOOKUP(C1791,Customers!$A$2:$F$301,3,FALSE())</f>
        <v/>
      </c>
      <c r="Q1791" s="55">
        <f>UPPER(TRIM(K1791))</f>
        <v/>
      </c>
      <c r="R1791" s="55">
        <f>(G1791-O1791)/G1791</f>
        <v/>
      </c>
      <c r="S1791" s="55">
        <f>VLOOKUP(D1791,Products!$A$2:$F$61,6,FALSE())</f>
        <v/>
      </c>
    </row>
    <row r="1792" ht="15" customHeight="1" s="56">
      <c r="A1792" s="55">
        <f>Orders!A1792</f>
        <v/>
      </c>
      <c r="B1792" s="103">
        <f>Orders!B1792</f>
        <v/>
      </c>
      <c r="C1792" s="55">
        <f>Orders!C1792</f>
        <v/>
      </c>
      <c r="D1792" s="55">
        <f>Orders!D1792</f>
        <v/>
      </c>
      <c r="E1792" s="55">
        <f>Orders!E1792</f>
        <v/>
      </c>
      <c r="F1792" s="55">
        <f>Orders!F1792</f>
        <v/>
      </c>
      <c r="G1792" s="55">
        <f>Orders!G1792</f>
        <v/>
      </c>
      <c r="H1792" s="55">
        <f>Orders!H1792</f>
        <v/>
      </c>
      <c r="I1792" s="55">
        <f>Orders!I1792</f>
        <v/>
      </c>
      <c r="J1792" s="55">
        <f>Orders!J1792</f>
        <v/>
      </c>
      <c r="K1792" s="55">
        <f>Orders!K1792</f>
        <v/>
      </c>
      <c r="L1792" s="55">
        <f>VLOOKUP(D1792,Products!$A$2:$F$61,3,FALSE())</f>
        <v/>
      </c>
      <c r="M1792" s="55">
        <f>VLOOKUP(C1792,Customers!$A$2:$F$301,5,FALSE())</f>
        <v/>
      </c>
      <c r="N1792" s="55">
        <f>VLOOKUP(E1792,Sales_Reps!$A$2:$E$31,3,FALSE())</f>
        <v/>
      </c>
      <c r="O1792" s="55">
        <f>VLOOKUP(D1792,Products!$A$2:$F$61,4,FALSE())</f>
        <v/>
      </c>
      <c r="P1792" s="55">
        <f>VLOOKUP(C1792,Customers!$A$2:$F$301,3,FALSE())</f>
        <v/>
      </c>
      <c r="Q1792" s="55">
        <f>UPPER(TRIM(K1792))</f>
        <v/>
      </c>
      <c r="R1792" s="55">
        <f>(G1792-O1792)/G1792</f>
        <v/>
      </c>
      <c r="S1792" s="55">
        <f>VLOOKUP(D1792,Products!$A$2:$F$61,6,FALSE())</f>
        <v/>
      </c>
    </row>
    <row r="1793" ht="15" customHeight="1" s="56">
      <c r="A1793" s="55">
        <f>Orders!A1793</f>
        <v/>
      </c>
      <c r="B1793" s="103">
        <f>Orders!B1793</f>
        <v/>
      </c>
      <c r="C1793" s="55">
        <f>Orders!C1793</f>
        <v/>
      </c>
      <c r="D1793" s="55">
        <f>Orders!D1793</f>
        <v/>
      </c>
      <c r="E1793" s="55">
        <f>Orders!E1793</f>
        <v/>
      </c>
      <c r="F1793" s="55">
        <f>Orders!F1793</f>
        <v/>
      </c>
      <c r="G1793" s="55">
        <f>Orders!G1793</f>
        <v/>
      </c>
      <c r="H1793" s="55">
        <f>Orders!H1793</f>
        <v/>
      </c>
      <c r="I1793" s="55">
        <f>Orders!I1793</f>
        <v/>
      </c>
      <c r="J1793" s="55">
        <f>Orders!J1793</f>
        <v/>
      </c>
      <c r="K1793" s="55">
        <f>Orders!K1793</f>
        <v/>
      </c>
      <c r="L1793" s="55">
        <f>VLOOKUP(D1793,Products!$A$2:$F$61,3,FALSE())</f>
        <v/>
      </c>
      <c r="M1793" s="55">
        <f>VLOOKUP(C1793,Customers!$A$2:$F$301,5,FALSE())</f>
        <v/>
      </c>
      <c r="N1793" s="55">
        <f>VLOOKUP(E1793,Sales_Reps!$A$2:$E$31,3,FALSE())</f>
        <v/>
      </c>
      <c r="O1793" s="55">
        <f>VLOOKUP(D1793,Products!$A$2:$F$61,4,FALSE())</f>
        <v/>
      </c>
      <c r="P1793" s="55">
        <f>VLOOKUP(C1793,Customers!$A$2:$F$301,3,FALSE())</f>
        <v/>
      </c>
      <c r="Q1793" s="55">
        <f>UPPER(TRIM(K1793))</f>
        <v/>
      </c>
      <c r="R1793" s="55">
        <f>(G1793-O1793)/G1793</f>
        <v/>
      </c>
      <c r="S1793" s="55">
        <f>VLOOKUP(D1793,Products!$A$2:$F$61,6,FALSE())</f>
        <v/>
      </c>
    </row>
    <row r="1794" ht="15" customHeight="1" s="56">
      <c r="A1794" s="55">
        <f>Orders!A1794</f>
        <v/>
      </c>
      <c r="B1794" s="103">
        <f>Orders!B1794</f>
        <v/>
      </c>
      <c r="C1794" s="55">
        <f>Orders!C1794</f>
        <v/>
      </c>
      <c r="D1794" s="55">
        <f>Orders!D1794</f>
        <v/>
      </c>
      <c r="E1794" s="55">
        <f>Orders!E1794</f>
        <v/>
      </c>
      <c r="F1794" s="55">
        <f>Orders!F1794</f>
        <v/>
      </c>
      <c r="G1794" s="55">
        <f>Orders!G1794</f>
        <v/>
      </c>
      <c r="H1794" s="55">
        <f>Orders!H1794</f>
        <v/>
      </c>
      <c r="I1794" s="55">
        <f>Orders!I1794</f>
        <v/>
      </c>
      <c r="J1794" s="55">
        <f>Orders!J1794</f>
        <v/>
      </c>
      <c r="K1794" s="55">
        <f>Orders!K1794</f>
        <v/>
      </c>
      <c r="L1794" s="55">
        <f>VLOOKUP(D1794,Products!$A$2:$F$61,3,FALSE())</f>
        <v/>
      </c>
      <c r="M1794" s="55">
        <f>VLOOKUP(C1794,Customers!$A$2:$F$301,5,FALSE())</f>
        <v/>
      </c>
      <c r="N1794" s="55">
        <f>VLOOKUP(E1794,Sales_Reps!$A$2:$E$31,3,FALSE())</f>
        <v/>
      </c>
      <c r="O1794" s="55">
        <f>VLOOKUP(D1794,Products!$A$2:$F$61,4,FALSE())</f>
        <v/>
      </c>
      <c r="P1794" s="55">
        <f>VLOOKUP(C1794,Customers!$A$2:$F$301,3,FALSE())</f>
        <v/>
      </c>
      <c r="Q1794" s="55">
        <f>UPPER(TRIM(K1794))</f>
        <v/>
      </c>
      <c r="R1794" s="55">
        <f>(G1794-O1794)/G1794</f>
        <v/>
      </c>
      <c r="S1794" s="55">
        <f>VLOOKUP(D1794,Products!$A$2:$F$61,6,FALSE())</f>
        <v/>
      </c>
    </row>
    <row r="1795" ht="15" customHeight="1" s="56">
      <c r="A1795" s="55">
        <f>Orders!A1795</f>
        <v/>
      </c>
      <c r="B1795" s="103">
        <f>Orders!B1795</f>
        <v/>
      </c>
      <c r="C1795" s="55">
        <f>Orders!C1795</f>
        <v/>
      </c>
      <c r="D1795" s="55">
        <f>Orders!D1795</f>
        <v/>
      </c>
      <c r="E1795" s="55">
        <f>Orders!E1795</f>
        <v/>
      </c>
      <c r="F1795" s="55">
        <f>Orders!F1795</f>
        <v/>
      </c>
      <c r="G1795" s="55">
        <f>Orders!G1795</f>
        <v/>
      </c>
      <c r="H1795" s="55">
        <f>Orders!H1795</f>
        <v/>
      </c>
      <c r="I1795" s="55">
        <f>Orders!I1795</f>
        <v/>
      </c>
      <c r="J1795" s="55">
        <f>Orders!J1795</f>
        <v/>
      </c>
      <c r="K1795" s="55">
        <f>Orders!K1795</f>
        <v/>
      </c>
      <c r="L1795" s="55">
        <f>VLOOKUP(D1795,Products!$A$2:$F$61,3,FALSE())</f>
        <v/>
      </c>
      <c r="M1795" s="55">
        <f>VLOOKUP(C1795,Customers!$A$2:$F$301,5,FALSE())</f>
        <v/>
      </c>
      <c r="N1795" s="55">
        <f>VLOOKUP(E1795,Sales_Reps!$A$2:$E$31,3,FALSE())</f>
        <v/>
      </c>
      <c r="O1795" s="55">
        <f>VLOOKUP(D1795,Products!$A$2:$F$61,4,FALSE())</f>
        <v/>
      </c>
      <c r="P1795" s="55">
        <f>VLOOKUP(C1795,Customers!$A$2:$F$301,3,FALSE())</f>
        <v/>
      </c>
      <c r="Q1795" s="55">
        <f>UPPER(TRIM(K1795))</f>
        <v/>
      </c>
      <c r="R1795" s="55">
        <f>(G1795-O1795)/G1795</f>
        <v/>
      </c>
      <c r="S1795" s="55">
        <f>VLOOKUP(D1795,Products!$A$2:$F$61,6,FALSE())</f>
        <v/>
      </c>
    </row>
    <row r="1796" ht="15" customHeight="1" s="56">
      <c r="A1796" s="55">
        <f>Orders!A1796</f>
        <v/>
      </c>
      <c r="B1796" s="103">
        <f>Orders!B1796</f>
        <v/>
      </c>
      <c r="C1796" s="55">
        <f>Orders!C1796</f>
        <v/>
      </c>
      <c r="D1796" s="55">
        <f>Orders!D1796</f>
        <v/>
      </c>
      <c r="E1796" s="55">
        <f>Orders!E1796</f>
        <v/>
      </c>
      <c r="F1796" s="55">
        <f>Orders!F1796</f>
        <v/>
      </c>
      <c r="G1796" s="55">
        <f>Orders!G1796</f>
        <v/>
      </c>
      <c r="H1796" s="55">
        <f>Orders!H1796</f>
        <v/>
      </c>
      <c r="I1796" s="55">
        <f>Orders!I1796</f>
        <v/>
      </c>
      <c r="J1796" s="55">
        <f>Orders!J1796</f>
        <v/>
      </c>
      <c r="K1796" s="55">
        <f>Orders!K1796</f>
        <v/>
      </c>
      <c r="L1796" s="55">
        <f>VLOOKUP(D1796,Products!$A$2:$F$61,3,FALSE())</f>
        <v/>
      </c>
      <c r="M1796" s="55">
        <f>VLOOKUP(C1796,Customers!$A$2:$F$301,5,FALSE())</f>
        <v/>
      </c>
      <c r="N1796" s="55">
        <f>VLOOKUP(E1796,Sales_Reps!$A$2:$E$31,3,FALSE())</f>
        <v/>
      </c>
      <c r="O1796" s="55">
        <f>VLOOKUP(D1796,Products!$A$2:$F$61,4,FALSE())</f>
        <v/>
      </c>
      <c r="P1796" s="55">
        <f>VLOOKUP(C1796,Customers!$A$2:$F$301,3,FALSE())</f>
        <v/>
      </c>
      <c r="Q1796" s="55">
        <f>UPPER(TRIM(K1796))</f>
        <v/>
      </c>
      <c r="R1796" s="55">
        <f>(G1796-O1796)/G1796</f>
        <v/>
      </c>
      <c r="S1796" s="55">
        <f>VLOOKUP(D1796,Products!$A$2:$F$61,6,FALSE())</f>
        <v/>
      </c>
    </row>
    <row r="1797" ht="15" customHeight="1" s="56">
      <c r="A1797" s="55">
        <f>Orders!A1797</f>
        <v/>
      </c>
      <c r="B1797" s="103">
        <f>Orders!B1797</f>
        <v/>
      </c>
      <c r="C1797" s="55">
        <f>Orders!C1797</f>
        <v/>
      </c>
      <c r="D1797" s="55">
        <f>Orders!D1797</f>
        <v/>
      </c>
      <c r="E1797" s="55">
        <f>Orders!E1797</f>
        <v/>
      </c>
      <c r="F1797" s="55">
        <f>Orders!F1797</f>
        <v/>
      </c>
      <c r="G1797" s="55">
        <f>Orders!G1797</f>
        <v/>
      </c>
      <c r="H1797" s="55">
        <f>Orders!H1797</f>
        <v/>
      </c>
      <c r="I1797" s="55">
        <f>Orders!I1797</f>
        <v/>
      </c>
      <c r="J1797" s="55">
        <f>Orders!J1797</f>
        <v/>
      </c>
      <c r="K1797" s="55">
        <f>Orders!K1797</f>
        <v/>
      </c>
      <c r="L1797" s="55">
        <f>VLOOKUP(D1797,Products!$A$2:$F$61,3,FALSE())</f>
        <v/>
      </c>
      <c r="M1797" s="55">
        <f>VLOOKUP(C1797,Customers!$A$2:$F$301,5,FALSE())</f>
        <v/>
      </c>
      <c r="N1797" s="55">
        <f>VLOOKUP(E1797,Sales_Reps!$A$2:$E$31,3,FALSE())</f>
        <v/>
      </c>
      <c r="O1797" s="55">
        <f>VLOOKUP(D1797,Products!$A$2:$F$61,4,FALSE())</f>
        <v/>
      </c>
      <c r="P1797" s="55">
        <f>VLOOKUP(C1797,Customers!$A$2:$F$301,3,FALSE())</f>
        <v/>
      </c>
      <c r="Q1797" s="55">
        <f>UPPER(TRIM(K1797))</f>
        <v/>
      </c>
      <c r="R1797" s="55">
        <f>(G1797-O1797)/G1797</f>
        <v/>
      </c>
      <c r="S1797" s="55">
        <f>VLOOKUP(D1797,Products!$A$2:$F$61,6,FALSE())</f>
        <v/>
      </c>
    </row>
    <row r="1798" ht="15" customHeight="1" s="56">
      <c r="A1798" s="55">
        <f>Orders!A1798</f>
        <v/>
      </c>
      <c r="B1798" s="103">
        <f>Orders!B1798</f>
        <v/>
      </c>
      <c r="C1798" s="55">
        <f>Orders!C1798</f>
        <v/>
      </c>
      <c r="D1798" s="55">
        <f>Orders!D1798</f>
        <v/>
      </c>
      <c r="E1798" s="55">
        <f>Orders!E1798</f>
        <v/>
      </c>
      <c r="F1798" s="55">
        <f>Orders!F1798</f>
        <v/>
      </c>
      <c r="G1798" s="55">
        <f>Orders!G1798</f>
        <v/>
      </c>
      <c r="H1798" s="55">
        <f>Orders!H1798</f>
        <v/>
      </c>
      <c r="I1798" s="55">
        <f>Orders!I1798</f>
        <v/>
      </c>
      <c r="J1798" s="55">
        <f>Orders!J1798</f>
        <v/>
      </c>
      <c r="K1798" s="55">
        <f>Orders!K1798</f>
        <v/>
      </c>
      <c r="L1798" s="55">
        <f>VLOOKUP(D1798,Products!$A$2:$F$61,3,FALSE())</f>
        <v/>
      </c>
      <c r="M1798" s="55">
        <f>VLOOKUP(C1798,Customers!$A$2:$F$301,5,FALSE())</f>
        <v/>
      </c>
      <c r="N1798" s="55">
        <f>VLOOKUP(E1798,Sales_Reps!$A$2:$E$31,3,FALSE())</f>
        <v/>
      </c>
      <c r="O1798" s="55">
        <f>VLOOKUP(D1798,Products!$A$2:$F$61,4,FALSE())</f>
        <v/>
      </c>
      <c r="P1798" s="55">
        <f>VLOOKUP(C1798,Customers!$A$2:$F$301,3,FALSE())</f>
        <v/>
      </c>
      <c r="Q1798" s="55">
        <f>UPPER(TRIM(K1798))</f>
        <v/>
      </c>
      <c r="R1798" s="55">
        <f>(G1798-O1798)/G1798</f>
        <v/>
      </c>
      <c r="S1798" s="55">
        <f>VLOOKUP(D1798,Products!$A$2:$F$61,6,FALSE())</f>
        <v/>
      </c>
    </row>
    <row r="1799" ht="15" customHeight="1" s="56">
      <c r="A1799" s="55">
        <f>Orders!A1799</f>
        <v/>
      </c>
      <c r="B1799" s="103">
        <f>Orders!B1799</f>
        <v/>
      </c>
      <c r="C1799" s="55">
        <f>Orders!C1799</f>
        <v/>
      </c>
      <c r="D1799" s="55">
        <f>Orders!D1799</f>
        <v/>
      </c>
      <c r="E1799" s="55">
        <f>Orders!E1799</f>
        <v/>
      </c>
      <c r="F1799" s="55">
        <f>Orders!F1799</f>
        <v/>
      </c>
      <c r="G1799" s="55">
        <f>Orders!G1799</f>
        <v/>
      </c>
      <c r="H1799" s="55">
        <f>Orders!H1799</f>
        <v/>
      </c>
      <c r="I1799" s="55">
        <f>Orders!I1799</f>
        <v/>
      </c>
      <c r="J1799" s="55">
        <f>Orders!J1799</f>
        <v/>
      </c>
      <c r="K1799" s="55">
        <f>Orders!K1799</f>
        <v/>
      </c>
      <c r="L1799" s="55">
        <f>VLOOKUP(D1799,Products!$A$2:$F$61,3,FALSE())</f>
        <v/>
      </c>
      <c r="M1799" s="55">
        <f>VLOOKUP(C1799,Customers!$A$2:$F$301,5,FALSE())</f>
        <v/>
      </c>
      <c r="N1799" s="55">
        <f>VLOOKUP(E1799,Sales_Reps!$A$2:$E$31,3,FALSE())</f>
        <v/>
      </c>
      <c r="O1799" s="55">
        <f>VLOOKUP(D1799,Products!$A$2:$F$61,4,FALSE())</f>
        <v/>
      </c>
      <c r="P1799" s="55">
        <f>VLOOKUP(C1799,Customers!$A$2:$F$301,3,FALSE())</f>
        <v/>
      </c>
      <c r="Q1799" s="55">
        <f>UPPER(TRIM(K1799))</f>
        <v/>
      </c>
      <c r="R1799" s="55">
        <f>(G1799-O1799)/G1799</f>
        <v/>
      </c>
      <c r="S1799" s="55">
        <f>VLOOKUP(D1799,Products!$A$2:$F$61,6,FALSE())</f>
        <v/>
      </c>
    </row>
    <row r="1800" ht="15" customHeight="1" s="56">
      <c r="A1800" s="55">
        <f>Orders!A1800</f>
        <v/>
      </c>
      <c r="B1800" s="103">
        <f>Orders!B1800</f>
        <v/>
      </c>
      <c r="C1800" s="55">
        <f>Orders!C1800</f>
        <v/>
      </c>
      <c r="D1800" s="55">
        <f>Orders!D1800</f>
        <v/>
      </c>
      <c r="E1800" s="55">
        <f>Orders!E1800</f>
        <v/>
      </c>
      <c r="F1800" s="55">
        <f>Orders!F1800</f>
        <v/>
      </c>
      <c r="G1800" s="55">
        <f>Orders!G1800</f>
        <v/>
      </c>
      <c r="H1800" s="55">
        <f>Orders!H1800</f>
        <v/>
      </c>
      <c r="I1800" s="55">
        <f>Orders!I1800</f>
        <v/>
      </c>
      <c r="J1800" s="55">
        <f>Orders!J1800</f>
        <v/>
      </c>
      <c r="K1800" s="55">
        <f>Orders!K1800</f>
        <v/>
      </c>
      <c r="L1800" s="55">
        <f>VLOOKUP(D1800,Products!$A$2:$F$61,3,FALSE())</f>
        <v/>
      </c>
      <c r="M1800" s="55">
        <f>VLOOKUP(C1800,Customers!$A$2:$F$301,5,FALSE())</f>
        <v/>
      </c>
      <c r="N1800" s="55">
        <f>VLOOKUP(E1800,Sales_Reps!$A$2:$E$31,3,FALSE())</f>
        <v/>
      </c>
      <c r="O1800" s="55">
        <f>VLOOKUP(D1800,Products!$A$2:$F$61,4,FALSE())</f>
        <v/>
      </c>
      <c r="P1800" s="55">
        <f>VLOOKUP(C1800,Customers!$A$2:$F$301,3,FALSE())</f>
        <v/>
      </c>
      <c r="Q1800" s="55">
        <f>UPPER(TRIM(K1800))</f>
        <v/>
      </c>
      <c r="R1800" s="55">
        <f>(G1800-O1800)/G1800</f>
        <v/>
      </c>
      <c r="S1800" s="55">
        <f>VLOOKUP(D1800,Products!$A$2:$F$61,6,FALSE())</f>
        <v/>
      </c>
    </row>
    <row r="1801" ht="15" customHeight="1" s="56">
      <c r="A1801" s="55">
        <f>Orders!A1801</f>
        <v/>
      </c>
      <c r="B1801" s="103">
        <f>Orders!B1801</f>
        <v/>
      </c>
      <c r="C1801" s="55">
        <f>Orders!C1801</f>
        <v/>
      </c>
      <c r="D1801" s="55">
        <f>Orders!D1801</f>
        <v/>
      </c>
      <c r="E1801" s="55">
        <f>Orders!E1801</f>
        <v/>
      </c>
      <c r="F1801" s="55">
        <f>Orders!F1801</f>
        <v/>
      </c>
      <c r="G1801" s="55">
        <f>Orders!G1801</f>
        <v/>
      </c>
      <c r="H1801" s="55">
        <f>Orders!H1801</f>
        <v/>
      </c>
      <c r="I1801" s="55">
        <f>Orders!I1801</f>
        <v/>
      </c>
      <c r="J1801" s="55">
        <f>Orders!J1801</f>
        <v/>
      </c>
      <c r="K1801" s="55">
        <f>Orders!K1801</f>
        <v/>
      </c>
      <c r="L1801" s="55">
        <f>VLOOKUP(D1801,Products!$A$2:$F$61,3,FALSE())</f>
        <v/>
      </c>
      <c r="M1801" s="55">
        <f>VLOOKUP(C1801,Customers!$A$2:$F$301,5,FALSE())</f>
        <v/>
      </c>
      <c r="N1801" s="55">
        <f>VLOOKUP(E1801,Sales_Reps!$A$2:$E$31,3,FALSE())</f>
        <v/>
      </c>
      <c r="O1801" s="55">
        <f>VLOOKUP(D1801,Products!$A$2:$F$61,4,FALSE())</f>
        <v/>
      </c>
      <c r="P1801" s="55">
        <f>VLOOKUP(C1801,Customers!$A$2:$F$301,3,FALSE())</f>
        <v/>
      </c>
      <c r="Q1801" s="55">
        <f>UPPER(TRIM(K1801))</f>
        <v/>
      </c>
      <c r="R1801" s="55">
        <f>(G1801-O1801)/G1801</f>
        <v/>
      </c>
      <c r="S1801" s="55">
        <f>VLOOKUP(D1801,Products!$A$2:$F$61,6,FALSE())</f>
        <v/>
      </c>
    </row>
    <row r="1802" ht="15" customHeight="1" s="56">
      <c r="A1802" s="55">
        <f>Orders!A1802</f>
        <v/>
      </c>
      <c r="B1802" s="103">
        <f>Orders!B1802</f>
        <v/>
      </c>
      <c r="C1802" s="55">
        <f>Orders!C1802</f>
        <v/>
      </c>
      <c r="D1802" s="55">
        <f>Orders!D1802</f>
        <v/>
      </c>
      <c r="E1802" s="55">
        <f>Orders!E1802</f>
        <v/>
      </c>
      <c r="F1802" s="55">
        <f>Orders!F1802</f>
        <v/>
      </c>
      <c r="G1802" s="55">
        <f>Orders!G1802</f>
        <v/>
      </c>
      <c r="H1802" s="55">
        <f>Orders!H1802</f>
        <v/>
      </c>
      <c r="I1802" s="55">
        <f>Orders!I1802</f>
        <v/>
      </c>
      <c r="J1802" s="55">
        <f>Orders!J1802</f>
        <v/>
      </c>
      <c r="K1802" s="55">
        <f>Orders!K1802</f>
        <v/>
      </c>
      <c r="L1802" s="55">
        <f>VLOOKUP(D1802,Products!$A$2:$F$61,3,FALSE())</f>
        <v/>
      </c>
      <c r="M1802" s="55">
        <f>VLOOKUP(C1802,Customers!$A$2:$F$301,5,FALSE())</f>
        <v/>
      </c>
      <c r="N1802" s="55">
        <f>VLOOKUP(E1802,Sales_Reps!$A$2:$E$31,3,FALSE())</f>
        <v/>
      </c>
      <c r="O1802" s="55">
        <f>VLOOKUP(D1802,Products!$A$2:$F$61,4,FALSE())</f>
        <v/>
      </c>
      <c r="P1802" s="55">
        <f>VLOOKUP(C1802,Customers!$A$2:$F$301,3,FALSE())</f>
        <v/>
      </c>
      <c r="Q1802" s="55">
        <f>UPPER(TRIM(K1802))</f>
        <v/>
      </c>
      <c r="R1802" s="55">
        <f>(G1802-O1802)/G1802</f>
        <v/>
      </c>
      <c r="S1802" s="55">
        <f>VLOOKUP(D1802,Products!$A$2:$F$61,6,FALSE())</f>
        <v/>
      </c>
    </row>
    <row r="1803" ht="15" customHeight="1" s="56">
      <c r="A1803" s="55">
        <f>Orders!A1803</f>
        <v/>
      </c>
      <c r="B1803" s="103">
        <f>Orders!B1803</f>
        <v/>
      </c>
      <c r="C1803" s="55">
        <f>Orders!C1803</f>
        <v/>
      </c>
      <c r="D1803" s="55">
        <f>Orders!D1803</f>
        <v/>
      </c>
      <c r="E1803" s="55">
        <f>Orders!E1803</f>
        <v/>
      </c>
      <c r="F1803" s="55">
        <f>Orders!F1803</f>
        <v/>
      </c>
      <c r="G1803" s="55">
        <f>Orders!G1803</f>
        <v/>
      </c>
      <c r="H1803" s="55">
        <f>Orders!H1803</f>
        <v/>
      </c>
      <c r="I1803" s="55">
        <f>Orders!I1803</f>
        <v/>
      </c>
      <c r="J1803" s="55">
        <f>Orders!J1803</f>
        <v/>
      </c>
      <c r="K1803" s="55">
        <f>Orders!K1803</f>
        <v/>
      </c>
      <c r="L1803" s="55">
        <f>VLOOKUP(D1803,Products!$A$2:$F$61,3,FALSE())</f>
        <v/>
      </c>
      <c r="M1803" s="55">
        <f>VLOOKUP(C1803,Customers!$A$2:$F$301,5,FALSE())</f>
        <v/>
      </c>
      <c r="N1803" s="55">
        <f>VLOOKUP(E1803,Sales_Reps!$A$2:$E$31,3,FALSE())</f>
        <v/>
      </c>
      <c r="O1803" s="55">
        <f>VLOOKUP(D1803,Products!$A$2:$F$61,4,FALSE())</f>
        <v/>
      </c>
      <c r="P1803" s="55">
        <f>VLOOKUP(C1803,Customers!$A$2:$F$301,3,FALSE())</f>
        <v/>
      </c>
      <c r="Q1803" s="55">
        <f>UPPER(TRIM(K1803))</f>
        <v/>
      </c>
      <c r="R1803" s="55">
        <f>(G1803-O1803)/G1803</f>
        <v/>
      </c>
      <c r="S1803" s="55">
        <f>VLOOKUP(D1803,Products!$A$2:$F$61,6,FALSE())</f>
        <v/>
      </c>
    </row>
    <row r="1804" ht="15" customHeight="1" s="56">
      <c r="A1804" s="55">
        <f>Orders!A1804</f>
        <v/>
      </c>
      <c r="B1804" s="103">
        <f>Orders!B1804</f>
        <v/>
      </c>
      <c r="C1804" s="55">
        <f>Orders!C1804</f>
        <v/>
      </c>
      <c r="D1804" s="55">
        <f>Orders!D1804</f>
        <v/>
      </c>
      <c r="E1804" s="55">
        <f>Orders!E1804</f>
        <v/>
      </c>
      <c r="F1804" s="55">
        <f>Orders!F1804</f>
        <v/>
      </c>
      <c r="G1804" s="55">
        <f>Orders!G1804</f>
        <v/>
      </c>
      <c r="H1804" s="55">
        <f>Orders!H1804</f>
        <v/>
      </c>
      <c r="I1804" s="55">
        <f>Orders!I1804</f>
        <v/>
      </c>
      <c r="J1804" s="55">
        <f>Orders!J1804</f>
        <v/>
      </c>
      <c r="K1804" s="55">
        <f>Orders!K1804</f>
        <v/>
      </c>
      <c r="L1804" s="55">
        <f>VLOOKUP(D1804,Products!$A$2:$F$61,3,FALSE())</f>
        <v/>
      </c>
      <c r="M1804" s="55">
        <f>VLOOKUP(C1804,Customers!$A$2:$F$301,5,FALSE())</f>
        <v/>
      </c>
      <c r="N1804" s="55">
        <f>VLOOKUP(E1804,Sales_Reps!$A$2:$E$31,3,FALSE())</f>
        <v/>
      </c>
      <c r="O1804" s="55">
        <f>VLOOKUP(D1804,Products!$A$2:$F$61,4,FALSE())</f>
        <v/>
      </c>
      <c r="P1804" s="55">
        <f>VLOOKUP(C1804,Customers!$A$2:$F$301,3,FALSE())</f>
        <v/>
      </c>
      <c r="Q1804" s="55">
        <f>UPPER(TRIM(K1804))</f>
        <v/>
      </c>
      <c r="R1804" s="55">
        <f>(G1804-O1804)/G1804</f>
        <v/>
      </c>
      <c r="S1804" s="55">
        <f>VLOOKUP(D1804,Products!$A$2:$F$61,6,FALSE())</f>
        <v/>
      </c>
    </row>
    <row r="1805" ht="15" customHeight="1" s="56">
      <c r="A1805" s="55">
        <f>Orders!A1805</f>
        <v/>
      </c>
      <c r="B1805" s="103">
        <f>Orders!B1805</f>
        <v/>
      </c>
      <c r="C1805" s="55">
        <f>Orders!C1805</f>
        <v/>
      </c>
      <c r="D1805" s="55">
        <f>Orders!D1805</f>
        <v/>
      </c>
      <c r="E1805" s="55">
        <f>Orders!E1805</f>
        <v/>
      </c>
      <c r="F1805" s="55">
        <f>Orders!F1805</f>
        <v/>
      </c>
      <c r="G1805" s="55">
        <f>Orders!G1805</f>
        <v/>
      </c>
      <c r="H1805" s="55">
        <f>Orders!H1805</f>
        <v/>
      </c>
      <c r="I1805" s="55">
        <f>Orders!I1805</f>
        <v/>
      </c>
      <c r="J1805" s="55">
        <f>Orders!J1805</f>
        <v/>
      </c>
      <c r="K1805" s="55">
        <f>Orders!K1805</f>
        <v/>
      </c>
      <c r="L1805" s="55">
        <f>VLOOKUP(D1805,Products!$A$2:$F$61,3,FALSE())</f>
        <v/>
      </c>
      <c r="M1805" s="55">
        <f>VLOOKUP(C1805,Customers!$A$2:$F$301,5,FALSE())</f>
        <v/>
      </c>
      <c r="N1805" s="55">
        <f>VLOOKUP(E1805,Sales_Reps!$A$2:$E$31,3,FALSE())</f>
        <v/>
      </c>
      <c r="O1805" s="55">
        <f>VLOOKUP(D1805,Products!$A$2:$F$61,4,FALSE())</f>
        <v/>
      </c>
      <c r="P1805" s="55">
        <f>VLOOKUP(C1805,Customers!$A$2:$F$301,3,FALSE())</f>
        <v/>
      </c>
      <c r="Q1805" s="55">
        <f>UPPER(TRIM(K1805))</f>
        <v/>
      </c>
      <c r="R1805" s="55">
        <f>(G1805-O1805)/G1805</f>
        <v/>
      </c>
      <c r="S1805" s="55">
        <f>VLOOKUP(D1805,Products!$A$2:$F$61,6,FALSE())</f>
        <v/>
      </c>
    </row>
    <row r="1806" ht="15" customHeight="1" s="56">
      <c r="A1806" s="55">
        <f>Orders!A1806</f>
        <v/>
      </c>
      <c r="B1806" s="103">
        <f>Orders!B1806</f>
        <v/>
      </c>
      <c r="C1806" s="55">
        <f>Orders!C1806</f>
        <v/>
      </c>
      <c r="D1806" s="55">
        <f>Orders!D1806</f>
        <v/>
      </c>
      <c r="E1806" s="55">
        <f>Orders!E1806</f>
        <v/>
      </c>
      <c r="F1806" s="55">
        <f>Orders!F1806</f>
        <v/>
      </c>
      <c r="G1806" s="55">
        <f>Orders!G1806</f>
        <v/>
      </c>
      <c r="H1806" s="55">
        <f>Orders!H1806</f>
        <v/>
      </c>
      <c r="I1806" s="55">
        <f>Orders!I1806</f>
        <v/>
      </c>
      <c r="J1806" s="55">
        <f>Orders!J1806</f>
        <v/>
      </c>
      <c r="K1806" s="55">
        <f>Orders!K1806</f>
        <v/>
      </c>
      <c r="L1806" s="55">
        <f>VLOOKUP(D1806,Products!$A$2:$F$61,3,FALSE())</f>
        <v/>
      </c>
      <c r="M1806" s="55">
        <f>VLOOKUP(C1806,Customers!$A$2:$F$301,5,FALSE())</f>
        <v/>
      </c>
      <c r="N1806" s="55">
        <f>VLOOKUP(E1806,Sales_Reps!$A$2:$E$31,3,FALSE())</f>
        <v/>
      </c>
      <c r="O1806" s="55">
        <f>VLOOKUP(D1806,Products!$A$2:$F$61,4,FALSE())</f>
        <v/>
      </c>
      <c r="P1806" s="55">
        <f>VLOOKUP(C1806,Customers!$A$2:$F$301,3,FALSE())</f>
        <v/>
      </c>
      <c r="Q1806" s="55">
        <f>UPPER(TRIM(K1806))</f>
        <v/>
      </c>
      <c r="R1806" s="55">
        <f>(G1806-O1806)/G1806</f>
        <v/>
      </c>
      <c r="S1806" s="55">
        <f>VLOOKUP(D1806,Products!$A$2:$F$61,6,FALSE())</f>
        <v/>
      </c>
    </row>
    <row r="1807" ht="15" customHeight="1" s="56">
      <c r="A1807" s="55">
        <f>Orders!A1807</f>
        <v/>
      </c>
      <c r="B1807" s="103">
        <f>Orders!B1807</f>
        <v/>
      </c>
      <c r="C1807" s="55">
        <f>Orders!C1807</f>
        <v/>
      </c>
      <c r="D1807" s="55">
        <f>Orders!D1807</f>
        <v/>
      </c>
      <c r="E1807" s="55">
        <f>Orders!E1807</f>
        <v/>
      </c>
      <c r="F1807" s="55">
        <f>Orders!F1807</f>
        <v/>
      </c>
      <c r="G1807" s="55">
        <f>Orders!G1807</f>
        <v/>
      </c>
      <c r="H1807" s="55">
        <f>Orders!H1807</f>
        <v/>
      </c>
      <c r="I1807" s="55">
        <f>Orders!I1807</f>
        <v/>
      </c>
      <c r="J1807" s="55">
        <f>Orders!J1807</f>
        <v/>
      </c>
      <c r="K1807" s="55">
        <f>Orders!K1807</f>
        <v/>
      </c>
      <c r="L1807" s="55">
        <f>VLOOKUP(D1807,Products!$A$2:$F$61,3,FALSE())</f>
        <v/>
      </c>
      <c r="M1807" s="55">
        <f>VLOOKUP(C1807,Customers!$A$2:$F$301,5,FALSE())</f>
        <v/>
      </c>
      <c r="N1807" s="55">
        <f>VLOOKUP(E1807,Sales_Reps!$A$2:$E$31,3,FALSE())</f>
        <v/>
      </c>
      <c r="O1807" s="55">
        <f>VLOOKUP(D1807,Products!$A$2:$F$61,4,FALSE())</f>
        <v/>
      </c>
      <c r="P1807" s="55">
        <f>VLOOKUP(C1807,Customers!$A$2:$F$301,3,FALSE())</f>
        <v/>
      </c>
      <c r="Q1807" s="55">
        <f>UPPER(TRIM(K1807))</f>
        <v/>
      </c>
      <c r="R1807" s="55">
        <f>(G1807-O1807)/G1807</f>
        <v/>
      </c>
      <c r="S1807" s="55">
        <f>VLOOKUP(D1807,Products!$A$2:$F$61,6,FALSE())</f>
        <v/>
      </c>
    </row>
    <row r="1808" ht="15" customHeight="1" s="56">
      <c r="A1808" s="55">
        <f>Orders!A1808</f>
        <v/>
      </c>
      <c r="B1808" s="103">
        <f>Orders!B1808</f>
        <v/>
      </c>
      <c r="C1808" s="55">
        <f>Orders!C1808</f>
        <v/>
      </c>
      <c r="D1808" s="55">
        <f>Orders!D1808</f>
        <v/>
      </c>
      <c r="E1808" s="55">
        <f>Orders!E1808</f>
        <v/>
      </c>
      <c r="F1808" s="55">
        <f>Orders!F1808</f>
        <v/>
      </c>
      <c r="G1808" s="55">
        <f>Orders!G1808</f>
        <v/>
      </c>
      <c r="H1808" s="55">
        <f>Orders!H1808</f>
        <v/>
      </c>
      <c r="I1808" s="55">
        <f>Orders!I1808</f>
        <v/>
      </c>
      <c r="J1808" s="55">
        <f>Orders!J1808</f>
        <v/>
      </c>
      <c r="K1808" s="55">
        <f>Orders!K1808</f>
        <v/>
      </c>
      <c r="L1808" s="55">
        <f>VLOOKUP(D1808,Products!$A$2:$F$61,3,FALSE())</f>
        <v/>
      </c>
      <c r="M1808" s="55">
        <f>VLOOKUP(C1808,Customers!$A$2:$F$301,5,FALSE())</f>
        <v/>
      </c>
      <c r="N1808" s="55">
        <f>VLOOKUP(E1808,Sales_Reps!$A$2:$E$31,3,FALSE())</f>
        <v/>
      </c>
      <c r="O1808" s="55">
        <f>VLOOKUP(D1808,Products!$A$2:$F$61,4,FALSE())</f>
        <v/>
      </c>
      <c r="P1808" s="55">
        <f>VLOOKUP(C1808,Customers!$A$2:$F$301,3,FALSE())</f>
        <v/>
      </c>
      <c r="Q1808" s="55">
        <f>UPPER(TRIM(K1808))</f>
        <v/>
      </c>
      <c r="R1808" s="55">
        <f>(G1808-O1808)/G1808</f>
        <v/>
      </c>
      <c r="S1808" s="55">
        <f>VLOOKUP(D1808,Products!$A$2:$F$61,6,FALSE())</f>
        <v/>
      </c>
    </row>
    <row r="1809" ht="15" customHeight="1" s="56">
      <c r="A1809" s="55">
        <f>Orders!A1809</f>
        <v/>
      </c>
      <c r="B1809" s="103">
        <f>Orders!B1809</f>
        <v/>
      </c>
      <c r="C1809" s="55">
        <f>Orders!C1809</f>
        <v/>
      </c>
      <c r="D1809" s="55">
        <f>Orders!D1809</f>
        <v/>
      </c>
      <c r="E1809" s="55">
        <f>Orders!E1809</f>
        <v/>
      </c>
      <c r="F1809" s="55">
        <f>Orders!F1809</f>
        <v/>
      </c>
      <c r="G1809" s="55">
        <f>Orders!G1809</f>
        <v/>
      </c>
      <c r="H1809" s="55">
        <f>Orders!H1809</f>
        <v/>
      </c>
      <c r="I1809" s="55">
        <f>Orders!I1809</f>
        <v/>
      </c>
      <c r="J1809" s="55">
        <f>Orders!J1809</f>
        <v/>
      </c>
      <c r="K1809" s="55">
        <f>Orders!K1809</f>
        <v/>
      </c>
      <c r="L1809" s="55">
        <f>VLOOKUP(D1809,Products!$A$2:$F$61,3,FALSE())</f>
        <v/>
      </c>
      <c r="M1809" s="55">
        <f>VLOOKUP(C1809,Customers!$A$2:$F$301,5,FALSE())</f>
        <v/>
      </c>
      <c r="N1809" s="55">
        <f>VLOOKUP(E1809,Sales_Reps!$A$2:$E$31,3,FALSE())</f>
        <v/>
      </c>
      <c r="O1809" s="55">
        <f>VLOOKUP(D1809,Products!$A$2:$F$61,4,FALSE())</f>
        <v/>
      </c>
      <c r="P1809" s="55">
        <f>VLOOKUP(C1809,Customers!$A$2:$F$301,3,FALSE())</f>
        <v/>
      </c>
      <c r="Q1809" s="55">
        <f>UPPER(TRIM(K1809))</f>
        <v/>
      </c>
      <c r="R1809" s="55">
        <f>(G1809-O1809)/G1809</f>
        <v/>
      </c>
      <c r="S1809" s="55">
        <f>VLOOKUP(D1809,Products!$A$2:$F$61,6,FALSE())</f>
        <v/>
      </c>
    </row>
    <row r="1810" ht="15" customHeight="1" s="56">
      <c r="A1810" s="55">
        <f>Orders!A1810</f>
        <v/>
      </c>
      <c r="B1810" s="103">
        <f>Orders!B1810</f>
        <v/>
      </c>
      <c r="C1810" s="55">
        <f>Orders!C1810</f>
        <v/>
      </c>
      <c r="D1810" s="55">
        <f>Orders!D1810</f>
        <v/>
      </c>
      <c r="E1810" s="55">
        <f>Orders!E1810</f>
        <v/>
      </c>
      <c r="F1810" s="55">
        <f>Orders!F1810</f>
        <v/>
      </c>
      <c r="G1810" s="55">
        <f>Orders!G1810</f>
        <v/>
      </c>
      <c r="H1810" s="55">
        <f>Orders!H1810</f>
        <v/>
      </c>
      <c r="I1810" s="55">
        <f>Orders!I1810</f>
        <v/>
      </c>
      <c r="J1810" s="55">
        <f>Orders!J1810</f>
        <v/>
      </c>
      <c r="K1810" s="55">
        <f>Orders!K1810</f>
        <v/>
      </c>
      <c r="L1810" s="55">
        <f>VLOOKUP(D1810,Products!$A$2:$F$61,3,FALSE())</f>
        <v/>
      </c>
      <c r="M1810" s="55">
        <f>VLOOKUP(C1810,Customers!$A$2:$F$301,5,FALSE())</f>
        <v/>
      </c>
      <c r="N1810" s="55">
        <f>VLOOKUP(E1810,Sales_Reps!$A$2:$E$31,3,FALSE())</f>
        <v/>
      </c>
      <c r="O1810" s="55">
        <f>VLOOKUP(D1810,Products!$A$2:$F$61,4,FALSE())</f>
        <v/>
      </c>
      <c r="P1810" s="55">
        <f>VLOOKUP(C1810,Customers!$A$2:$F$301,3,FALSE())</f>
        <v/>
      </c>
      <c r="Q1810" s="55">
        <f>UPPER(TRIM(K1810))</f>
        <v/>
      </c>
      <c r="R1810" s="55">
        <f>(G1810-O1810)/G1810</f>
        <v/>
      </c>
      <c r="S1810" s="55">
        <f>VLOOKUP(D1810,Products!$A$2:$F$61,6,FALSE())</f>
        <v/>
      </c>
    </row>
    <row r="1811" ht="15" customHeight="1" s="56">
      <c r="A1811" s="55">
        <f>Orders!A1811</f>
        <v/>
      </c>
      <c r="B1811" s="103">
        <f>Orders!B1811</f>
        <v/>
      </c>
      <c r="C1811" s="55">
        <f>Orders!C1811</f>
        <v/>
      </c>
      <c r="D1811" s="55">
        <f>Orders!D1811</f>
        <v/>
      </c>
      <c r="E1811" s="55">
        <f>Orders!E1811</f>
        <v/>
      </c>
      <c r="F1811" s="55">
        <f>Orders!F1811</f>
        <v/>
      </c>
      <c r="G1811" s="55">
        <f>Orders!G1811</f>
        <v/>
      </c>
      <c r="H1811" s="55">
        <f>Orders!H1811</f>
        <v/>
      </c>
      <c r="I1811" s="55">
        <f>Orders!I1811</f>
        <v/>
      </c>
      <c r="J1811" s="55">
        <f>Orders!J1811</f>
        <v/>
      </c>
      <c r="K1811" s="55">
        <f>Orders!K1811</f>
        <v/>
      </c>
      <c r="L1811" s="55">
        <f>VLOOKUP(D1811,Products!$A$2:$F$61,3,FALSE())</f>
        <v/>
      </c>
      <c r="M1811" s="55">
        <f>VLOOKUP(C1811,Customers!$A$2:$F$301,5,FALSE())</f>
        <v/>
      </c>
      <c r="N1811" s="55">
        <f>VLOOKUP(E1811,Sales_Reps!$A$2:$E$31,3,FALSE())</f>
        <v/>
      </c>
      <c r="O1811" s="55">
        <f>VLOOKUP(D1811,Products!$A$2:$F$61,4,FALSE())</f>
        <v/>
      </c>
      <c r="P1811" s="55">
        <f>VLOOKUP(C1811,Customers!$A$2:$F$301,3,FALSE())</f>
        <v/>
      </c>
      <c r="Q1811" s="55">
        <f>UPPER(TRIM(K1811))</f>
        <v/>
      </c>
      <c r="R1811" s="55">
        <f>(G1811-O1811)/G1811</f>
        <v/>
      </c>
      <c r="S1811" s="55">
        <f>VLOOKUP(D1811,Products!$A$2:$F$61,6,FALSE())</f>
        <v/>
      </c>
    </row>
    <row r="1812" ht="15" customHeight="1" s="56">
      <c r="A1812" s="55">
        <f>Orders!A1812</f>
        <v/>
      </c>
      <c r="B1812" s="103">
        <f>Orders!B1812</f>
        <v/>
      </c>
      <c r="C1812" s="55">
        <f>Orders!C1812</f>
        <v/>
      </c>
      <c r="D1812" s="55">
        <f>Orders!D1812</f>
        <v/>
      </c>
      <c r="E1812" s="55">
        <f>Orders!E1812</f>
        <v/>
      </c>
      <c r="F1812" s="55">
        <f>Orders!F1812</f>
        <v/>
      </c>
      <c r="G1812" s="55">
        <f>Orders!G1812</f>
        <v/>
      </c>
      <c r="H1812" s="55">
        <f>Orders!H1812</f>
        <v/>
      </c>
      <c r="I1812" s="55">
        <f>Orders!I1812</f>
        <v/>
      </c>
      <c r="J1812" s="55">
        <f>Orders!J1812</f>
        <v/>
      </c>
      <c r="K1812" s="55">
        <f>Orders!K1812</f>
        <v/>
      </c>
      <c r="L1812" s="55">
        <f>VLOOKUP(D1812,Products!$A$2:$F$61,3,FALSE())</f>
        <v/>
      </c>
      <c r="M1812" s="55">
        <f>VLOOKUP(C1812,Customers!$A$2:$F$301,5,FALSE())</f>
        <v/>
      </c>
      <c r="N1812" s="55">
        <f>VLOOKUP(E1812,Sales_Reps!$A$2:$E$31,3,FALSE())</f>
        <v/>
      </c>
      <c r="O1812" s="55">
        <f>VLOOKUP(D1812,Products!$A$2:$F$61,4,FALSE())</f>
        <v/>
      </c>
      <c r="P1812" s="55">
        <f>VLOOKUP(C1812,Customers!$A$2:$F$301,3,FALSE())</f>
        <v/>
      </c>
      <c r="Q1812" s="55">
        <f>UPPER(TRIM(K1812))</f>
        <v/>
      </c>
      <c r="R1812" s="55">
        <f>(G1812-O1812)/G1812</f>
        <v/>
      </c>
      <c r="S1812" s="55">
        <f>VLOOKUP(D1812,Products!$A$2:$F$61,6,FALSE())</f>
        <v/>
      </c>
    </row>
    <row r="1813" ht="15" customHeight="1" s="56">
      <c r="A1813" s="55">
        <f>Orders!A1813</f>
        <v/>
      </c>
      <c r="B1813" s="103">
        <f>Orders!B1813</f>
        <v/>
      </c>
      <c r="C1813" s="55">
        <f>Orders!C1813</f>
        <v/>
      </c>
      <c r="D1813" s="55">
        <f>Orders!D1813</f>
        <v/>
      </c>
      <c r="E1813" s="55">
        <f>Orders!E1813</f>
        <v/>
      </c>
      <c r="F1813" s="55">
        <f>Orders!F1813</f>
        <v/>
      </c>
      <c r="G1813" s="55">
        <f>Orders!G1813</f>
        <v/>
      </c>
      <c r="H1813" s="55">
        <f>Orders!H1813</f>
        <v/>
      </c>
      <c r="I1813" s="55">
        <f>Orders!I1813</f>
        <v/>
      </c>
      <c r="J1813" s="55">
        <f>Orders!J1813</f>
        <v/>
      </c>
      <c r="K1813" s="55">
        <f>Orders!K1813</f>
        <v/>
      </c>
      <c r="L1813" s="55">
        <f>VLOOKUP(D1813,Products!$A$2:$F$61,3,FALSE())</f>
        <v/>
      </c>
      <c r="M1813" s="55">
        <f>VLOOKUP(C1813,Customers!$A$2:$F$301,5,FALSE())</f>
        <v/>
      </c>
      <c r="N1813" s="55">
        <f>VLOOKUP(E1813,Sales_Reps!$A$2:$E$31,3,FALSE())</f>
        <v/>
      </c>
      <c r="O1813" s="55">
        <f>VLOOKUP(D1813,Products!$A$2:$F$61,4,FALSE())</f>
        <v/>
      </c>
      <c r="P1813" s="55">
        <f>VLOOKUP(C1813,Customers!$A$2:$F$301,3,FALSE())</f>
        <v/>
      </c>
      <c r="Q1813" s="55">
        <f>UPPER(TRIM(K1813))</f>
        <v/>
      </c>
      <c r="R1813" s="55">
        <f>(G1813-O1813)/G1813</f>
        <v/>
      </c>
      <c r="S1813" s="55">
        <f>VLOOKUP(D1813,Products!$A$2:$F$61,6,FALSE())</f>
        <v/>
      </c>
    </row>
    <row r="1814" ht="15" customHeight="1" s="56">
      <c r="A1814" s="55">
        <f>Orders!A1814</f>
        <v/>
      </c>
      <c r="B1814" s="103">
        <f>Orders!B1814</f>
        <v/>
      </c>
      <c r="C1814" s="55">
        <f>Orders!C1814</f>
        <v/>
      </c>
      <c r="D1814" s="55">
        <f>Orders!D1814</f>
        <v/>
      </c>
      <c r="E1814" s="55">
        <f>Orders!E1814</f>
        <v/>
      </c>
      <c r="F1814" s="55">
        <f>Orders!F1814</f>
        <v/>
      </c>
      <c r="G1814" s="55">
        <f>Orders!G1814</f>
        <v/>
      </c>
      <c r="H1814" s="55">
        <f>Orders!H1814</f>
        <v/>
      </c>
      <c r="I1814" s="55">
        <f>Orders!I1814</f>
        <v/>
      </c>
      <c r="J1814" s="55">
        <f>Orders!J1814</f>
        <v/>
      </c>
      <c r="K1814" s="55">
        <f>Orders!K1814</f>
        <v/>
      </c>
      <c r="L1814" s="55">
        <f>VLOOKUP(D1814,Products!$A$2:$F$61,3,FALSE())</f>
        <v/>
      </c>
      <c r="M1814" s="55">
        <f>VLOOKUP(C1814,Customers!$A$2:$F$301,5,FALSE())</f>
        <v/>
      </c>
      <c r="N1814" s="55">
        <f>VLOOKUP(E1814,Sales_Reps!$A$2:$E$31,3,FALSE())</f>
        <v/>
      </c>
      <c r="O1814" s="55">
        <f>VLOOKUP(D1814,Products!$A$2:$F$61,4,FALSE())</f>
        <v/>
      </c>
      <c r="P1814" s="55">
        <f>VLOOKUP(C1814,Customers!$A$2:$F$301,3,FALSE())</f>
        <v/>
      </c>
      <c r="Q1814" s="55">
        <f>UPPER(TRIM(K1814))</f>
        <v/>
      </c>
      <c r="R1814" s="55">
        <f>(G1814-O1814)/G1814</f>
        <v/>
      </c>
      <c r="S1814" s="55">
        <f>VLOOKUP(D1814,Products!$A$2:$F$61,6,FALSE())</f>
        <v/>
      </c>
    </row>
    <row r="1815" ht="15" customHeight="1" s="56">
      <c r="A1815" s="55">
        <f>Orders!A1815</f>
        <v/>
      </c>
      <c r="B1815" s="103">
        <f>Orders!B1815</f>
        <v/>
      </c>
      <c r="C1815" s="55">
        <f>Orders!C1815</f>
        <v/>
      </c>
      <c r="D1815" s="55">
        <f>Orders!D1815</f>
        <v/>
      </c>
      <c r="E1815" s="55">
        <f>Orders!E1815</f>
        <v/>
      </c>
      <c r="F1815" s="55">
        <f>Orders!F1815</f>
        <v/>
      </c>
      <c r="G1815" s="55">
        <f>Orders!G1815</f>
        <v/>
      </c>
      <c r="H1815" s="55">
        <f>Orders!H1815</f>
        <v/>
      </c>
      <c r="I1815" s="55">
        <f>Orders!I1815</f>
        <v/>
      </c>
      <c r="J1815" s="55">
        <f>Orders!J1815</f>
        <v/>
      </c>
      <c r="K1815" s="55">
        <f>Orders!K1815</f>
        <v/>
      </c>
      <c r="L1815" s="55">
        <f>VLOOKUP(D1815,Products!$A$2:$F$61,3,FALSE())</f>
        <v/>
      </c>
      <c r="M1815" s="55">
        <f>VLOOKUP(C1815,Customers!$A$2:$F$301,5,FALSE())</f>
        <v/>
      </c>
      <c r="N1815" s="55">
        <f>VLOOKUP(E1815,Sales_Reps!$A$2:$E$31,3,FALSE())</f>
        <v/>
      </c>
      <c r="O1815" s="55">
        <f>VLOOKUP(D1815,Products!$A$2:$F$61,4,FALSE())</f>
        <v/>
      </c>
      <c r="P1815" s="55">
        <f>VLOOKUP(C1815,Customers!$A$2:$F$301,3,FALSE())</f>
        <v/>
      </c>
      <c r="Q1815" s="55">
        <f>UPPER(TRIM(K1815))</f>
        <v/>
      </c>
      <c r="R1815" s="55">
        <f>(G1815-O1815)/G1815</f>
        <v/>
      </c>
      <c r="S1815" s="55">
        <f>VLOOKUP(D1815,Products!$A$2:$F$61,6,FALSE())</f>
        <v/>
      </c>
    </row>
    <row r="1816" ht="15" customHeight="1" s="56">
      <c r="A1816" s="55">
        <f>Orders!A1816</f>
        <v/>
      </c>
      <c r="B1816" s="103">
        <f>Orders!B1816</f>
        <v/>
      </c>
      <c r="C1816" s="55">
        <f>Orders!C1816</f>
        <v/>
      </c>
      <c r="D1816" s="55">
        <f>Orders!D1816</f>
        <v/>
      </c>
      <c r="E1816" s="55">
        <f>Orders!E1816</f>
        <v/>
      </c>
      <c r="F1816" s="55">
        <f>Orders!F1816</f>
        <v/>
      </c>
      <c r="G1816" s="55">
        <f>Orders!G1816</f>
        <v/>
      </c>
      <c r="H1816" s="55">
        <f>Orders!H1816</f>
        <v/>
      </c>
      <c r="I1816" s="55">
        <f>Orders!I1816</f>
        <v/>
      </c>
      <c r="J1816" s="55">
        <f>Orders!J1816</f>
        <v/>
      </c>
      <c r="K1816" s="55">
        <f>Orders!K1816</f>
        <v/>
      </c>
      <c r="L1816" s="55">
        <f>VLOOKUP(D1816,Products!$A$2:$F$61,3,FALSE())</f>
        <v/>
      </c>
      <c r="M1816" s="55">
        <f>VLOOKUP(C1816,Customers!$A$2:$F$301,5,FALSE())</f>
        <v/>
      </c>
      <c r="N1816" s="55">
        <f>VLOOKUP(E1816,Sales_Reps!$A$2:$E$31,3,FALSE())</f>
        <v/>
      </c>
      <c r="O1816" s="55">
        <f>VLOOKUP(D1816,Products!$A$2:$F$61,4,FALSE())</f>
        <v/>
      </c>
      <c r="P1816" s="55">
        <f>VLOOKUP(C1816,Customers!$A$2:$F$301,3,FALSE())</f>
        <v/>
      </c>
      <c r="Q1816" s="55">
        <f>UPPER(TRIM(K1816))</f>
        <v/>
      </c>
      <c r="R1816" s="55">
        <f>(G1816-O1816)/G1816</f>
        <v/>
      </c>
      <c r="S1816" s="55">
        <f>VLOOKUP(D1816,Products!$A$2:$F$61,6,FALSE())</f>
        <v/>
      </c>
    </row>
    <row r="1817" ht="15" customHeight="1" s="56">
      <c r="A1817" s="55">
        <f>Orders!A1817</f>
        <v/>
      </c>
      <c r="B1817" s="103">
        <f>Orders!B1817</f>
        <v/>
      </c>
      <c r="C1817" s="55">
        <f>Orders!C1817</f>
        <v/>
      </c>
      <c r="D1817" s="55">
        <f>Orders!D1817</f>
        <v/>
      </c>
      <c r="E1817" s="55">
        <f>Orders!E1817</f>
        <v/>
      </c>
      <c r="F1817" s="55">
        <f>Orders!F1817</f>
        <v/>
      </c>
      <c r="G1817" s="55">
        <f>Orders!G1817</f>
        <v/>
      </c>
      <c r="H1817" s="55">
        <f>Orders!H1817</f>
        <v/>
      </c>
      <c r="I1817" s="55">
        <f>Orders!I1817</f>
        <v/>
      </c>
      <c r="J1817" s="55">
        <f>Orders!J1817</f>
        <v/>
      </c>
      <c r="K1817" s="55">
        <f>Orders!K1817</f>
        <v/>
      </c>
      <c r="L1817" s="55">
        <f>VLOOKUP(D1817,Products!$A$2:$F$61,3,FALSE())</f>
        <v/>
      </c>
      <c r="M1817" s="55">
        <f>VLOOKUP(C1817,Customers!$A$2:$F$301,5,FALSE())</f>
        <v/>
      </c>
      <c r="N1817" s="55">
        <f>VLOOKUP(E1817,Sales_Reps!$A$2:$E$31,3,FALSE())</f>
        <v/>
      </c>
      <c r="O1817" s="55">
        <f>VLOOKUP(D1817,Products!$A$2:$F$61,4,FALSE())</f>
        <v/>
      </c>
      <c r="P1817" s="55">
        <f>VLOOKUP(C1817,Customers!$A$2:$F$301,3,FALSE())</f>
        <v/>
      </c>
      <c r="Q1817" s="55">
        <f>UPPER(TRIM(K1817))</f>
        <v/>
      </c>
      <c r="R1817" s="55">
        <f>(G1817-O1817)/G1817</f>
        <v/>
      </c>
      <c r="S1817" s="55">
        <f>VLOOKUP(D1817,Products!$A$2:$F$61,6,FALSE())</f>
        <v/>
      </c>
    </row>
    <row r="1818" ht="15" customHeight="1" s="56">
      <c r="A1818" s="55">
        <f>Orders!A1818</f>
        <v/>
      </c>
      <c r="B1818" s="103">
        <f>Orders!B1818</f>
        <v/>
      </c>
      <c r="C1818" s="55">
        <f>Orders!C1818</f>
        <v/>
      </c>
      <c r="D1818" s="55">
        <f>Orders!D1818</f>
        <v/>
      </c>
      <c r="E1818" s="55">
        <f>Orders!E1818</f>
        <v/>
      </c>
      <c r="F1818" s="55">
        <f>Orders!F1818</f>
        <v/>
      </c>
      <c r="G1818" s="55">
        <f>Orders!G1818</f>
        <v/>
      </c>
      <c r="H1818" s="55">
        <f>Orders!H1818</f>
        <v/>
      </c>
      <c r="I1818" s="55">
        <f>Orders!I1818</f>
        <v/>
      </c>
      <c r="J1818" s="55">
        <f>Orders!J1818</f>
        <v/>
      </c>
      <c r="K1818" s="55">
        <f>Orders!K1818</f>
        <v/>
      </c>
      <c r="L1818" s="55">
        <f>VLOOKUP(D1818,Products!$A$2:$F$61,3,FALSE())</f>
        <v/>
      </c>
      <c r="M1818" s="55">
        <f>VLOOKUP(C1818,Customers!$A$2:$F$301,5,FALSE())</f>
        <v/>
      </c>
      <c r="N1818" s="55">
        <f>VLOOKUP(E1818,Sales_Reps!$A$2:$E$31,3,FALSE())</f>
        <v/>
      </c>
      <c r="O1818" s="55">
        <f>VLOOKUP(D1818,Products!$A$2:$F$61,4,FALSE())</f>
        <v/>
      </c>
      <c r="P1818" s="55">
        <f>VLOOKUP(C1818,Customers!$A$2:$F$301,3,FALSE())</f>
        <v/>
      </c>
      <c r="Q1818" s="55">
        <f>UPPER(TRIM(K1818))</f>
        <v/>
      </c>
      <c r="R1818" s="55">
        <f>(G1818-O1818)/G1818</f>
        <v/>
      </c>
      <c r="S1818" s="55">
        <f>VLOOKUP(D1818,Products!$A$2:$F$61,6,FALSE())</f>
        <v/>
      </c>
    </row>
    <row r="1819" ht="15" customHeight="1" s="56">
      <c r="A1819" s="55">
        <f>Orders!A1819</f>
        <v/>
      </c>
      <c r="B1819" s="103">
        <f>Orders!B1819</f>
        <v/>
      </c>
      <c r="C1819" s="55">
        <f>Orders!C1819</f>
        <v/>
      </c>
      <c r="D1819" s="55">
        <f>Orders!D1819</f>
        <v/>
      </c>
      <c r="E1819" s="55">
        <f>Orders!E1819</f>
        <v/>
      </c>
      <c r="F1819" s="55">
        <f>Orders!F1819</f>
        <v/>
      </c>
      <c r="G1819" s="55">
        <f>Orders!G1819</f>
        <v/>
      </c>
      <c r="H1819" s="55">
        <f>Orders!H1819</f>
        <v/>
      </c>
      <c r="I1819" s="55">
        <f>Orders!I1819</f>
        <v/>
      </c>
      <c r="J1819" s="55">
        <f>Orders!J1819</f>
        <v/>
      </c>
      <c r="K1819" s="55">
        <f>Orders!K1819</f>
        <v/>
      </c>
      <c r="L1819" s="55">
        <f>VLOOKUP(D1819,Products!$A$2:$F$61,3,FALSE())</f>
        <v/>
      </c>
      <c r="M1819" s="55">
        <f>VLOOKUP(C1819,Customers!$A$2:$F$301,5,FALSE())</f>
        <v/>
      </c>
      <c r="N1819" s="55">
        <f>VLOOKUP(E1819,Sales_Reps!$A$2:$E$31,3,FALSE())</f>
        <v/>
      </c>
      <c r="O1819" s="55">
        <f>VLOOKUP(D1819,Products!$A$2:$F$61,4,FALSE())</f>
        <v/>
      </c>
      <c r="P1819" s="55">
        <f>VLOOKUP(C1819,Customers!$A$2:$F$301,3,FALSE())</f>
        <v/>
      </c>
      <c r="Q1819" s="55">
        <f>UPPER(TRIM(K1819))</f>
        <v/>
      </c>
      <c r="R1819" s="55">
        <f>(G1819-O1819)/G1819</f>
        <v/>
      </c>
      <c r="S1819" s="55">
        <f>VLOOKUP(D1819,Products!$A$2:$F$61,6,FALSE())</f>
        <v/>
      </c>
    </row>
    <row r="1820" ht="15" customHeight="1" s="56">
      <c r="A1820" s="55">
        <f>Orders!A1820</f>
        <v/>
      </c>
      <c r="B1820" s="103">
        <f>Orders!B1820</f>
        <v/>
      </c>
      <c r="C1820" s="55">
        <f>Orders!C1820</f>
        <v/>
      </c>
      <c r="D1820" s="55">
        <f>Orders!D1820</f>
        <v/>
      </c>
      <c r="E1820" s="55">
        <f>Orders!E1820</f>
        <v/>
      </c>
      <c r="F1820" s="55">
        <f>Orders!F1820</f>
        <v/>
      </c>
      <c r="G1820" s="55">
        <f>Orders!G1820</f>
        <v/>
      </c>
      <c r="H1820" s="55">
        <f>Orders!H1820</f>
        <v/>
      </c>
      <c r="I1820" s="55">
        <f>Orders!I1820</f>
        <v/>
      </c>
      <c r="J1820" s="55">
        <f>Orders!J1820</f>
        <v/>
      </c>
      <c r="K1820" s="55">
        <f>Orders!K1820</f>
        <v/>
      </c>
      <c r="L1820" s="55">
        <f>VLOOKUP(D1820,Products!$A$2:$F$61,3,FALSE())</f>
        <v/>
      </c>
      <c r="M1820" s="55">
        <f>VLOOKUP(C1820,Customers!$A$2:$F$301,5,FALSE())</f>
        <v/>
      </c>
      <c r="N1820" s="55">
        <f>VLOOKUP(E1820,Sales_Reps!$A$2:$E$31,3,FALSE())</f>
        <v/>
      </c>
      <c r="O1820" s="55">
        <f>VLOOKUP(D1820,Products!$A$2:$F$61,4,FALSE())</f>
        <v/>
      </c>
      <c r="P1820" s="55">
        <f>VLOOKUP(C1820,Customers!$A$2:$F$301,3,FALSE())</f>
        <v/>
      </c>
      <c r="Q1820" s="55">
        <f>UPPER(TRIM(K1820))</f>
        <v/>
      </c>
      <c r="R1820" s="55">
        <f>(G1820-O1820)/G1820</f>
        <v/>
      </c>
      <c r="S1820" s="55">
        <f>VLOOKUP(D1820,Products!$A$2:$F$61,6,FALSE())</f>
        <v/>
      </c>
    </row>
    <row r="1821" ht="15" customHeight="1" s="56">
      <c r="A1821" s="55">
        <f>Orders!A1821</f>
        <v/>
      </c>
      <c r="B1821" s="103">
        <f>Orders!B1821</f>
        <v/>
      </c>
      <c r="C1821" s="55">
        <f>Orders!C1821</f>
        <v/>
      </c>
      <c r="D1821" s="55">
        <f>Orders!D1821</f>
        <v/>
      </c>
      <c r="E1821" s="55">
        <f>Orders!E1821</f>
        <v/>
      </c>
      <c r="F1821" s="55">
        <f>Orders!F1821</f>
        <v/>
      </c>
      <c r="G1821" s="55">
        <f>Orders!G1821</f>
        <v/>
      </c>
      <c r="H1821" s="55">
        <f>Orders!H1821</f>
        <v/>
      </c>
      <c r="I1821" s="55">
        <f>Orders!I1821</f>
        <v/>
      </c>
      <c r="J1821" s="55">
        <f>Orders!J1821</f>
        <v/>
      </c>
      <c r="K1821" s="55">
        <f>Orders!K1821</f>
        <v/>
      </c>
      <c r="L1821" s="55">
        <f>VLOOKUP(D1821,Products!$A$2:$F$61,3,FALSE())</f>
        <v/>
      </c>
      <c r="M1821" s="55">
        <f>VLOOKUP(C1821,Customers!$A$2:$F$301,5,FALSE())</f>
        <v/>
      </c>
      <c r="N1821" s="55">
        <f>VLOOKUP(E1821,Sales_Reps!$A$2:$E$31,3,FALSE())</f>
        <v/>
      </c>
      <c r="O1821" s="55">
        <f>VLOOKUP(D1821,Products!$A$2:$F$61,4,FALSE())</f>
        <v/>
      </c>
      <c r="P1821" s="55">
        <f>VLOOKUP(C1821,Customers!$A$2:$F$301,3,FALSE())</f>
        <v/>
      </c>
      <c r="Q1821" s="55">
        <f>UPPER(TRIM(K1821))</f>
        <v/>
      </c>
      <c r="R1821" s="55">
        <f>(G1821-O1821)/G1821</f>
        <v/>
      </c>
      <c r="S1821" s="55">
        <f>VLOOKUP(D1821,Products!$A$2:$F$61,6,FALSE())</f>
        <v/>
      </c>
    </row>
    <row r="1822" ht="15" customHeight="1" s="56">
      <c r="A1822" s="55">
        <f>Orders!A1822</f>
        <v/>
      </c>
      <c r="B1822" s="103">
        <f>Orders!B1822</f>
        <v/>
      </c>
      <c r="C1822" s="55">
        <f>Orders!C1822</f>
        <v/>
      </c>
      <c r="D1822" s="55">
        <f>Orders!D1822</f>
        <v/>
      </c>
      <c r="E1822" s="55">
        <f>Orders!E1822</f>
        <v/>
      </c>
      <c r="F1822" s="55">
        <f>Orders!F1822</f>
        <v/>
      </c>
      <c r="G1822" s="55">
        <f>Orders!G1822</f>
        <v/>
      </c>
      <c r="H1822" s="55">
        <f>Orders!H1822</f>
        <v/>
      </c>
      <c r="I1822" s="55">
        <f>Orders!I1822</f>
        <v/>
      </c>
      <c r="J1822" s="55">
        <f>Orders!J1822</f>
        <v/>
      </c>
      <c r="K1822" s="55">
        <f>Orders!K1822</f>
        <v/>
      </c>
      <c r="L1822" s="55">
        <f>VLOOKUP(D1822,Products!$A$2:$F$61,3,FALSE())</f>
        <v/>
      </c>
      <c r="M1822" s="55">
        <f>VLOOKUP(C1822,Customers!$A$2:$F$301,5,FALSE())</f>
        <v/>
      </c>
      <c r="N1822" s="55">
        <f>VLOOKUP(E1822,Sales_Reps!$A$2:$E$31,3,FALSE())</f>
        <v/>
      </c>
      <c r="O1822" s="55">
        <f>VLOOKUP(D1822,Products!$A$2:$F$61,4,FALSE())</f>
        <v/>
      </c>
      <c r="P1822" s="55">
        <f>VLOOKUP(C1822,Customers!$A$2:$F$301,3,FALSE())</f>
        <v/>
      </c>
      <c r="Q1822" s="55">
        <f>UPPER(TRIM(K1822))</f>
        <v/>
      </c>
      <c r="R1822" s="55">
        <f>(G1822-O1822)/G1822</f>
        <v/>
      </c>
      <c r="S1822" s="55">
        <f>VLOOKUP(D1822,Products!$A$2:$F$61,6,FALSE())</f>
        <v/>
      </c>
    </row>
    <row r="1823" ht="15" customHeight="1" s="56">
      <c r="A1823" s="55">
        <f>Orders!A1823</f>
        <v/>
      </c>
      <c r="B1823" s="103">
        <f>Orders!B1823</f>
        <v/>
      </c>
      <c r="C1823" s="55">
        <f>Orders!C1823</f>
        <v/>
      </c>
      <c r="D1823" s="55">
        <f>Orders!D1823</f>
        <v/>
      </c>
      <c r="E1823" s="55">
        <f>Orders!E1823</f>
        <v/>
      </c>
      <c r="F1823" s="55">
        <f>Orders!F1823</f>
        <v/>
      </c>
      <c r="G1823" s="55">
        <f>Orders!G1823</f>
        <v/>
      </c>
      <c r="H1823" s="55">
        <f>Orders!H1823</f>
        <v/>
      </c>
      <c r="I1823" s="55">
        <f>Orders!I1823</f>
        <v/>
      </c>
      <c r="J1823" s="55">
        <f>Orders!J1823</f>
        <v/>
      </c>
      <c r="K1823" s="55">
        <f>Orders!K1823</f>
        <v/>
      </c>
      <c r="L1823" s="55">
        <f>VLOOKUP(D1823,Products!$A$2:$F$61,3,FALSE())</f>
        <v/>
      </c>
      <c r="M1823" s="55">
        <f>VLOOKUP(C1823,Customers!$A$2:$F$301,5,FALSE())</f>
        <v/>
      </c>
      <c r="N1823" s="55">
        <f>VLOOKUP(E1823,Sales_Reps!$A$2:$E$31,3,FALSE())</f>
        <v/>
      </c>
      <c r="O1823" s="55">
        <f>VLOOKUP(D1823,Products!$A$2:$F$61,4,FALSE())</f>
        <v/>
      </c>
      <c r="P1823" s="55">
        <f>VLOOKUP(C1823,Customers!$A$2:$F$301,3,FALSE())</f>
        <v/>
      </c>
      <c r="Q1823" s="55">
        <f>UPPER(TRIM(K1823))</f>
        <v/>
      </c>
      <c r="R1823" s="55">
        <f>(G1823-O1823)/G1823</f>
        <v/>
      </c>
      <c r="S1823" s="55">
        <f>VLOOKUP(D1823,Products!$A$2:$F$61,6,FALSE())</f>
        <v/>
      </c>
    </row>
    <row r="1824" ht="15" customHeight="1" s="56">
      <c r="A1824" s="55">
        <f>Orders!A1824</f>
        <v/>
      </c>
      <c r="B1824" s="103">
        <f>Orders!B1824</f>
        <v/>
      </c>
      <c r="C1824" s="55">
        <f>Orders!C1824</f>
        <v/>
      </c>
      <c r="D1824" s="55">
        <f>Orders!D1824</f>
        <v/>
      </c>
      <c r="E1824" s="55">
        <f>Orders!E1824</f>
        <v/>
      </c>
      <c r="F1824" s="55">
        <f>Orders!F1824</f>
        <v/>
      </c>
      <c r="G1824" s="55">
        <f>Orders!G1824</f>
        <v/>
      </c>
      <c r="H1824" s="55">
        <f>Orders!H1824</f>
        <v/>
      </c>
      <c r="I1824" s="55">
        <f>Orders!I1824</f>
        <v/>
      </c>
      <c r="J1824" s="55">
        <f>Orders!J1824</f>
        <v/>
      </c>
      <c r="K1824" s="55">
        <f>Orders!K1824</f>
        <v/>
      </c>
      <c r="L1824" s="55">
        <f>VLOOKUP(D1824,Products!$A$2:$F$61,3,FALSE())</f>
        <v/>
      </c>
      <c r="M1824" s="55">
        <f>VLOOKUP(C1824,Customers!$A$2:$F$301,5,FALSE())</f>
        <v/>
      </c>
      <c r="N1824" s="55">
        <f>VLOOKUP(E1824,Sales_Reps!$A$2:$E$31,3,FALSE())</f>
        <v/>
      </c>
      <c r="O1824" s="55">
        <f>VLOOKUP(D1824,Products!$A$2:$F$61,4,FALSE())</f>
        <v/>
      </c>
      <c r="P1824" s="55">
        <f>VLOOKUP(C1824,Customers!$A$2:$F$301,3,FALSE())</f>
        <v/>
      </c>
      <c r="Q1824" s="55">
        <f>UPPER(TRIM(K1824))</f>
        <v/>
      </c>
      <c r="R1824" s="55">
        <f>(G1824-O1824)/G1824</f>
        <v/>
      </c>
      <c r="S1824" s="55">
        <f>VLOOKUP(D1824,Products!$A$2:$F$61,6,FALSE())</f>
        <v/>
      </c>
    </row>
    <row r="1825" ht="15" customHeight="1" s="56">
      <c r="A1825" s="55">
        <f>Orders!A1825</f>
        <v/>
      </c>
      <c r="B1825" s="103">
        <f>Orders!B1825</f>
        <v/>
      </c>
      <c r="C1825" s="55">
        <f>Orders!C1825</f>
        <v/>
      </c>
      <c r="D1825" s="55">
        <f>Orders!D1825</f>
        <v/>
      </c>
      <c r="E1825" s="55">
        <f>Orders!E1825</f>
        <v/>
      </c>
      <c r="F1825" s="55">
        <f>Orders!F1825</f>
        <v/>
      </c>
      <c r="G1825" s="55">
        <f>Orders!G1825</f>
        <v/>
      </c>
      <c r="H1825" s="55">
        <f>Orders!H1825</f>
        <v/>
      </c>
      <c r="I1825" s="55">
        <f>Orders!I1825</f>
        <v/>
      </c>
      <c r="J1825" s="55">
        <f>Orders!J1825</f>
        <v/>
      </c>
      <c r="K1825" s="55">
        <f>Orders!K1825</f>
        <v/>
      </c>
      <c r="L1825" s="55">
        <f>VLOOKUP(D1825,Products!$A$2:$F$61,3,FALSE())</f>
        <v/>
      </c>
      <c r="M1825" s="55">
        <f>VLOOKUP(C1825,Customers!$A$2:$F$301,5,FALSE())</f>
        <v/>
      </c>
      <c r="N1825" s="55">
        <f>VLOOKUP(E1825,Sales_Reps!$A$2:$E$31,3,FALSE())</f>
        <v/>
      </c>
      <c r="O1825" s="55">
        <f>VLOOKUP(D1825,Products!$A$2:$F$61,4,FALSE())</f>
        <v/>
      </c>
      <c r="P1825" s="55">
        <f>VLOOKUP(C1825,Customers!$A$2:$F$301,3,FALSE())</f>
        <v/>
      </c>
      <c r="Q1825" s="55">
        <f>UPPER(TRIM(K1825))</f>
        <v/>
      </c>
      <c r="R1825" s="55">
        <f>(G1825-O1825)/G1825</f>
        <v/>
      </c>
      <c r="S1825" s="55">
        <f>VLOOKUP(D1825,Products!$A$2:$F$61,6,FALSE())</f>
        <v/>
      </c>
    </row>
    <row r="1826" ht="15" customHeight="1" s="56">
      <c r="A1826" s="55">
        <f>Orders!A1826</f>
        <v/>
      </c>
      <c r="B1826" s="103">
        <f>Orders!B1826</f>
        <v/>
      </c>
      <c r="C1826" s="55">
        <f>Orders!C1826</f>
        <v/>
      </c>
      <c r="D1826" s="55">
        <f>Orders!D1826</f>
        <v/>
      </c>
      <c r="E1826" s="55">
        <f>Orders!E1826</f>
        <v/>
      </c>
      <c r="F1826" s="55">
        <f>Orders!F1826</f>
        <v/>
      </c>
      <c r="G1826" s="55">
        <f>Orders!G1826</f>
        <v/>
      </c>
      <c r="H1826" s="55">
        <f>Orders!H1826</f>
        <v/>
      </c>
      <c r="I1826" s="55">
        <f>Orders!I1826</f>
        <v/>
      </c>
      <c r="J1826" s="55">
        <f>Orders!J1826</f>
        <v/>
      </c>
      <c r="K1826" s="55">
        <f>Orders!K1826</f>
        <v/>
      </c>
      <c r="L1826" s="55">
        <f>VLOOKUP(D1826,Products!$A$2:$F$61,3,FALSE())</f>
        <v/>
      </c>
      <c r="M1826" s="55">
        <f>VLOOKUP(C1826,Customers!$A$2:$F$301,5,FALSE())</f>
        <v/>
      </c>
      <c r="N1826" s="55">
        <f>VLOOKUP(E1826,Sales_Reps!$A$2:$E$31,3,FALSE())</f>
        <v/>
      </c>
      <c r="O1826" s="55">
        <f>VLOOKUP(D1826,Products!$A$2:$F$61,4,FALSE())</f>
        <v/>
      </c>
      <c r="P1826" s="55">
        <f>VLOOKUP(C1826,Customers!$A$2:$F$301,3,FALSE())</f>
        <v/>
      </c>
      <c r="Q1826" s="55">
        <f>UPPER(TRIM(K1826))</f>
        <v/>
      </c>
      <c r="R1826" s="55">
        <f>(G1826-O1826)/G1826</f>
        <v/>
      </c>
      <c r="S1826" s="55">
        <f>VLOOKUP(D1826,Products!$A$2:$F$61,6,FALSE())</f>
        <v/>
      </c>
    </row>
    <row r="1827" ht="15" customHeight="1" s="56">
      <c r="A1827" s="55">
        <f>Orders!A1827</f>
        <v/>
      </c>
      <c r="B1827" s="103">
        <f>Orders!B1827</f>
        <v/>
      </c>
      <c r="C1827" s="55">
        <f>Orders!C1827</f>
        <v/>
      </c>
      <c r="D1827" s="55">
        <f>Orders!D1827</f>
        <v/>
      </c>
      <c r="E1827" s="55">
        <f>Orders!E1827</f>
        <v/>
      </c>
      <c r="F1827" s="55">
        <f>Orders!F1827</f>
        <v/>
      </c>
      <c r="G1827" s="55">
        <f>Orders!G1827</f>
        <v/>
      </c>
      <c r="H1827" s="55">
        <f>Orders!H1827</f>
        <v/>
      </c>
      <c r="I1827" s="55">
        <f>Orders!I1827</f>
        <v/>
      </c>
      <c r="J1827" s="55">
        <f>Orders!J1827</f>
        <v/>
      </c>
      <c r="K1827" s="55">
        <f>Orders!K1827</f>
        <v/>
      </c>
      <c r="L1827" s="55">
        <f>VLOOKUP(D1827,Products!$A$2:$F$61,3,FALSE())</f>
        <v/>
      </c>
      <c r="M1827" s="55">
        <f>VLOOKUP(C1827,Customers!$A$2:$F$301,5,FALSE())</f>
        <v/>
      </c>
      <c r="N1827" s="55">
        <f>VLOOKUP(E1827,Sales_Reps!$A$2:$E$31,3,FALSE())</f>
        <v/>
      </c>
      <c r="O1827" s="55">
        <f>VLOOKUP(D1827,Products!$A$2:$F$61,4,FALSE())</f>
        <v/>
      </c>
      <c r="P1827" s="55">
        <f>VLOOKUP(C1827,Customers!$A$2:$F$301,3,FALSE())</f>
        <v/>
      </c>
      <c r="Q1827" s="55">
        <f>UPPER(TRIM(K1827))</f>
        <v/>
      </c>
      <c r="R1827" s="55">
        <f>(G1827-O1827)/G1827</f>
        <v/>
      </c>
      <c r="S1827" s="55">
        <f>VLOOKUP(D1827,Products!$A$2:$F$61,6,FALSE())</f>
        <v/>
      </c>
    </row>
    <row r="1828" ht="15" customHeight="1" s="56">
      <c r="A1828" s="55">
        <f>Orders!A1828</f>
        <v/>
      </c>
      <c r="B1828" s="103">
        <f>Orders!B1828</f>
        <v/>
      </c>
      <c r="C1828" s="55">
        <f>Orders!C1828</f>
        <v/>
      </c>
      <c r="D1828" s="55">
        <f>Orders!D1828</f>
        <v/>
      </c>
      <c r="E1828" s="55">
        <f>Orders!E1828</f>
        <v/>
      </c>
      <c r="F1828" s="55">
        <f>Orders!F1828</f>
        <v/>
      </c>
      <c r="G1828" s="55">
        <f>Orders!G1828</f>
        <v/>
      </c>
      <c r="H1828" s="55">
        <f>Orders!H1828</f>
        <v/>
      </c>
      <c r="I1828" s="55">
        <f>Orders!I1828</f>
        <v/>
      </c>
      <c r="J1828" s="55">
        <f>Orders!J1828</f>
        <v/>
      </c>
      <c r="K1828" s="55">
        <f>Orders!K1828</f>
        <v/>
      </c>
      <c r="L1828" s="55">
        <f>VLOOKUP(D1828,Products!$A$2:$F$61,3,FALSE())</f>
        <v/>
      </c>
      <c r="M1828" s="55">
        <f>VLOOKUP(C1828,Customers!$A$2:$F$301,5,FALSE())</f>
        <v/>
      </c>
      <c r="N1828" s="55">
        <f>VLOOKUP(E1828,Sales_Reps!$A$2:$E$31,3,FALSE())</f>
        <v/>
      </c>
      <c r="O1828" s="55">
        <f>VLOOKUP(D1828,Products!$A$2:$F$61,4,FALSE())</f>
        <v/>
      </c>
      <c r="P1828" s="55">
        <f>VLOOKUP(C1828,Customers!$A$2:$F$301,3,FALSE())</f>
        <v/>
      </c>
      <c r="Q1828" s="55">
        <f>UPPER(TRIM(K1828))</f>
        <v/>
      </c>
      <c r="R1828" s="55">
        <f>(G1828-O1828)/G1828</f>
        <v/>
      </c>
      <c r="S1828" s="55">
        <f>VLOOKUP(D1828,Products!$A$2:$F$61,6,FALSE())</f>
        <v/>
      </c>
    </row>
    <row r="1829" ht="15" customHeight="1" s="56">
      <c r="A1829" s="55">
        <f>Orders!A1829</f>
        <v/>
      </c>
      <c r="B1829" s="103">
        <f>Orders!B1829</f>
        <v/>
      </c>
      <c r="C1829" s="55">
        <f>Orders!C1829</f>
        <v/>
      </c>
      <c r="D1829" s="55">
        <f>Orders!D1829</f>
        <v/>
      </c>
      <c r="E1829" s="55">
        <f>Orders!E1829</f>
        <v/>
      </c>
      <c r="F1829" s="55">
        <f>Orders!F1829</f>
        <v/>
      </c>
      <c r="G1829" s="55">
        <f>Orders!G1829</f>
        <v/>
      </c>
      <c r="H1829" s="55">
        <f>Orders!H1829</f>
        <v/>
      </c>
      <c r="I1829" s="55">
        <f>Orders!I1829</f>
        <v/>
      </c>
      <c r="J1829" s="55">
        <f>Orders!J1829</f>
        <v/>
      </c>
      <c r="K1829" s="55">
        <f>Orders!K1829</f>
        <v/>
      </c>
      <c r="L1829" s="55">
        <f>VLOOKUP(D1829,Products!$A$2:$F$61,3,FALSE())</f>
        <v/>
      </c>
      <c r="M1829" s="55">
        <f>VLOOKUP(C1829,Customers!$A$2:$F$301,5,FALSE())</f>
        <v/>
      </c>
      <c r="N1829" s="55">
        <f>VLOOKUP(E1829,Sales_Reps!$A$2:$E$31,3,FALSE())</f>
        <v/>
      </c>
      <c r="O1829" s="55">
        <f>VLOOKUP(D1829,Products!$A$2:$F$61,4,FALSE())</f>
        <v/>
      </c>
      <c r="P1829" s="55">
        <f>VLOOKUP(C1829,Customers!$A$2:$F$301,3,FALSE())</f>
        <v/>
      </c>
      <c r="Q1829" s="55">
        <f>UPPER(TRIM(K1829))</f>
        <v/>
      </c>
      <c r="R1829" s="55">
        <f>(G1829-O1829)/G1829</f>
        <v/>
      </c>
      <c r="S1829" s="55">
        <f>VLOOKUP(D1829,Products!$A$2:$F$61,6,FALSE())</f>
        <v/>
      </c>
    </row>
    <row r="1830" ht="15" customHeight="1" s="56">
      <c r="A1830" s="55">
        <f>Orders!A1830</f>
        <v/>
      </c>
      <c r="B1830" s="103">
        <f>Orders!B1830</f>
        <v/>
      </c>
      <c r="C1830" s="55">
        <f>Orders!C1830</f>
        <v/>
      </c>
      <c r="D1830" s="55">
        <f>Orders!D1830</f>
        <v/>
      </c>
      <c r="E1830" s="55">
        <f>Orders!E1830</f>
        <v/>
      </c>
      <c r="F1830" s="55">
        <f>Orders!F1830</f>
        <v/>
      </c>
      <c r="G1830" s="55">
        <f>Orders!G1830</f>
        <v/>
      </c>
      <c r="H1830" s="55">
        <f>Orders!H1830</f>
        <v/>
      </c>
      <c r="I1830" s="55">
        <f>Orders!I1830</f>
        <v/>
      </c>
      <c r="J1830" s="55">
        <f>Orders!J1830</f>
        <v/>
      </c>
      <c r="K1830" s="55">
        <f>Orders!K1830</f>
        <v/>
      </c>
      <c r="L1830" s="55">
        <f>VLOOKUP(D1830,Products!$A$2:$F$61,3,FALSE())</f>
        <v/>
      </c>
      <c r="M1830" s="55">
        <f>VLOOKUP(C1830,Customers!$A$2:$F$301,5,FALSE())</f>
        <v/>
      </c>
      <c r="N1830" s="55">
        <f>VLOOKUP(E1830,Sales_Reps!$A$2:$E$31,3,FALSE())</f>
        <v/>
      </c>
      <c r="O1830" s="55">
        <f>VLOOKUP(D1830,Products!$A$2:$F$61,4,FALSE())</f>
        <v/>
      </c>
      <c r="P1830" s="55">
        <f>VLOOKUP(C1830,Customers!$A$2:$F$301,3,FALSE())</f>
        <v/>
      </c>
      <c r="Q1830" s="55">
        <f>UPPER(TRIM(K1830))</f>
        <v/>
      </c>
      <c r="R1830" s="55">
        <f>(G1830-O1830)/G1830</f>
        <v/>
      </c>
      <c r="S1830" s="55">
        <f>VLOOKUP(D1830,Products!$A$2:$F$61,6,FALSE())</f>
        <v/>
      </c>
    </row>
    <row r="1831" ht="15" customHeight="1" s="56">
      <c r="A1831" s="55">
        <f>Orders!A1831</f>
        <v/>
      </c>
      <c r="B1831" s="103">
        <f>Orders!B1831</f>
        <v/>
      </c>
      <c r="C1831" s="55">
        <f>Orders!C1831</f>
        <v/>
      </c>
      <c r="D1831" s="55">
        <f>Orders!D1831</f>
        <v/>
      </c>
      <c r="E1831" s="55">
        <f>Orders!E1831</f>
        <v/>
      </c>
      <c r="F1831" s="55">
        <f>Orders!F1831</f>
        <v/>
      </c>
      <c r="G1831" s="55">
        <f>Orders!G1831</f>
        <v/>
      </c>
      <c r="H1831" s="55">
        <f>Orders!H1831</f>
        <v/>
      </c>
      <c r="I1831" s="55">
        <f>Orders!I1831</f>
        <v/>
      </c>
      <c r="J1831" s="55">
        <f>Orders!J1831</f>
        <v/>
      </c>
      <c r="K1831" s="55">
        <f>Orders!K1831</f>
        <v/>
      </c>
      <c r="L1831" s="55">
        <f>VLOOKUP(D1831,Products!$A$2:$F$61,3,FALSE())</f>
        <v/>
      </c>
      <c r="M1831" s="55">
        <f>VLOOKUP(C1831,Customers!$A$2:$F$301,5,FALSE())</f>
        <v/>
      </c>
      <c r="N1831" s="55">
        <f>VLOOKUP(E1831,Sales_Reps!$A$2:$E$31,3,FALSE())</f>
        <v/>
      </c>
      <c r="O1831" s="55">
        <f>VLOOKUP(D1831,Products!$A$2:$F$61,4,FALSE())</f>
        <v/>
      </c>
      <c r="P1831" s="55">
        <f>VLOOKUP(C1831,Customers!$A$2:$F$301,3,FALSE())</f>
        <v/>
      </c>
      <c r="Q1831" s="55">
        <f>UPPER(TRIM(K1831))</f>
        <v/>
      </c>
      <c r="R1831" s="55">
        <f>(G1831-O1831)/G1831</f>
        <v/>
      </c>
      <c r="S1831" s="55">
        <f>VLOOKUP(D1831,Products!$A$2:$F$61,6,FALSE())</f>
        <v/>
      </c>
    </row>
    <row r="1832" ht="15" customHeight="1" s="56">
      <c r="A1832" s="55">
        <f>Orders!A1832</f>
        <v/>
      </c>
      <c r="B1832" s="103">
        <f>Orders!B1832</f>
        <v/>
      </c>
      <c r="C1832" s="55">
        <f>Orders!C1832</f>
        <v/>
      </c>
      <c r="D1832" s="55">
        <f>Orders!D1832</f>
        <v/>
      </c>
      <c r="E1832" s="55">
        <f>Orders!E1832</f>
        <v/>
      </c>
      <c r="F1832" s="55">
        <f>Orders!F1832</f>
        <v/>
      </c>
      <c r="G1832" s="55">
        <f>Orders!G1832</f>
        <v/>
      </c>
      <c r="H1832" s="55">
        <f>Orders!H1832</f>
        <v/>
      </c>
      <c r="I1832" s="55">
        <f>Orders!I1832</f>
        <v/>
      </c>
      <c r="J1832" s="55">
        <f>Orders!J1832</f>
        <v/>
      </c>
      <c r="K1832" s="55">
        <f>Orders!K1832</f>
        <v/>
      </c>
      <c r="L1832" s="55">
        <f>VLOOKUP(D1832,Products!$A$2:$F$61,3,FALSE())</f>
        <v/>
      </c>
      <c r="M1832" s="55">
        <f>VLOOKUP(C1832,Customers!$A$2:$F$301,5,FALSE())</f>
        <v/>
      </c>
      <c r="N1832" s="55">
        <f>VLOOKUP(E1832,Sales_Reps!$A$2:$E$31,3,FALSE())</f>
        <v/>
      </c>
      <c r="O1832" s="55">
        <f>VLOOKUP(D1832,Products!$A$2:$F$61,4,FALSE())</f>
        <v/>
      </c>
      <c r="P1832" s="55">
        <f>VLOOKUP(C1832,Customers!$A$2:$F$301,3,FALSE())</f>
        <v/>
      </c>
      <c r="Q1832" s="55">
        <f>UPPER(TRIM(K1832))</f>
        <v/>
      </c>
      <c r="R1832" s="55">
        <f>(G1832-O1832)/G1832</f>
        <v/>
      </c>
      <c r="S1832" s="55">
        <f>VLOOKUP(D1832,Products!$A$2:$F$61,6,FALSE())</f>
        <v/>
      </c>
    </row>
    <row r="1833" ht="15" customHeight="1" s="56">
      <c r="A1833" s="55">
        <f>Orders!A1833</f>
        <v/>
      </c>
      <c r="B1833" s="103">
        <f>Orders!B1833</f>
        <v/>
      </c>
      <c r="C1833" s="55">
        <f>Orders!C1833</f>
        <v/>
      </c>
      <c r="D1833" s="55">
        <f>Orders!D1833</f>
        <v/>
      </c>
      <c r="E1833" s="55">
        <f>Orders!E1833</f>
        <v/>
      </c>
      <c r="F1833" s="55">
        <f>Orders!F1833</f>
        <v/>
      </c>
      <c r="G1833" s="55">
        <f>Orders!G1833</f>
        <v/>
      </c>
      <c r="H1833" s="55">
        <f>Orders!H1833</f>
        <v/>
      </c>
      <c r="I1833" s="55">
        <f>Orders!I1833</f>
        <v/>
      </c>
      <c r="J1833" s="55">
        <f>Orders!J1833</f>
        <v/>
      </c>
      <c r="K1833" s="55">
        <f>Orders!K1833</f>
        <v/>
      </c>
      <c r="L1833" s="55">
        <f>VLOOKUP(D1833,Products!$A$2:$F$61,3,FALSE())</f>
        <v/>
      </c>
      <c r="M1833" s="55">
        <f>VLOOKUP(C1833,Customers!$A$2:$F$301,5,FALSE())</f>
        <v/>
      </c>
      <c r="N1833" s="55">
        <f>VLOOKUP(E1833,Sales_Reps!$A$2:$E$31,3,FALSE())</f>
        <v/>
      </c>
      <c r="O1833" s="55">
        <f>VLOOKUP(D1833,Products!$A$2:$F$61,4,FALSE())</f>
        <v/>
      </c>
      <c r="P1833" s="55">
        <f>VLOOKUP(C1833,Customers!$A$2:$F$301,3,FALSE())</f>
        <v/>
      </c>
      <c r="Q1833" s="55">
        <f>UPPER(TRIM(K1833))</f>
        <v/>
      </c>
      <c r="R1833" s="55">
        <f>(G1833-O1833)/G1833</f>
        <v/>
      </c>
      <c r="S1833" s="55">
        <f>VLOOKUP(D1833,Products!$A$2:$F$61,6,FALSE())</f>
        <v/>
      </c>
    </row>
    <row r="1834" ht="15" customHeight="1" s="56">
      <c r="A1834" s="55">
        <f>Orders!A1834</f>
        <v/>
      </c>
      <c r="B1834" s="103">
        <f>Orders!B1834</f>
        <v/>
      </c>
      <c r="C1834" s="55">
        <f>Orders!C1834</f>
        <v/>
      </c>
      <c r="D1834" s="55">
        <f>Orders!D1834</f>
        <v/>
      </c>
      <c r="E1834" s="55">
        <f>Orders!E1834</f>
        <v/>
      </c>
      <c r="F1834" s="55">
        <f>Orders!F1834</f>
        <v/>
      </c>
      <c r="G1834" s="55">
        <f>Orders!G1834</f>
        <v/>
      </c>
      <c r="H1834" s="55">
        <f>Orders!H1834</f>
        <v/>
      </c>
      <c r="I1834" s="55">
        <f>Orders!I1834</f>
        <v/>
      </c>
      <c r="J1834" s="55">
        <f>Orders!J1834</f>
        <v/>
      </c>
      <c r="K1834" s="55">
        <f>Orders!K1834</f>
        <v/>
      </c>
      <c r="L1834" s="55">
        <f>VLOOKUP(D1834,Products!$A$2:$F$61,3,FALSE())</f>
        <v/>
      </c>
      <c r="M1834" s="55">
        <f>VLOOKUP(C1834,Customers!$A$2:$F$301,5,FALSE())</f>
        <v/>
      </c>
      <c r="N1834" s="55">
        <f>VLOOKUP(E1834,Sales_Reps!$A$2:$E$31,3,FALSE())</f>
        <v/>
      </c>
      <c r="O1834" s="55">
        <f>VLOOKUP(D1834,Products!$A$2:$F$61,4,FALSE())</f>
        <v/>
      </c>
      <c r="P1834" s="55">
        <f>VLOOKUP(C1834,Customers!$A$2:$F$301,3,FALSE())</f>
        <v/>
      </c>
      <c r="Q1834" s="55">
        <f>UPPER(TRIM(K1834))</f>
        <v/>
      </c>
      <c r="R1834" s="55">
        <f>(G1834-O1834)/G1834</f>
        <v/>
      </c>
      <c r="S1834" s="55">
        <f>VLOOKUP(D1834,Products!$A$2:$F$61,6,FALSE())</f>
        <v/>
      </c>
    </row>
    <row r="1835" ht="15" customHeight="1" s="56">
      <c r="A1835" s="55">
        <f>Orders!A1835</f>
        <v/>
      </c>
      <c r="B1835" s="103">
        <f>Orders!B1835</f>
        <v/>
      </c>
      <c r="C1835" s="55">
        <f>Orders!C1835</f>
        <v/>
      </c>
      <c r="D1835" s="55">
        <f>Orders!D1835</f>
        <v/>
      </c>
      <c r="E1835" s="55">
        <f>Orders!E1835</f>
        <v/>
      </c>
      <c r="F1835" s="55">
        <f>Orders!F1835</f>
        <v/>
      </c>
      <c r="G1835" s="55">
        <f>Orders!G1835</f>
        <v/>
      </c>
      <c r="H1835" s="55">
        <f>Orders!H1835</f>
        <v/>
      </c>
      <c r="I1835" s="55">
        <f>Orders!I1835</f>
        <v/>
      </c>
      <c r="J1835" s="55">
        <f>Orders!J1835</f>
        <v/>
      </c>
      <c r="K1835" s="55">
        <f>Orders!K1835</f>
        <v/>
      </c>
      <c r="L1835" s="55">
        <f>VLOOKUP(D1835,Products!$A$2:$F$61,3,FALSE())</f>
        <v/>
      </c>
      <c r="M1835" s="55">
        <f>VLOOKUP(C1835,Customers!$A$2:$F$301,5,FALSE())</f>
        <v/>
      </c>
      <c r="N1835" s="55">
        <f>VLOOKUP(E1835,Sales_Reps!$A$2:$E$31,3,FALSE())</f>
        <v/>
      </c>
      <c r="O1835" s="55">
        <f>VLOOKUP(D1835,Products!$A$2:$F$61,4,FALSE())</f>
        <v/>
      </c>
      <c r="P1835" s="55">
        <f>VLOOKUP(C1835,Customers!$A$2:$F$301,3,FALSE())</f>
        <v/>
      </c>
      <c r="Q1835" s="55">
        <f>UPPER(TRIM(K1835))</f>
        <v/>
      </c>
      <c r="R1835" s="55">
        <f>(G1835-O1835)/G1835</f>
        <v/>
      </c>
      <c r="S1835" s="55">
        <f>VLOOKUP(D1835,Products!$A$2:$F$61,6,FALSE())</f>
        <v/>
      </c>
    </row>
    <row r="1836" ht="15" customHeight="1" s="56">
      <c r="A1836" s="55">
        <f>Orders!A1836</f>
        <v/>
      </c>
      <c r="B1836" s="103">
        <f>Orders!B1836</f>
        <v/>
      </c>
      <c r="C1836" s="55">
        <f>Orders!C1836</f>
        <v/>
      </c>
      <c r="D1836" s="55">
        <f>Orders!D1836</f>
        <v/>
      </c>
      <c r="E1836" s="55">
        <f>Orders!E1836</f>
        <v/>
      </c>
      <c r="F1836" s="55">
        <f>Orders!F1836</f>
        <v/>
      </c>
      <c r="G1836" s="55">
        <f>Orders!G1836</f>
        <v/>
      </c>
      <c r="H1836" s="55">
        <f>Orders!H1836</f>
        <v/>
      </c>
      <c r="I1836" s="55">
        <f>Orders!I1836</f>
        <v/>
      </c>
      <c r="J1836" s="55">
        <f>Orders!J1836</f>
        <v/>
      </c>
      <c r="K1836" s="55">
        <f>Orders!K1836</f>
        <v/>
      </c>
      <c r="L1836" s="55">
        <f>VLOOKUP(D1836,Products!$A$2:$F$61,3,FALSE())</f>
        <v/>
      </c>
      <c r="M1836" s="55">
        <f>VLOOKUP(C1836,Customers!$A$2:$F$301,5,FALSE())</f>
        <v/>
      </c>
      <c r="N1836" s="55">
        <f>VLOOKUP(E1836,Sales_Reps!$A$2:$E$31,3,FALSE())</f>
        <v/>
      </c>
      <c r="O1836" s="55">
        <f>VLOOKUP(D1836,Products!$A$2:$F$61,4,FALSE())</f>
        <v/>
      </c>
      <c r="P1836" s="55">
        <f>VLOOKUP(C1836,Customers!$A$2:$F$301,3,FALSE())</f>
        <v/>
      </c>
      <c r="Q1836" s="55">
        <f>UPPER(TRIM(K1836))</f>
        <v/>
      </c>
      <c r="R1836" s="55">
        <f>(G1836-O1836)/G1836</f>
        <v/>
      </c>
      <c r="S1836" s="55">
        <f>VLOOKUP(D1836,Products!$A$2:$F$61,6,FALSE())</f>
        <v/>
      </c>
    </row>
    <row r="1837" ht="15" customHeight="1" s="56">
      <c r="A1837" s="55">
        <f>Orders!A1837</f>
        <v/>
      </c>
      <c r="B1837" s="103">
        <f>Orders!B1837</f>
        <v/>
      </c>
      <c r="C1837" s="55">
        <f>Orders!C1837</f>
        <v/>
      </c>
      <c r="D1837" s="55">
        <f>Orders!D1837</f>
        <v/>
      </c>
      <c r="E1837" s="55">
        <f>Orders!E1837</f>
        <v/>
      </c>
      <c r="F1837" s="55">
        <f>Orders!F1837</f>
        <v/>
      </c>
      <c r="G1837" s="55">
        <f>Orders!G1837</f>
        <v/>
      </c>
      <c r="H1837" s="55">
        <f>Orders!H1837</f>
        <v/>
      </c>
      <c r="I1837" s="55">
        <f>Orders!I1837</f>
        <v/>
      </c>
      <c r="J1837" s="55">
        <f>Orders!J1837</f>
        <v/>
      </c>
      <c r="K1837" s="55">
        <f>Orders!K1837</f>
        <v/>
      </c>
      <c r="L1837" s="55">
        <f>VLOOKUP(D1837,Products!$A$2:$F$61,3,FALSE())</f>
        <v/>
      </c>
      <c r="M1837" s="55">
        <f>VLOOKUP(C1837,Customers!$A$2:$F$301,5,FALSE())</f>
        <v/>
      </c>
      <c r="N1837" s="55">
        <f>VLOOKUP(E1837,Sales_Reps!$A$2:$E$31,3,FALSE())</f>
        <v/>
      </c>
      <c r="O1837" s="55">
        <f>VLOOKUP(D1837,Products!$A$2:$F$61,4,FALSE())</f>
        <v/>
      </c>
      <c r="P1837" s="55">
        <f>VLOOKUP(C1837,Customers!$A$2:$F$301,3,FALSE())</f>
        <v/>
      </c>
      <c r="Q1837" s="55">
        <f>UPPER(TRIM(K1837))</f>
        <v/>
      </c>
      <c r="R1837" s="55">
        <f>(G1837-O1837)/G1837</f>
        <v/>
      </c>
      <c r="S1837" s="55">
        <f>VLOOKUP(D1837,Products!$A$2:$F$61,6,FALSE())</f>
        <v/>
      </c>
    </row>
    <row r="1838" ht="15" customHeight="1" s="56">
      <c r="A1838" s="55">
        <f>Orders!A1838</f>
        <v/>
      </c>
      <c r="B1838" s="103">
        <f>Orders!B1838</f>
        <v/>
      </c>
      <c r="C1838" s="55">
        <f>Orders!C1838</f>
        <v/>
      </c>
      <c r="D1838" s="55">
        <f>Orders!D1838</f>
        <v/>
      </c>
      <c r="E1838" s="55">
        <f>Orders!E1838</f>
        <v/>
      </c>
      <c r="F1838" s="55">
        <f>Orders!F1838</f>
        <v/>
      </c>
      <c r="G1838" s="55">
        <f>Orders!G1838</f>
        <v/>
      </c>
      <c r="H1838" s="55">
        <f>Orders!H1838</f>
        <v/>
      </c>
      <c r="I1838" s="55">
        <f>Orders!I1838</f>
        <v/>
      </c>
      <c r="J1838" s="55">
        <f>Orders!J1838</f>
        <v/>
      </c>
      <c r="K1838" s="55">
        <f>Orders!K1838</f>
        <v/>
      </c>
      <c r="L1838" s="55">
        <f>VLOOKUP(D1838,Products!$A$2:$F$61,3,FALSE())</f>
        <v/>
      </c>
      <c r="M1838" s="55">
        <f>VLOOKUP(C1838,Customers!$A$2:$F$301,5,FALSE())</f>
        <v/>
      </c>
      <c r="N1838" s="55">
        <f>VLOOKUP(E1838,Sales_Reps!$A$2:$E$31,3,FALSE())</f>
        <v/>
      </c>
      <c r="O1838" s="55">
        <f>VLOOKUP(D1838,Products!$A$2:$F$61,4,FALSE())</f>
        <v/>
      </c>
      <c r="P1838" s="55">
        <f>VLOOKUP(C1838,Customers!$A$2:$F$301,3,FALSE())</f>
        <v/>
      </c>
      <c r="Q1838" s="55">
        <f>UPPER(TRIM(K1838))</f>
        <v/>
      </c>
      <c r="R1838" s="55">
        <f>(G1838-O1838)/G1838</f>
        <v/>
      </c>
      <c r="S1838" s="55">
        <f>VLOOKUP(D1838,Products!$A$2:$F$61,6,FALSE())</f>
        <v/>
      </c>
    </row>
    <row r="1839" ht="15" customHeight="1" s="56">
      <c r="A1839" s="55">
        <f>Orders!A1839</f>
        <v/>
      </c>
      <c r="B1839" s="103">
        <f>Orders!B1839</f>
        <v/>
      </c>
      <c r="C1839" s="55">
        <f>Orders!C1839</f>
        <v/>
      </c>
      <c r="D1839" s="55">
        <f>Orders!D1839</f>
        <v/>
      </c>
      <c r="E1839" s="55">
        <f>Orders!E1839</f>
        <v/>
      </c>
      <c r="F1839" s="55">
        <f>Orders!F1839</f>
        <v/>
      </c>
      <c r="G1839" s="55">
        <f>Orders!G1839</f>
        <v/>
      </c>
      <c r="H1839" s="55">
        <f>Orders!H1839</f>
        <v/>
      </c>
      <c r="I1839" s="55">
        <f>Orders!I1839</f>
        <v/>
      </c>
      <c r="J1839" s="55">
        <f>Orders!J1839</f>
        <v/>
      </c>
      <c r="K1839" s="55">
        <f>Orders!K1839</f>
        <v/>
      </c>
      <c r="L1839" s="55">
        <f>VLOOKUP(D1839,Products!$A$2:$F$61,3,FALSE())</f>
        <v/>
      </c>
      <c r="M1839" s="55">
        <f>VLOOKUP(C1839,Customers!$A$2:$F$301,5,FALSE())</f>
        <v/>
      </c>
      <c r="N1839" s="55">
        <f>VLOOKUP(E1839,Sales_Reps!$A$2:$E$31,3,FALSE())</f>
        <v/>
      </c>
      <c r="O1839" s="55">
        <f>VLOOKUP(D1839,Products!$A$2:$F$61,4,FALSE())</f>
        <v/>
      </c>
      <c r="P1839" s="55">
        <f>VLOOKUP(C1839,Customers!$A$2:$F$301,3,FALSE())</f>
        <v/>
      </c>
      <c r="Q1839" s="55">
        <f>UPPER(TRIM(K1839))</f>
        <v/>
      </c>
      <c r="R1839" s="55">
        <f>(G1839-O1839)/G1839</f>
        <v/>
      </c>
      <c r="S1839" s="55">
        <f>VLOOKUP(D1839,Products!$A$2:$F$61,6,FALSE())</f>
        <v/>
      </c>
    </row>
    <row r="1840" ht="15" customHeight="1" s="56">
      <c r="A1840" s="55">
        <f>Orders!A1840</f>
        <v/>
      </c>
      <c r="B1840" s="103">
        <f>Orders!B1840</f>
        <v/>
      </c>
      <c r="C1840" s="55">
        <f>Orders!C1840</f>
        <v/>
      </c>
      <c r="D1840" s="55">
        <f>Orders!D1840</f>
        <v/>
      </c>
      <c r="E1840" s="55">
        <f>Orders!E1840</f>
        <v/>
      </c>
      <c r="F1840" s="55">
        <f>Orders!F1840</f>
        <v/>
      </c>
      <c r="G1840" s="55">
        <f>Orders!G1840</f>
        <v/>
      </c>
      <c r="H1840" s="55">
        <f>Orders!H1840</f>
        <v/>
      </c>
      <c r="I1840" s="55">
        <f>Orders!I1840</f>
        <v/>
      </c>
      <c r="J1840" s="55">
        <f>Orders!J1840</f>
        <v/>
      </c>
      <c r="K1840" s="55">
        <f>Orders!K1840</f>
        <v/>
      </c>
      <c r="L1840" s="55">
        <f>VLOOKUP(D1840,Products!$A$2:$F$61,3,FALSE())</f>
        <v/>
      </c>
      <c r="M1840" s="55">
        <f>VLOOKUP(C1840,Customers!$A$2:$F$301,5,FALSE())</f>
        <v/>
      </c>
      <c r="N1840" s="55">
        <f>VLOOKUP(E1840,Sales_Reps!$A$2:$E$31,3,FALSE())</f>
        <v/>
      </c>
      <c r="O1840" s="55">
        <f>VLOOKUP(D1840,Products!$A$2:$F$61,4,FALSE())</f>
        <v/>
      </c>
      <c r="P1840" s="55">
        <f>VLOOKUP(C1840,Customers!$A$2:$F$301,3,FALSE())</f>
        <v/>
      </c>
      <c r="Q1840" s="55">
        <f>UPPER(TRIM(K1840))</f>
        <v/>
      </c>
      <c r="R1840" s="55">
        <f>(G1840-O1840)/G1840</f>
        <v/>
      </c>
      <c r="S1840" s="55">
        <f>VLOOKUP(D1840,Products!$A$2:$F$61,6,FALSE())</f>
        <v/>
      </c>
    </row>
    <row r="1841" ht="15" customHeight="1" s="56">
      <c r="A1841" s="55">
        <f>Orders!A1841</f>
        <v/>
      </c>
      <c r="B1841" s="103">
        <f>Orders!B1841</f>
        <v/>
      </c>
      <c r="C1841" s="55">
        <f>Orders!C1841</f>
        <v/>
      </c>
      <c r="D1841" s="55">
        <f>Orders!D1841</f>
        <v/>
      </c>
      <c r="E1841" s="55">
        <f>Orders!E1841</f>
        <v/>
      </c>
      <c r="F1841" s="55">
        <f>Orders!F1841</f>
        <v/>
      </c>
      <c r="G1841" s="55">
        <f>Orders!G1841</f>
        <v/>
      </c>
      <c r="H1841" s="55">
        <f>Orders!H1841</f>
        <v/>
      </c>
      <c r="I1841" s="55">
        <f>Orders!I1841</f>
        <v/>
      </c>
      <c r="J1841" s="55">
        <f>Orders!J1841</f>
        <v/>
      </c>
      <c r="K1841" s="55">
        <f>Orders!K1841</f>
        <v/>
      </c>
      <c r="L1841" s="55">
        <f>VLOOKUP(D1841,Products!$A$2:$F$61,3,FALSE())</f>
        <v/>
      </c>
      <c r="M1841" s="55">
        <f>VLOOKUP(C1841,Customers!$A$2:$F$301,5,FALSE())</f>
        <v/>
      </c>
      <c r="N1841" s="55">
        <f>VLOOKUP(E1841,Sales_Reps!$A$2:$E$31,3,FALSE())</f>
        <v/>
      </c>
      <c r="O1841" s="55">
        <f>VLOOKUP(D1841,Products!$A$2:$F$61,4,FALSE())</f>
        <v/>
      </c>
      <c r="P1841" s="55">
        <f>VLOOKUP(C1841,Customers!$A$2:$F$301,3,FALSE())</f>
        <v/>
      </c>
      <c r="Q1841" s="55">
        <f>UPPER(TRIM(K1841))</f>
        <v/>
      </c>
      <c r="R1841" s="55">
        <f>(G1841-O1841)/G1841</f>
        <v/>
      </c>
      <c r="S1841" s="55">
        <f>VLOOKUP(D1841,Products!$A$2:$F$61,6,FALSE())</f>
        <v/>
      </c>
    </row>
    <row r="1842" ht="15" customHeight="1" s="56">
      <c r="A1842" s="55">
        <f>Orders!A1842</f>
        <v/>
      </c>
      <c r="B1842" s="103">
        <f>Orders!B1842</f>
        <v/>
      </c>
      <c r="C1842" s="55">
        <f>Orders!C1842</f>
        <v/>
      </c>
      <c r="D1842" s="55">
        <f>Orders!D1842</f>
        <v/>
      </c>
      <c r="E1842" s="55">
        <f>Orders!E1842</f>
        <v/>
      </c>
      <c r="F1842" s="55">
        <f>Orders!F1842</f>
        <v/>
      </c>
      <c r="G1842" s="55">
        <f>Orders!G1842</f>
        <v/>
      </c>
      <c r="H1842" s="55">
        <f>Orders!H1842</f>
        <v/>
      </c>
      <c r="I1842" s="55">
        <f>Orders!I1842</f>
        <v/>
      </c>
      <c r="J1842" s="55">
        <f>Orders!J1842</f>
        <v/>
      </c>
      <c r="K1842" s="55">
        <f>Orders!K1842</f>
        <v/>
      </c>
      <c r="L1842" s="55">
        <f>VLOOKUP(D1842,Products!$A$2:$F$61,3,FALSE())</f>
        <v/>
      </c>
      <c r="M1842" s="55">
        <f>VLOOKUP(C1842,Customers!$A$2:$F$301,5,FALSE())</f>
        <v/>
      </c>
      <c r="N1842" s="55">
        <f>VLOOKUP(E1842,Sales_Reps!$A$2:$E$31,3,FALSE())</f>
        <v/>
      </c>
      <c r="O1842" s="55">
        <f>VLOOKUP(D1842,Products!$A$2:$F$61,4,FALSE())</f>
        <v/>
      </c>
      <c r="P1842" s="55">
        <f>VLOOKUP(C1842,Customers!$A$2:$F$301,3,FALSE())</f>
        <v/>
      </c>
      <c r="Q1842" s="55">
        <f>UPPER(TRIM(K1842))</f>
        <v/>
      </c>
      <c r="R1842" s="55">
        <f>(G1842-O1842)/G1842</f>
        <v/>
      </c>
      <c r="S1842" s="55">
        <f>VLOOKUP(D1842,Products!$A$2:$F$61,6,FALSE())</f>
        <v/>
      </c>
    </row>
    <row r="1843" ht="15" customHeight="1" s="56">
      <c r="A1843" s="55">
        <f>Orders!A1843</f>
        <v/>
      </c>
      <c r="B1843" s="103">
        <f>Orders!B1843</f>
        <v/>
      </c>
      <c r="C1843" s="55">
        <f>Orders!C1843</f>
        <v/>
      </c>
      <c r="D1843" s="55">
        <f>Orders!D1843</f>
        <v/>
      </c>
      <c r="E1843" s="55">
        <f>Orders!E1843</f>
        <v/>
      </c>
      <c r="F1843" s="55">
        <f>Orders!F1843</f>
        <v/>
      </c>
      <c r="G1843" s="55">
        <f>Orders!G1843</f>
        <v/>
      </c>
      <c r="H1843" s="55">
        <f>Orders!H1843</f>
        <v/>
      </c>
      <c r="I1843" s="55">
        <f>Orders!I1843</f>
        <v/>
      </c>
      <c r="J1843" s="55">
        <f>Orders!J1843</f>
        <v/>
      </c>
      <c r="K1843" s="55">
        <f>Orders!K1843</f>
        <v/>
      </c>
      <c r="L1843" s="55">
        <f>VLOOKUP(D1843,Products!$A$2:$F$61,3,FALSE())</f>
        <v/>
      </c>
      <c r="M1843" s="55">
        <f>VLOOKUP(C1843,Customers!$A$2:$F$301,5,FALSE())</f>
        <v/>
      </c>
      <c r="N1843" s="55">
        <f>VLOOKUP(E1843,Sales_Reps!$A$2:$E$31,3,FALSE())</f>
        <v/>
      </c>
      <c r="O1843" s="55">
        <f>VLOOKUP(D1843,Products!$A$2:$F$61,4,FALSE())</f>
        <v/>
      </c>
      <c r="P1843" s="55">
        <f>VLOOKUP(C1843,Customers!$A$2:$F$301,3,FALSE())</f>
        <v/>
      </c>
      <c r="Q1843" s="55">
        <f>UPPER(TRIM(K1843))</f>
        <v/>
      </c>
      <c r="R1843" s="55">
        <f>(G1843-O1843)/G1843</f>
        <v/>
      </c>
      <c r="S1843" s="55">
        <f>VLOOKUP(D1843,Products!$A$2:$F$61,6,FALSE())</f>
        <v/>
      </c>
    </row>
    <row r="1844" ht="15" customHeight="1" s="56">
      <c r="A1844" s="55">
        <f>Orders!A1844</f>
        <v/>
      </c>
      <c r="B1844" s="103">
        <f>Orders!B1844</f>
        <v/>
      </c>
      <c r="C1844" s="55">
        <f>Orders!C1844</f>
        <v/>
      </c>
      <c r="D1844" s="55">
        <f>Orders!D1844</f>
        <v/>
      </c>
      <c r="E1844" s="55">
        <f>Orders!E1844</f>
        <v/>
      </c>
      <c r="F1844" s="55">
        <f>Orders!F1844</f>
        <v/>
      </c>
      <c r="G1844" s="55">
        <f>Orders!G1844</f>
        <v/>
      </c>
      <c r="H1844" s="55">
        <f>Orders!H1844</f>
        <v/>
      </c>
      <c r="I1844" s="55">
        <f>Orders!I1844</f>
        <v/>
      </c>
      <c r="J1844" s="55">
        <f>Orders!J1844</f>
        <v/>
      </c>
      <c r="K1844" s="55">
        <f>Orders!K1844</f>
        <v/>
      </c>
      <c r="L1844" s="55">
        <f>VLOOKUP(D1844,Products!$A$2:$F$61,3,FALSE())</f>
        <v/>
      </c>
      <c r="M1844" s="55">
        <f>VLOOKUP(C1844,Customers!$A$2:$F$301,5,FALSE())</f>
        <v/>
      </c>
      <c r="N1844" s="55">
        <f>VLOOKUP(E1844,Sales_Reps!$A$2:$E$31,3,FALSE())</f>
        <v/>
      </c>
      <c r="O1844" s="55">
        <f>VLOOKUP(D1844,Products!$A$2:$F$61,4,FALSE())</f>
        <v/>
      </c>
      <c r="P1844" s="55">
        <f>VLOOKUP(C1844,Customers!$A$2:$F$301,3,FALSE())</f>
        <v/>
      </c>
      <c r="Q1844" s="55">
        <f>UPPER(TRIM(K1844))</f>
        <v/>
      </c>
      <c r="R1844" s="55">
        <f>(G1844-O1844)/G1844</f>
        <v/>
      </c>
      <c r="S1844" s="55">
        <f>VLOOKUP(D1844,Products!$A$2:$F$61,6,FALSE())</f>
        <v/>
      </c>
    </row>
    <row r="1845" ht="15" customHeight="1" s="56">
      <c r="A1845" s="55">
        <f>Orders!A1845</f>
        <v/>
      </c>
      <c r="B1845" s="103">
        <f>Orders!B1845</f>
        <v/>
      </c>
      <c r="C1845" s="55">
        <f>Orders!C1845</f>
        <v/>
      </c>
      <c r="D1845" s="55">
        <f>Orders!D1845</f>
        <v/>
      </c>
      <c r="E1845" s="55">
        <f>Orders!E1845</f>
        <v/>
      </c>
      <c r="F1845" s="55">
        <f>Orders!F1845</f>
        <v/>
      </c>
      <c r="G1845" s="55">
        <f>Orders!G1845</f>
        <v/>
      </c>
      <c r="H1845" s="55">
        <f>Orders!H1845</f>
        <v/>
      </c>
      <c r="I1845" s="55">
        <f>Orders!I1845</f>
        <v/>
      </c>
      <c r="J1845" s="55">
        <f>Orders!J1845</f>
        <v/>
      </c>
      <c r="K1845" s="55">
        <f>Orders!K1845</f>
        <v/>
      </c>
      <c r="L1845" s="55">
        <f>VLOOKUP(D1845,Products!$A$2:$F$61,3,FALSE())</f>
        <v/>
      </c>
      <c r="M1845" s="55">
        <f>VLOOKUP(C1845,Customers!$A$2:$F$301,5,FALSE())</f>
        <v/>
      </c>
      <c r="N1845" s="55">
        <f>VLOOKUP(E1845,Sales_Reps!$A$2:$E$31,3,FALSE())</f>
        <v/>
      </c>
      <c r="O1845" s="55">
        <f>VLOOKUP(D1845,Products!$A$2:$F$61,4,FALSE())</f>
        <v/>
      </c>
      <c r="P1845" s="55">
        <f>VLOOKUP(C1845,Customers!$A$2:$F$301,3,FALSE())</f>
        <v/>
      </c>
      <c r="Q1845" s="55">
        <f>UPPER(TRIM(K1845))</f>
        <v/>
      </c>
      <c r="R1845" s="55">
        <f>(G1845-O1845)/G1845</f>
        <v/>
      </c>
      <c r="S1845" s="55">
        <f>VLOOKUP(D1845,Products!$A$2:$F$61,6,FALSE())</f>
        <v/>
      </c>
    </row>
    <row r="1846" ht="15" customHeight="1" s="56">
      <c r="A1846" s="55">
        <f>Orders!A1846</f>
        <v/>
      </c>
      <c r="B1846" s="103">
        <f>Orders!B1846</f>
        <v/>
      </c>
      <c r="C1846" s="55">
        <f>Orders!C1846</f>
        <v/>
      </c>
      <c r="D1846" s="55">
        <f>Orders!D1846</f>
        <v/>
      </c>
      <c r="E1846" s="55">
        <f>Orders!E1846</f>
        <v/>
      </c>
      <c r="F1846" s="55">
        <f>Orders!F1846</f>
        <v/>
      </c>
      <c r="G1846" s="55">
        <f>Orders!G1846</f>
        <v/>
      </c>
      <c r="H1846" s="55">
        <f>Orders!H1846</f>
        <v/>
      </c>
      <c r="I1846" s="55">
        <f>Orders!I1846</f>
        <v/>
      </c>
      <c r="J1846" s="55">
        <f>Orders!J1846</f>
        <v/>
      </c>
      <c r="K1846" s="55">
        <f>Orders!K1846</f>
        <v/>
      </c>
      <c r="L1846" s="55">
        <f>VLOOKUP(D1846,Products!$A$2:$F$61,3,FALSE())</f>
        <v/>
      </c>
      <c r="M1846" s="55">
        <f>VLOOKUP(C1846,Customers!$A$2:$F$301,5,FALSE())</f>
        <v/>
      </c>
      <c r="N1846" s="55">
        <f>VLOOKUP(E1846,Sales_Reps!$A$2:$E$31,3,FALSE())</f>
        <v/>
      </c>
      <c r="O1846" s="55">
        <f>VLOOKUP(D1846,Products!$A$2:$F$61,4,FALSE())</f>
        <v/>
      </c>
      <c r="P1846" s="55">
        <f>VLOOKUP(C1846,Customers!$A$2:$F$301,3,FALSE())</f>
        <v/>
      </c>
      <c r="Q1846" s="55">
        <f>UPPER(TRIM(K1846))</f>
        <v/>
      </c>
      <c r="R1846" s="55">
        <f>(G1846-O1846)/G1846</f>
        <v/>
      </c>
      <c r="S1846" s="55">
        <f>VLOOKUP(D1846,Products!$A$2:$F$61,6,FALSE())</f>
        <v/>
      </c>
    </row>
    <row r="1847" ht="15" customHeight="1" s="56">
      <c r="A1847" s="55">
        <f>Orders!A1847</f>
        <v/>
      </c>
      <c r="B1847" s="103">
        <f>Orders!B1847</f>
        <v/>
      </c>
      <c r="C1847" s="55">
        <f>Orders!C1847</f>
        <v/>
      </c>
      <c r="D1847" s="55">
        <f>Orders!D1847</f>
        <v/>
      </c>
      <c r="E1847" s="55">
        <f>Orders!E1847</f>
        <v/>
      </c>
      <c r="F1847" s="55">
        <f>Orders!F1847</f>
        <v/>
      </c>
      <c r="G1847" s="55">
        <f>Orders!G1847</f>
        <v/>
      </c>
      <c r="H1847" s="55">
        <f>Orders!H1847</f>
        <v/>
      </c>
      <c r="I1847" s="55">
        <f>Orders!I1847</f>
        <v/>
      </c>
      <c r="J1847" s="55">
        <f>Orders!J1847</f>
        <v/>
      </c>
      <c r="K1847" s="55">
        <f>Orders!K1847</f>
        <v/>
      </c>
      <c r="L1847" s="55">
        <f>VLOOKUP(D1847,Products!$A$2:$F$61,3,FALSE())</f>
        <v/>
      </c>
      <c r="M1847" s="55">
        <f>VLOOKUP(C1847,Customers!$A$2:$F$301,5,FALSE())</f>
        <v/>
      </c>
      <c r="N1847" s="55">
        <f>VLOOKUP(E1847,Sales_Reps!$A$2:$E$31,3,FALSE())</f>
        <v/>
      </c>
      <c r="O1847" s="55">
        <f>VLOOKUP(D1847,Products!$A$2:$F$61,4,FALSE())</f>
        <v/>
      </c>
      <c r="P1847" s="55">
        <f>VLOOKUP(C1847,Customers!$A$2:$F$301,3,FALSE())</f>
        <v/>
      </c>
      <c r="Q1847" s="55">
        <f>UPPER(TRIM(K1847))</f>
        <v/>
      </c>
      <c r="R1847" s="55">
        <f>(G1847-O1847)/G1847</f>
        <v/>
      </c>
      <c r="S1847" s="55">
        <f>VLOOKUP(D1847,Products!$A$2:$F$61,6,FALSE())</f>
        <v/>
      </c>
    </row>
    <row r="1848" ht="15" customHeight="1" s="56">
      <c r="A1848" s="55">
        <f>Orders!A1848</f>
        <v/>
      </c>
      <c r="B1848" s="103">
        <f>Orders!B1848</f>
        <v/>
      </c>
      <c r="C1848" s="55">
        <f>Orders!C1848</f>
        <v/>
      </c>
      <c r="D1848" s="55">
        <f>Orders!D1848</f>
        <v/>
      </c>
      <c r="E1848" s="55">
        <f>Orders!E1848</f>
        <v/>
      </c>
      <c r="F1848" s="55">
        <f>Orders!F1848</f>
        <v/>
      </c>
      <c r="G1848" s="55">
        <f>Orders!G1848</f>
        <v/>
      </c>
      <c r="H1848" s="55">
        <f>Orders!H1848</f>
        <v/>
      </c>
      <c r="I1848" s="55">
        <f>Orders!I1848</f>
        <v/>
      </c>
      <c r="J1848" s="55">
        <f>Orders!J1848</f>
        <v/>
      </c>
      <c r="K1848" s="55">
        <f>Orders!K1848</f>
        <v/>
      </c>
      <c r="L1848" s="55">
        <f>VLOOKUP(D1848,Products!$A$2:$F$61,3,FALSE())</f>
        <v/>
      </c>
      <c r="M1848" s="55">
        <f>VLOOKUP(C1848,Customers!$A$2:$F$301,5,FALSE())</f>
        <v/>
      </c>
      <c r="N1848" s="55">
        <f>VLOOKUP(E1848,Sales_Reps!$A$2:$E$31,3,FALSE())</f>
        <v/>
      </c>
      <c r="O1848" s="55">
        <f>VLOOKUP(D1848,Products!$A$2:$F$61,4,FALSE())</f>
        <v/>
      </c>
      <c r="P1848" s="55">
        <f>VLOOKUP(C1848,Customers!$A$2:$F$301,3,FALSE())</f>
        <v/>
      </c>
      <c r="Q1848" s="55">
        <f>UPPER(TRIM(K1848))</f>
        <v/>
      </c>
      <c r="R1848" s="55">
        <f>(G1848-O1848)/G1848</f>
        <v/>
      </c>
      <c r="S1848" s="55">
        <f>VLOOKUP(D1848,Products!$A$2:$F$61,6,FALSE())</f>
        <v/>
      </c>
    </row>
    <row r="1849" ht="15" customHeight="1" s="56">
      <c r="A1849" s="55">
        <f>Orders!A1849</f>
        <v/>
      </c>
      <c r="B1849" s="103">
        <f>Orders!B1849</f>
        <v/>
      </c>
      <c r="C1849" s="55">
        <f>Orders!C1849</f>
        <v/>
      </c>
      <c r="D1849" s="55">
        <f>Orders!D1849</f>
        <v/>
      </c>
      <c r="E1849" s="55">
        <f>Orders!E1849</f>
        <v/>
      </c>
      <c r="F1849" s="55">
        <f>Orders!F1849</f>
        <v/>
      </c>
      <c r="G1849" s="55">
        <f>Orders!G1849</f>
        <v/>
      </c>
      <c r="H1849" s="55">
        <f>Orders!H1849</f>
        <v/>
      </c>
      <c r="I1849" s="55">
        <f>Orders!I1849</f>
        <v/>
      </c>
      <c r="J1849" s="55">
        <f>Orders!J1849</f>
        <v/>
      </c>
      <c r="K1849" s="55">
        <f>Orders!K1849</f>
        <v/>
      </c>
      <c r="L1849" s="55">
        <f>VLOOKUP(D1849,Products!$A$2:$F$61,3,FALSE())</f>
        <v/>
      </c>
      <c r="M1849" s="55">
        <f>VLOOKUP(C1849,Customers!$A$2:$F$301,5,FALSE())</f>
        <v/>
      </c>
      <c r="N1849" s="55">
        <f>VLOOKUP(E1849,Sales_Reps!$A$2:$E$31,3,FALSE())</f>
        <v/>
      </c>
      <c r="O1849" s="55">
        <f>VLOOKUP(D1849,Products!$A$2:$F$61,4,FALSE())</f>
        <v/>
      </c>
      <c r="P1849" s="55">
        <f>VLOOKUP(C1849,Customers!$A$2:$F$301,3,FALSE())</f>
        <v/>
      </c>
      <c r="Q1849" s="55">
        <f>UPPER(TRIM(K1849))</f>
        <v/>
      </c>
      <c r="R1849" s="55">
        <f>(G1849-O1849)/G1849</f>
        <v/>
      </c>
      <c r="S1849" s="55">
        <f>VLOOKUP(D1849,Products!$A$2:$F$61,6,FALSE())</f>
        <v/>
      </c>
    </row>
    <row r="1850" ht="15" customHeight="1" s="56">
      <c r="A1850" s="55">
        <f>Orders!A1850</f>
        <v/>
      </c>
      <c r="B1850" s="103">
        <f>Orders!B1850</f>
        <v/>
      </c>
      <c r="C1850" s="55">
        <f>Orders!C1850</f>
        <v/>
      </c>
      <c r="D1850" s="55">
        <f>Orders!D1850</f>
        <v/>
      </c>
      <c r="E1850" s="55">
        <f>Orders!E1850</f>
        <v/>
      </c>
      <c r="F1850" s="55">
        <f>Orders!F1850</f>
        <v/>
      </c>
      <c r="G1850" s="55">
        <f>Orders!G1850</f>
        <v/>
      </c>
      <c r="H1850" s="55">
        <f>Orders!H1850</f>
        <v/>
      </c>
      <c r="I1850" s="55">
        <f>Orders!I1850</f>
        <v/>
      </c>
      <c r="J1850" s="55">
        <f>Orders!J1850</f>
        <v/>
      </c>
      <c r="K1850" s="55">
        <f>Orders!K1850</f>
        <v/>
      </c>
      <c r="L1850" s="55">
        <f>VLOOKUP(D1850,Products!$A$2:$F$61,3,FALSE())</f>
        <v/>
      </c>
      <c r="M1850" s="55">
        <f>VLOOKUP(C1850,Customers!$A$2:$F$301,5,FALSE())</f>
        <v/>
      </c>
      <c r="N1850" s="55">
        <f>VLOOKUP(E1850,Sales_Reps!$A$2:$E$31,3,FALSE())</f>
        <v/>
      </c>
      <c r="O1850" s="55">
        <f>VLOOKUP(D1850,Products!$A$2:$F$61,4,FALSE())</f>
        <v/>
      </c>
      <c r="P1850" s="55">
        <f>VLOOKUP(C1850,Customers!$A$2:$F$301,3,FALSE())</f>
        <v/>
      </c>
      <c r="Q1850" s="55">
        <f>UPPER(TRIM(K1850))</f>
        <v/>
      </c>
      <c r="R1850" s="55">
        <f>(G1850-O1850)/G1850</f>
        <v/>
      </c>
      <c r="S1850" s="55">
        <f>VLOOKUP(D1850,Products!$A$2:$F$61,6,FALSE())</f>
        <v/>
      </c>
    </row>
    <row r="1851" ht="15" customHeight="1" s="56">
      <c r="A1851" s="55">
        <f>Orders!A1851</f>
        <v/>
      </c>
      <c r="B1851" s="103">
        <f>Orders!B1851</f>
        <v/>
      </c>
      <c r="C1851" s="55">
        <f>Orders!C1851</f>
        <v/>
      </c>
      <c r="D1851" s="55">
        <f>Orders!D1851</f>
        <v/>
      </c>
      <c r="E1851" s="55">
        <f>Orders!E1851</f>
        <v/>
      </c>
      <c r="F1851" s="55">
        <f>Orders!F1851</f>
        <v/>
      </c>
      <c r="G1851" s="55">
        <f>Orders!G1851</f>
        <v/>
      </c>
      <c r="H1851" s="55">
        <f>Orders!H1851</f>
        <v/>
      </c>
      <c r="I1851" s="55">
        <f>Orders!I1851</f>
        <v/>
      </c>
      <c r="J1851" s="55">
        <f>Orders!J1851</f>
        <v/>
      </c>
      <c r="K1851" s="55">
        <f>Orders!K1851</f>
        <v/>
      </c>
      <c r="L1851" s="55">
        <f>VLOOKUP(D1851,Products!$A$2:$F$61,3,FALSE())</f>
        <v/>
      </c>
      <c r="M1851" s="55">
        <f>VLOOKUP(C1851,Customers!$A$2:$F$301,5,FALSE())</f>
        <v/>
      </c>
      <c r="N1851" s="55">
        <f>VLOOKUP(E1851,Sales_Reps!$A$2:$E$31,3,FALSE())</f>
        <v/>
      </c>
      <c r="O1851" s="55">
        <f>VLOOKUP(D1851,Products!$A$2:$F$61,4,FALSE())</f>
        <v/>
      </c>
      <c r="P1851" s="55">
        <f>VLOOKUP(C1851,Customers!$A$2:$F$301,3,FALSE())</f>
        <v/>
      </c>
      <c r="Q1851" s="55">
        <f>UPPER(TRIM(K1851))</f>
        <v/>
      </c>
      <c r="R1851" s="55">
        <f>(G1851-O1851)/G1851</f>
        <v/>
      </c>
      <c r="S1851" s="55">
        <f>VLOOKUP(D1851,Products!$A$2:$F$61,6,FALSE())</f>
        <v/>
      </c>
    </row>
    <row r="1852" ht="15" customHeight="1" s="56">
      <c r="A1852" s="55">
        <f>Orders!A1852</f>
        <v/>
      </c>
      <c r="B1852" s="103">
        <f>Orders!B1852</f>
        <v/>
      </c>
      <c r="C1852" s="55">
        <f>Orders!C1852</f>
        <v/>
      </c>
      <c r="D1852" s="55">
        <f>Orders!D1852</f>
        <v/>
      </c>
      <c r="E1852" s="55">
        <f>Orders!E1852</f>
        <v/>
      </c>
      <c r="F1852" s="55">
        <f>Orders!F1852</f>
        <v/>
      </c>
      <c r="G1852" s="55">
        <f>Orders!G1852</f>
        <v/>
      </c>
      <c r="H1852" s="55">
        <f>Orders!H1852</f>
        <v/>
      </c>
      <c r="I1852" s="55">
        <f>Orders!I1852</f>
        <v/>
      </c>
      <c r="J1852" s="55">
        <f>Orders!J1852</f>
        <v/>
      </c>
      <c r="K1852" s="55">
        <f>Orders!K1852</f>
        <v/>
      </c>
      <c r="L1852" s="55">
        <f>VLOOKUP(D1852,Products!$A$2:$F$61,3,FALSE())</f>
        <v/>
      </c>
      <c r="M1852" s="55">
        <f>VLOOKUP(C1852,Customers!$A$2:$F$301,5,FALSE())</f>
        <v/>
      </c>
      <c r="N1852" s="55">
        <f>VLOOKUP(E1852,Sales_Reps!$A$2:$E$31,3,FALSE())</f>
        <v/>
      </c>
      <c r="O1852" s="55">
        <f>VLOOKUP(D1852,Products!$A$2:$F$61,4,FALSE())</f>
        <v/>
      </c>
      <c r="P1852" s="55">
        <f>VLOOKUP(C1852,Customers!$A$2:$F$301,3,FALSE())</f>
        <v/>
      </c>
      <c r="Q1852" s="55">
        <f>UPPER(TRIM(K1852))</f>
        <v/>
      </c>
      <c r="R1852" s="55">
        <f>(G1852-O1852)/G1852</f>
        <v/>
      </c>
      <c r="S1852" s="55">
        <f>VLOOKUP(D1852,Products!$A$2:$F$61,6,FALSE())</f>
        <v/>
      </c>
    </row>
    <row r="1853" ht="15" customHeight="1" s="56">
      <c r="A1853" s="55">
        <f>Orders!A1853</f>
        <v/>
      </c>
      <c r="B1853" s="103">
        <f>Orders!B1853</f>
        <v/>
      </c>
      <c r="C1853" s="55">
        <f>Orders!C1853</f>
        <v/>
      </c>
      <c r="D1853" s="55">
        <f>Orders!D1853</f>
        <v/>
      </c>
      <c r="E1853" s="55">
        <f>Orders!E1853</f>
        <v/>
      </c>
      <c r="F1853" s="55">
        <f>Orders!F1853</f>
        <v/>
      </c>
      <c r="G1853" s="55">
        <f>Orders!G1853</f>
        <v/>
      </c>
      <c r="H1853" s="55">
        <f>Orders!H1853</f>
        <v/>
      </c>
      <c r="I1853" s="55">
        <f>Orders!I1853</f>
        <v/>
      </c>
      <c r="J1853" s="55">
        <f>Orders!J1853</f>
        <v/>
      </c>
      <c r="K1853" s="55">
        <f>Orders!K1853</f>
        <v/>
      </c>
      <c r="L1853" s="55">
        <f>VLOOKUP(D1853,Products!$A$2:$F$61,3,FALSE())</f>
        <v/>
      </c>
      <c r="M1853" s="55">
        <f>VLOOKUP(C1853,Customers!$A$2:$F$301,5,FALSE())</f>
        <v/>
      </c>
      <c r="N1853" s="55">
        <f>VLOOKUP(E1853,Sales_Reps!$A$2:$E$31,3,FALSE())</f>
        <v/>
      </c>
      <c r="O1853" s="55">
        <f>VLOOKUP(D1853,Products!$A$2:$F$61,4,FALSE())</f>
        <v/>
      </c>
      <c r="P1853" s="55">
        <f>VLOOKUP(C1853,Customers!$A$2:$F$301,3,FALSE())</f>
        <v/>
      </c>
      <c r="Q1853" s="55">
        <f>UPPER(TRIM(K1853))</f>
        <v/>
      </c>
      <c r="R1853" s="55">
        <f>(G1853-O1853)/G1853</f>
        <v/>
      </c>
      <c r="S1853" s="55">
        <f>VLOOKUP(D1853,Products!$A$2:$F$61,6,FALSE())</f>
        <v/>
      </c>
    </row>
    <row r="1854" ht="15" customHeight="1" s="56">
      <c r="A1854" s="55">
        <f>Orders!A1854</f>
        <v/>
      </c>
      <c r="B1854" s="103">
        <f>Orders!B1854</f>
        <v/>
      </c>
      <c r="C1854" s="55">
        <f>Orders!C1854</f>
        <v/>
      </c>
      <c r="D1854" s="55">
        <f>Orders!D1854</f>
        <v/>
      </c>
      <c r="E1854" s="55">
        <f>Orders!E1854</f>
        <v/>
      </c>
      <c r="F1854" s="55">
        <f>Orders!F1854</f>
        <v/>
      </c>
      <c r="G1854" s="55">
        <f>Orders!G1854</f>
        <v/>
      </c>
      <c r="H1854" s="55">
        <f>Orders!H1854</f>
        <v/>
      </c>
      <c r="I1854" s="55">
        <f>Orders!I1854</f>
        <v/>
      </c>
      <c r="J1854" s="55">
        <f>Orders!J1854</f>
        <v/>
      </c>
      <c r="K1854" s="55">
        <f>Orders!K1854</f>
        <v/>
      </c>
      <c r="L1854" s="55">
        <f>VLOOKUP(D1854,Products!$A$2:$F$61,3,FALSE())</f>
        <v/>
      </c>
      <c r="M1854" s="55">
        <f>VLOOKUP(C1854,Customers!$A$2:$F$301,5,FALSE())</f>
        <v/>
      </c>
      <c r="N1854" s="55">
        <f>VLOOKUP(E1854,Sales_Reps!$A$2:$E$31,3,FALSE())</f>
        <v/>
      </c>
      <c r="O1854" s="55">
        <f>VLOOKUP(D1854,Products!$A$2:$F$61,4,FALSE())</f>
        <v/>
      </c>
      <c r="P1854" s="55">
        <f>VLOOKUP(C1854,Customers!$A$2:$F$301,3,FALSE())</f>
        <v/>
      </c>
      <c r="Q1854" s="55">
        <f>UPPER(TRIM(K1854))</f>
        <v/>
      </c>
      <c r="R1854" s="55">
        <f>(G1854-O1854)/G1854</f>
        <v/>
      </c>
      <c r="S1854" s="55">
        <f>VLOOKUP(D1854,Products!$A$2:$F$61,6,FALSE())</f>
        <v/>
      </c>
    </row>
    <row r="1855" ht="15" customHeight="1" s="56">
      <c r="A1855" s="55">
        <f>Orders!A1855</f>
        <v/>
      </c>
      <c r="B1855" s="103">
        <f>Orders!B1855</f>
        <v/>
      </c>
      <c r="C1855" s="55">
        <f>Orders!C1855</f>
        <v/>
      </c>
      <c r="D1855" s="55">
        <f>Orders!D1855</f>
        <v/>
      </c>
      <c r="E1855" s="55">
        <f>Orders!E1855</f>
        <v/>
      </c>
      <c r="F1855" s="55">
        <f>Orders!F1855</f>
        <v/>
      </c>
      <c r="G1855" s="55">
        <f>Orders!G1855</f>
        <v/>
      </c>
      <c r="H1855" s="55">
        <f>Orders!H1855</f>
        <v/>
      </c>
      <c r="I1855" s="55">
        <f>Orders!I1855</f>
        <v/>
      </c>
      <c r="J1855" s="55">
        <f>Orders!J1855</f>
        <v/>
      </c>
      <c r="K1855" s="55">
        <f>Orders!K1855</f>
        <v/>
      </c>
      <c r="L1855" s="55">
        <f>VLOOKUP(D1855,Products!$A$2:$F$61,3,FALSE())</f>
        <v/>
      </c>
      <c r="M1855" s="55">
        <f>VLOOKUP(C1855,Customers!$A$2:$F$301,5,FALSE())</f>
        <v/>
      </c>
      <c r="N1855" s="55">
        <f>VLOOKUP(E1855,Sales_Reps!$A$2:$E$31,3,FALSE())</f>
        <v/>
      </c>
      <c r="O1855" s="55">
        <f>VLOOKUP(D1855,Products!$A$2:$F$61,4,FALSE())</f>
        <v/>
      </c>
      <c r="P1855" s="55">
        <f>VLOOKUP(C1855,Customers!$A$2:$F$301,3,FALSE())</f>
        <v/>
      </c>
      <c r="Q1855" s="55">
        <f>UPPER(TRIM(K1855))</f>
        <v/>
      </c>
      <c r="R1855" s="55">
        <f>(G1855-O1855)/G1855</f>
        <v/>
      </c>
      <c r="S1855" s="55">
        <f>VLOOKUP(D1855,Products!$A$2:$F$61,6,FALSE())</f>
        <v/>
      </c>
    </row>
    <row r="1856" ht="15" customHeight="1" s="56">
      <c r="A1856" s="55">
        <f>Orders!A1856</f>
        <v/>
      </c>
      <c r="B1856" s="103">
        <f>Orders!B1856</f>
        <v/>
      </c>
      <c r="C1856" s="55">
        <f>Orders!C1856</f>
        <v/>
      </c>
      <c r="D1856" s="55">
        <f>Orders!D1856</f>
        <v/>
      </c>
      <c r="E1856" s="55">
        <f>Orders!E1856</f>
        <v/>
      </c>
      <c r="F1856" s="55">
        <f>Orders!F1856</f>
        <v/>
      </c>
      <c r="G1856" s="55">
        <f>Orders!G1856</f>
        <v/>
      </c>
      <c r="H1856" s="55">
        <f>Orders!H1856</f>
        <v/>
      </c>
      <c r="I1856" s="55">
        <f>Orders!I1856</f>
        <v/>
      </c>
      <c r="J1856" s="55">
        <f>Orders!J1856</f>
        <v/>
      </c>
      <c r="K1856" s="55">
        <f>Orders!K1856</f>
        <v/>
      </c>
      <c r="L1856" s="55">
        <f>VLOOKUP(D1856,Products!$A$2:$F$61,3,FALSE())</f>
        <v/>
      </c>
      <c r="M1856" s="55">
        <f>VLOOKUP(C1856,Customers!$A$2:$F$301,5,FALSE())</f>
        <v/>
      </c>
      <c r="N1856" s="55">
        <f>VLOOKUP(E1856,Sales_Reps!$A$2:$E$31,3,FALSE())</f>
        <v/>
      </c>
      <c r="O1856" s="55">
        <f>VLOOKUP(D1856,Products!$A$2:$F$61,4,FALSE())</f>
        <v/>
      </c>
      <c r="P1856" s="55">
        <f>VLOOKUP(C1856,Customers!$A$2:$F$301,3,FALSE())</f>
        <v/>
      </c>
      <c r="Q1856" s="55">
        <f>UPPER(TRIM(K1856))</f>
        <v/>
      </c>
      <c r="R1856" s="55">
        <f>(G1856-O1856)/G1856</f>
        <v/>
      </c>
      <c r="S1856" s="55">
        <f>VLOOKUP(D1856,Products!$A$2:$F$61,6,FALSE())</f>
        <v/>
      </c>
    </row>
    <row r="1857" ht="15" customHeight="1" s="56">
      <c r="A1857" s="55">
        <f>Orders!A1857</f>
        <v/>
      </c>
      <c r="B1857" s="103">
        <f>Orders!B1857</f>
        <v/>
      </c>
      <c r="C1857" s="55">
        <f>Orders!C1857</f>
        <v/>
      </c>
      <c r="D1857" s="55">
        <f>Orders!D1857</f>
        <v/>
      </c>
      <c r="E1857" s="55">
        <f>Orders!E1857</f>
        <v/>
      </c>
      <c r="F1857" s="55">
        <f>Orders!F1857</f>
        <v/>
      </c>
      <c r="G1857" s="55">
        <f>Orders!G1857</f>
        <v/>
      </c>
      <c r="H1857" s="55">
        <f>Orders!H1857</f>
        <v/>
      </c>
      <c r="I1857" s="55">
        <f>Orders!I1857</f>
        <v/>
      </c>
      <c r="J1857" s="55">
        <f>Orders!J1857</f>
        <v/>
      </c>
      <c r="K1857" s="55">
        <f>Orders!K1857</f>
        <v/>
      </c>
      <c r="L1857" s="55">
        <f>VLOOKUP(D1857,Products!$A$2:$F$61,3,FALSE())</f>
        <v/>
      </c>
      <c r="M1857" s="55">
        <f>VLOOKUP(C1857,Customers!$A$2:$F$301,5,FALSE())</f>
        <v/>
      </c>
      <c r="N1857" s="55">
        <f>VLOOKUP(E1857,Sales_Reps!$A$2:$E$31,3,FALSE())</f>
        <v/>
      </c>
      <c r="O1857" s="55">
        <f>VLOOKUP(D1857,Products!$A$2:$F$61,4,FALSE())</f>
        <v/>
      </c>
      <c r="P1857" s="55">
        <f>VLOOKUP(C1857,Customers!$A$2:$F$301,3,FALSE())</f>
        <v/>
      </c>
      <c r="Q1857" s="55">
        <f>UPPER(TRIM(K1857))</f>
        <v/>
      </c>
      <c r="R1857" s="55">
        <f>(G1857-O1857)/G1857</f>
        <v/>
      </c>
      <c r="S1857" s="55">
        <f>VLOOKUP(D1857,Products!$A$2:$F$61,6,FALSE())</f>
        <v/>
      </c>
    </row>
    <row r="1858" ht="15" customHeight="1" s="56">
      <c r="A1858" s="55">
        <f>Orders!A1858</f>
        <v/>
      </c>
      <c r="B1858" s="103">
        <f>Orders!B1858</f>
        <v/>
      </c>
      <c r="C1858" s="55">
        <f>Orders!C1858</f>
        <v/>
      </c>
      <c r="D1858" s="55">
        <f>Orders!D1858</f>
        <v/>
      </c>
      <c r="E1858" s="55">
        <f>Orders!E1858</f>
        <v/>
      </c>
      <c r="F1858" s="55">
        <f>Orders!F1858</f>
        <v/>
      </c>
      <c r="G1858" s="55">
        <f>Orders!G1858</f>
        <v/>
      </c>
      <c r="H1858" s="55">
        <f>Orders!H1858</f>
        <v/>
      </c>
      <c r="I1858" s="55">
        <f>Orders!I1858</f>
        <v/>
      </c>
      <c r="J1858" s="55">
        <f>Orders!J1858</f>
        <v/>
      </c>
      <c r="K1858" s="55">
        <f>Orders!K1858</f>
        <v/>
      </c>
      <c r="L1858" s="55">
        <f>VLOOKUP(D1858,Products!$A$2:$F$61,3,FALSE())</f>
        <v/>
      </c>
      <c r="M1858" s="55">
        <f>VLOOKUP(C1858,Customers!$A$2:$F$301,5,FALSE())</f>
        <v/>
      </c>
      <c r="N1858" s="55">
        <f>VLOOKUP(E1858,Sales_Reps!$A$2:$E$31,3,FALSE())</f>
        <v/>
      </c>
      <c r="O1858" s="55">
        <f>VLOOKUP(D1858,Products!$A$2:$F$61,4,FALSE())</f>
        <v/>
      </c>
      <c r="P1858" s="55">
        <f>VLOOKUP(C1858,Customers!$A$2:$F$301,3,FALSE())</f>
        <v/>
      </c>
      <c r="Q1858" s="55">
        <f>UPPER(TRIM(K1858))</f>
        <v/>
      </c>
      <c r="R1858" s="55">
        <f>(G1858-O1858)/G1858</f>
        <v/>
      </c>
      <c r="S1858" s="55">
        <f>VLOOKUP(D1858,Products!$A$2:$F$61,6,FALSE())</f>
        <v/>
      </c>
    </row>
    <row r="1859" ht="15" customHeight="1" s="56">
      <c r="A1859" s="55">
        <f>Orders!A1859</f>
        <v/>
      </c>
      <c r="B1859" s="103">
        <f>Orders!B1859</f>
        <v/>
      </c>
      <c r="C1859" s="55">
        <f>Orders!C1859</f>
        <v/>
      </c>
      <c r="D1859" s="55">
        <f>Orders!D1859</f>
        <v/>
      </c>
      <c r="E1859" s="55">
        <f>Orders!E1859</f>
        <v/>
      </c>
      <c r="F1859" s="55">
        <f>Orders!F1859</f>
        <v/>
      </c>
      <c r="G1859" s="55">
        <f>Orders!G1859</f>
        <v/>
      </c>
      <c r="H1859" s="55">
        <f>Orders!H1859</f>
        <v/>
      </c>
      <c r="I1859" s="55">
        <f>Orders!I1859</f>
        <v/>
      </c>
      <c r="J1859" s="55">
        <f>Orders!J1859</f>
        <v/>
      </c>
      <c r="K1859" s="55">
        <f>Orders!K1859</f>
        <v/>
      </c>
      <c r="L1859" s="55">
        <f>VLOOKUP(D1859,Products!$A$2:$F$61,3,FALSE())</f>
        <v/>
      </c>
      <c r="M1859" s="55">
        <f>VLOOKUP(C1859,Customers!$A$2:$F$301,5,FALSE())</f>
        <v/>
      </c>
      <c r="N1859" s="55">
        <f>VLOOKUP(E1859,Sales_Reps!$A$2:$E$31,3,FALSE())</f>
        <v/>
      </c>
      <c r="O1859" s="55">
        <f>VLOOKUP(D1859,Products!$A$2:$F$61,4,FALSE())</f>
        <v/>
      </c>
      <c r="P1859" s="55">
        <f>VLOOKUP(C1859,Customers!$A$2:$F$301,3,FALSE())</f>
        <v/>
      </c>
      <c r="Q1859" s="55">
        <f>UPPER(TRIM(K1859))</f>
        <v/>
      </c>
      <c r="R1859" s="55">
        <f>(G1859-O1859)/G1859</f>
        <v/>
      </c>
      <c r="S1859" s="55">
        <f>VLOOKUP(D1859,Products!$A$2:$F$61,6,FALSE())</f>
        <v/>
      </c>
    </row>
    <row r="1860" ht="15" customHeight="1" s="56">
      <c r="A1860" s="55">
        <f>Orders!A1860</f>
        <v/>
      </c>
      <c r="B1860" s="103">
        <f>Orders!B1860</f>
        <v/>
      </c>
      <c r="C1860" s="55">
        <f>Orders!C1860</f>
        <v/>
      </c>
      <c r="D1860" s="55">
        <f>Orders!D1860</f>
        <v/>
      </c>
      <c r="E1860" s="55">
        <f>Orders!E1860</f>
        <v/>
      </c>
      <c r="F1860" s="55">
        <f>Orders!F1860</f>
        <v/>
      </c>
      <c r="G1860" s="55">
        <f>Orders!G1860</f>
        <v/>
      </c>
      <c r="H1860" s="55">
        <f>Orders!H1860</f>
        <v/>
      </c>
      <c r="I1860" s="55">
        <f>Orders!I1860</f>
        <v/>
      </c>
      <c r="J1860" s="55">
        <f>Orders!J1860</f>
        <v/>
      </c>
      <c r="K1860" s="55">
        <f>Orders!K1860</f>
        <v/>
      </c>
      <c r="L1860" s="55">
        <f>VLOOKUP(D1860,Products!$A$2:$F$61,3,FALSE())</f>
        <v/>
      </c>
      <c r="M1860" s="55">
        <f>VLOOKUP(C1860,Customers!$A$2:$F$301,5,FALSE())</f>
        <v/>
      </c>
      <c r="N1860" s="55">
        <f>VLOOKUP(E1860,Sales_Reps!$A$2:$E$31,3,FALSE())</f>
        <v/>
      </c>
      <c r="O1860" s="55">
        <f>VLOOKUP(D1860,Products!$A$2:$F$61,4,FALSE())</f>
        <v/>
      </c>
      <c r="P1860" s="55">
        <f>VLOOKUP(C1860,Customers!$A$2:$F$301,3,FALSE())</f>
        <v/>
      </c>
      <c r="Q1860" s="55">
        <f>UPPER(TRIM(K1860))</f>
        <v/>
      </c>
      <c r="R1860" s="55">
        <f>(G1860-O1860)/G1860</f>
        <v/>
      </c>
      <c r="S1860" s="55">
        <f>VLOOKUP(D1860,Products!$A$2:$F$61,6,FALSE())</f>
        <v/>
      </c>
    </row>
    <row r="1861" ht="15" customHeight="1" s="56">
      <c r="A1861" s="55">
        <f>Orders!A1861</f>
        <v/>
      </c>
      <c r="B1861" s="103">
        <f>Orders!B1861</f>
        <v/>
      </c>
      <c r="C1861" s="55">
        <f>Orders!C1861</f>
        <v/>
      </c>
      <c r="D1861" s="55">
        <f>Orders!D1861</f>
        <v/>
      </c>
      <c r="E1861" s="55">
        <f>Orders!E1861</f>
        <v/>
      </c>
      <c r="F1861" s="55">
        <f>Orders!F1861</f>
        <v/>
      </c>
      <c r="G1861" s="55">
        <f>Orders!G1861</f>
        <v/>
      </c>
      <c r="H1861" s="55">
        <f>Orders!H1861</f>
        <v/>
      </c>
      <c r="I1861" s="55">
        <f>Orders!I1861</f>
        <v/>
      </c>
      <c r="J1861" s="55">
        <f>Orders!J1861</f>
        <v/>
      </c>
      <c r="K1861" s="55">
        <f>Orders!K1861</f>
        <v/>
      </c>
      <c r="L1861" s="55">
        <f>VLOOKUP(D1861,Products!$A$2:$F$61,3,FALSE())</f>
        <v/>
      </c>
      <c r="M1861" s="55">
        <f>VLOOKUP(C1861,Customers!$A$2:$F$301,5,FALSE())</f>
        <v/>
      </c>
      <c r="N1861" s="55">
        <f>VLOOKUP(E1861,Sales_Reps!$A$2:$E$31,3,FALSE())</f>
        <v/>
      </c>
      <c r="O1861" s="55">
        <f>VLOOKUP(D1861,Products!$A$2:$F$61,4,FALSE())</f>
        <v/>
      </c>
      <c r="P1861" s="55">
        <f>VLOOKUP(C1861,Customers!$A$2:$F$301,3,FALSE())</f>
        <v/>
      </c>
      <c r="Q1861" s="55">
        <f>UPPER(TRIM(K1861))</f>
        <v/>
      </c>
      <c r="R1861" s="55">
        <f>(G1861-O1861)/G1861</f>
        <v/>
      </c>
      <c r="S1861" s="55">
        <f>VLOOKUP(D1861,Products!$A$2:$F$61,6,FALSE())</f>
        <v/>
      </c>
    </row>
    <row r="1862" ht="15" customHeight="1" s="56">
      <c r="A1862" s="55">
        <f>Orders!A1862</f>
        <v/>
      </c>
      <c r="B1862" s="103">
        <f>Orders!B1862</f>
        <v/>
      </c>
      <c r="C1862" s="55">
        <f>Orders!C1862</f>
        <v/>
      </c>
      <c r="D1862" s="55">
        <f>Orders!D1862</f>
        <v/>
      </c>
      <c r="E1862" s="55">
        <f>Orders!E1862</f>
        <v/>
      </c>
      <c r="F1862" s="55">
        <f>Orders!F1862</f>
        <v/>
      </c>
      <c r="G1862" s="55">
        <f>Orders!G1862</f>
        <v/>
      </c>
      <c r="H1862" s="55">
        <f>Orders!H1862</f>
        <v/>
      </c>
      <c r="I1862" s="55">
        <f>Orders!I1862</f>
        <v/>
      </c>
      <c r="J1862" s="55">
        <f>Orders!J1862</f>
        <v/>
      </c>
      <c r="K1862" s="55">
        <f>Orders!K1862</f>
        <v/>
      </c>
      <c r="L1862" s="55">
        <f>VLOOKUP(D1862,Products!$A$2:$F$61,3,FALSE())</f>
        <v/>
      </c>
      <c r="M1862" s="55">
        <f>VLOOKUP(C1862,Customers!$A$2:$F$301,5,FALSE())</f>
        <v/>
      </c>
      <c r="N1862" s="55">
        <f>VLOOKUP(E1862,Sales_Reps!$A$2:$E$31,3,FALSE())</f>
        <v/>
      </c>
      <c r="O1862" s="55">
        <f>VLOOKUP(D1862,Products!$A$2:$F$61,4,FALSE())</f>
        <v/>
      </c>
      <c r="P1862" s="55">
        <f>VLOOKUP(C1862,Customers!$A$2:$F$301,3,FALSE())</f>
        <v/>
      </c>
      <c r="Q1862" s="55">
        <f>UPPER(TRIM(K1862))</f>
        <v/>
      </c>
      <c r="R1862" s="55">
        <f>(G1862-O1862)/G1862</f>
        <v/>
      </c>
      <c r="S1862" s="55">
        <f>VLOOKUP(D1862,Products!$A$2:$F$61,6,FALSE())</f>
        <v/>
      </c>
    </row>
    <row r="1863" ht="15" customHeight="1" s="56">
      <c r="A1863" s="55">
        <f>Orders!A1863</f>
        <v/>
      </c>
      <c r="B1863" s="103">
        <f>Orders!B1863</f>
        <v/>
      </c>
      <c r="C1863" s="55">
        <f>Orders!C1863</f>
        <v/>
      </c>
      <c r="D1863" s="55">
        <f>Orders!D1863</f>
        <v/>
      </c>
      <c r="E1863" s="55">
        <f>Orders!E1863</f>
        <v/>
      </c>
      <c r="F1863" s="55">
        <f>Orders!F1863</f>
        <v/>
      </c>
      <c r="G1863" s="55">
        <f>Orders!G1863</f>
        <v/>
      </c>
      <c r="H1863" s="55">
        <f>Orders!H1863</f>
        <v/>
      </c>
      <c r="I1863" s="55">
        <f>Orders!I1863</f>
        <v/>
      </c>
      <c r="J1863" s="55">
        <f>Orders!J1863</f>
        <v/>
      </c>
      <c r="K1863" s="55">
        <f>Orders!K1863</f>
        <v/>
      </c>
      <c r="L1863" s="55">
        <f>VLOOKUP(D1863,Products!$A$2:$F$61,3,FALSE())</f>
        <v/>
      </c>
      <c r="M1863" s="55">
        <f>VLOOKUP(C1863,Customers!$A$2:$F$301,5,FALSE())</f>
        <v/>
      </c>
      <c r="N1863" s="55">
        <f>VLOOKUP(E1863,Sales_Reps!$A$2:$E$31,3,FALSE())</f>
        <v/>
      </c>
      <c r="O1863" s="55">
        <f>VLOOKUP(D1863,Products!$A$2:$F$61,4,FALSE())</f>
        <v/>
      </c>
      <c r="P1863" s="55">
        <f>VLOOKUP(C1863,Customers!$A$2:$F$301,3,FALSE())</f>
        <v/>
      </c>
      <c r="Q1863" s="55">
        <f>UPPER(TRIM(K1863))</f>
        <v/>
      </c>
      <c r="R1863" s="55">
        <f>(G1863-O1863)/G1863</f>
        <v/>
      </c>
      <c r="S1863" s="55">
        <f>VLOOKUP(D1863,Products!$A$2:$F$61,6,FALSE())</f>
        <v/>
      </c>
    </row>
    <row r="1864" ht="15" customHeight="1" s="56">
      <c r="A1864" s="55">
        <f>Orders!A1864</f>
        <v/>
      </c>
      <c r="B1864" s="103">
        <f>Orders!B1864</f>
        <v/>
      </c>
      <c r="C1864" s="55">
        <f>Orders!C1864</f>
        <v/>
      </c>
      <c r="D1864" s="55">
        <f>Orders!D1864</f>
        <v/>
      </c>
      <c r="E1864" s="55">
        <f>Orders!E1864</f>
        <v/>
      </c>
      <c r="F1864" s="55">
        <f>Orders!F1864</f>
        <v/>
      </c>
      <c r="G1864" s="55">
        <f>Orders!G1864</f>
        <v/>
      </c>
      <c r="H1864" s="55">
        <f>Orders!H1864</f>
        <v/>
      </c>
      <c r="I1864" s="55">
        <f>Orders!I1864</f>
        <v/>
      </c>
      <c r="J1864" s="55">
        <f>Orders!J1864</f>
        <v/>
      </c>
      <c r="K1864" s="55">
        <f>Orders!K1864</f>
        <v/>
      </c>
      <c r="L1864" s="55">
        <f>VLOOKUP(D1864,Products!$A$2:$F$61,3,FALSE())</f>
        <v/>
      </c>
      <c r="M1864" s="55">
        <f>VLOOKUP(C1864,Customers!$A$2:$F$301,5,FALSE())</f>
        <v/>
      </c>
      <c r="N1864" s="55">
        <f>VLOOKUP(E1864,Sales_Reps!$A$2:$E$31,3,FALSE())</f>
        <v/>
      </c>
      <c r="O1864" s="55">
        <f>VLOOKUP(D1864,Products!$A$2:$F$61,4,FALSE())</f>
        <v/>
      </c>
      <c r="P1864" s="55">
        <f>VLOOKUP(C1864,Customers!$A$2:$F$301,3,FALSE())</f>
        <v/>
      </c>
      <c r="Q1864" s="55">
        <f>UPPER(TRIM(K1864))</f>
        <v/>
      </c>
      <c r="R1864" s="55">
        <f>(G1864-O1864)/G1864</f>
        <v/>
      </c>
      <c r="S1864" s="55">
        <f>VLOOKUP(D1864,Products!$A$2:$F$61,6,FALSE())</f>
        <v/>
      </c>
    </row>
    <row r="1865" ht="15" customHeight="1" s="56">
      <c r="A1865" s="55">
        <f>Orders!A1865</f>
        <v/>
      </c>
      <c r="B1865" s="103">
        <f>Orders!B1865</f>
        <v/>
      </c>
      <c r="C1865" s="55">
        <f>Orders!C1865</f>
        <v/>
      </c>
      <c r="D1865" s="55">
        <f>Orders!D1865</f>
        <v/>
      </c>
      <c r="E1865" s="55">
        <f>Orders!E1865</f>
        <v/>
      </c>
      <c r="F1865" s="55">
        <f>Orders!F1865</f>
        <v/>
      </c>
      <c r="G1865" s="55">
        <f>Orders!G1865</f>
        <v/>
      </c>
      <c r="H1865" s="55">
        <f>Orders!H1865</f>
        <v/>
      </c>
      <c r="I1865" s="55">
        <f>Orders!I1865</f>
        <v/>
      </c>
      <c r="J1865" s="55">
        <f>Orders!J1865</f>
        <v/>
      </c>
      <c r="K1865" s="55">
        <f>Orders!K1865</f>
        <v/>
      </c>
      <c r="L1865" s="55">
        <f>VLOOKUP(D1865,Products!$A$2:$F$61,3,FALSE())</f>
        <v/>
      </c>
      <c r="M1865" s="55">
        <f>VLOOKUP(C1865,Customers!$A$2:$F$301,5,FALSE())</f>
        <v/>
      </c>
      <c r="N1865" s="55">
        <f>VLOOKUP(E1865,Sales_Reps!$A$2:$E$31,3,FALSE())</f>
        <v/>
      </c>
      <c r="O1865" s="55">
        <f>VLOOKUP(D1865,Products!$A$2:$F$61,4,FALSE())</f>
        <v/>
      </c>
      <c r="P1865" s="55">
        <f>VLOOKUP(C1865,Customers!$A$2:$F$301,3,FALSE())</f>
        <v/>
      </c>
      <c r="Q1865" s="55">
        <f>UPPER(TRIM(K1865))</f>
        <v/>
      </c>
      <c r="R1865" s="55">
        <f>(G1865-O1865)/G1865</f>
        <v/>
      </c>
      <c r="S1865" s="55">
        <f>VLOOKUP(D1865,Products!$A$2:$F$61,6,FALSE())</f>
        <v/>
      </c>
    </row>
    <row r="1866" ht="15" customHeight="1" s="56">
      <c r="A1866" s="55">
        <f>Orders!A1866</f>
        <v/>
      </c>
      <c r="B1866" s="103">
        <f>Orders!B1866</f>
        <v/>
      </c>
      <c r="C1866" s="55">
        <f>Orders!C1866</f>
        <v/>
      </c>
      <c r="D1866" s="55">
        <f>Orders!D1866</f>
        <v/>
      </c>
      <c r="E1866" s="55">
        <f>Orders!E1866</f>
        <v/>
      </c>
      <c r="F1866" s="55">
        <f>Orders!F1866</f>
        <v/>
      </c>
      <c r="G1866" s="55">
        <f>Orders!G1866</f>
        <v/>
      </c>
      <c r="H1866" s="55">
        <f>Orders!H1866</f>
        <v/>
      </c>
      <c r="I1866" s="55">
        <f>Orders!I1866</f>
        <v/>
      </c>
      <c r="J1866" s="55">
        <f>Orders!J1866</f>
        <v/>
      </c>
      <c r="K1866" s="55">
        <f>Orders!K1866</f>
        <v/>
      </c>
      <c r="L1866" s="55">
        <f>VLOOKUP(D1866,Products!$A$2:$F$61,3,FALSE())</f>
        <v/>
      </c>
      <c r="M1866" s="55">
        <f>VLOOKUP(C1866,Customers!$A$2:$F$301,5,FALSE())</f>
        <v/>
      </c>
      <c r="N1866" s="55">
        <f>VLOOKUP(E1866,Sales_Reps!$A$2:$E$31,3,FALSE())</f>
        <v/>
      </c>
      <c r="O1866" s="55">
        <f>VLOOKUP(D1866,Products!$A$2:$F$61,4,FALSE())</f>
        <v/>
      </c>
      <c r="P1866" s="55">
        <f>VLOOKUP(C1866,Customers!$A$2:$F$301,3,FALSE())</f>
        <v/>
      </c>
      <c r="Q1866" s="55">
        <f>UPPER(TRIM(K1866))</f>
        <v/>
      </c>
      <c r="R1866" s="55">
        <f>(G1866-O1866)/G1866</f>
        <v/>
      </c>
      <c r="S1866" s="55">
        <f>VLOOKUP(D1866,Products!$A$2:$F$61,6,FALSE())</f>
        <v/>
      </c>
    </row>
    <row r="1867" ht="15" customHeight="1" s="56">
      <c r="A1867" s="55">
        <f>Orders!A1867</f>
        <v/>
      </c>
      <c r="B1867" s="103">
        <f>Orders!B1867</f>
        <v/>
      </c>
      <c r="C1867" s="55">
        <f>Orders!C1867</f>
        <v/>
      </c>
      <c r="D1867" s="55">
        <f>Orders!D1867</f>
        <v/>
      </c>
      <c r="E1867" s="55">
        <f>Orders!E1867</f>
        <v/>
      </c>
      <c r="F1867" s="55">
        <f>Orders!F1867</f>
        <v/>
      </c>
      <c r="G1867" s="55">
        <f>Orders!G1867</f>
        <v/>
      </c>
      <c r="H1867" s="55">
        <f>Orders!H1867</f>
        <v/>
      </c>
      <c r="I1867" s="55">
        <f>Orders!I1867</f>
        <v/>
      </c>
      <c r="J1867" s="55">
        <f>Orders!J1867</f>
        <v/>
      </c>
      <c r="K1867" s="55">
        <f>Orders!K1867</f>
        <v/>
      </c>
      <c r="L1867" s="55">
        <f>VLOOKUP(D1867,Products!$A$2:$F$61,3,FALSE())</f>
        <v/>
      </c>
      <c r="M1867" s="55">
        <f>VLOOKUP(C1867,Customers!$A$2:$F$301,5,FALSE())</f>
        <v/>
      </c>
      <c r="N1867" s="55">
        <f>VLOOKUP(E1867,Sales_Reps!$A$2:$E$31,3,FALSE())</f>
        <v/>
      </c>
      <c r="O1867" s="55">
        <f>VLOOKUP(D1867,Products!$A$2:$F$61,4,FALSE())</f>
        <v/>
      </c>
      <c r="P1867" s="55">
        <f>VLOOKUP(C1867,Customers!$A$2:$F$301,3,FALSE())</f>
        <v/>
      </c>
      <c r="Q1867" s="55">
        <f>UPPER(TRIM(K1867))</f>
        <v/>
      </c>
      <c r="R1867" s="55">
        <f>(G1867-O1867)/G1867</f>
        <v/>
      </c>
      <c r="S1867" s="55">
        <f>VLOOKUP(D1867,Products!$A$2:$F$61,6,FALSE())</f>
        <v/>
      </c>
    </row>
    <row r="1868" ht="15" customHeight="1" s="56">
      <c r="A1868" s="55">
        <f>Orders!A1868</f>
        <v/>
      </c>
      <c r="B1868" s="103">
        <f>Orders!B1868</f>
        <v/>
      </c>
      <c r="C1868" s="55">
        <f>Orders!C1868</f>
        <v/>
      </c>
      <c r="D1868" s="55">
        <f>Orders!D1868</f>
        <v/>
      </c>
      <c r="E1868" s="55">
        <f>Orders!E1868</f>
        <v/>
      </c>
      <c r="F1868" s="55">
        <f>Orders!F1868</f>
        <v/>
      </c>
      <c r="G1868" s="55">
        <f>Orders!G1868</f>
        <v/>
      </c>
      <c r="H1868" s="55">
        <f>Orders!H1868</f>
        <v/>
      </c>
      <c r="I1868" s="55">
        <f>Orders!I1868</f>
        <v/>
      </c>
      <c r="J1868" s="55">
        <f>Orders!J1868</f>
        <v/>
      </c>
      <c r="K1868" s="55">
        <f>Orders!K1868</f>
        <v/>
      </c>
      <c r="L1868" s="55">
        <f>VLOOKUP(D1868,Products!$A$2:$F$61,3,FALSE())</f>
        <v/>
      </c>
      <c r="M1868" s="55">
        <f>VLOOKUP(C1868,Customers!$A$2:$F$301,5,FALSE())</f>
        <v/>
      </c>
      <c r="N1868" s="55">
        <f>VLOOKUP(E1868,Sales_Reps!$A$2:$E$31,3,FALSE())</f>
        <v/>
      </c>
      <c r="O1868" s="55">
        <f>VLOOKUP(D1868,Products!$A$2:$F$61,4,FALSE())</f>
        <v/>
      </c>
      <c r="P1868" s="55">
        <f>VLOOKUP(C1868,Customers!$A$2:$F$301,3,FALSE())</f>
        <v/>
      </c>
      <c r="Q1868" s="55">
        <f>UPPER(TRIM(K1868))</f>
        <v/>
      </c>
      <c r="R1868" s="55">
        <f>(G1868-O1868)/G1868</f>
        <v/>
      </c>
      <c r="S1868" s="55">
        <f>VLOOKUP(D1868,Products!$A$2:$F$61,6,FALSE())</f>
        <v/>
      </c>
    </row>
    <row r="1869" ht="15" customHeight="1" s="56">
      <c r="A1869" s="55">
        <f>Orders!A1869</f>
        <v/>
      </c>
      <c r="B1869" s="103">
        <f>Orders!B1869</f>
        <v/>
      </c>
      <c r="C1869" s="55">
        <f>Orders!C1869</f>
        <v/>
      </c>
      <c r="D1869" s="55">
        <f>Orders!D1869</f>
        <v/>
      </c>
      <c r="E1869" s="55">
        <f>Orders!E1869</f>
        <v/>
      </c>
      <c r="F1869" s="55">
        <f>Orders!F1869</f>
        <v/>
      </c>
      <c r="G1869" s="55">
        <f>Orders!G1869</f>
        <v/>
      </c>
      <c r="H1869" s="55">
        <f>Orders!H1869</f>
        <v/>
      </c>
      <c r="I1869" s="55">
        <f>Orders!I1869</f>
        <v/>
      </c>
      <c r="J1869" s="55">
        <f>Orders!J1869</f>
        <v/>
      </c>
      <c r="K1869" s="55">
        <f>Orders!K1869</f>
        <v/>
      </c>
      <c r="L1869" s="55">
        <f>VLOOKUP(D1869,Products!$A$2:$F$61,3,FALSE())</f>
        <v/>
      </c>
      <c r="M1869" s="55">
        <f>VLOOKUP(C1869,Customers!$A$2:$F$301,5,FALSE())</f>
        <v/>
      </c>
      <c r="N1869" s="55">
        <f>VLOOKUP(E1869,Sales_Reps!$A$2:$E$31,3,FALSE())</f>
        <v/>
      </c>
      <c r="O1869" s="55">
        <f>VLOOKUP(D1869,Products!$A$2:$F$61,4,FALSE())</f>
        <v/>
      </c>
      <c r="P1869" s="55">
        <f>VLOOKUP(C1869,Customers!$A$2:$F$301,3,FALSE())</f>
        <v/>
      </c>
      <c r="Q1869" s="55">
        <f>UPPER(TRIM(K1869))</f>
        <v/>
      </c>
      <c r="R1869" s="55">
        <f>(G1869-O1869)/G1869</f>
        <v/>
      </c>
      <c r="S1869" s="55">
        <f>VLOOKUP(D1869,Products!$A$2:$F$61,6,FALSE())</f>
        <v/>
      </c>
    </row>
    <row r="1870" ht="15" customHeight="1" s="56">
      <c r="A1870" s="55">
        <f>Orders!A1870</f>
        <v/>
      </c>
      <c r="B1870" s="103">
        <f>Orders!B1870</f>
        <v/>
      </c>
      <c r="C1870" s="55">
        <f>Orders!C1870</f>
        <v/>
      </c>
      <c r="D1870" s="55">
        <f>Orders!D1870</f>
        <v/>
      </c>
      <c r="E1870" s="55">
        <f>Orders!E1870</f>
        <v/>
      </c>
      <c r="F1870" s="55">
        <f>Orders!F1870</f>
        <v/>
      </c>
      <c r="G1870" s="55">
        <f>Orders!G1870</f>
        <v/>
      </c>
      <c r="H1870" s="55">
        <f>Orders!H1870</f>
        <v/>
      </c>
      <c r="I1870" s="55">
        <f>Orders!I1870</f>
        <v/>
      </c>
      <c r="J1870" s="55">
        <f>Orders!J1870</f>
        <v/>
      </c>
      <c r="K1870" s="55">
        <f>Orders!K1870</f>
        <v/>
      </c>
      <c r="L1870" s="55">
        <f>VLOOKUP(D1870,Products!$A$2:$F$61,3,FALSE())</f>
        <v/>
      </c>
      <c r="M1870" s="55">
        <f>VLOOKUP(C1870,Customers!$A$2:$F$301,5,FALSE())</f>
        <v/>
      </c>
      <c r="N1870" s="55">
        <f>VLOOKUP(E1870,Sales_Reps!$A$2:$E$31,3,FALSE())</f>
        <v/>
      </c>
      <c r="O1870" s="55">
        <f>VLOOKUP(D1870,Products!$A$2:$F$61,4,FALSE())</f>
        <v/>
      </c>
      <c r="P1870" s="55">
        <f>VLOOKUP(C1870,Customers!$A$2:$F$301,3,FALSE())</f>
        <v/>
      </c>
      <c r="Q1870" s="55">
        <f>UPPER(TRIM(K1870))</f>
        <v/>
      </c>
      <c r="R1870" s="55">
        <f>(G1870-O1870)/G1870</f>
        <v/>
      </c>
      <c r="S1870" s="55">
        <f>VLOOKUP(D1870,Products!$A$2:$F$61,6,FALSE())</f>
        <v/>
      </c>
    </row>
    <row r="1871" ht="15" customHeight="1" s="56">
      <c r="A1871" s="55">
        <f>Orders!A1871</f>
        <v/>
      </c>
      <c r="B1871" s="103">
        <f>Orders!B1871</f>
        <v/>
      </c>
      <c r="C1871" s="55">
        <f>Orders!C1871</f>
        <v/>
      </c>
      <c r="D1871" s="55">
        <f>Orders!D1871</f>
        <v/>
      </c>
      <c r="E1871" s="55">
        <f>Orders!E1871</f>
        <v/>
      </c>
      <c r="F1871" s="55">
        <f>Orders!F1871</f>
        <v/>
      </c>
      <c r="G1871" s="55">
        <f>Orders!G1871</f>
        <v/>
      </c>
      <c r="H1871" s="55">
        <f>Orders!H1871</f>
        <v/>
      </c>
      <c r="I1871" s="55">
        <f>Orders!I1871</f>
        <v/>
      </c>
      <c r="J1871" s="55">
        <f>Orders!J1871</f>
        <v/>
      </c>
      <c r="K1871" s="55">
        <f>Orders!K1871</f>
        <v/>
      </c>
      <c r="L1871" s="55">
        <f>VLOOKUP(D1871,Products!$A$2:$F$61,3,FALSE())</f>
        <v/>
      </c>
      <c r="M1871" s="55">
        <f>VLOOKUP(C1871,Customers!$A$2:$F$301,5,FALSE())</f>
        <v/>
      </c>
      <c r="N1871" s="55">
        <f>VLOOKUP(E1871,Sales_Reps!$A$2:$E$31,3,FALSE())</f>
        <v/>
      </c>
      <c r="O1871" s="55">
        <f>VLOOKUP(D1871,Products!$A$2:$F$61,4,FALSE())</f>
        <v/>
      </c>
      <c r="P1871" s="55">
        <f>VLOOKUP(C1871,Customers!$A$2:$F$301,3,FALSE())</f>
        <v/>
      </c>
      <c r="Q1871" s="55">
        <f>UPPER(TRIM(K1871))</f>
        <v/>
      </c>
      <c r="R1871" s="55">
        <f>(G1871-O1871)/G1871</f>
        <v/>
      </c>
      <c r="S1871" s="55">
        <f>VLOOKUP(D1871,Products!$A$2:$F$61,6,FALSE())</f>
        <v/>
      </c>
    </row>
    <row r="1872" ht="15" customHeight="1" s="56">
      <c r="A1872" s="55">
        <f>Orders!A1872</f>
        <v/>
      </c>
      <c r="B1872" s="103">
        <f>Orders!B1872</f>
        <v/>
      </c>
      <c r="C1872" s="55">
        <f>Orders!C1872</f>
        <v/>
      </c>
      <c r="D1872" s="55">
        <f>Orders!D1872</f>
        <v/>
      </c>
      <c r="E1872" s="55">
        <f>Orders!E1872</f>
        <v/>
      </c>
      <c r="F1872" s="55">
        <f>Orders!F1872</f>
        <v/>
      </c>
      <c r="G1872" s="55">
        <f>Orders!G1872</f>
        <v/>
      </c>
      <c r="H1872" s="55">
        <f>Orders!H1872</f>
        <v/>
      </c>
      <c r="I1872" s="55">
        <f>Orders!I1872</f>
        <v/>
      </c>
      <c r="J1872" s="55">
        <f>Orders!J1872</f>
        <v/>
      </c>
      <c r="K1872" s="55">
        <f>Orders!K1872</f>
        <v/>
      </c>
      <c r="L1872" s="55">
        <f>VLOOKUP(D1872,Products!$A$2:$F$61,3,FALSE())</f>
        <v/>
      </c>
      <c r="M1872" s="55">
        <f>VLOOKUP(C1872,Customers!$A$2:$F$301,5,FALSE())</f>
        <v/>
      </c>
      <c r="N1872" s="55">
        <f>VLOOKUP(E1872,Sales_Reps!$A$2:$E$31,3,FALSE())</f>
        <v/>
      </c>
      <c r="O1872" s="55">
        <f>VLOOKUP(D1872,Products!$A$2:$F$61,4,FALSE())</f>
        <v/>
      </c>
      <c r="P1872" s="55">
        <f>VLOOKUP(C1872,Customers!$A$2:$F$301,3,FALSE())</f>
        <v/>
      </c>
      <c r="Q1872" s="55">
        <f>UPPER(TRIM(K1872))</f>
        <v/>
      </c>
      <c r="R1872" s="55">
        <f>(G1872-O1872)/G1872</f>
        <v/>
      </c>
      <c r="S1872" s="55">
        <f>VLOOKUP(D1872,Products!$A$2:$F$61,6,FALSE())</f>
        <v/>
      </c>
    </row>
    <row r="1873" ht="15" customHeight="1" s="56">
      <c r="A1873" s="55">
        <f>Orders!A1873</f>
        <v/>
      </c>
      <c r="B1873" s="103">
        <f>Orders!B1873</f>
        <v/>
      </c>
      <c r="C1873" s="55">
        <f>Orders!C1873</f>
        <v/>
      </c>
      <c r="D1873" s="55">
        <f>Orders!D1873</f>
        <v/>
      </c>
      <c r="E1873" s="55">
        <f>Orders!E1873</f>
        <v/>
      </c>
      <c r="F1873" s="55">
        <f>Orders!F1873</f>
        <v/>
      </c>
      <c r="G1873" s="55">
        <f>Orders!G1873</f>
        <v/>
      </c>
      <c r="H1873" s="55">
        <f>Orders!H1873</f>
        <v/>
      </c>
      <c r="I1873" s="55">
        <f>Orders!I1873</f>
        <v/>
      </c>
      <c r="J1873" s="55">
        <f>Orders!J1873</f>
        <v/>
      </c>
      <c r="K1873" s="55">
        <f>Orders!K1873</f>
        <v/>
      </c>
      <c r="L1873" s="55">
        <f>VLOOKUP(D1873,Products!$A$2:$F$61,3,FALSE())</f>
        <v/>
      </c>
      <c r="M1873" s="55">
        <f>VLOOKUP(C1873,Customers!$A$2:$F$301,5,FALSE())</f>
        <v/>
      </c>
      <c r="N1873" s="55">
        <f>VLOOKUP(E1873,Sales_Reps!$A$2:$E$31,3,FALSE())</f>
        <v/>
      </c>
      <c r="O1873" s="55">
        <f>VLOOKUP(D1873,Products!$A$2:$F$61,4,FALSE())</f>
        <v/>
      </c>
      <c r="P1873" s="55">
        <f>VLOOKUP(C1873,Customers!$A$2:$F$301,3,FALSE())</f>
        <v/>
      </c>
      <c r="Q1873" s="55">
        <f>UPPER(TRIM(K1873))</f>
        <v/>
      </c>
      <c r="R1873" s="55">
        <f>(G1873-O1873)/G1873</f>
        <v/>
      </c>
      <c r="S1873" s="55">
        <f>VLOOKUP(D1873,Products!$A$2:$F$61,6,FALSE())</f>
        <v/>
      </c>
    </row>
    <row r="1874" ht="15" customHeight="1" s="56">
      <c r="A1874" s="55">
        <f>Orders!A1874</f>
        <v/>
      </c>
      <c r="B1874" s="103">
        <f>Orders!B1874</f>
        <v/>
      </c>
      <c r="C1874" s="55">
        <f>Orders!C1874</f>
        <v/>
      </c>
      <c r="D1874" s="55">
        <f>Orders!D1874</f>
        <v/>
      </c>
      <c r="E1874" s="55">
        <f>Orders!E1874</f>
        <v/>
      </c>
      <c r="F1874" s="55">
        <f>Orders!F1874</f>
        <v/>
      </c>
      <c r="G1874" s="55">
        <f>Orders!G1874</f>
        <v/>
      </c>
      <c r="H1874" s="55">
        <f>Orders!H1874</f>
        <v/>
      </c>
      <c r="I1874" s="55">
        <f>Orders!I1874</f>
        <v/>
      </c>
      <c r="J1874" s="55">
        <f>Orders!J1874</f>
        <v/>
      </c>
      <c r="K1874" s="55">
        <f>Orders!K1874</f>
        <v/>
      </c>
      <c r="L1874" s="55">
        <f>VLOOKUP(D1874,Products!$A$2:$F$61,3,FALSE())</f>
        <v/>
      </c>
      <c r="M1874" s="55">
        <f>VLOOKUP(C1874,Customers!$A$2:$F$301,5,FALSE())</f>
        <v/>
      </c>
      <c r="N1874" s="55">
        <f>VLOOKUP(E1874,Sales_Reps!$A$2:$E$31,3,FALSE())</f>
        <v/>
      </c>
      <c r="O1874" s="55">
        <f>VLOOKUP(D1874,Products!$A$2:$F$61,4,FALSE())</f>
        <v/>
      </c>
      <c r="P1874" s="55">
        <f>VLOOKUP(C1874,Customers!$A$2:$F$301,3,FALSE())</f>
        <v/>
      </c>
      <c r="Q1874" s="55">
        <f>UPPER(TRIM(K1874))</f>
        <v/>
      </c>
      <c r="R1874" s="55">
        <f>(G1874-O1874)/G1874</f>
        <v/>
      </c>
      <c r="S1874" s="55">
        <f>VLOOKUP(D1874,Products!$A$2:$F$61,6,FALSE())</f>
        <v/>
      </c>
    </row>
    <row r="1875" ht="15" customHeight="1" s="56">
      <c r="A1875" s="55">
        <f>Orders!A1875</f>
        <v/>
      </c>
      <c r="B1875" s="103">
        <f>Orders!B1875</f>
        <v/>
      </c>
      <c r="C1875" s="55">
        <f>Orders!C1875</f>
        <v/>
      </c>
      <c r="D1875" s="55">
        <f>Orders!D1875</f>
        <v/>
      </c>
      <c r="E1875" s="55">
        <f>Orders!E1875</f>
        <v/>
      </c>
      <c r="F1875" s="55">
        <f>Orders!F1875</f>
        <v/>
      </c>
      <c r="G1875" s="55">
        <f>Orders!G1875</f>
        <v/>
      </c>
      <c r="H1875" s="55">
        <f>Orders!H1875</f>
        <v/>
      </c>
      <c r="I1875" s="55">
        <f>Orders!I1875</f>
        <v/>
      </c>
      <c r="J1875" s="55">
        <f>Orders!J1875</f>
        <v/>
      </c>
      <c r="K1875" s="55">
        <f>Orders!K1875</f>
        <v/>
      </c>
      <c r="L1875" s="55">
        <f>VLOOKUP(D1875,Products!$A$2:$F$61,3,FALSE())</f>
        <v/>
      </c>
      <c r="M1875" s="55">
        <f>VLOOKUP(C1875,Customers!$A$2:$F$301,5,FALSE())</f>
        <v/>
      </c>
      <c r="N1875" s="55">
        <f>VLOOKUP(E1875,Sales_Reps!$A$2:$E$31,3,FALSE())</f>
        <v/>
      </c>
      <c r="O1875" s="55">
        <f>VLOOKUP(D1875,Products!$A$2:$F$61,4,FALSE())</f>
        <v/>
      </c>
      <c r="P1875" s="55">
        <f>VLOOKUP(C1875,Customers!$A$2:$F$301,3,FALSE())</f>
        <v/>
      </c>
      <c r="Q1875" s="55">
        <f>UPPER(TRIM(K1875))</f>
        <v/>
      </c>
      <c r="R1875" s="55">
        <f>(G1875-O1875)/G1875</f>
        <v/>
      </c>
      <c r="S1875" s="55">
        <f>VLOOKUP(D1875,Products!$A$2:$F$61,6,FALSE())</f>
        <v/>
      </c>
    </row>
    <row r="1876" ht="15" customHeight="1" s="56">
      <c r="A1876" s="55">
        <f>Orders!A1876</f>
        <v/>
      </c>
      <c r="B1876" s="103">
        <f>Orders!B1876</f>
        <v/>
      </c>
      <c r="C1876" s="55">
        <f>Orders!C1876</f>
        <v/>
      </c>
      <c r="D1876" s="55">
        <f>Orders!D1876</f>
        <v/>
      </c>
      <c r="E1876" s="55">
        <f>Orders!E1876</f>
        <v/>
      </c>
      <c r="F1876" s="55">
        <f>Orders!F1876</f>
        <v/>
      </c>
      <c r="G1876" s="55">
        <f>Orders!G1876</f>
        <v/>
      </c>
      <c r="H1876" s="55">
        <f>Orders!H1876</f>
        <v/>
      </c>
      <c r="I1876" s="55">
        <f>Orders!I1876</f>
        <v/>
      </c>
      <c r="J1876" s="55">
        <f>Orders!J1876</f>
        <v/>
      </c>
      <c r="K1876" s="55">
        <f>Orders!K1876</f>
        <v/>
      </c>
      <c r="L1876" s="55">
        <f>VLOOKUP(D1876,Products!$A$2:$F$61,3,FALSE())</f>
        <v/>
      </c>
      <c r="M1876" s="55">
        <f>VLOOKUP(C1876,Customers!$A$2:$F$301,5,FALSE())</f>
        <v/>
      </c>
      <c r="N1876" s="55">
        <f>VLOOKUP(E1876,Sales_Reps!$A$2:$E$31,3,FALSE())</f>
        <v/>
      </c>
      <c r="O1876" s="55">
        <f>VLOOKUP(D1876,Products!$A$2:$F$61,4,FALSE())</f>
        <v/>
      </c>
      <c r="P1876" s="55">
        <f>VLOOKUP(C1876,Customers!$A$2:$F$301,3,FALSE())</f>
        <v/>
      </c>
      <c r="Q1876" s="55">
        <f>UPPER(TRIM(K1876))</f>
        <v/>
      </c>
      <c r="R1876" s="55">
        <f>(G1876-O1876)/G1876</f>
        <v/>
      </c>
      <c r="S1876" s="55">
        <f>VLOOKUP(D1876,Products!$A$2:$F$61,6,FALSE())</f>
        <v/>
      </c>
    </row>
    <row r="1877" ht="15" customHeight="1" s="56">
      <c r="A1877" s="55">
        <f>Orders!A1877</f>
        <v/>
      </c>
      <c r="B1877" s="103">
        <f>Orders!B1877</f>
        <v/>
      </c>
      <c r="C1877" s="55">
        <f>Orders!C1877</f>
        <v/>
      </c>
      <c r="D1877" s="55">
        <f>Orders!D1877</f>
        <v/>
      </c>
      <c r="E1877" s="55">
        <f>Orders!E1877</f>
        <v/>
      </c>
      <c r="F1877" s="55">
        <f>Orders!F1877</f>
        <v/>
      </c>
      <c r="G1877" s="55">
        <f>Orders!G1877</f>
        <v/>
      </c>
      <c r="H1877" s="55">
        <f>Orders!H1877</f>
        <v/>
      </c>
      <c r="I1877" s="55">
        <f>Orders!I1877</f>
        <v/>
      </c>
      <c r="J1877" s="55">
        <f>Orders!J1877</f>
        <v/>
      </c>
      <c r="K1877" s="55">
        <f>Orders!K1877</f>
        <v/>
      </c>
      <c r="L1877" s="55">
        <f>VLOOKUP(D1877,Products!$A$2:$F$61,3,FALSE())</f>
        <v/>
      </c>
      <c r="M1877" s="55">
        <f>VLOOKUP(C1877,Customers!$A$2:$F$301,5,FALSE())</f>
        <v/>
      </c>
      <c r="N1877" s="55">
        <f>VLOOKUP(E1877,Sales_Reps!$A$2:$E$31,3,FALSE())</f>
        <v/>
      </c>
      <c r="O1877" s="55">
        <f>VLOOKUP(D1877,Products!$A$2:$F$61,4,FALSE())</f>
        <v/>
      </c>
      <c r="P1877" s="55">
        <f>VLOOKUP(C1877,Customers!$A$2:$F$301,3,FALSE())</f>
        <v/>
      </c>
      <c r="Q1877" s="55">
        <f>UPPER(TRIM(K1877))</f>
        <v/>
      </c>
      <c r="R1877" s="55">
        <f>(G1877-O1877)/G1877</f>
        <v/>
      </c>
      <c r="S1877" s="55">
        <f>VLOOKUP(D1877,Products!$A$2:$F$61,6,FALSE())</f>
        <v/>
      </c>
    </row>
    <row r="1878" ht="15" customHeight="1" s="56">
      <c r="A1878" s="55">
        <f>Orders!A1878</f>
        <v/>
      </c>
      <c r="B1878" s="103">
        <f>Orders!B1878</f>
        <v/>
      </c>
      <c r="C1878" s="55">
        <f>Orders!C1878</f>
        <v/>
      </c>
      <c r="D1878" s="55">
        <f>Orders!D1878</f>
        <v/>
      </c>
      <c r="E1878" s="55">
        <f>Orders!E1878</f>
        <v/>
      </c>
      <c r="F1878" s="55">
        <f>Orders!F1878</f>
        <v/>
      </c>
      <c r="G1878" s="55">
        <f>Orders!G1878</f>
        <v/>
      </c>
      <c r="H1878" s="55">
        <f>Orders!H1878</f>
        <v/>
      </c>
      <c r="I1878" s="55">
        <f>Orders!I1878</f>
        <v/>
      </c>
      <c r="J1878" s="55">
        <f>Orders!J1878</f>
        <v/>
      </c>
      <c r="K1878" s="55">
        <f>Orders!K1878</f>
        <v/>
      </c>
      <c r="L1878" s="55">
        <f>VLOOKUP(D1878,Products!$A$2:$F$61,3,FALSE())</f>
        <v/>
      </c>
      <c r="M1878" s="55">
        <f>VLOOKUP(C1878,Customers!$A$2:$F$301,5,FALSE())</f>
        <v/>
      </c>
      <c r="N1878" s="55">
        <f>VLOOKUP(E1878,Sales_Reps!$A$2:$E$31,3,FALSE())</f>
        <v/>
      </c>
      <c r="O1878" s="55">
        <f>VLOOKUP(D1878,Products!$A$2:$F$61,4,FALSE())</f>
        <v/>
      </c>
      <c r="P1878" s="55">
        <f>VLOOKUP(C1878,Customers!$A$2:$F$301,3,FALSE())</f>
        <v/>
      </c>
      <c r="Q1878" s="55">
        <f>UPPER(TRIM(K1878))</f>
        <v/>
      </c>
      <c r="R1878" s="55">
        <f>(G1878-O1878)/G1878</f>
        <v/>
      </c>
      <c r="S1878" s="55">
        <f>VLOOKUP(D1878,Products!$A$2:$F$61,6,FALSE())</f>
        <v/>
      </c>
    </row>
    <row r="1879" ht="15" customHeight="1" s="56">
      <c r="A1879" s="55">
        <f>Orders!A1879</f>
        <v/>
      </c>
      <c r="B1879" s="103">
        <f>Orders!B1879</f>
        <v/>
      </c>
      <c r="C1879" s="55">
        <f>Orders!C1879</f>
        <v/>
      </c>
      <c r="D1879" s="55">
        <f>Orders!D1879</f>
        <v/>
      </c>
      <c r="E1879" s="55">
        <f>Orders!E1879</f>
        <v/>
      </c>
      <c r="F1879" s="55">
        <f>Orders!F1879</f>
        <v/>
      </c>
      <c r="G1879" s="55">
        <f>Orders!G1879</f>
        <v/>
      </c>
      <c r="H1879" s="55">
        <f>Orders!H1879</f>
        <v/>
      </c>
      <c r="I1879" s="55">
        <f>Orders!I1879</f>
        <v/>
      </c>
      <c r="J1879" s="55">
        <f>Orders!J1879</f>
        <v/>
      </c>
      <c r="K1879" s="55">
        <f>Orders!K1879</f>
        <v/>
      </c>
      <c r="L1879" s="55">
        <f>VLOOKUP(D1879,Products!$A$2:$F$61,3,FALSE())</f>
        <v/>
      </c>
      <c r="M1879" s="55">
        <f>VLOOKUP(C1879,Customers!$A$2:$F$301,5,FALSE())</f>
        <v/>
      </c>
      <c r="N1879" s="55">
        <f>VLOOKUP(E1879,Sales_Reps!$A$2:$E$31,3,FALSE())</f>
        <v/>
      </c>
      <c r="O1879" s="55">
        <f>VLOOKUP(D1879,Products!$A$2:$F$61,4,FALSE())</f>
        <v/>
      </c>
      <c r="P1879" s="55">
        <f>VLOOKUP(C1879,Customers!$A$2:$F$301,3,FALSE())</f>
        <v/>
      </c>
      <c r="Q1879" s="55">
        <f>UPPER(TRIM(K1879))</f>
        <v/>
      </c>
      <c r="R1879" s="55">
        <f>(G1879-O1879)/G1879</f>
        <v/>
      </c>
      <c r="S1879" s="55">
        <f>VLOOKUP(D1879,Products!$A$2:$F$61,6,FALSE())</f>
        <v/>
      </c>
    </row>
    <row r="1880" ht="15" customHeight="1" s="56">
      <c r="A1880" s="55">
        <f>Orders!A1880</f>
        <v/>
      </c>
      <c r="B1880" s="103">
        <f>Orders!B1880</f>
        <v/>
      </c>
      <c r="C1880" s="55">
        <f>Orders!C1880</f>
        <v/>
      </c>
      <c r="D1880" s="55">
        <f>Orders!D1880</f>
        <v/>
      </c>
      <c r="E1880" s="55">
        <f>Orders!E1880</f>
        <v/>
      </c>
      <c r="F1880" s="55">
        <f>Orders!F1880</f>
        <v/>
      </c>
      <c r="G1880" s="55">
        <f>Orders!G1880</f>
        <v/>
      </c>
      <c r="H1880" s="55">
        <f>Orders!H1880</f>
        <v/>
      </c>
      <c r="I1880" s="55">
        <f>Orders!I1880</f>
        <v/>
      </c>
      <c r="J1880" s="55">
        <f>Orders!J1880</f>
        <v/>
      </c>
      <c r="K1880" s="55">
        <f>Orders!K1880</f>
        <v/>
      </c>
      <c r="L1880" s="55">
        <f>VLOOKUP(D1880,Products!$A$2:$F$61,3,FALSE())</f>
        <v/>
      </c>
      <c r="M1880" s="55">
        <f>VLOOKUP(C1880,Customers!$A$2:$F$301,5,FALSE())</f>
        <v/>
      </c>
      <c r="N1880" s="55">
        <f>VLOOKUP(E1880,Sales_Reps!$A$2:$E$31,3,FALSE())</f>
        <v/>
      </c>
      <c r="O1880" s="55">
        <f>VLOOKUP(D1880,Products!$A$2:$F$61,4,FALSE())</f>
        <v/>
      </c>
      <c r="P1880" s="55">
        <f>VLOOKUP(C1880,Customers!$A$2:$F$301,3,FALSE())</f>
        <v/>
      </c>
      <c r="Q1880" s="55">
        <f>UPPER(TRIM(K1880))</f>
        <v/>
      </c>
      <c r="R1880" s="55">
        <f>(G1880-O1880)/G1880</f>
        <v/>
      </c>
      <c r="S1880" s="55">
        <f>VLOOKUP(D1880,Products!$A$2:$F$61,6,FALSE())</f>
        <v/>
      </c>
    </row>
    <row r="1881" ht="15" customHeight="1" s="56">
      <c r="A1881" s="55">
        <f>Orders!A1881</f>
        <v/>
      </c>
      <c r="B1881" s="103">
        <f>Orders!B1881</f>
        <v/>
      </c>
      <c r="C1881" s="55">
        <f>Orders!C1881</f>
        <v/>
      </c>
      <c r="D1881" s="55">
        <f>Orders!D1881</f>
        <v/>
      </c>
      <c r="E1881" s="55">
        <f>Orders!E1881</f>
        <v/>
      </c>
      <c r="F1881" s="55">
        <f>Orders!F1881</f>
        <v/>
      </c>
      <c r="G1881" s="55">
        <f>Orders!G1881</f>
        <v/>
      </c>
      <c r="H1881" s="55">
        <f>Orders!H1881</f>
        <v/>
      </c>
      <c r="I1881" s="55">
        <f>Orders!I1881</f>
        <v/>
      </c>
      <c r="J1881" s="55">
        <f>Orders!J1881</f>
        <v/>
      </c>
      <c r="K1881" s="55">
        <f>Orders!K1881</f>
        <v/>
      </c>
      <c r="L1881" s="55">
        <f>VLOOKUP(D1881,Products!$A$2:$F$61,3,FALSE())</f>
        <v/>
      </c>
      <c r="M1881" s="55">
        <f>VLOOKUP(C1881,Customers!$A$2:$F$301,5,FALSE())</f>
        <v/>
      </c>
      <c r="N1881" s="55">
        <f>VLOOKUP(E1881,Sales_Reps!$A$2:$E$31,3,FALSE())</f>
        <v/>
      </c>
      <c r="O1881" s="55">
        <f>VLOOKUP(D1881,Products!$A$2:$F$61,4,FALSE())</f>
        <v/>
      </c>
      <c r="P1881" s="55">
        <f>VLOOKUP(C1881,Customers!$A$2:$F$301,3,FALSE())</f>
        <v/>
      </c>
      <c r="Q1881" s="55">
        <f>UPPER(TRIM(K1881))</f>
        <v/>
      </c>
      <c r="R1881" s="55">
        <f>(G1881-O1881)/G1881</f>
        <v/>
      </c>
      <c r="S1881" s="55">
        <f>VLOOKUP(D1881,Products!$A$2:$F$61,6,FALSE())</f>
        <v/>
      </c>
    </row>
    <row r="1882" ht="15" customHeight="1" s="56">
      <c r="A1882" s="55">
        <f>Orders!A1882</f>
        <v/>
      </c>
      <c r="B1882" s="103">
        <f>Orders!B1882</f>
        <v/>
      </c>
      <c r="C1882" s="55">
        <f>Orders!C1882</f>
        <v/>
      </c>
      <c r="D1882" s="55">
        <f>Orders!D1882</f>
        <v/>
      </c>
      <c r="E1882" s="55">
        <f>Orders!E1882</f>
        <v/>
      </c>
      <c r="F1882" s="55">
        <f>Orders!F1882</f>
        <v/>
      </c>
      <c r="G1882" s="55">
        <f>Orders!G1882</f>
        <v/>
      </c>
      <c r="H1882" s="55">
        <f>Orders!H1882</f>
        <v/>
      </c>
      <c r="I1882" s="55">
        <f>Orders!I1882</f>
        <v/>
      </c>
      <c r="J1882" s="55">
        <f>Orders!J1882</f>
        <v/>
      </c>
      <c r="K1882" s="55">
        <f>Orders!K1882</f>
        <v/>
      </c>
      <c r="L1882" s="55">
        <f>VLOOKUP(D1882,Products!$A$2:$F$61,3,FALSE())</f>
        <v/>
      </c>
      <c r="M1882" s="55">
        <f>VLOOKUP(C1882,Customers!$A$2:$F$301,5,FALSE())</f>
        <v/>
      </c>
      <c r="N1882" s="55">
        <f>VLOOKUP(E1882,Sales_Reps!$A$2:$E$31,3,FALSE())</f>
        <v/>
      </c>
      <c r="O1882" s="55">
        <f>VLOOKUP(D1882,Products!$A$2:$F$61,4,FALSE())</f>
        <v/>
      </c>
      <c r="P1882" s="55">
        <f>VLOOKUP(C1882,Customers!$A$2:$F$301,3,FALSE())</f>
        <v/>
      </c>
      <c r="Q1882" s="55">
        <f>UPPER(TRIM(K1882))</f>
        <v/>
      </c>
      <c r="R1882" s="55">
        <f>(G1882-O1882)/G1882</f>
        <v/>
      </c>
      <c r="S1882" s="55">
        <f>VLOOKUP(D1882,Products!$A$2:$F$61,6,FALSE())</f>
        <v/>
      </c>
    </row>
    <row r="1883" ht="15" customHeight="1" s="56">
      <c r="A1883" s="55">
        <f>Orders!A1883</f>
        <v/>
      </c>
      <c r="B1883" s="103">
        <f>Orders!B1883</f>
        <v/>
      </c>
      <c r="C1883" s="55">
        <f>Orders!C1883</f>
        <v/>
      </c>
      <c r="D1883" s="55">
        <f>Orders!D1883</f>
        <v/>
      </c>
      <c r="E1883" s="55">
        <f>Orders!E1883</f>
        <v/>
      </c>
      <c r="F1883" s="55">
        <f>Orders!F1883</f>
        <v/>
      </c>
      <c r="G1883" s="55">
        <f>Orders!G1883</f>
        <v/>
      </c>
      <c r="H1883" s="55">
        <f>Orders!H1883</f>
        <v/>
      </c>
      <c r="I1883" s="55">
        <f>Orders!I1883</f>
        <v/>
      </c>
      <c r="J1883" s="55">
        <f>Orders!J1883</f>
        <v/>
      </c>
      <c r="K1883" s="55">
        <f>Orders!K1883</f>
        <v/>
      </c>
      <c r="L1883" s="55">
        <f>VLOOKUP(D1883,Products!$A$2:$F$61,3,FALSE())</f>
        <v/>
      </c>
      <c r="M1883" s="55">
        <f>VLOOKUP(C1883,Customers!$A$2:$F$301,5,FALSE())</f>
        <v/>
      </c>
      <c r="N1883" s="55">
        <f>VLOOKUP(E1883,Sales_Reps!$A$2:$E$31,3,FALSE())</f>
        <v/>
      </c>
      <c r="O1883" s="55">
        <f>VLOOKUP(D1883,Products!$A$2:$F$61,4,FALSE())</f>
        <v/>
      </c>
      <c r="P1883" s="55">
        <f>VLOOKUP(C1883,Customers!$A$2:$F$301,3,FALSE())</f>
        <v/>
      </c>
      <c r="Q1883" s="55">
        <f>UPPER(TRIM(K1883))</f>
        <v/>
      </c>
      <c r="R1883" s="55">
        <f>(G1883-O1883)/G1883</f>
        <v/>
      </c>
      <c r="S1883" s="55">
        <f>VLOOKUP(D1883,Products!$A$2:$F$61,6,FALSE())</f>
        <v/>
      </c>
    </row>
    <row r="1884" ht="15" customHeight="1" s="56">
      <c r="A1884" s="55">
        <f>Orders!A1884</f>
        <v/>
      </c>
      <c r="B1884" s="103">
        <f>Orders!B1884</f>
        <v/>
      </c>
      <c r="C1884" s="55">
        <f>Orders!C1884</f>
        <v/>
      </c>
      <c r="D1884" s="55">
        <f>Orders!D1884</f>
        <v/>
      </c>
      <c r="E1884" s="55">
        <f>Orders!E1884</f>
        <v/>
      </c>
      <c r="F1884" s="55">
        <f>Orders!F1884</f>
        <v/>
      </c>
      <c r="G1884" s="55">
        <f>Orders!G1884</f>
        <v/>
      </c>
      <c r="H1884" s="55">
        <f>Orders!H1884</f>
        <v/>
      </c>
      <c r="I1884" s="55">
        <f>Orders!I1884</f>
        <v/>
      </c>
      <c r="J1884" s="55">
        <f>Orders!J1884</f>
        <v/>
      </c>
      <c r="K1884" s="55">
        <f>Orders!K1884</f>
        <v/>
      </c>
      <c r="L1884" s="55">
        <f>VLOOKUP(D1884,Products!$A$2:$F$61,3,FALSE())</f>
        <v/>
      </c>
      <c r="M1884" s="55">
        <f>VLOOKUP(C1884,Customers!$A$2:$F$301,5,FALSE())</f>
        <v/>
      </c>
      <c r="N1884" s="55">
        <f>VLOOKUP(E1884,Sales_Reps!$A$2:$E$31,3,FALSE())</f>
        <v/>
      </c>
      <c r="O1884" s="55">
        <f>VLOOKUP(D1884,Products!$A$2:$F$61,4,FALSE())</f>
        <v/>
      </c>
      <c r="P1884" s="55">
        <f>VLOOKUP(C1884,Customers!$A$2:$F$301,3,FALSE())</f>
        <v/>
      </c>
      <c r="Q1884" s="55">
        <f>UPPER(TRIM(K1884))</f>
        <v/>
      </c>
      <c r="R1884" s="55">
        <f>(G1884-O1884)/G1884</f>
        <v/>
      </c>
      <c r="S1884" s="55">
        <f>VLOOKUP(D1884,Products!$A$2:$F$61,6,FALSE())</f>
        <v/>
      </c>
    </row>
    <row r="1885" ht="15" customHeight="1" s="56">
      <c r="A1885" s="55">
        <f>Orders!A1885</f>
        <v/>
      </c>
      <c r="B1885" s="103">
        <f>Orders!B1885</f>
        <v/>
      </c>
      <c r="C1885" s="55">
        <f>Orders!C1885</f>
        <v/>
      </c>
      <c r="D1885" s="55">
        <f>Orders!D1885</f>
        <v/>
      </c>
      <c r="E1885" s="55">
        <f>Orders!E1885</f>
        <v/>
      </c>
      <c r="F1885" s="55">
        <f>Orders!F1885</f>
        <v/>
      </c>
      <c r="G1885" s="55">
        <f>Orders!G1885</f>
        <v/>
      </c>
      <c r="H1885" s="55">
        <f>Orders!H1885</f>
        <v/>
      </c>
      <c r="I1885" s="55">
        <f>Orders!I1885</f>
        <v/>
      </c>
      <c r="J1885" s="55">
        <f>Orders!J1885</f>
        <v/>
      </c>
      <c r="K1885" s="55">
        <f>Orders!K1885</f>
        <v/>
      </c>
      <c r="L1885" s="55">
        <f>VLOOKUP(D1885,Products!$A$2:$F$61,3,FALSE())</f>
        <v/>
      </c>
      <c r="M1885" s="55">
        <f>VLOOKUP(C1885,Customers!$A$2:$F$301,5,FALSE())</f>
        <v/>
      </c>
      <c r="N1885" s="55">
        <f>VLOOKUP(E1885,Sales_Reps!$A$2:$E$31,3,FALSE())</f>
        <v/>
      </c>
      <c r="O1885" s="55">
        <f>VLOOKUP(D1885,Products!$A$2:$F$61,4,FALSE())</f>
        <v/>
      </c>
      <c r="P1885" s="55">
        <f>VLOOKUP(C1885,Customers!$A$2:$F$301,3,FALSE())</f>
        <v/>
      </c>
      <c r="Q1885" s="55">
        <f>UPPER(TRIM(K1885))</f>
        <v/>
      </c>
      <c r="R1885" s="55">
        <f>(G1885-O1885)/G1885</f>
        <v/>
      </c>
      <c r="S1885" s="55">
        <f>VLOOKUP(D1885,Products!$A$2:$F$61,6,FALSE())</f>
        <v/>
      </c>
    </row>
    <row r="1886" ht="15" customHeight="1" s="56">
      <c r="A1886" s="55">
        <f>Orders!A1886</f>
        <v/>
      </c>
      <c r="B1886" s="103">
        <f>Orders!B1886</f>
        <v/>
      </c>
      <c r="C1886" s="55">
        <f>Orders!C1886</f>
        <v/>
      </c>
      <c r="D1886" s="55">
        <f>Orders!D1886</f>
        <v/>
      </c>
      <c r="E1886" s="55">
        <f>Orders!E1886</f>
        <v/>
      </c>
      <c r="F1886" s="55">
        <f>Orders!F1886</f>
        <v/>
      </c>
      <c r="G1886" s="55">
        <f>Orders!G1886</f>
        <v/>
      </c>
      <c r="H1886" s="55">
        <f>Orders!H1886</f>
        <v/>
      </c>
      <c r="I1886" s="55">
        <f>Orders!I1886</f>
        <v/>
      </c>
      <c r="J1886" s="55">
        <f>Orders!J1886</f>
        <v/>
      </c>
      <c r="K1886" s="55">
        <f>Orders!K1886</f>
        <v/>
      </c>
      <c r="L1886" s="55">
        <f>VLOOKUP(D1886,Products!$A$2:$F$61,3,FALSE())</f>
        <v/>
      </c>
      <c r="M1886" s="55">
        <f>VLOOKUP(C1886,Customers!$A$2:$F$301,5,FALSE())</f>
        <v/>
      </c>
      <c r="N1886" s="55">
        <f>VLOOKUP(E1886,Sales_Reps!$A$2:$E$31,3,FALSE())</f>
        <v/>
      </c>
      <c r="O1886" s="55">
        <f>VLOOKUP(D1886,Products!$A$2:$F$61,4,FALSE())</f>
        <v/>
      </c>
      <c r="P1886" s="55">
        <f>VLOOKUP(C1886,Customers!$A$2:$F$301,3,FALSE())</f>
        <v/>
      </c>
      <c r="Q1886" s="55">
        <f>UPPER(TRIM(K1886))</f>
        <v/>
      </c>
      <c r="R1886" s="55">
        <f>(G1886-O1886)/G1886</f>
        <v/>
      </c>
      <c r="S1886" s="55">
        <f>VLOOKUP(D1886,Products!$A$2:$F$61,6,FALSE())</f>
        <v/>
      </c>
    </row>
    <row r="1887" ht="15" customHeight="1" s="56">
      <c r="A1887" s="55">
        <f>Orders!A1887</f>
        <v/>
      </c>
      <c r="B1887" s="103">
        <f>Orders!B1887</f>
        <v/>
      </c>
      <c r="C1887" s="55">
        <f>Orders!C1887</f>
        <v/>
      </c>
      <c r="D1887" s="55">
        <f>Orders!D1887</f>
        <v/>
      </c>
      <c r="E1887" s="55">
        <f>Orders!E1887</f>
        <v/>
      </c>
      <c r="F1887" s="55">
        <f>Orders!F1887</f>
        <v/>
      </c>
      <c r="G1887" s="55">
        <f>Orders!G1887</f>
        <v/>
      </c>
      <c r="H1887" s="55">
        <f>Orders!H1887</f>
        <v/>
      </c>
      <c r="I1887" s="55">
        <f>Orders!I1887</f>
        <v/>
      </c>
      <c r="J1887" s="55">
        <f>Orders!J1887</f>
        <v/>
      </c>
      <c r="K1887" s="55">
        <f>Orders!K1887</f>
        <v/>
      </c>
      <c r="L1887" s="55">
        <f>VLOOKUP(D1887,Products!$A$2:$F$61,3,FALSE())</f>
        <v/>
      </c>
      <c r="M1887" s="55">
        <f>VLOOKUP(C1887,Customers!$A$2:$F$301,5,FALSE())</f>
        <v/>
      </c>
      <c r="N1887" s="55">
        <f>VLOOKUP(E1887,Sales_Reps!$A$2:$E$31,3,FALSE())</f>
        <v/>
      </c>
      <c r="O1887" s="55">
        <f>VLOOKUP(D1887,Products!$A$2:$F$61,4,FALSE())</f>
        <v/>
      </c>
      <c r="P1887" s="55">
        <f>VLOOKUP(C1887,Customers!$A$2:$F$301,3,FALSE())</f>
        <v/>
      </c>
      <c r="Q1887" s="55">
        <f>UPPER(TRIM(K1887))</f>
        <v/>
      </c>
      <c r="R1887" s="55">
        <f>(G1887-O1887)/G1887</f>
        <v/>
      </c>
      <c r="S1887" s="55">
        <f>VLOOKUP(D1887,Products!$A$2:$F$61,6,FALSE())</f>
        <v/>
      </c>
    </row>
    <row r="1888" ht="15" customHeight="1" s="56">
      <c r="A1888" s="55">
        <f>Orders!A1888</f>
        <v/>
      </c>
      <c r="B1888" s="103">
        <f>Orders!B1888</f>
        <v/>
      </c>
      <c r="C1888" s="55">
        <f>Orders!C1888</f>
        <v/>
      </c>
      <c r="D1888" s="55">
        <f>Orders!D1888</f>
        <v/>
      </c>
      <c r="E1888" s="55">
        <f>Orders!E1888</f>
        <v/>
      </c>
      <c r="F1888" s="55">
        <f>Orders!F1888</f>
        <v/>
      </c>
      <c r="G1888" s="55">
        <f>Orders!G1888</f>
        <v/>
      </c>
      <c r="H1888" s="55">
        <f>Orders!H1888</f>
        <v/>
      </c>
      <c r="I1888" s="55">
        <f>Orders!I1888</f>
        <v/>
      </c>
      <c r="J1888" s="55">
        <f>Orders!J1888</f>
        <v/>
      </c>
      <c r="K1888" s="55">
        <f>Orders!K1888</f>
        <v/>
      </c>
      <c r="L1888" s="55">
        <f>VLOOKUP(D1888,Products!$A$2:$F$61,3,FALSE())</f>
        <v/>
      </c>
      <c r="M1888" s="55">
        <f>VLOOKUP(C1888,Customers!$A$2:$F$301,5,FALSE())</f>
        <v/>
      </c>
      <c r="N1888" s="55">
        <f>VLOOKUP(E1888,Sales_Reps!$A$2:$E$31,3,FALSE())</f>
        <v/>
      </c>
      <c r="O1888" s="55">
        <f>VLOOKUP(D1888,Products!$A$2:$F$61,4,FALSE())</f>
        <v/>
      </c>
      <c r="P1888" s="55">
        <f>VLOOKUP(C1888,Customers!$A$2:$F$301,3,FALSE())</f>
        <v/>
      </c>
      <c r="Q1888" s="55">
        <f>UPPER(TRIM(K1888))</f>
        <v/>
      </c>
      <c r="R1888" s="55">
        <f>(G1888-O1888)/G1888</f>
        <v/>
      </c>
      <c r="S1888" s="55">
        <f>VLOOKUP(D1888,Products!$A$2:$F$61,6,FALSE())</f>
        <v/>
      </c>
    </row>
    <row r="1889" ht="15" customHeight="1" s="56">
      <c r="A1889" s="55">
        <f>Orders!A1889</f>
        <v/>
      </c>
      <c r="B1889" s="103">
        <f>Orders!B1889</f>
        <v/>
      </c>
      <c r="C1889" s="55">
        <f>Orders!C1889</f>
        <v/>
      </c>
      <c r="D1889" s="55">
        <f>Orders!D1889</f>
        <v/>
      </c>
      <c r="E1889" s="55">
        <f>Orders!E1889</f>
        <v/>
      </c>
      <c r="F1889" s="55">
        <f>Orders!F1889</f>
        <v/>
      </c>
      <c r="G1889" s="55">
        <f>Orders!G1889</f>
        <v/>
      </c>
      <c r="H1889" s="55">
        <f>Orders!H1889</f>
        <v/>
      </c>
      <c r="I1889" s="55">
        <f>Orders!I1889</f>
        <v/>
      </c>
      <c r="J1889" s="55">
        <f>Orders!J1889</f>
        <v/>
      </c>
      <c r="K1889" s="55">
        <f>Orders!K1889</f>
        <v/>
      </c>
      <c r="L1889" s="55">
        <f>VLOOKUP(D1889,Products!$A$2:$F$61,3,FALSE())</f>
        <v/>
      </c>
      <c r="M1889" s="55">
        <f>VLOOKUP(C1889,Customers!$A$2:$F$301,5,FALSE())</f>
        <v/>
      </c>
      <c r="N1889" s="55">
        <f>VLOOKUP(E1889,Sales_Reps!$A$2:$E$31,3,FALSE())</f>
        <v/>
      </c>
      <c r="O1889" s="55">
        <f>VLOOKUP(D1889,Products!$A$2:$F$61,4,FALSE())</f>
        <v/>
      </c>
      <c r="P1889" s="55">
        <f>VLOOKUP(C1889,Customers!$A$2:$F$301,3,FALSE())</f>
        <v/>
      </c>
      <c r="Q1889" s="55">
        <f>UPPER(TRIM(K1889))</f>
        <v/>
      </c>
      <c r="R1889" s="55">
        <f>(G1889-O1889)/G1889</f>
        <v/>
      </c>
      <c r="S1889" s="55">
        <f>VLOOKUP(D1889,Products!$A$2:$F$61,6,FALSE())</f>
        <v/>
      </c>
    </row>
    <row r="1890" ht="15" customHeight="1" s="56">
      <c r="A1890" s="55">
        <f>Orders!A1890</f>
        <v/>
      </c>
      <c r="B1890" s="103">
        <f>Orders!B1890</f>
        <v/>
      </c>
      <c r="C1890" s="55">
        <f>Orders!C1890</f>
        <v/>
      </c>
      <c r="D1890" s="55">
        <f>Orders!D1890</f>
        <v/>
      </c>
      <c r="E1890" s="55">
        <f>Orders!E1890</f>
        <v/>
      </c>
      <c r="F1890" s="55">
        <f>Orders!F1890</f>
        <v/>
      </c>
      <c r="G1890" s="55">
        <f>Orders!G1890</f>
        <v/>
      </c>
      <c r="H1890" s="55">
        <f>Orders!H1890</f>
        <v/>
      </c>
      <c r="I1890" s="55">
        <f>Orders!I1890</f>
        <v/>
      </c>
      <c r="J1890" s="55">
        <f>Orders!J1890</f>
        <v/>
      </c>
      <c r="K1890" s="55">
        <f>Orders!K1890</f>
        <v/>
      </c>
      <c r="L1890" s="55">
        <f>VLOOKUP(D1890,Products!$A$2:$F$61,3,FALSE())</f>
        <v/>
      </c>
      <c r="M1890" s="55">
        <f>VLOOKUP(C1890,Customers!$A$2:$F$301,5,FALSE())</f>
        <v/>
      </c>
      <c r="N1890" s="55">
        <f>VLOOKUP(E1890,Sales_Reps!$A$2:$E$31,3,FALSE())</f>
        <v/>
      </c>
      <c r="O1890" s="55">
        <f>VLOOKUP(D1890,Products!$A$2:$F$61,4,FALSE())</f>
        <v/>
      </c>
      <c r="P1890" s="55">
        <f>VLOOKUP(C1890,Customers!$A$2:$F$301,3,FALSE())</f>
        <v/>
      </c>
      <c r="Q1890" s="55">
        <f>UPPER(TRIM(K1890))</f>
        <v/>
      </c>
      <c r="R1890" s="55">
        <f>(G1890-O1890)/G1890</f>
        <v/>
      </c>
      <c r="S1890" s="55">
        <f>VLOOKUP(D1890,Products!$A$2:$F$61,6,FALSE())</f>
        <v/>
      </c>
    </row>
    <row r="1891" ht="15" customHeight="1" s="56">
      <c r="A1891" s="55">
        <f>Orders!A1891</f>
        <v/>
      </c>
      <c r="B1891" s="103">
        <f>Orders!B1891</f>
        <v/>
      </c>
      <c r="C1891" s="55">
        <f>Orders!C1891</f>
        <v/>
      </c>
      <c r="D1891" s="55">
        <f>Orders!D1891</f>
        <v/>
      </c>
      <c r="E1891" s="55">
        <f>Orders!E1891</f>
        <v/>
      </c>
      <c r="F1891" s="55">
        <f>Orders!F1891</f>
        <v/>
      </c>
      <c r="G1891" s="55">
        <f>Orders!G1891</f>
        <v/>
      </c>
      <c r="H1891" s="55">
        <f>Orders!H1891</f>
        <v/>
      </c>
      <c r="I1891" s="55">
        <f>Orders!I1891</f>
        <v/>
      </c>
      <c r="J1891" s="55">
        <f>Orders!J1891</f>
        <v/>
      </c>
      <c r="K1891" s="55">
        <f>Orders!K1891</f>
        <v/>
      </c>
      <c r="L1891" s="55">
        <f>VLOOKUP(D1891,Products!$A$2:$F$61,3,FALSE())</f>
        <v/>
      </c>
      <c r="M1891" s="55">
        <f>VLOOKUP(C1891,Customers!$A$2:$F$301,5,FALSE())</f>
        <v/>
      </c>
      <c r="N1891" s="55">
        <f>VLOOKUP(E1891,Sales_Reps!$A$2:$E$31,3,FALSE())</f>
        <v/>
      </c>
      <c r="O1891" s="55">
        <f>VLOOKUP(D1891,Products!$A$2:$F$61,4,FALSE())</f>
        <v/>
      </c>
      <c r="P1891" s="55">
        <f>VLOOKUP(C1891,Customers!$A$2:$F$301,3,FALSE())</f>
        <v/>
      </c>
      <c r="Q1891" s="55">
        <f>UPPER(TRIM(K1891))</f>
        <v/>
      </c>
      <c r="R1891" s="55">
        <f>(G1891-O1891)/G1891</f>
        <v/>
      </c>
      <c r="S1891" s="55">
        <f>VLOOKUP(D1891,Products!$A$2:$F$61,6,FALSE())</f>
        <v/>
      </c>
    </row>
    <row r="1892" ht="15" customHeight="1" s="56">
      <c r="A1892" s="55">
        <f>Orders!A1892</f>
        <v/>
      </c>
      <c r="B1892" s="103">
        <f>Orders!B1892</f>
        <v/>
      </c>
      <c r="C1892" s="55">
        <f>Orders!C1892</f>
        <v/>
      </c>
      <c r="D1892" s="55">
        <f>Orders!D1892</f>
        <v/>
      </c>
      <c r="E1892" s="55">
        <f>Orders!E1892</f>
        <v/>
      </c>
      <c r="F1892" s="55">
        <f>Orders!F1892</f>
        <v/>
      </c>
      <c r="G1892" s="55">
        <f>Orders!G1892</f>
        <v/>
      </c>
      <c r="H1892" s="55">
        <f>Orders!H1892</f>
        <v/>
      </c>
      <c r="I1892" s="55">
        <f>Orders!I1892</f>
        <v/>
      </c>
      <c r="J1892" s="55">
        <f>Orders!J1892</f>
        <v/>
      </c>
      <c r="K1892" s="55">
        <f>Orders!K1892</f>
        <v/>
      </c>
      <c r="L1892" s="55">
        <f>VLOOKUP(D1892,Products!$A$2:$F$61,3,FALSE())</f>
        <v/>
      </c>
      <c r="M1892" s="55">
        <f>VLOOKUP(C1892,Customers!$A$2:$F$301,5,FALSE())</f>
        <v/>
      </c>
      <c r="N1892" s="55">
        <f>VLOOKUP(E1892,Sales_Reps!$A$2:$E$31,3,FALSE())</f>
        <v/>
      </c>
      <c r="O1892" s="55">
        <f>VLOOKUP(D1892,Products!$A$2:$F$61,4,FALSE())</f>
        <v/>
      </c>
      <c r="P1892" s="55">
        <f>VLOOKUP(C1892,Customers!$A$2:$F$301,3,FALSE())</f>
        <v/>
      </c>
      <c r="Q1892" s="55">
        <f>UPPER(TRIM(K1892))</f>
        <v/>
      </c>
      <c r="R1892" s="55">
        <f>(G1892-O1892)/G1892</f>
        <v/>
      </c>
      <c r="S1892" s="55">
        <f>VLOOKUP(D1892,Products!$A$2:$F$61,6,FALSE())</f>
        <v/>
      </c>
    </row>
    <row r="1893" ht="15" customHeight="1" s="56">
      <c r="A1893" s="55">
        <f>Orders!A1893</f>
        <v/>
      </c>
      <c r="B1893" s="103">
        <f>Orders!B1893</f>
        <v/>
      </c>
      <c r="C1893" s="55">
        <f>Orders!C1893</f>
        <v/>
      </c>
      <c r="D1893" s="55">
        <f>Orders!D1893</f>
        <v/>
      </c>
      <c r="E1893" s="55">
        <f>Orders!E1893</f>
        <v/>
      </c>
      <c r="F1893" s="55">
        <f>Orders!F1893</f>
        <v/>
      </c>
      <c r="G1893" s="55">
        <f>Orders!G1893</f>
        <v/>
      </c>
      <c r="H1893" s="55">
        <f>Orders!H1893</f>
        <v/>
      </c>
      <c r="I1893" s="55">
        <f>Orders!I1893</f>
        <v/>
      </c>
      <c r="J1893" s="55">
        <f>Orders!J1893</f>
        <v/>
      </c>
      <c r="K1893" s="55">
        <f>Orders!K1893</f>
        <v/>
      </c>
      <c r="L1893" s="55">
        <f>VLOOKUP(D1893,Products!$A$2:$F$61,3,FALSE())</f>
        <v/>
      </c>
      <c r="M1893" s="55">
        <f>VLOOKUP(C1893,Customers!$A$2:$F$301,5,FALSE())</f>
        <v/>
      </c>
      <c r="N1893" s="55">
        <f>VLOOKUP(E1893,Sales_Reps!$A$2:$E$31,3,FALSE())</f>
        <v/>
      </c>
      <c r="O1893" s="55">
        <f>VLOOKUP(D1893,Products!$A$2:$F$61,4,FALSE())</f>
        <v/>
      </c>
      <c r="P1893" s="55">
        <f>VLOOKUP(C1893,Customers!$A$2:$F$301,3,FALSE())</f>
        <v/>
      </c>
      <c r="Q1893" s="55">
        <f>UPPER(TRIM(K1893))</f>
        <v/>
      </c>
      <c r="R1893" s="55">
        <f>(G1893-O1893)/G1893</f>
        <v/>
      </c>
      <c r="S1893" s="55">
        <f>VLOOKUP(D1893,Products!$A$2:$F$61,6,FALSE())</f>
        <v/>
      </c>
    </row>
    <row r="1894" ht="15" customHeight="1" s="56">
      <c r="A1894" s="55">
        <f>Orders!A1894</f>
        <v/>
      </c>
      <c r="B1894" s="103">
        <f>Orders!B1894</f>
        <v/>
      </c>
      <c r="C1894" s="55">
        <f>Orders!C1894</f>
        <v/>
      </c>
      <c r="D1894" s="55">
        <f>Orders!D1894</f>
        <v/>
      </c>
      <c r="E1894" s="55">
        <f>Orders!E1894</f>
        <v/>
      </c>
      <c r="F1894" s="55">
        <f>Orders!F1894</f>
        <v/>
      </c>
      <c r="G1894" s="55">
        <f>Orders!G1894</f>
        <v/>
      </c>
      <c r="H1894" s="55">
        <f>Orders!H1894</f>
        <v/>
      </c>
      <c r="I1894" s="55">
        <f>Orders!I1894</f>
        <v/>
      </c>
      <c r="J1894" s="55">
        <f>Orders!J1894</f>
        <v/>
      </c>
      <c r="K1894" s="55">
        <f>Orders!K1894</f>
        <v/>
      </c>
      <c r="L1894" s="55">
        <f>VLOOKUP(D1894,Products!$A$2:$F$61,3,FALSE())</f>
        <v/>
      </c>
      <c r="M1894" s="55">
        <f>VLOOKUP(C1894,Customers!$A$2:$F$301,5,FALSE())</f>
        <v/>
      </c>
      <c r="N1894" s="55">
        <f>VLOOKUP(E1894,Sales_Reps!$A$2:$E$31,3,FALSE())</f>
        <v/>
      </c>
      <c r="O1894" s="55">
        <f>VLOOKUP(D1894,Products!$A$2:$F$61,4,FALSE())</f>
        <v/>
      </c>
      <c r="P1894" s="55">
        <f>VLOOKUP(C1894,Customers!$A$2:$F$301,3,FALSE())</f>
        <v/>
      </c>
      <c r="Q1894" s="55">
        <f>UPPER(TRIM(K1894))</f>
        <v/>
      </c>
      <c r="R1894" s="55">
        <f>(G1894-O1894)/G1894</f>
        <v/>
      </c>
      <c r="S1894" s="55">
        <f>VLOOKUP(D1894,Products!$A$2:$F$61,6,FALSE())</f>
        <v/>
      </c>
    </row>
    <row r="1895" ht="15" customHeight="1" s="56">
      <c r="A1895" s="55">
        <f>Orders!A1895</f>
        <v/>
      </c>
      <c r="B1895" s="103">
        <f>Orders!B1895</f>
        <v/>
      </c>
      <c r="C1895" s="55">
        <f>Orders!C1895</f>
        <v/>
      </c>
      <c r="D1895" s="55">
        <f>Orders!D1895</f>
        <v/>
      </c>
      <c r="E1895" s="55">
        <f>Orders!E1895</f>
        <v/>
      </c>
      <c r="F1895" s="55">
        <f>Orders!F1895</f>
        <v/>
      </c>
      <c r="G1895" s="55">
        <f>Orders!G1895</f>
        <v/>
      </c>
      <c r="H1895" s="55">
        <f>Orders!H1895</f>
        <v/>
      </c>
      <c r="I1895" s="55">
        <f>Orders!I1895</f>
        <v/>
      </c>
      <c r="J1895" s="55">
        <f>Orders!J1895</f>
        <v/>
      </c>
      <c r="K1895" s="55">
        <f>Orders!K1895</f>
        <v/>
      </c>
      <c r="L1895" s="55">
        <f>VLOOKUP(D1895,Products!$A$2:$F$61,3,FALSE())</f>
        <v/>
      </c>
      <c r="M1895" s="55">
        <f>VLOOKUP(C1895,Customers!$A$2:$F$301,5,FALSE())</f>
        <v/>
      </c>
      <c r="N1895" s="55">
        <f>VLOOKUP(E1895,Sales_Reps!$A$2:$E$31,3,FALSE())</f>
        <v/>
      </c>
      <c r="O1895" s="55">
        <f>VLOOKUP(D1895,Products!$A$2:$F$61,4,FALSE())</f>
        <v/>
      </c>
      <c r="P1895" s="55">
        <f>VLOOKUP(C1895,Customers!$A$2:$F$301,3,FALSE())</f>
        <v/>
      </c>
      <c r="Q1895" s="55">
        <f>UPPER(TRIM(K1895))</f>
        <v/>
      </c>
      <c r="R1895" s="55">
        <f>(G1895-O1895)/G1895</f>
        <v/>
      </c>
      <c r="S1895" s="55">
        <f>VLOOKUP(D1895,Products!$A$2:$F$61,6,FALSE())</f>
        <v/>
      </c>
    </row>
    <row r="1896" ht="15" customHeight="1" s="56">
      <c r="A1896" s="55">
        <f>Orders!A1896</f>
        <v/>
      </c>
      <c r="B1896" s="103">
        <f>Orders!B1896</f>
        <v/>
      </c>
      <c r="C1896" s="55">
        <f>Orders!C1896</f>
        <v/>
      </c>
      <c r="D1896" s="55">
        <f>Orders!D1896</f>
        <v/>
      </c>
      <c r="E1896" s="55">
        <f>Orders!E1896</f>
        <v/>
      </c>
      <c r="F1896" s="55">
        <f>Orders!F1896</f>
        <v/>
      </c>
      <c r="G1896" s="55">
        <f>Orders!G1896</f>
        <v/>
      </c>
      <c r="H1896" s="55">
        <f>Orders!H1896</f>
        <v/>
      </c>
      <c r="I1896" s="55">
        <f>Orders!I1896</f>
        <v/>
      </c>
      <c r="J1896" s="55">
        <f>Orders!J1896</f>
        <v/>
      </c>
      <c r="K1896" s="55">
        <f>Orders!K1896</f>
        <v/>
      </c>
      <c r="L1896" s="55">
        <f>VLOOKUP(D1896,Products!$A$2:$F$61,3,FALSE())</f>
        <v/>
      </c>
      <c r="M1896" s="55">
        <f>VLOOKUP(C1896,Customers!$A$2:$F$301,5,FALSE())</f>
        <v/>
      </c>
      <c r="N1896" s="55">
        <f>VLOOKUP(E1896,Sales_Reps!$A$2:$E$31,3,FALSE())</f>
        <v/>
      </c>
      <c r="O1896" s="55">
        <f>VLOOKUP(D1896,Products!$A$2:$F$61,4,FALSE())</f>
        <v/>
      </c>
      <c r="P1896" s="55">
        <f>VLOOKUP(C1896,Customers!$A$2:$F$301,3,FALSE())</f>
        <v/>
      </c>
      <c r="Q1896" s="55">
        <f>UPPER(TRIM(K1896))</f>
        <v/>
      </c>
      <c r="R1896" s="55">
        <f>(G1896-O1896)/G1896</f>
        <v/>
      </c>
      <c r="S1896" s="55">
        <f>VLOOKUP(D1896,Products!$A$2:$F$61,6,FALSE())</f>
        <v/>
      </c>
    </row>
    <row r="1897" ht="15" customHeight="1" s="56">
      <c r="A1897" s="55">
        <f>Orders!A1897</f>
        <v/>
      </c>
      <c r="B1897" s="103">
        <f>Orders!B1897</f>
        <v/>
      </c>
      <c r="C1897" s="55">
        <f>Orders!C1897</f>
        <v/>
      </c>
      <c r="D1897" s="55">
        <f>Orders!D1897</f>
        <v/>
      </c>
      <c r="E1897" s="55">
        <f>Orders!E1897</f>
        <v/>
      </c>
      <c r="F1897" s="55">
        <f>Orders!F1897</f>
        <v/>
      </c>
      <c r="G1897" s="55">
        <f>Orders!G1897</f>
        <v/>
      </c>
      <c r="H1897" s="55">
        <f>Orders!H1897</f>
        <v/>
      </c>
      <c r="I1897" s="55">
        <f>Orders!I1897</f>
        <v/>
      </c>
      <c r="J1897" s="55">
        <f>Orders!J1897</f>
        <v/>
      </c>
      <c r="K1897" s="55">
        <f>Orders!K1897</f>
        <v/>
      </c>
      <c r="L1897" s="55">
        <f>VLOOKUP(D1897,Products!$A$2:$F$61,3,FALSE())</f>
        <v/>
      </c>
      <c r="M1897" s="55">
        <f>VLOOKUP(C1897,Customers!$A$2:$F$301,5,FALSE())</f>
        <v/>
      </c>
      <c r="N1897" s="55">
        <f>VLOOKUP(E1897,Sales_Reps!$A$2:$E$31,3,FALSE())</f>
        <v/>
      </c>
      <c r="O1897" s="55">
        <f>VLOOKUP(D1897,Products!$A$2:$F$61,4,FALSE())</f>
        <v/>
      </c>
      <c r="P1897" s="55">
        <f>VLOOKUP(C1897,Customers!$A$2:$F$301,3,FALSE())</f>
        <v/>
      </c>
      <c r="Q1897" s="55">
        <f>UPPER(TRIM(K1897))</f>
        <v/>
      </c>
      <c r="R1897" s="55">
        <f>(G1897-O1897)/G1897</f>
        <v/>
      </c>
      <c r="S1897" s="55">
        <f>VLOOKUP(D1897,Products!$A$2:$F$61,6,FALSE())</f>
        <v/>
      </c>
    </row>
    <row r="1898" ht="15" customHeight="1" s="56">
      <c r="A1898" s="55">
        <f>Orders!A1898</f>
        <v/>
      </c>
      <c r="B1898" s="103">
        <f>Orders!B1898</f>
        <v/>
      </c>
      <c r="C1898" s="55">
        <f>Orders!C1898</f>
        <v/>
      </c>
      <c r="D1898" s="55">
        <f>Orders!D1898</f>
        <v/>
      </c>
      <c r="E1898" s="55">
        <f>Orders!E1898</f>
        <v/>
      </c>
      <c r="F1898" s="55">
        <f>Orders!F1898</f>
        <v/>
      </c>
      <c r="G1898" s="55">
        <f>Orders!G1898</f>
        <v/>
      </c>
      <c r="H1898" s="55">
        <f>Orders!H1898</f>
        <v/>
      </c>
      <c r="I1898" s="55">
        <f>Orders!I1898</f>
        <v/>
      </c>
      <c r="J1898" s="55">
        <f>Orders!J1898</f>
        <v/>
      </c>
      <c r="K1898" s="55">
        <f>Orders!K1898</f>
        <v/>
      </c>
      <c r="L1898" s="55">
        <f>VLOOKUP(D1898,Products!$A$2:$F$61,3,FALSE())</f>
        <v/>
      </c>
      <c r="M1898" s="55">
        <f>VLOOKUP(C1898,Customers!$A$2:$F$301,5,FALSE())</f>
        <v/>
      </c>
      <c r="N1898" s="55">
        <f>VLOOKUP(E1898,Sales_Reps!$A$2:$E$31,3,FALSE())</f>
        <v/>
      </c>
      <c r="O1898" s="55">
        <f>VLOOKUP(D1898,Products!$A$2:$F$61,4,FALSE())</f>
        <v/>
      </c>
      <c r="P1898" s="55">
        <f>VLOOKUP(C1898,Customers!$A$2:$F$301,3,FALSE())</f>
        <v/>
      </c>
      <c r="Q1898" s="55">
        <f>UPPER(TRIM(K1898))</f>
        <v/>
      </c>
      <c r="R1898" s="55">
        <f>(G1898-O1898)/G1898</f>
        <v/>
      </c>
      <c r="S1898" s="55">
        <f>VLOOKUP(D1898,Products!$A$2:$F$61,6,FALSE())</f>
        <v/>
      </c>
    </row>
    <row r="1899" ht="15" customHeight="1" s="56">
      <c r="A1899" s="55">
        <f>Orders!A1899</f>
        <v/>
      </c>
      <c r="B1899" s="103">
        <f>Orders!B1899</f>
        <v/>
      </c>
      <c r="C1899" s="55">
        <f>Orders!C1899</f>
        <v/>
      </c>
      <c r="D1899" s="55">
        <f>Orders!D1899</f>
        <v/>
      </c>
      <c r="E1899" s="55">
        <f>Orders!E1899</f>
        <v/>
      </c>
      <c r="F1899" s="55">
        <f>Orders!F1899</f>
        <v/>
      </c>
      <c r="G1899" s="55">
        <f>Orders!G1899</f>
        <v/>
      </c>
      <c r="H1899" s="55">
        <f>Orders!H1899</f>
        <v/>
      </c>
      <c r="I1899" s="55">
        <f>Orders!I1899</f>
        <v/>
      </c>
      <c r="J1899" s="55">
        <f>Orders!J1899</f>
        <v/>
      </c>
      <c r="K1899" s="55">
        <f>Orders!K1899</f>
        <v/>
      </c>
      <c r="L1899" s="55">
        <f>VLOOKUP(D1899,Products!$A$2:$F$61,3,FALSE())</f>
        <v/>
      </c>
      <c r="M1899" s="55">
        <f>VLOOKUP(C1899,Customers!$A$2:$F$301,5,FALSE())</f>
        <v/>
      </c>
      <c r="N1899" s="55">
        <f>VLOOKUP(E1899,Sales_Reps!$A$2:$E$31,3,FALSE())</f>
        <v/>
      </c>
      <c r="O1899" s="55">
        <f>VLOOKUP(D1899,Products!$A$2:$F$61,4,FALSE())</f>
        <v/>
      </c>
      <c r="P1899" s="55">
        <f>VLOOKUP(C1899,Customers!$A$2:$F$301,3,FALSE())</f>
        <v/>
      </c>
      <c r="Q1899" s="55">
        <f>UPPER(TRIM(K1899))</f>
        <v/>
      </c>
      <c r="R1899" s="55">
        <f>(G1899-O1899)/G1899</f>
        <v/>
      </c>
      <c r="S1899" s="55">
        <f>VLOOKUP(D1899,Products!$A$2:$F$61,6,FALSE())</f>
        <v/>
      </c>
    </row>
    <row r="1900" ht="15" customHeight="1" s="56">
      <c r="A1900" s="55">
        <f>Orders!A1900</f>
        <v/>
      </c>
      <c r="B1900" s="103">
        <f>Orders!B1900</f>
        <v/>
      </c>
      <c r="C1900" s="55">
        <f>Orders!C1900</f>
        <v/>
      </c>
      <c r="D1900" s="55">
        <f>Orders!D1900</f>
        <v/>
      </c>
      <c r="E1900" s="55">
        <f>Orders!E1900</f>
        <v/>
      </c>
      <c r="F1900" s="55">
        <f>Orders!F1900</f>
        <v/>
      </c>
      <c r="G1900" s="55">
        <f>Orders!G1900</f>
        <v/>
      </c>
      <c r="H1900" s="55">
        <f>Orders!H1900</f>
        <v/>
      </c>
      <c r="I1900" s="55">
        <f>Orders!I1900</f>
        <v/>
      </c>
      <c r="J1900" s="55">
        <f>Orders!J1900</f>
        <v/>
      </c>
      <c r="K1900" s="55">
        <f>Orders!K1900</f>
        <v/>
      </c>
      <c r="L1900" s="55">
        <f>VLOOKUP(D1900,Products!$A$2:$F$61,3,FALSE())</f>
        <v/>
      </c>
      <c r="M1900" s="55">
        <f>VLOOKUP(C1900,Customers!$A$2:$F$301,5,FALSE())</f>
        <v/>
      </c>
      <c r="N1900" s="55">
        <f>VLOOKUP(E1900,Sales_Reps!$A$2:$E$31,3,FALSE())</f>
        <v/>
      </c>
      <c r="O1900" s="55">
        <f>VLOOKUP(D1900,Products!$A$2:$F$61,4,FALSE())</f>
        <v/>
      </c>
      <c r="P1900" s="55">
        <f>VLOOKUP(C1900,Customers!$A$2:$F$301,3,FALSE())</f>
        <v/>
      </c>
      <c r="Q1900" s="55">
        <f>UPPER(TRIM(K1900))</f>
        <v/>
      </c>
      <c r="R1900" s="55">
        <f>(G1900-O1900)/G1900</f>
        <v/>
      </c>
      <c r="S1900" s="55">
        <f>VLOOKUP(D1900,Products!$A$2:$F$61,6,FALSE())</f>
        <v/>
      </c>
    </row>
    <row r="1901" ht="15" customHeight="1" s="56">
      <c r="A1901" s="55">
        <f>Orders!A1901</f>
        <v/>
      </c>
      <c r="B1901" s="103">
        <f>Orders!B1901</f>
        <v/>
      </c>
      <c r="C1901" s="55">
        <f>Orders!C1901</f>
        <v/>
      </c>
      <c r="D1901" s="55">
        <f>Orders!D1901</f>
        <v/>
      </c>
      <c r="E1901" s="55">
        <f>Orders!E1901</f>
        <v/>
      </c>
      <c r="F1901" s="55">
        <f>Orders!F1901</f>
        <v/>
      </c>
      <c r="G1901" s="55">
        <f>Orders!G1901</f>
        <v/>
      </c>
      <c r="H1901" s="55">
        <f>Orders!H1901</f>
        <v/>
      </c>
      <c r="I1901" s="55">
        <f>Orders!I1901</f>
        <v/>
      </c>
      <c r="J1901" s="55">
        <f>Orders!J1901</f>
        <v/>
      </c>
      <c r="K1901" s="55">
        <f>Orders!K1901</f>
        <v/>
      </c>
      <c r="L1901" s="55">
        <f>VLOOKUP(D1901,Products!$A$2:$F$61,3,FALSE())</f>
        <v/>
      </c>
      <c r="M1901" s="55">
        <f>VLOOKUP(C1901,Customers!$A$2:$F$301,5,FALSE())</f>
        <v/>
      </c>
      <c r="N1901" s="55">
        <f>VLOOKUP(E1901,Sales_Reps!$A$2:$E$31,3,FALSE())</f>
        <v/>
      </c>
      <c r="O1901" s="55">
        <f>VLOOKUP(D1901,Products!$A$2:$F$61,4,FALSE())</f>
        <v/>
      </c>
      <c r="P1901" s="55">
        <f>VLOOKUP(C1901,Customers!$A$2:$F$301,3,FALSE())</f>
        <v/>
      </c>
      <c r="Q1901" s="55">
        <f>UPPER(TRIM(K1901))</f>
        <v/>
      </c>
      <c r="R1901" s="55">
        <f>(G1901-O1901)/G1901</f>
        <v/>
      </c>
      <c r="S1901" s="55">
        <f>VLOOKUP(D1901,Products!$A$2:$F$61,6,FALSE())</f>
        <v/>
      </c>
    </row>
    <row r="1902" ht="15" customHeight="1" s="56">
      <c r="A1902" s="55">
        <f>Orders!A1902</f>
        <v/>
      </c>
      <c r="B1902" s="103">
        <f>Orders!B1902</f>
        <v/>
      </c>
      <c r="C1902" s="55">
        <f>Orders!C1902</f>
        <v/>
      </c>
      <c r="D1902" s="55">
        <f>Orders!D1902</f>
        <v/>
      </c>
      <c r="E1902" s="55">
        <f>Orders!E1902</f>
        <v/>
      </c>
      <c r="F1902" s="55">
        <f>Orders!F1902</f>
        <v/>
      </c>
      <c r="G1902" s="55">
        <f>Orders!G1902</f>
        <v/>
      </c>
      <c r="H1902" s="55">
        <f>Orders!H1902</f>
        <v/>
      </c>
      <c r="I1902" s="55">
        <f>Orders!I1902</f>
        <v/>
      </c>
      <c r="J1902" s="55">
        <f>Orders!J1902</f>
        <v/>
      </c>
      <c r="K1902" s="55">
        <f>Orders!K1902</f>
        <v/>
      </c>
      <c r="L1902" s="55">
        <f>VLOOKUP(D1902,Products!$A$2:$F$61,3,FALSE())</f>
        <v/>
      </c>
      <c r="M1902" s="55">
        <f>VLOOKUP(C1902,Customers!$A$2:$F$301,5,FALSE())</f>
        <v/>
      </c>
      <c r="N1902" s="55">
        <f>VLOOKUP(E1902,Sales_Reps!$A$2:$E$31,3,FALSE())</f>
        <v/>
      </c>
      <c r="O1902" s="55">
        <f>VLOOKUP(D1902,Products!$A$2:$F$61,4,FALSE())</f>
        <v/>
      </c>
      <c r="P1902" s="55">
        <f>VLOOKUP(C1902,Customers!$A$2:$F$301,3,FALSE())</f>
        <v/>
      </c>
      <c r="Q1902" s="55">
        <f>UPPER(TRIM(K1902))</f>
        <v/>
      </c>
      <c r="R1902" s="55">
        <f>(G1902-O1902)/G1902</f>
        <v/>
      </c>
      <c r="S1902" s="55">
        <f>VLOOKUP(D1902,Products!$A$2:$F$61,6,FALSE())</f>
        <v/>
      </c>
    </row>
    <row r="1903" ht="15" customHeight="1" s="56">
      <c r="A1903" s="55">
        <f>Orders!A1903</f>
        <v/>
      </c>
      <c r="B1903" s="103">
        <f>Orders!B1903</f>
        <v/>
      </c>
      <c r="C1903" s="55">
        <f>Orders!C1903</f>
        <v/>
      </c>
      <c r="D1903" s="55">
        <f>Orders!D1903</f>
        <v/>
      </c>
      <c r="E1903" s="55">
        <f>Orders!E1903</f>
        <v/>
      </c>
      <c r="F1903" s="55">
        <f>Orders!F1903</f>
        <v/>
      </c>
      <c r="G1903" s="55">
        <f>Orders!G1903</f>
        <v/>
      </c>
      <c r="H1903" s="55">
        <f>Orders!H1903</f>
        <v/>
      </c>
      <c r="I1903" s="55">
        <f>Orders!I1903</f>
        <v/>
      </c>
      <c r="J1903" s="55">
        <f>Orders!J1903</f>
        <v/>
      </c>
      <c r="K1903" s="55">
        <f>Orders!K1903</f>
        <v/>
      </c>
      <c r="L1903" s="55">
        <f>VLOOKUP(D1903,Products!$A$2:$F$61,3,FALSE())</f>
        <v/>
      </c>
      <c r="M1903" s="55">
        <f>VLOOKUP(C1903,Customers!$A$2:$F$301,5,FALSE())</f>
        <v/>
      </c>
      <c r="N1903" s="55">
        <f>VLOOKUP(E1903,Sales_Reps!$A$2:$E$31,3,FALSE())</f>
        <v/>
      </c>
      <c r="O1903" s="55">
        <f>VLOOKUP(D1903,Products!$A$2:$F$61,4,FALSE())</f>
        <v/>
      </c>
      <c r="P1903" s="55">
        <f>VLOOKUP(C1903,Customers!$A$2:$F$301,3,FALSE())</f>
        <v/>
      </c>
      <c r="Q1903" s="55">
        <f>UPPER(TRIM(K1903))</f>
        <v/>
      </c>
      <c r="R1903" s="55">
        <f>(G1903-O1903)/G1903</f>
        <v/>
      </c>
      <c r="S1903" s="55">
        <f>VLOOKUP(D1903,Products!$A$2:$F$61,6,FALSE())</f>
        <v/>
      </c>
    </row>
    <row r="1904" ht="15" customHeight="1" s="56">
      <c r="A1904" s="55">
        <f>Orders!A1904</f>
        <v/>
      </c>
      <c r="B1904" s="103">
        <f>Orders!B1904</f>
        <v/>
      </c>
      <c r="C1904" s="55">
        <f>Orders!C1904</f>
        <v/>
      </c>
      <c r="D1904" s="55">
        <f>Orders!D1904</f>
        <v/>
      </c>
      <c r="E1904" s="55">
        <f>Orders!E1904</f>
        <v/>
      </c>
      <c r="F1904" s="55">
        <f>Orders!F1904</f>
        <v/>
      </c>
      <c r="G1904" s="55">
        <f>Orders!G1904</f>
        <v/>
      </c>
      <c r="H1904" s="55">
        <f>Orders!H1904</f>
        <v/>
      </c>
      <c r="I1904" s="55">
        <f>Orders!I1904</f>
        <v/>
      </c>
      <c r="J1904" s="55">
        <f>Orders!J1904</f>
        <v/>
      </c>
      <c r="K1904" s="55">
        <f>Orders!K1904</f>
        <v/>
      </c>
      <c r="L1904" s="55">
        <f>VLOOKUP(D1904,Products!$A$2:$F$61,3,FALSE())</f>
        <v/>
      </c>
      <c r="M1904" s="55">
        <f>VLOOKUP(C1904,Customers!$A$2:$F$301,5,FALSE())</f>
        <v/>
      </c>
      <c r="N1904" s="55">
        <f>VLOOKUP(E1904,Sales_Reps!$A$2:$E$31,3,FALSE())</f>
        <v/>
      </c>
      <c r="O1904" s="55">
        <f>VLOOKUP(D1904,Products!$A$2:$F$61,4,FALSE())</f>
        <v/>
      </c>
      <c r="P1904" s="55">
        <f>VLOOKUP(C1904,Customers!$A$2:$F$301,3,FALSE())</f>
        <v/>
      </c>
      <c r="Q1904" s="55">
        <f>UPPER(TRIM(K1904))</f>
        <v/>
      </c>
      <c r="R1904" s="55">
        <f>(G1904-O1904)/G1904</f>
        <v/>
      </c>
      <c r="S1904" s="55">
        <f>VLOOKUP(D1904,Products!$A$2:$F$61,6,FALSE())</f>
        <v/>
      </c>
    </row>
    <row r="1905" ht="15" customHeight="1" s="56">
      <c r="A1905" s="55">
        <f>Orders!A1905</f>
        <v/>
      </c>
      <c r="B1905" s="103">
        <f>Orders!B1905</f>
        <v/>
      </c>
      <c r="C1905" s="55">
        <f>Orders!C1905</f>
        <v/>
      </c>
      <c r="D1905" s="55">
        <f>Orders!D1905</f>
        <v/>
      </c>
      <c r="E1905" s="55">
        <f>Orders!E1905</f>
        <v/>
      </c>
      <c r="F1905" s="55">
        <f>Orders!F1905</f>
        <v/>
      </c>
      <c r="G1905" s="55">
        <f>Orders!G1905</f>
        <v/>
      </c>
      <c r="H1905" s="55">
        <f>Orders!H1905</f>
        <v/>
      </c>
      <c r="I1905" s="55">
        <f>Orders!I1905</f>
        <v/>
      </c>
      <c r="J1905" s="55">
        <f>Orders!J1905</f>
        <v/>
      </c>
      <c r="K1905" s="55">
        <f>Orders!K1905</f>
        <v/>
      </c>
      <c r="L1905" s="55">
        <f>VLOOKUP(D1905,Products!$A$2:$F$61,3,FALSE())</f>
        <v/>
      </c>
      <c r="M1905" s="55">
        <f>VLOOKUP(C1905,Customers!$A$2:$F$301,5,FALSE())</f>
        <v/>
      </c>
      <c r="N1905" s="55">
        <f>VLOOKUP(E1905,Sales_Reps!$A$2:$E$31,3,FALSE())</f>
        <v/>
      </c>
      <c r="O1905" s="55">
        <f>VLOOKUP(D1905,Products!$A$2:$F$61,4,FALSE())</f>
        <v/>
      </c>
      <c r="P1905" s="55">
        <f>VLOOKUP(C1905,Customers!$A$2:$F$301,3,FALSE())</f>
        <v/>
      </c>
      <c r="Q1905" s="55">
        <f>UPPER(TRIM(K1905))</f>
        <v/>
      </c>
      <c r="R1905" s="55">
        <f>(G1905-O1905)/G1905</f>
        <v/>
      </c>
      <c r="S1905" s="55">
        <f>VLOOKUP(D1905,Products!$A$2:$F$61,6,FALSE())</f>
        <v/>
      </c>
    </row>
    <row r="1906" ht="15" customHeight="1" s="56">
      <c r="A1906" s="55">
        <f>Orders!A1906</f>
        <v/>
      </c>
      <c r="B1906" s="103">
        <f>Orders!B1906</f>
        <v/>
      </c>
      <c r="C1906" s="55">
        <f>Orders!C1906</f>
        <v/>
      </c>
      <c r="D1906" s="55">
        <f>Orders!D1906</f>
        <v/>
      </c>
      <c r="E1906" s="55">
        <f>Orders!E1906</f>
        <v/>
      </c>
      <c r="F1906" s="55">
        <f>Orders!F1906</f>
        <v/>
      </c>
      <c r="G1906" s="55">
        <f>Orders!G1906</f>
        <v/>
      </c>
      <c r="H1906" s="55">
        <f>Orders!H1906</f>
        <v/>
      </c>
      <c r="I1906" s="55">
        <f>Orders!I1906</f>
        <v/>
      </c>
      <c r="J1906" s="55">
        <f>Orders!J1906</f>
        <v/>
      </c>
      <c r="K1906" s="55">
        <f>Orders!K1906</f>
        <v/>
      </c>
      <c r="L1906" s="55">
        <f>VLOOKUP(D1906,Products!$A$2:$F$61,3,FALSE())</f>
        <v/>
      </c>
      <c r="M1906" s="55">
        <f>VLOOKUP(C1906,Customers!$A$2:$F$301,5,FALSE())</f>
        <v/>
      </c>
      <c r="N1906" s="55">
        <f>VLOOKUP(E1906,Sales_Reps!$A$2:$E$31,3,FALSE())</f>
        <v/>
      </c>
      <c r="O1906" s="55">
        <f>VLOOKUP(D1906,Products!$A$2:$F$61,4,FALSE())</f>
        <v/>
      </c>
      <c r="P1906" s="55">
        <f>VLOOKUP(C1906,Customers!$A$2:$F$301,3,FALSE())</f>
        <v/>
      </c>
      <c r="Q1906" s="55">
        <f>UPPER(TRIM(K1906))</f>
        <v/>
      </c>
      <c r="R1906" s="55">
        <f>(G1906-O1906)/G1906</f>
        <v/>
      </c>
      <c r="S1906" s="55">
        <f>VLOOKUP(D1906,Products!$A$2:$F$61,6,FALSE())</f>
        <v/>
      </c>
    </row>
    <row r="1907" ht="15" customHeight="1" s="56">
      <c r="A1907" s="55">
        <f>Orders!A1907</f>
        <v/>
      </c>
      <c r="B1907" s="103">
        <f>Orders!B1907</f>
        <v/>
      </c>
      <c r="C1907" s="55">
        <f>Orders!C1907</f>
        <v/>
      </c>
      <c r="D1907" s="55">
        <f>Orders!D1907</f>
        <v/>
      </c>
      <c r="E1907" s="55">
        <f>Orders!E1907</f>
        <v/>
      </c>
      <c r="F1907" s="55">
        <f>Orders!F1907</f>
        <v/>
      </c>
      <c r="G1907" s="55">
        <f>Orders!G1907</f>
        <v/>
      </c>
      <c r="H1907" s="55">
        <f>Orders!H1907</f>
        <v/>
      </c>
      <c r="I1907" s="55">
        <f>Orders!I1907</f>
        <v/>
      </c>
      <c r="J1907" s="55">
        <f>Orders!J1907</f>
        <v/>
      </c>
      <c r="K1907" s="55">
        <f>Orders!K1907</f>
        <v/>
      </c>
      <c r="L1907" s="55">
        <f>VLOOKUP(D1907,Products!$A$2:$F$61,3,FALSE())</f>
        <v/>
      </c>
      <c r="M1907" s="55">
        <f>VLOOKUP(C1907,Customers!$A$2:$F$301,5,FALSE())</f>
        <v/>
      </c>
      <c r="N1907" s="55">
        <f>VLOOKUP(E1907,Sales_Reps!$A$2:$E$31,3,FALSE())</f>
        <v/>
      </c>
      <c r="O1907" s="55">
        <f>VLOOKUP(D1907,Products!$A$2:$F$61,4,FALSE())</f>
        <v/>
      </c>
      <c r="P1907" s="55">
        <f>VLOOKUP(C1907,Customers!$A$2:$F$301,3,FALSE())</f>
        <v/>
      </c>
      <c r="Q1907" s="55">
        <f>UPPER(TRIM(K1907))</f>
        <v/>
      </c>
      <c r="R1907" s="55">
        <f>(G1907-O1907)/G1907</f>
        <v/>
      </c>
      <c r="S1907" s="55">
        <f>VLOOKUP(D1907,Products!$A$2:$F$61,6,FALSE())</f>
        <v/>
      </c>
    </row>
    <row r="1908" ht="15" customHeight="1" s="56">
      <c r="A1908" s="55">
        <f>Orders!A1908</f>
        <v/>
      </c>
      <c r="B1908" s="103">
        <f>Orders!B1908</f>
        <v/>
      </c>
      <c r="C1908" s="55">
        <f>Orders!C1908</f>
        <v/>
      </c>
      <c r="D1908" s="55">
        <f>Orders!D1908</f>
        <v/>
      </c>
      <c r="E1908" s="55">
        <f>Orders!E1908</f>
        <v/>
      </c>
      <c r="F1908" s="55">
        <f>Orders!F1908</f>
        <v/>
      </c>
      <c r="G1908" s="55">
        <f>Orders!G1908</f>
        <v/>
      </c>
      <c r="H1908" s="55">
        <f>Orders!H1908</f>
        <v/>
      </c>
      <c r="I1908" s="55">
        <f>Orders!I1908</f>
        <v/>
      </c>
      <c r="J1908" s="55">
        <f>Orders!J1908</f>
        <v/>
      </c>
      <c r="K1908" s="55">
        <f>Orders!K1908</f>
        <v/>
      </c>
      <c r="L1908" s="55">
        <f>VLOOKUP(D1908,Products!$A$2:$F$61,3,FALSE())</f>
        <v/>
      </c>
      <c r="M1908" s="55">
        <f>VLOOKUP(C1908,Customers!$A$2:$F$301,5,FALSE())</f>
        <v/>
      </c>
      <c r="N1908" s="55">
        <f>VLOOKUP(E1908,Sales_Reps!$A$2:$E$31,3,FALSE())</f>
        <v/>
      </c>
      <c r="O1908" s="55">
        <f>VLOOKUP(D1908,Products!$A$2:$F$61,4,FALSE())</f>
        <v/>
      </c>
      <c r="P1908" s="55">
        <f>VLOOKUP(C1908,Customers!$A$2:$F$301,3,FALSE())</f>
        <v/>
      </c>
      <c r="Q1908" s="55">
        <f>UPPER(TRIM(K1908))</f>
        <v/>
      </c>
      <c r="R1908" s="55">
        <f>(G1908-O1908)/G1908</f>
        <v/>
      </c>
      <c r="S1908" s="55">
        <f>VLOOKUP(D1908,Products!$A$2:$F$61,6,FALSE())</f>
        <v/>
      </c>
    </row>
    <row r="1909" ht="15" customHeight="1" s="56">
      <c r="A1909" s="55">
        <f>Orders!A1909</f>
        <v/>
      </c>
      <c r="B1909" s="103">
        <f>Orders!B1909</f>
        <v/>
      </c>
      <c r="C1909" s="55">
        <f>Orders!C1909</f>
        <v/>
      </c>
      <c r="D1909" s="55">
        <f>Orders!D1909</f>
        <v/>
      </c>
      <c r="E1909" s="55">
        <f>Orders!E1909</f>
        <v/>
      </c>
      <c r="F1909" s="55">
        <f>Orders!F1909</f>
        <v/>
      </c>
      <c r="G1909" s="55">
        <f>Orders!G1909</f>
        <v/>
      </c>
      <c r="H1909" s="55">
        <f>Orders!H1909</f>
        <v/>
      </c>
      <c r="I1909" s="55">
        <f>Orders!I1909</f>
        <v/>
      </c>
      <c r="J1909" s="55">
        <f>Orders!J1909</f>
        <v/>
      </c>
      <c r="K1909" s="55">
        <f>Orders!K1909</f>
        <v/>
      </c>
      <c r="L1909" s="55">
        <f>VLOOKUP(D1909,Products!$A$2:$F$61,3,FALSE())</f>
        <v/>
      </c>
      <c r="M1909" s="55">
        <f>VLOOKUP(C1909,Customers!$A$2:$F$301,5,FALSE())</f>
        <v/>
      </c>
      <c r="N1909" s="55">
        <f>VLOOKUP(E1909,Sales_Reps!$A$2:$E$31,3,FALSE())</f>
        <v/>
      </c>
      <c r="O1909" s="55">
        <f>VLOOKUP(D1909,Products!$A$2:$F$61,4,FALSE())</f>
        <v/>
      </c>
      <c r="P1909" s="55">
        <f>VLOOKUP(C1909,Customers!$A$2:$F$301,3,FALSE())</f>
        <v/>
      </c>
      <c r="Q1909" s="55">
        <f>UPPER(TRIM(K1909))</f>
        <v/>
      </c>
      <c r="R1909" s="55">
        <f>(G1909-O1909)/G1909</f>
        <v/>
      </c>
      <c r="S1909" s="55">
        <f>VLOOKUP(D1909,Products!$A$2:$F$61,6,FALSE())</f>
        <v/>
      </c>
    </row>
    <row r="1910" ht="15" customHeight="1" s="56">
      <c r="A1910" s="55">
        <f>Orders!A1910</f>
        <v/>
      </c>
      <c r="B1910" s="103">
        <f>Orders!B1910</f>
        <v/>
      </c>
      <c r="C1910" s="55">
        <f>Orders!C1910</f>
        <v/>
      </c>
      <c r="D1910" s="55">
        <f>Orders!D1910</f>
        <v/>
      </c>
      <c r="E1910" s="55">
        <f>Orders!E1910</f>
        <v/>
      </c>
      <c r="F1910" s="55">
        <f>Orders!F1910</f>
        <v/>
      </c>
      <c r="G1910" s="55">
        <f>Orders!G1910</f>
        <v/>
      </c>
      <c r="H1910" s="55">
        <f>Orders!H1910</f>
        <v/>
      </c>
      <c r="I1910" s="55">
        <f>Orders!I1910</f>
        <v/>
      </c>
      <c r="J1910" s="55">
        <f>Orders!J1910</f>
        <v/>
      </c>
      <c r="K1910" s="55">
        <f>Orders!K1910</f>
        <v/>
      </c>
      <c r="L1910" s="55">
        <f>VLOOKUP(D1910,Products!$A$2:$F$61,3,FALSE())</f>
        <v/>
      </c>
      <c r="M1910" s="55">
        <f>VLOOKUP(C1910,Customers!$A$2:$F$301,5,FALSE())</f>
        <v/>
      </c>
      <c r="N1910" s="55">
        <f>VLOOKUP(E1910,Sales_Reps!$A$2:$E$31,3,FALSE())</f>
        <v/>
      </c>
      <c r="O1910" s="55">
        <f>VLOOKUP(D1910,Products!$A$2:$F$61,4,FALSE())</f>
        <v/>
      </c>
      <c r="P1910" s="55">
        <f>VLOOKUP(C1910,Customers!$A$2:$F$301,3,FALSE())</f>
        <v/>
      </c>
      <c r="Q1910" s="55">
        <f>UPPER(TRIM(K1910))</f>
        <v/>
      </c>
      <c r="R1910" s="55">
        <f>(G1910-O1910)/G1910</f>
        <v/>
      </c>
      <c r="S1910" s="55">
        <f>VLOOKUP(D1910,Products!$A$2:$F$61,6,FALSE())</f>
        <v/>
      </c>
    </row>
    <row r="1911" ht="15" customHeight="1" s="56">
      <c r="A1911" s="55">
        <f>Orders!A1911</f>
        <v/>
      </c>
      <c r="B1911" s="103">
        <f>Orders!B1911</f>
        <v/>
      </c>
      <c r="C1911" s="55">
        <f>Orders!C1911</f>
        <v/>
      </c>
      <c r="D1911" s="55">
        <f>Orders!D1911</f>
        <v/>
      </c>
      <c r="E1911" s="55">
        <f>Orders!E1911</f>
        <v/>
      </c>
      <c r="F1911" s="55">
        <f>Orders!F1911</f>
        <v/>
      </c>
      <c r="G1911" s="55">
        <f>Orders!G1911</f>
        <v/>
      </c>
      <c r="H1911" s="55">
        <f>Orders!H1911</f>
        <v/>
      </c>
      <c r="I1911" s="55">
        <f>Orders!I1911</f>
        <v/>
      </c>
      <c r="J1911" s="55">
        <f>Orders!J1911</f>
        <v/>
      </c>
      <c r="K1911" s="55">
        <f>Orders!K1911</f>
        <v/>
      </c>
      <c r="L1911" s="55">
        <f>VLOOKUP(D1911,Products!$A$2:$F$61,3,FALSE())</f>
        <v/>
      </c>
      <c r="M1911" s="55">
        <f>VLOOKUP(C1911,Customers!$A$2:$F$301,5,FALSE())</f>
        <v/>
      </c>
      <c r="N1911" s="55">
        <f>VLOOKUP(E1911,Sales_Reps!$A$2:$E$31,3,FALSE())</f>
        <v/>
      </c>
      <c r="O1911" s="55">
        <f>VLOOKUP(D1911,Products!$A$2:$F$61,4,FALSE())</f>
        <v/>
      </c>
      <c r="P1911" s="55">
        <f>VLOOKUP(C1911,Customers!$A$2:$F$301,3,FALSE())</f>
        <v/>
      </c>
      <c r="Q1911" s="55">
        <f>UPPER(TRIM(K1911))</f>
        <v/>
      </c>
      <c r="R1911" s="55">
        <f>(G1911-O1911)/G1911</f>
        <v/>
      </c>
      <c r="S1911" s="55">
        <f>VLOOKUP(D1911,Products!$A$2:$F$61,6,FALSE())</f>
        <v/>
      </c>
    </row>
    <row r="1912" ht="15" customHeight="1" s="56">
      <c r="A1912" s="55">
        <f>Orders!A1912</f>
        <v/>
      </c>
      <c r="B1912" s="103">
        <f>Orders!B1912</f>
        <v/>
      </c>
      <c r="C1912" s="55">
        <f>Orders!C1912</f>
        <v/>
      </c>
      <c r="D1912" s="55">
        <f>Orders!D1912</f>
        <v/>
      </c>
      <c r="E1912" s="55">
        <f>Orders!E1912</f>
        <v/>
      </c>
      <c r="F1912" s="55">
        <f>Orders!F1912</f>
        <v/>
      </c>
      <c r="G1912" s="55">
        <f>Orders!G1912</f>
        <v/>
      </c>
      <c r="H1912" s="55">
        <f>Orders!H1912</f>
        <v/>
      </c>
      <c r="I1912" s="55">
        <f>Orders!I1912</f>
        <v/>
      </c>
      <c r="J1912" s="55">
        <f>Orders!J1912</f>
        <v/>
      </c>
      <c r="K1912" s="55">
        <f>Orders!K1912</f>
        <v/>
      </c>
      <c r="L1912" s="55">
        <f>VLOOKUP(D1912,Products!$A$2:$F$61,3,FALSE())</f>
        <v/>
      </c>
      <c r="M1912" s="55">
        <f>VLOOKUP(C1912,Customers!$A$2:$F$301,5,FALSE())</f>
        <v/>
      </c>
      <c r="N1912" s="55">
        <f>VLOOKUP(E1912,Sales_Reps!$A$2:$E$31,3,FALSE())</f>
        <v/>
      </c>
      <c r="O1912" s="55">
        <f>VLOOKUP(D1912,Products!$A$2:$F$61,4,FALSE())</f>
        <v/>
      </c>
      <c r="P1912" s="55">
        <f>VLOOKUP(C1912,Customers!$A$2:$F$301,3,FALSE())</f>
        <v/>
      </c>
      <c r="Q1912" s="55">
        <f>UPPER(TRIM(K1912))</f>
        <v/>
      </c>
      <c r="R1912" s="55">
        <f>(G1912-O1912)/G1912</f>
        <v/>
      </c>
      <c r="S1912" s="55">
        <f>VLOOKUP(D1912,Products!$A$2:$F$61,6,FALSE())</f>
        <v/>
      </c>
    </row>
    <row r="1913" ht="15" customHeight="1" s="56">
      <c r="A1913" s="55">
        <f>Orders!A1913</f>
        <v/>
      </c>
      <c r="B1913" s="103">
        <f>Orders!B1913</f>
        <v/>
      </c>
      <c r="C1913" s="55">
        <f>Orders!C1913</f>
        <v/>
      </c>
      <c r="D1913" s="55">
        <f>Orders!D1913</f>
        <v/>
      </c>
      <c r="E1913" s="55">
        <f>Orders!E1913</f>
        <v/>
      </c>
      <c r="F1913" s="55">
        <f>Orders!F1913</f>
        <v/>
      </c>
      <c r="G1913" s="55">
        <f>Orders!G1913</f>
        <v/>
      </c>
      <c r="H1913" s="55">
        <f>Orders!H1913</f>
        <v/>
      </c>
      <c r="I1913" s="55">
        <f>Orders!I1913</f>
        <v/>
      </c>
      <c r="J1913" s="55">
        <f>Orders!J1913</f>
        <v/>
      </c>
      <c r="K1913" s="55">
        <f>Orders!K1913</f>
        <v/>
      </c>
      <c r="L1913" s="55">
        <f>VLOOKUP(D1913,Products!$A$2:$F$61,3,FALSE())</f>
        <v/>
      </c>
      <c r="M1913" s="55">
        <f>VLOOKUP(C1913,Customers!$A$2:$F$301,5,FALSE())</f>
        <v/>
      </c>
      <c r="N1913" s="55">
        <f>VLOOKUP(E1913,Sales_Reps!$A$2:$E$31,3,FALSE())</f>
        <v/>
      </c>
      <c r="O1913" s="55">
        <f>VLOOKUP(D1913,Products!$A$2:$F$61,4,FALSE())</f>
        <v/>
      </c>
      <c r="P1913" s="55">
        <f>VLOOKUP(C1913,Customers!$A$2:$F$301,3,FALSE())</f>
        <v/>
      </c>
      <c r="Q1913" s="55">
        <f>UPPER(TRIM(K1913))</f>
        <v/>
      </c>
      <c r="R1913" s="55">
        <f>(G1913-O1913)/G1913</f>
        <v/>
      </c>
      <c r="S1913" s="55">
        <f>VLOOKUP(D1913,Products!$A$2:$F$61,6,FALSE())</f>
        <v/>
      </c>
    </row>
    <row r="1914" ht="15" customHeight="1" s="56">
      <c r="A1914" s="55">
        <f>Orders!A1914</f>
        <v/>
      </c>
      <c r="B1914" s="103">
        <f>Orders!B1914</f>
        <v/>
      </c>
      <c r="C1914" s="55">
        <f>Orders!C1914</f>
        <v/>
      </c>
      <c r="D1914" s="55">
        <f>Orders!D1914</f>
        <v/>
      </c>
      <c r="E1914" s="55">
        <f>Orders!E1914</f>
        <v/>
      </c>
      <c r="F1914" s="55">
        <f>Orders!F1914</f>
        <v/>
      </c>
      <c r="G1914" s="55">
        <f>Orders!G1914</f>
        <v/>
      </c>
      <c r="H1914" s="55">
        <f>Orders!H1914</f>
        <v/>
      </c>
      <c r="I1914" s="55">
        <f>Orders!I1914</f>
        <v/>
      </c>
      <c r="J1914" s="55">
        <f>Orders!J1914</f>
        <v/>
      </c>
      <c r="K1914" s="55">
        <f>Orders!K1914</f>
        <v/>
      </c>
      <c r="L1914" s="55">
        <f>VLOOKUP(D1914,Products!$A$2:$F$61,3,FALSE())</f>
        <v/>
      </c>
      <c r="M1914" s="55">
        <f>VLOOKUP(C1914,Customers!$A$2:$F$301,5,FALSE())</f>
        <v/>
      </c>
      <c r="N1914" s="55">
        <f>VLOOKUP(E1914,Sales_Reps!$A$2:$E$31,3,FALSE())</f>
        <v/>
      </c>
      <c r="O1914" s="55">
        <f>VLOOKUP(D1914,Products!$A$2:$F$61,4,FALSE())</f>
        <v/>
      </c>
      <c r="P1914" s="55">
        <f>VLOOKUP(C1914,Customers!$A$2:$F$301,3,FALSE())</f>
        <v/>
      </c>
      <c r="Q1914" s="55">
        <f>UPPER(TRIM(K1914))</f>
        <v/>
      </c>
      <c r="R1914" s="55">
        <f>(G1914-O1914)/G1914</f>
        <v/>
      </c>
      <c r="S1914" s="55">
        <f>VLOOKUP(D1914,Products!$A$2:$F$61,6,FALSE())</f>
        <v/>
      </c>
    </row>
    <row r="1915" ht="15" customHeight="1" s="56">
      <c r="A1915" s="55">
        <f>Orders!A1915</f>
        <v/>
      </c>
      <c r="B1915" s="103">
        <f>Orders!B1915</f>
        <v/>
      </c>
      <c r="C1915" s="55">
        <f>Orders!C1915</f>
        <v/>
      </c>
      <c r="D1915" s="55">
        <f>Orders!D1915</f>
        <v/>
      </c>
      <c r="E1915" s="55">
        <f>Orders!E1915</f>
        <v/>
      </c>
      <c r="F1915" s="55">
        <f>Orders!F1915</f>
        <v/>
      </c>
      <c r="G1915" s="55">
        <f>Orders!G1915</f>
        <v/>
      </c>
      <c r="H1915" s="55">
        <f>Orders!H1915</f>
        <v/>
      </c>
      <c r="I1915" s="55">
        <f>Orders!I1915</f>
        <v/>
      </c>
      <c r="J1915" s="55">
        <f>Orders!J1915</f>
        <v/>
      </c>
      <c r="K1915" s="55">
        <f>Orders!K1915</f>
        <v/>
      </c>
      <c r="L1915" s="55">
        <f>VLOOKUP(D1915,Products!$A$2:$F$61,3,FALSE())</f>
        <v/>
      </c>
      <c r="M1915" s="55">
        <f>VLOOKUP(C1915,Customers!$A$2:$F$301,5,FALSE())</f>
        <v/>
      </c>
      <c r="N1915" s="55">
        <f>VLOOKUP(E1915,Sales_Reps!$A$2:$E$31,3,FALSE())</f>
        <v/>
      </c>
      <c r="O1915" s="55">
        <f>VLOOKUP(D1915,Products!$A$2:$F$61,4,FALSE())</f>
        <v/>
      </c>
      <c r="P1915" s="55">
        <f>VLOOKUP(C1915,Customers!$A$2:$F$301,3,FALSE())</f>
        <v/>
      </c>
      <c r="Q1915" s="55">
        <f>UPPER(TRIM(K1915))</f>
        <v/>
      </c>
      <c r="R1915" s="55">
        <f>(G1915-O1915)/G1915</f>
        <v/>
      </c>
      <c r="S1915" s="55">
        <f>VLOOKUP(D1915,Products!$A$2:$F$61,6,FALSE())</f>
        <v/>
      </c>
    </row>
    <row r="1916" ht="15" customHeight="1" s="56">
      <c r="A1916" s="55">
        <f>Orders!A1916</f>
        <v/>
      </c>
      <c r="B1916" s="103">
        <f>Orders!B1916</f>
        <v/>
      </c>
      <c r="C1916" s="55">
        <f>Orders!C1916</f>
        <v/>
      </c>
      <c r="D1916" s="55">
        <f>Orders!D1916</f>
        <v/>
      </c>
      <c r="E1916" s="55">
        <f>Orders!E1916</f>
        <v/>
      </c>
      <c r="F1916" s="55">
        <f>Orders!F1916</f>
        <v/>
      </c>
      <c r="G1916" s="55">
        <f>Orders!G1916</f>
        <v/>
      </c>
      <c r="H1916" s="55">
        <f>Orders!H1916</f>
        <v/>
      </c>
      <c r="I1916" s="55">
        <f>Orders!I1916</f>
        <v/>
      </c>
      <c r="J1916" s="55">
        <f>Orders!J1916</f>
        <v/>
      </c>
      <c r="K1916" s="55">
        <f>Orders!K1916</f>
        <v/>
      </c>
      <c r="L1916" s="55">
        <f>VLOOKUP(D1916,Products!$A$2:$F$61,3,FALSE())</f>
        <v/>
      </c>
      <c r="M1916" s="55">
        <f>VLOOKUP(C1916,Customers!$A$2:$F$301,5,FALSE())</f>
        <v/>
      </c>
      <c r="N1916" s="55">
        <f>VLOOKUP(E1916,Sales_Reps!$A$2:$E$31,3,FALSE())</f>
        <v/>
      </c>
      <c r="O1916" s="55">
        <f>VLOOKUP(D1916,Products!$A$2:$F$61,4,FALSE())</f>
        <v/>
      </c>
      <c r="P1916" s="55">
        <f>VLOOKUP(C1916,Customers!$A$2:$F$301,3,FALSE())</f>
        <v/>
      </c>
      <c r="Q1916" s="55">
        <f>UPPER(TRIM(K1916))</f>
        <v/>
      </c>
      <c r="R1916" s="55">
        <f>(G1916-O1916)/G1916</f>
        <v/>
      </c>
      <c r="S1916" s="55">
        <f>VLOOKUP(D1916,Products!$A$2:$F$61,6,FALSE())</f>
        <v/>
      </c>
    </row>
    <row r="1917" ht="15" customHeight="1" s="56">
      <c r="A1917" s="55">
        <f>Orders!A1917</f>
        <v/>
      </c>
      <c r="B1917" s="103">
        <f>Orders!B1917</f>
        <v/>
      </c>
      <c r="C1917" s="55">
        <f>Orders!C1917</f>
        <v/>
      </c>
      <c r="D1917" s="55">
        <f>Orders!D1917</f>
        <v/>
      </c>
      <c r="E1917" s="55">
        <f>Orders!E1917</f>
        <v/>
      </c>
      <c r="F1917" s="55">
        <f>Orders!F1917</f>
        <v/>
      </c>
      <c r="G1917" s="55">
        <f>Orders!G1917</f>
        <v/>
      </c>
      <c r="H1917" s="55">
        <f>Orders!H1917</f>
        <v/>
      </c>
      <c r="I1917" s="55">
        <f>Orders!I1917</f>
        <v/>
      </c>
      <c r="J1917" s="55">
        <f>Orders!J1917</f>
        <v/>
      </c>
      <c r="K1917" s="55">
        <f>Orders!K1917</f>
        <v/>
      </c>
      <c r="L1917" s="55">
        <f>VLOOKUP(D1917,Products!$A$2:$F$61,3,FALSE())</f>
        <v/>
      </c>
      <c r="M1917" s="55">
        <f>VLOOKUP(C1917,Customers!$A$2:$F$301,5,FALSE())</f>
        <v/>
      </c>
      <c r="N1917" s="55">
        <f>VLOOKUP(E1917,Sales_Reps!$A$2:$E$31,3,FALSE())</f>
        <v/>
      </c>
      <c r="O1917" s="55">
        <f>VLOOKUP(D1917,Products!$A$2:$F$61,4,FALSE())</f>
        <v/>
      </c>
      <c r="P1917" s="55">
        <f>VLOOKUP(C1917,Customers!$A$2:$F$301,3,FALSE())</f>
        <v/>
      </c>
      <c r="Q1917" s="55">
        <f>UPPER(TRIM(K1917))</f>
        <v/>
      </c>
      <c r="R1917" s="55">
        <f>(G1917-O1917)/G1917</f>
        <v/>
      </c>
      <c r="S1917" s="55">
        <f>VLOOKUP(D1917,Products!$A$2:$F$61,6,FALSE())</f>
        <v/>
      </c>
    </row>
    <row r="1918" ht="15" customHeight="1" s="56">
      <c r="A1918" s="55">
        <f>Orders!A1918</f>
        <v/>
      </c>
      <c r="B1918" s="103">
        <f>Orders!B1918</f>
        <v/>
      </c>
      <c r="C1918" s="55">
        <f>Orders!C1918</f>
        <v/>
      </c>
      <c r="D1918" s="55">
        <f>Orders!D1918</f>
        <v/>
      </c>
      <c r="E1918" s="55">
        <f>Orders!E1918</f>
        <v/>
      </c>
      <c r="F1918" s="55">
        <f>Orders!F1918</f>
        <v/>
      </c>
      <c r="G1918" s="55">
        <f>Orders!G1918</f>
        <v/>
      </c>
      <c r="H1918" s="55">
        <f>Orders!H1918</f>
        <v/>
      </c>
      <c r="I1918" s="55">
        <f>Orders!I1918</f>
        <v/>
      </c>
      <c r="J1918" s="55">
        <f>Orders!J1918</f>
        <v/>
      </c>
      <c r="K1918" s="55">
        <f>Orders!K1918</f>
        <v/>
      </c>
      <c r="L1918" s="55">
        <f>VLOOKUP(D1918,Products!$A$2:$F$61,3,FALSE())</f>
        <v/>
      </c>
      <c r="M1918" s="55">
        <f>VLOOKUP(C1918,Customers!$A$2:$F$301,5,FALSE())</f>
        <v/>
      </c>
      <c r="N1918" s="55">
        <f>VLOOKUP(E1918,Sales_Reps!$A$2:$E$31,3,FALSE())</f>
        <v/>
      </c>
      <c r="O1918" s="55">
        <f>VLOOKUP(D1918,Products!$A$2:$F$61,4,FALSE())</f>
        <v/>
      </c>
      <c r="P1918" s="55">
        <f>VLOOKUP(C1918,Customers!$A$2:$F$301,3,FALSE())</f>
        <v/>
      </c>
      <c r="Q1918" s="55">
        <f>UPPER(TRIM(K1918))</f>
        <v/>
      </c>
      <c r="R1918" s="55">
        <f>(G1918-O1918)/G1918</f>
        <v/>
      </c>
      <c r="S1918" s="55">
        <f>VLOOKUP(D1918,Products!$A$2:$F$61,6,FALSE())</f>
        <v/>
      </c>
    </row>
    <row r="1919" ht="15" customHeight="1" s="56">
      <c r="A1919" s="55">
        <f>Orders!A1919</f>
        <v/>
      </c>
      <c r="B1919" s="103">
        <f>Orders!B1919</f>
        <v/>
      </c>
      <c r="C1919" s="55">
        <f>Orders!C1919</f>
        <v/>
      </c>
      <c r="D1919" s="55">
        <f>Orders!D1919</f>
        <v/>
      </c>
      <c r="E1919" s="55">
        <f>Orders!E1919</f>
        <v/>
      </c>
      <c r="F1919" s="55">
        <f>Orders!F1919</f>
        <v/>
      </c>
      <c r="G1919" s="55">
        <f>Orders!G1919</f>
        <v/>
      </c>
      <c r="H1919" s="55">
        <f>Orders!H1919</f>
        <v/>
      </c>
      <c r="I1919" s="55">
        <f>Orders!I1919</f>
        <v/>
      </c>
      <c r="J1919" s="55">
        <f>Orders!J1919</f>
        <v/>
      </c>
      <c r="K1919" s="55">
        <f>Orders!K1919</f>
        <v/>
      </c>
      <c r="L1919" s="55">
        <f>VLOOKUP(D1919,Products!$A$2:$F$61,3,FALSE())</f>
        <v/>
      </c>
      <c r="M1919" s="55">
        <f>VLOOKUP(C1919,Customers!$A$2:$F$301,5,FALSE())</f>
        <v/>
      </c>
      <c r="N1919" s="55">
        <f>VLOOKUP(E1919,Sales_Reps!$A$2:$E$31,3,FALSE())</f>
        <v/>
      </c>
      <c r="O1919" s="55">
        <f>VLOOKUP(D1919,Products!$A$2:$F$61,4,FALSE())</f>
        <v/>
      </c>
      <c r="P1919" s="55">
        <f>VLOOKUP(C1919,Customers!$A$2:$F$301,3,FALSE())</f>
        <v/>
      </c>
      <c r="Q1919" s="55">
        <f>UPPER(TRIM(K1919))</f>
        <v/>
      </c>
      <c r="R1919" s="55">
        <f>(G1919-O1919)/G1919</f>
        <v/>
      </c>
      <c r="S1919" s="55">
        <f>VLOOKUP(D1919,Products!$A$2:$F$61,6,FALSE())</f>
        <v/>
      </c>
    </row>
    <row r="1920" ht="15" customHeight="1" s="56">
      <c r="A1920" s="55">
        <f>Orders!A1920</f>
        <v/>
      </c>
      <c r="B1920" s="103">
        <f>Orders!B1920</f>
        <v/>
      </c>
      <c r="C1920" s="55">
        <f>Orders!C1920</f>
        <v/>
      </c>
      <c r="D1920" s="55">
        <f>Orders!D1920</f>
        <v/>
      </c>
      <c r="E1920" s="55">
        <f>Orders!E1920</f>
        <v/>
      </c>
      <c r="F1920" s="55">
        <f>Orders!F1920</f>
        <v/>
      </c>
      <c r="G1920" s="55">
        <f>Orders!G1920</f>
        <v/>
      </c>
      <c r="H1920" s="55">
        <f>Orders!H1920</f>
        <v/>
      </c>
      <c r="I1920" s="55">
        <f>Orders!I1920</f>
        <v/>
      </c>
      <c r="J1920" s="55">
        <f>Orders!J1920</f>
        <v/>
      </c>
      <c r="K1920" s="55">
        <f>Orders!K1920</f>
        <v/>
      </c>
      <c r="L1920" s="55">
        <f>VLOOKUP(D1920,Products!$A$2:$F$61,3,FALSE())</f>
        <v/>
      </c>
      <c r="M1920" s="55">
        <f>VLOOKUP(C1920,Customers!$A$2:$F$301,5,FALSE())</f>
        <v/>
      </c>
      <c r="N1920" s="55">
        <f>VLOOKUP(E1920,Sales_Reps!$A$2:$E$31,3,FALSE())</f>
        <v/>
      </c>
      <c r="O1920" s="55">
        <f>VLOOKUP(D1920,Products!$A$2:$F$61,4,FALSE())</f>
        <v/>
      </c>
      <c r="P1920" s="55">
        <f>VLOOKUP(C1920,Customers!$A$2:$F$301,3,FALSE())</f>
        <v/>
      </c>
      <c r="Q1920" s="55">
        <f>UPPER(TRIM(K1920))</f>
        <v/>
      </c>
      <c r="R1920" s="55">
        <f>(G1920-O1920)/G1920</f>
        <v/>
      </c>
      <c r="S1920" s="55">
        <f>VLOOKUP(D1920,Products!$A$2:$F$61,6,FALSE())</f>
        <v/>
      </c>
    </row>
    <row r="1921" ht="15" customHeight="1" s="56">
      <c r="A1921" s="55">
        <f>Orders!A1921</f>
        <v/>
      </c>
      <c r="B1921" s="103">
        <f>Orders!B1921</f>
        <v/>
      </c>
      <c r="C1921" s="55">
        <f>Orders!C1921</f>
        <v/>
      </c>
      <c r="D1921" s="55">
        <f>Orders!D1921</f>
        <v/>
      </c>
      <c r="E1921" s="55">
        <f>Orders!E1921</f>
        <v/>
      </c>
      <c r="F1921" s="55">
        <f>Orders!F1921</f>
        <v/>
      </c>
      <c r="G1921" s="55">
        <f>Orders!G1921</f>
        <v/>
      </c>
      <c r="H1921" s="55">
        <f>Orders!H1921</f>
        <v/>
      </c>
      <c r="I1921" s="55">
        <f>Orders!I1921</f>
        <v/>
      </c>
      <c r="J1921" s="55">
        <f>Orders!J1921</f>
        <v/>
      </c>
      <c r="K1921" s="55">
        <f>Orders!K1921</f>
        <v/>
      </c>
      <c r="L1921" s="55">
        <f>VLOOKUP(D1921,Products!$A$2:$F$61,3,FALSE())</f>
        <v/>
      </c>
      <c r="M1921" s="55">
        <f>VLOOKUP(C1921,Customers!$A$2:$F$301,5,FALSE())</f>
        <v/>
      </c>
      <c r="N1921" s="55">
        <f>VLOOKUP(E1921,Sales_Reps!$A$2:$E$31,3,FALSE())</f>
        <v/>
      </c>
      <c r="O1921" s="55">
        <f>VLOOKUP(D1921,Products!$A$2:$F$61,4,FALSE())</f>
        <v/>
      </c>
      <c r="P1921" s="55">
        <f>VLOOKUP(C1921,Customers!$A$2:$F$301,3,FALSE())</f>
        <v/>
      </c>
      <c r="Q1921" s="55">
        <f>UPPER(TRIM(K1921))</f>
        <v/>
      </c>
      <c r="R1921" s="55">
        <f>(G1921-O1921)/G1921</f>
        <v/>
      </c>
      <c r="S1921" s="55">
        <f>VLOOKUP(D1921,Products!$A$2:$F$61,6,FALSE())</f>
        <v/>
      </c>
    </row>
    <row r="1922" ht="15" customHeight="1" s="56">
      <c r="A1922" s="55">
        <f>Orders!A1922</f>
        <v/>
      </c>
      <c r="B1922" s="103">
        <f>Orders!B1922</f>
        <v/>
      </c>
      <c r="C1922" s="55">
        <f>Orders!C1922</f>
        <v/>
      </c>
      <c r="D1922" s="55">
        <f>Orders!D1922</f>
        <v/>
      </c>
      <c r="E1922" s="55">
        <f>Orders!E1922</f>
        <v/>
      </c>
      <c r="F1922" s="55">
        <f>Orders!F1922</f>
        <v/>
      </c>
      <c r="G1922" s="55">
        <f>Orders!G1922</f>
        <v/>
      </c>
      <c r="H1922" s="55">
        <f>Orders!H1922</f>
        <v/>
      </c>
      <c r="I1922" s="55">
        <f>Orders!I1922</f>
        <v/>
      </c>
      <c r="J1922" s="55">
        <f>Orders!J1922</f>
        <v/>
      </c>
      <c r="K1922" s="55">
        <f>Orders!K1922</f>
        <v/>
      </c>
      <c r="L1922" s="55">
        <f>VLOOKUP(D1922,Products!$A$2:$F$61,3,FALSE())</f>
        <v/>
      </c>
      <c r="M1922" s="55">
        <f>VLOOKUP(C1922,Customers!$A$2:$F$301,5,FALSE())</f>
        <v/>
      </c>
      <c r="N1922" s="55">
        <f>VLOOKUP(E1922,Sales_Reps!$A$2:$E$31,3,FALSE())</f>
        <v/>
      </c>
      <c r="O1922" s="55">
        <f>VLOOKUP(D1922,Products!$A$2:$F$61,4,FALSE())</f>
        <v/>
      </c>
      <c r="P1922" s="55">
        <f>VLOOKUP(C1922,Customers!$A$2:$F$301,3,FALSE())</f>
        <v/>
      </c>
      <c r="Q1922" s="55">
        <f>UPPER(TRIM(K1922))</f>
        <v/>
      </c>
      <c r="R1922" s="55">
        <f>(G1922-O1922)/G1922</f>
        <v/>
      </c>
      <c r="S1922" s="55">
        <f>VLOOKUP(D1922,Products!$A$2:$F$61,6,FALSE())</f>
        <v/>
      </c>
    </row>
    <row r="1923" ht="15" customHeight="1" s="56">
      <c r="A1923" s="55">
        <f>Orders!A1923</f>
        <v/>
      </c>
      <c r="B1923" s="103">
        <f>Orders!B1923</f>
        <v/>
      </c>
      <c r="C1923" s="55">
        <f>Orders!C1923</f>
        <v/>
      </c>
      <c r="D1923" s="55">
        <f>Orders!D1923</f>
        <v/>
      </c>
      <c r="E1923" s="55">
        <f>Orders!E1923</f>
        <v/>
      </c>
      <c r="F1923" s="55">
        <f>Orders!F1923</f>
        <v/>
      </c>
      <c r="G1923" s="55">
        <f>Orders!G1923</f>
        <v/>
      </c>
      <c r="H1923" s="55">
        <f>Orders!H1923</f>
        <v/>
      </c>
      <c r="I1923" s="55">
        <f>Orders!I1923</f>
        <v/>
      </c>
      <c r="J1923" s="55">
        <f>Orders!J1923</f>
        <v/>
      </c>
      <c r="K1923" s="55">
        <f>Orders!K1923</f>
        <v/>
      </c>
      <c r="L1923" s="55">
        <f>VLOOKUP(D1923,Products!$A$2:$F$61,3,FALSE())</f>
        <v/>
      </c>
      <c r="M1923" s="55">
        <f>VLOOKUP(C1923,Customers!$A$2:$F$301,5,FALSE())</f>
        <v/>
      </c>
      <c r="N1923" s="55">
        <f>VLOOKUP(E1923,Sales_Reps!$A$2:$E$31,3,FALSE())</f>
        <v/>
      </c>
      <c r="O1923" s="55">
        <f>VLOOKUP(D1923,Products!$A$2:$F$61,4,FALSE())</f>
        <v/>
      </c>
      <c r="P1923" s="55">
        <f>VLOOKUP(C1923,Customers!$A$2:$F$301,3,FALSE())</f>
        <v/>
      </c>
      <c r="Q1923" s="55">
        <f>UPPER(TRIM(K1923))</f>
        <v/>
      </c>
      <c r="R1923" s="55">
        <f>(G1923-O1923)/G1923</f>
        <v/>
      </c>
      <c r="S1923" s="55">
        <f>VLOOKUP(D1923,Products!$A$2:$F$61,6,FALSE())</f>
        <v/>
      </c>
    </row>
    <row r="1924" ht="15" customHeight="1" s="56">
      <c r="A1924" s="55">
        <f>Orders!A1924</f>
        <v/>
      </c>
      <c r="B1924" s="103">
        <f>Orders!B1924</f>
        <v/>
      </c>
      <c r="C1924" s="55">
        <f>Orders!C1924</f>
        <v/>
      </c>
      <c r="D1924" s="55">
        <f>Orders!D1924</f>
        <v/>
      </c>
      <c r="E1924" s="55">
        <f>Orders!E1924</f>
        <v/>
      </c>
      <c r="F1924" s="55">
        <f>Orders!F1924</f>
        <v/>
      </c>
      <c r="G1924" s="55">
        <f>Orders!G1924</f>
        <v/>
      </c>
      <c r="H1924" s="55">
        <f>Orders!H1924</f>
        <v/>
      </c>
      <c r="I1924" s="55">
        <f>Orders!I1924</f>
        <v/>
      </c>
      <c r="J1924" s="55">
        <f>Orders!J1924</f>
        <v/>
      </c>
      <c r="K1924" s="55">
        <f>Orders!K1924</f>
        <v/>
      </c>
      <c r="L1924" s="55">
        <f>VLOOKUP(D1924,Products!$A$2:$F$61,3,FALSE())</f>
        <v/>
      </c>
      <c r="M1924" s="55">
        <f>VLOOKUP(C1924,Customers!$A$2:$F$301,5,FALSE())</f>
        <v/>
      </c>
      <c r="N1924" s="55">
        <f>VLOOKUP(E1924,Sales_Reps!$A$2:$E$31,3,FALSE())</f>
        <v/>
      </c>
      <c r="O1924" s="55">
        <f>VLOOKUP(D1924,Products!$A$2:$F$61,4,FALSE())</f>
        <v/>
      </c>
      <c r="P1924" s="55">
        <f>VLOOKUP(C1924,Customers!$A$2:$F$301,3,FALSE())</f>
        <v/>
      </c>
      <c r="Q1924" s="55">
        <f>UPPER(TRIM(K1924))</f>
        <v/>
      </c>
      <c r="R1924" s="55">
        <f>(G1924-O1924)/G1924</f>
        <v/>
      </c>
      <c r="S1924" s="55">
        <f>VLOOKUP(D1924,Products!$A$2:$F$61,6,FALSE())</f>
        <v/>
      </c>
    </row>
    <row r="1925" ht="15" customHeight="1" s="56">
      <c r="A1925" s="55">
        <f>Orders!A1925</f>
        <v/>
      </c>
      <c r="B1925" s="103">
        <f>Orders!B1925</f>
        <v/>
      </c>
      <c r="C1925" s="55">
        <f>Orders!C1925</f>
        <v/>
      </c>
      <c r="D1925" s="55">
        <f>Orders!D1925</f>
        <v/>
      </c>
      <c r="E1925" s="55">
        <f>Orders!E1925</f>
        <v/>
      </c>
      <c r="F1925" s="55">
        <f>Orders!F1925</f>
        <v/>
      </c>
      <c r="G1925" s="55">
        <f>Orders!G1925</f>
        <v/>
      </c>
      <c r="H1925" s="55">
        <f>Orders!H1925</f>
        <v/>
      </c>
      <c r="I1925" s="55">
        <f>Orders!I1925</f>
        <v/>
      </c>
      <c r="J1925" s="55">
        <f>Orders!J1925</f>
        <v/>
      </c>
      <c r="K1925" s="55">
        <f>Orders!K1925</f>
        <v/>
      </c>
      <c r="L1925" s="55">
        <f>VLOOKUP(D1925,Products!$A$2:$F$61,3,FALSE())</f>
        <v/>
      </c>
      <c r="M1925" s="55">
        <f>VLOOKUP(C1925,Customers!$A$2:$F$301,5,FALSE())</f>
        <v/>
      </c>
      <c r="N1925" s="55">
        <f>VLOOKUP(E1925,Sales_Reps!$A$2:$E$31,3,FALSE())</f>
        <v/>
      </c>
      <c r="O1925" s="55">
        <f>VLOOKUP(D1925,Products!$A$2:$F$61,4,FALSE())</f>
        <v/>
      </c>
      <c r="P1925" s="55">
        <f>VLOOKUP(C1925,Customers!$A$2:$F$301,3,FALSE())</f>
        <v/>
      </c>
      <c r="Q1925" s="55">
        <f>UPPER(TRIM(K1925))</f>
        <v/>
      </c>
      <c r="R1925" s="55">
        <f>(G1925-O1925)/G1925</f>
        <v/>
      </c>
      <c r="S1925" s="55">
        <f>VLOOKUP(D1925,Products!$A$2:$F$61,6,FALSE())</f>
        <v/>
      </c>
    </row>
    <row r="1926" ht="15" customHeight="1" s="56">
      <c r="A1926" s="55">
        <f>Orders!A1926</f>
        <v/>
      </c>
      <c r="B1926" s="103">
        <f>Orders!B1926</f>
        <v/>
      </c>
      <c r="C1926" s="55">
        <f>Orders!C1926</f>
        <v/>
      </c>
      <c r="D1926" s="55">
        <f>Orders!D1926</f>
        <v/>
      </c>
      <c r="E1926" s="55">
        <f>Orders!E1926</f>
        <v/>
      </c>
      <c r="F1926" s="55">
        <f>Orders!F1926</f>
        <v/>
      </c>
      <c r="G1926" s="55">
        <f>Orders!G1926</f>
        <v/>
      </c>
      <c r="H1926" s="55">
        <f>Orders!H1926</f>
        <v/>
      </c>
      <c r="I1926" s="55">
        <f>Orders!I1926</f>
        <v/>
      </c>
      <c r="J1926" s="55">
        <f>Orders!J1926</f>
        <v/>
      </c>
      <c r="K1926" s="55">
        <f>Orders!K1926</f>
        <v/>
      </c>
      <c r="L1926" s="55">
        <f>VLOOKUP(D1926,Products!$A$2:$F$61,3,FALSE())</f>
        <v/>
      </c>
      <c r="M1926" s="55">
        <f>VLOOKUP(C1926,Customers!$A$2:$F$301,5,FALSE())</f>
        <v/>
      </c>
      <c r="N1926" s="55">
        <f>VLOOKUP(E1926,Sales_Reps!$A$2:$E$31,3,FALSE())</f>
        <v/>
      </c>
      <c r="O1926" s="55">
        <f>VLOOKUP(D1926,Products!$A$2:$F$61,4,FALSE())</f>
        <v/>
      </c>
      <c r="P1926" s="55">
        <f>VLOOKUP(C1926,Customers!$A$2:$F$301,3,FALSE())</f>
        <v/>
      </c>
      <c r="Q1926" s="55">
        <f>UPPER(TRIM(K1926))</f>
        <v/>
      </c>
      <c r="R1926" s="55">
        <f>(G1926-O1926)/G1926</f>
        <v/>
      </c>
      <c r="S1926" s="55">
        <f>VLOOKUP(D1926,Products!$A$2:$F$61,6,FALSE())</f>
        <v/>
      </c>
    </row>
    <row r="1927" ht="15" customHeight="1" s="56">
      <c r="A1927" s="55">
        <f>Orders!A1927</f>
        <v/>
      </c>
      <c r="B1927" s="103">
        <f>Orders!B1927</f>
        <v/>
      </c>
      <c r="C1927" s="55">
        <f>Orders!C1927</f>
        <v/>
      </c>
      <c r="D1927" s="55">
        <f>Orders!D1927</f>
        <v/>
      </c>
      <c r="E1927" s="55">
        <f>Orders!E1927</f>
        <v/>
      </c>
      <c r="F1927" s="55">
        <f>Orders!F1927</f>
        <v/>
      </c>
      <c r="G1927" s="55">
        <f>Orders!G1927</f>
        <v/>
      </c>
      <c r="H1927" s="55">
        <f>Orders!H1927</f>
        <v/>
      </c>
      <c r="I1927" s="55">
        <f>Orders!I1927</f>
        <v/>
      </c>
      <c r="J1927" s="55">
        <f>Orders!J1927</f>
        <v/>
      </c>
      <c r="K1927" s="55">
        <f>Orders!K1927</f>
        <v/>
      </c>
      <c r="L1927" s="55">
        <f>VLOOKUP(D1927,Products!$A$2:$F$61,3,FALSE())</f>
        <v/>
      </c>
      <c r="M1927" s="55">
        <f>VLOOKUP(C1927,Customers!$A$2:$F$301,5,FALSE())</f>
        <v/>
      </c>
      <c r="N1927" s="55">
        <f>VLOOKUP(E1927,Sales_Reps!$A$2:$E$31,3,FALSE())</f>
        <v/>
      </c>
      <c r="O1927" s="55">
        <f>VLOOKUP(D1927,Products!$A$2:$F$61,4,FALSE())</f>
        <v/>
      </c>
      <c r="P1927" s="55">
        <f>VLOOKUP(C1927,Customers!$A$2:$F$301,3,FALSE())</f>
        <v/>
      </c>
      <c r="Q1927" s="55">
        <f>UPPER(TRIM(K1927))</f>
        <v/>
      </c>
      <c r="R1927" s="55">
        <f>(G1927-O1927)/G1927</f>
        <v/>
      </c>
      <c r="S1927" s="55">
        <f>VLOOKUP(D1927,Products!$A$2:$F$61,6,FALSE())</f>
        <v/>
      </c>
    </row>
    <row r="1928" ht="15" customHeight="1" s="56">
      <c r="A1928" s="55">
        <f>Orders!A1928</f>
        <v/>
      </c>
      <c r="B1928" s="103">
        <f>Orders!B1928</f>
        <v/>
      </c>
      <c r="C1928" s="55">
        <f>Orders!C1928</f>
        <v/>
      </c>
      <c r="D1928" s="55">
        <f>Orders!D1928</f>
        <v/>
      </c>
      <c r="E1928" s="55">
        <f>Orders!E1928</f>
        <v/>
      </c>
      <c r="F1928" s="55">
        <f>Orders!F1928</f>
        <v/>
      </c>
      <c r="G1928" s="55">
        <f>Orders!G1928</f>
        <v/>
      </c>
      <c r="H1928" s="55">
        <f>Orders!H1928</f>
        <v/>
      </c>
      <c r="I1928" s="55">
        <f>Orders!I1928</f>
        <v/>
      </c>
      <c r="J1928" s="55">
        <f>Orders!J1928</f>
        <v/>
      </c>
      <c r="K1928" s="55">
        <f>Orders!K1928</f>
        <v/>
      </c>
      <c r="L1928" s="55">
        <f>VLOOKUP(D1928,Products!$A$2:$F$61,3,FALSE())</f>
        <v/>
      </c>
      <c r="M1928" s="55">
        <f>VLOOKUP(C1928,Customers!$A$2:$F$301,5,FALSE())</f>
        <v/>
      </c>
      <c r="N1928" s="55">
        <f>VLOOKUP(E1928,Sales_Reps!$A$2:$E$31,3,FALSE())</f>
        <v/>
      </c>
      <c r="O1928" s="55">
        <f>VLOOKUP(D1928,Products!$A$2:$F$61,4,FALSE())</f>
        <v/>
      </c>
      <c r="P1928" s="55">
        <f>VLOOKUP(C1928,Customers!$A$2:$F$301,3,FALSE())</f>
        <v/>
      </c>
      <c r="Q1928" s="55">
        <f>UPPER(TRIM(K1928))</f>
        <v/>
      </c>
      <c r="R1928" s="55">
        <f>(G1928-O1928)/G1928</f>
        <v/>
      </c>
      <c r="S1928" s="55">
        <f>VLOOKUP(D1928,Products!$A$2:$F$61,6,FALSE())</f>
        <v/>
      </c>
    </row>
    <row r="1929" ht="15" customHeight="1" s="56">
      <c r="A1929" s="55">
        <f>Orders!A1929</f>
        <v/>
      </c>
      <c r="B1929" s="103">
        <f>Orders!B1929</f>
        <v/>
      </c>
      <c r="C1929" s="55">
        <f>Orders!C1929</f>
        <v/>
      </c>
      <c r="D1929" s="55">
        <f>Orders!D1929</f>
        <v/>
      </c>
      <c r="E1929" s="55">
        <f>Orders!E1929</f>
        <v/>
      </c>
      <c r="F1929" s="55">
        <f>Orders!F1929</f>
        <v/>
      </c>
      <c r="G1929" s="55">
        <f>Orders!G1929</f>
        <v/>
      </c>
      <c r="H1929" s="55">
        <f>Orders!H1929</f>
        <v/>
      </c>
      <c r="I1929" s="55">
        <f>Orders!I1929</f>
        <v/>
      </c>
      <c r="J1929" s="55">
        <f>Orders!J1929</f>
        <v/>
      </c>
      <c r="K1929" s="55">
        <f>Orders!K1929</f>
        <v/>
      </c>
      <c r="L1929" s="55">
        <f>VLOOKUP(D1929,Products!$A$2:$F$61,3,FALSE())</f>
        <v/>
      </c>
      <c r="M1929" s="55">
        <f>VLOOKUP(C1929,Customers!$A$2:$F$301,5,FALSE())</f>
        <v/>
      </c>
      <c r="N1929" s="55">
        <f>VLOOKUP(E1929,Sales_Reps!$A$2:$E$31,3,FALSE())</f>
        <v/>
      </c>
      <c r="O1929" s="55">
        <f>VLOOKUP(D1929,Products!$A$2:$F$61,4,FALSE())</f>
        <v/>
      </c>
      <c r="P1929" s="55">
        <f>VLOOKUP(C1929,Customers!$A$2:$F$301,3,FALSE())</f>
        <v/>
      </c>
      <c r="Q1929" s="55">
        <f>UPPER(TRIM(K1929))</f>
        <v/>
      </c>
      <c r="R1929" s="55">
        <f>(G1929-O1929)/G1929</f>
        <v/>
      </c>
      <c r="S1929" s="55">
        <f>VLOOKUP(D1929,Products!$A$2:$F$61,6,FALSE())</f>
        <v/>
      </c>
    </row>
    <row r="1930" ht="15" customHeight="1" s="56">
      <c r="A1930" s="55">
        <f>Orders!A1930</f>
        <v/>
      </c>
      <c r="B1930" s="103">
        <f>Orders!B1930</f>
        <v/>
      </c>
      <c r="C1930" s="55">
        <f>Orders!C1930</f>
        <v/>
      </c>
      <c r="D1930" s="55">
        <f>Orders!D1930</f>
        <v/>
      </c>
      <c r="E1930" s="55">
        <f>Orders!E1930</f>
        <v/>
      </c>
      <c r="F1930" s="55">
        <f>Orders!F1930</f>
        <v/>
      </c>
      <c r="G1930" s="55">
        <f>Orders!G1930</f>
        <v/>
      </c>
      <c r="H1930" s="55">
        <f>Orders!H1930</f>
        <v/>
      </c>
      <c r="I1930" s="55">
        <f>Orders!I1930</f>
        <v/>
      </c>
      <c r="J1930" s="55">
        <f>Orders!J1930</f>
        <v/>
      </c>
      <c r="K1930" s="55">
        <f>Orders!K1930</f>
        <v/>
      </c>
      <c r="L1930" s="55">
        <f>VLOOKUP(D1930,Products!$A$2:$F$61,3,FALSE())</f>
        <v/>
      </c>
      <c r="M1930" s="55">
        <f>VLOOKUP(C1930,Customers!$A$2:$F$301,5,FALSE())</f>
        <v/>
      </c>
      <c r="N1930" s="55">
        <f>VLOOKUP(E1930,Sales_Reps!$A$2:$E$31,3,FALSE())</f>
        <v/>
      </c>
      <c r="O1930" s="55">
        <f>VLOOKUP(D1930,Products!$A$2:$F$61,4,FALSE())</f>
        <v/>
      </c>
      <c r="P1930" s="55">
        <f>VLOOKUP(C1930,Customers!$A$2:$F$301,3,FALSE())</f>
        <v/>
      </c>
      <c r="Q1930" s="55">
        <f>UPPER(TRIM(K1930))</f>
        <v/>
      </c>
      <c r="R1930" s="55">
        <f>(G1930-O1930)/G1930</f>
        <v/>
      </c>
      <c r="S1930" s="55">
        <f>VLOOKUP(D1930,Products!$A$2:$F$61,6,FALSE())</f>
        <v/>
      </c>
    </row>
    <row r="1931" ht="15" customHeight="1" s="56">
      <c r="A1931" s="55">
        <f>Orders!A1931</f>
        <v/>
      </c>
      <c r="B1931" s="103">
        <f>Orders!B1931</f>
        <v/>
      </c>
      <c r="C1931" s="55">
        <f>Orders!C1931</f>
        <v/>
      </c>
      <c r="D1931" s="55">
        <f>Orders!D1931</f>
        <v/>
      </c>
      <c r="E1931" s="55">
        <f>Orders!E1931</f>
        <v/>
      </c>
      <c r="F1931" s="55">
        <f>Orders!F1931</f>
        <v/>
      </c>
      <c r="G1931" s="55">
        <f>Orders!G1931</f>
        <v/>
      </c>
      <c r="H1931" s="55">
        <f>Orders!H1931</f>
        <v/>
      </c>
      <c r="I1931" s="55">
        <f>Orders!I1931</f>
        <v/>
      </c>
      <c r="J1931" s="55">
        <f>Orders!J1931</f>
        <v/>
      </c>
      <c r="K1931" s="55">
        <f>Orders!K1931</f>
        <v/>
      </c>
      <c r="L1931" s="55">
        <f>VLOOKUP(D1931,Products!$A$2:$F$61,3,FALSE())</f>
        <v/>
      </c>
      <c r="M1931" s="55">
        <f>VLOOKUP(C1931,Customers!$A$2:$F$301,5,FALSE())</f>
        <v/>
      </c>
      <c r="N1931" s="55">
        <f>VLOOKUP(E1931,Sales_Reps!$A$2:$E$31,3,FALSE())</f>
        <v/>
      </c>
      <c r="O1931" s="55">
        <f>VLOOKUP(D1931,Products!$A$2:$F$61,4,FALSE())</f>
        <v/>
      </c>
      <c r="P1931" s="55">
        <f>VLOOKUP(C1931,Customers!$A$2:$F$301,3,FALSE())</f>
        <v/>
      </c>
      <c r="Q1931" s="55">
        <f>UPPER(TRIM(K1931))</f>
        <v/>
      </c>
      <c r="R1931" s="55">
        <f>(G1931-O1931)/G1931</f>
        <v/>
      </c>
      <c r="S1931" s="55">
        <f>VLOOKUP(D1931,Products!$A$2:$F$61,6,FALSE())</f>
        <v/>
      </c>
    </row>
    <row r="1932" ht="15" customHeight="1" s="56">
      <c r="A1932" s="55">
        <f>Orders!A1932</f>
        <v/>
      </c>
      <c r="B1932" s="103">
        <f>Orders!B1932</f>
        <v/>
      </c>
      <c r="C1932" s="55">
        <f>Orders!C1932</f>
        <v/>
      </c>
      <c r="D1932" s="55">
        <f>Orders!D1932</f>
        <v/>
      </c>
      <c r="E1932" s="55">
        <f>Orders!E1932</f>
        <v/>
      </c>
      <c r="F1932" s="55">
        <f>Orders!F1932</f>
        <v/>
      </c>
      <c r="G1932" s="55">
        <f>Orders!G1932</f>
        <v/>
      </c>
      <c r="H1932" s="55">
        <f>Orders!H1932</f>
        <v/>
      </c>
      <c r="I1932" s="55">
        <f>Orders!I1932</f>
        <v/>
      </c>
      <c r="J1932" s="55">
        <f>Orders!J1932</f>
        <v/>
      </c>
      <c r="K1932" s="55">
        <f>Orders!K1932</f>
        <v/>
      </c>
      <c r="L1932" s="55">
        <f>VLOOKUP(D1932,Products!$A$2:$F$61,3,FALSE())</f>
        <v/>
      </c>
      <c r="M1932" s="55">
        <f>VLOOKUP(C1932,Customers!$A$2:$F$301,5,FALSE())</f>
        <v/>
      </c>
      <c r="N1932" s="55">
        <f>VLOOKUP(E1932,Sales_Reps!$A$2:$E$31,3,FALSE())</f>
        <v/>
      </c>
      <c r="O1932" s="55">
        <f>VLOOKUP(D1932,Products!$A$2:$F$61,4,FALSE())</f>
        <v/>
      </c>
      <c r="P1932" s="55">
        <f>VLOOKUP(C1932,Customers!$A$2:$F$301,3,FALSE())</f>
        <v/>
      </c>
      <c r="Q1932" s="55">
        <f>UPPER(TRIM(K1932))</f>
        <v/>
      </c>
      <c r="R1932" s="55">
        <f>(G1932-O1932)/G1932</f>
        <v/>
      </c>
      <c r="S1932" s="55">
        <f>VLOOKUP(D1932,Products!$A$2:$F$61,6,FALSE())</f>
        <v/>
      </c>
    </row>
    <row r="1933" ht="15" customHeight="1" s="56">
      <c r="A1933" s="55">
        <f>Orders!A1933</f>
        <v/>
      </c>
      <c r="B1933" s="103">
        <f>Orders!B1933</f>
        <v/>
      </c>
      <c r="C1933" s="55">
        <f>Orders!C1933</f>
        <v/>
      </c>
      <c r="D1933" s="55">
        <f>Orders!D1933</f>
        <v/>
      </c>
      <c r="E1933" s="55">
        <f>Orders!E1933</f>
        <v/>
      </c>
      <c r="F1933" s="55">
        <f>Orders!F1933</f>
        <v/>
      </c>
      <c r="G1933" s="55">
        <f>Orders!G1933</f>
        <v/>
      </c>
      <c r="H1933" s="55">
        <f>Orders!H1933</f>
        <v/>
      </c>
      <c r="I1933" s="55">
        <f>Orders!I1933</f>
        <v/>
      </c>
      <c r="J1933" s="55">
        <f>Orders!J1933</f>
        <v/>
      </c>
      <c r="K1933" s="55">
        <f>Orders!K1933</f>
        <v/>
      </c>
      <c r="L1933" s="55">
        <f>VLOOKUP(D1933,Products!$A$2:$F$61,3,FALSE())</f>
        <v/>
      </c>
      <c r="M1933" s="55">
        <f>VLOOKUP(C1933,Customers!$A$2:$F$301,5,FALSE())</f>
        <v/>
      </c>
      <c r="N1933" s="55">
        <f>VLOOKUP(E1933,Sales_Reps!$A$2:$E$31,3,FALSE())</f>
        <v/>
      </c>
      <c r="O1933" s="55">
        <f>VLOOKUP(D1933,Products!$A$2:$F$61,4,FALSE())</f>
        <v/>
      </c>
      <c r="P1933" s="55">
        <f>VLOOKUP(C1933,Customers!$A$2:$F$301,3,FALSE())</f>
        <v/>
      </c>
      <c r="Q1933" s="55">
        <f>UPPER(TRIM(K1933))</f>
        <v/>
      </c>
      <c r="R1933" s="55">
        <f>(G1933-O1933)/G1933</f>
        <v/>
      </c>
      <c r="S1933" s="55">
        <f>VLOOKUP(D1933,Products!$A$2:$F$61,6,FALSE())</f>
        <v/>
      </c>
    </row>
    <row r="1934" ht="15" customHeight="1" s="56">
      <c r="A1934" s="55">
        <f>Orders!A1934</f>
        <v/>
      </c>
      <c r="B1934" s="103">
        <f>Orders!B1934</f>
        <v/>
      </c>
      <c r="C1934" s="55">
        <f>Orders!C1934</f>
        <v/>
      </c>
      <c r="D1934" s="55">
        <f>Orders!D1934</f>
        <v/>
      </c>
      <c r="E1934" s="55">
        <f>Orders!E1934</f>
        <v/>
      </c>
      <c r="F1934" s="55">
        <f>Orders!F1934</f>
        <v/>
      </c>
      <c r="G1934" s="55">
        <f>Orders!G1934</f>
        <v/>
      </c>
      <c r="H1934" s="55">
        <f>Orders!H1934</f>
        <v/>
      </c>
      <c r="I1934" s="55">
        <f>Orders!I1934</f>
        <v/>
      </c>
      <c r="J1934" s="55">
        <f>Orders!J1934</f>
        <v/>
      </c>
      <c r="K1934" s="55">
        <f>Orders!K1934</f>
        <v/>
      </c>
      <c r="L1934" s="55">
        <f>VLOOKUP(D1934,Products!$A$2:$F$61,3,FALSE())</f>
        <v/>
      </c>
      <c r="M1934" s="55">
        <f>VLOOKUP(C1934,Customers!$A$2:$F$301,5,FALSE())</f>
        <v/>
      </c>
      <c r="N1934" s="55">
        <f>VLOOKUP(E1934,Sales_Reps!$A$2:$E$31,3,FALSE())</f>
        <v/>
      </c>
      <c r="O1934" s="55">
        <f>VLOOKUP(D1934,Products!$A$2:$F$61,4,FALSE())</f>
        <v/>
      </c>
      <c r="P1934" s="55">
        <f>VLOOKUP(C1934,Customers!$A$2:$F$301,3,FALSE())</f>
        <v/>
      </c>
      <c r="Q1934" s="55">
        <f>UPPER(TRIM(K1934))</f>
        <v/>
      </c>
      <c r="R1934" s="55">
        <f>(G1934-O1934)/G1934</f>
        <v/>
      </c>
      <c r="S1934" s="55">
        <f>VLOOKUP(D1934,Products!$A$2:$F$61,6,FALSE())</f>
        <v/>
      </c>
    </row>
    <row r="1935" ht="15" customHeight="1" s="56">
      <c r="A1935" s="55">
        <f>Orders!A1935</f>
        <v/>
      </c>
      <c r="B1935" s="103">
        <f>Orders!B1935</f>
        <v/>
      </c>
      <c r="C1935" s="55">
        <f>Orders!C1935</f>
        <v/>
      </c>
      <c r="D1935" s="55">
        <f>Orders!D1935</f>
        <v/>
      </c>
      <c r="E1935" s="55">
        <f>Orders!E1935</f>
        <v/>
      </c>
      <c r="F1935" s="55">
        <f>Orders!F1935</f>
        <v/>
      </c>
      <c r="G1935" s="55">
        <f>Orders!G1935</f>
        <v/>
      </c>
      <c r="H1935" s="55">
        <f>Orders!H1935</f>
        <v/>
      </c>
      <c r="I1935" s="55">
        <f>Orders!I1935</f>
        <v/>
      </c>
      <c r="J1935" s="55">
        <f>Orders!J1935</f>
        <v/>
      </c>
      <c r="K1935" s="55">
        <f>Orders!K1935</f>
        <v/>
      </c>
      <c r="L1935" s="55">
        <f>VLOOKUP(D1935,Products!$A$2:$F$61,3,FALSE())</f>
        <v/>
      </c>
      <c r="M1935" s="55">
        <f>VLOOKUP(C1935,Customers!$A$2:$F$301,5,FALSE())</f>
        <v/>
      </c>
      <c r="N1935" s="55">
        <f>VLOOKUP(E1935,Sales_Reps!$A$2:$E$31,3,FALSE())</f>
        <v/>
      </c>
      <c r="O1935" s="55">
        <f>VLOOKUP(D1935,Products!$A$2:$F$61,4,FALSE())</f>
        <v/>
      </c>
      <c r="P1935" s="55">
        <f>VLOOKUP(C1935,Customers!$A$2:$F$301,3,FALSE())</f>
        <v/>
      </c>
      <c r="Q1935" s="55">
        <f>UPPER(TRIM(K1935))</f>
        <v/>
      </c>
      <c r="R1935" s="55">
        <f>(G1935-O1935)/G1935</f>
        <v/>
      </c>
      <c r="S1935" s="55">
        <f>VLOOKUP(D1935,Products!$A$2:$F$61,6,FALSE())</f>
        <v/>
      </c>
    </row>
    <row r="1936" ht="15" customHeight="1" s="56">
      <c r="A1936" s="55">
        <f>Orders!A1936</f>
        <v/>
      </c>
      <c r="B1936" s="103">
        <f>Orders!B1936</f>
        <v/>
      </c>
      <c r="C1936" s="55">
        <f>Orders!C1936</f>
        <v/>
      </c>
      <c r="D1936" s="55">
        <f>Orders!D1936</f>
        <v/>
      </c>
      <c r="E1936" s="55">
        <f>Orders!E1936</f>
        <v/>
      </c>
      <c r="F1936" s="55">
        <f>Orders!F1936</f>
        <v/>
      </c>
      <c r="G1936" s="55">
        <f>Orders!G1936</f>
        <v/>
      </c>
      <c r="H1936" s="55">
        <f>Orders!H1936</f>
        <v/>
      </c>
      <c r="I1936" s="55">
        <f>Orders!I1936</f>
        <v/>
      </c>
      <c r="J1936" s="55">
        <f>Orders!J1936</f>
        <v/>
      </c>
      <c r="K1936" s="55">
        <f>Orders!K1936</f>
        <v/>
      </c>
      <c r="L1936" s="55">
        <f>VLOOKUP(D1936,Products!$A$2:$F$61,3,FALSE())</f>
        <v/>
      </c>
      <c r="M1936" s="55">
        <f>VLOOKUP(C1936,Customers!$A$2:$F$301,5,FALSE())</f>
        <v/>
      </c>
      <c r="N1936" s="55">
        <f>VLOOKUP(E1936,Sales_Reps!$A$2:$E$31,3,FALSE())</f>
        <v/>
      </c>
      <c r="O1936" s="55">
        <f>VLOOKUP(D1936,Products!$A$2:$F$61,4,FALSE())</f>
        <v/>
      </c>
      <c r="P1936" s="55">
        <f>VLOOKUP(C1936,Customers!$A$2:$F$301,3,FALSE())</f>
        <v/>
      </c>
      <c r="Q1936" s="55">
        <f>UPPER(TRIM(K1936))</f>
        <v/>
      </c>
      <c r="R1936" s="55">
        <f>(G1936-O1936)/G1936</f>
        <v/>
      </c>
      <c r="S1936" s="55">
        <f>VLOOKUP(D1936,Products!$A$2:$F$61,6,FALSE())</f>
        <v/>
      </c>
    </row>
    <row r="1937" ht="15" customHeight="1" s="56">
      <c r="A1937" s="55">
        <f>Orders!A1937</f>
        <v/>
      </c>
      <c r="B1937" s="103">
        <f>Orders!B1937</f>
        <v/>
      </c>
      <c r="C1937" s="55">
        <f>Orders!C1937</f>
        <v/>
      </c>
      <c r="D1937" s="55">
        <f>Orders!D1937</f>
        <v/>
      </c>
      <c r="E1937" s="55">
        <f>Orders!E1937</f>
        <v/>
      </c>
      <c r="F1937" s="55">
        <f>Orders!F1937</f>
        <v/>
      </c>
      <c r="G1937" s="55">
        <f>Orders!G1937</f>
        <v/>
      </c>
      <c r="H1937" s="55">
        <f>Orders!H1937</f>
        <v/>
      </c>
      <c r="I1937" s="55">
        <f>Orders!I1937</f>
        <v/>
      </c>
      <c r="J1937" s="55">
        <f>Orders!J1937</f>
        <v/>
      </c>
      <c r="K1937" s="55">
        <f>Orders!K1937</f>
        <v/>
      </c>
      <c r="L1937" s="55">
        <f>VLOOKUP(D1937,Products!$A$2:$F$61,3,FALSE())</f>
        <v/>
      </c>
      <c r="M1937" s="55">
        <f>VLOOKUP(C1937,Customers!$A$2:$F$301,5,FALSE())</f>
        <v/>
      </c>
      <c r="N1937" s="55">
        <f>VLOOKUP(E1937,Sales_Reps!$A$2:$E$31,3,FALSE())</f>
        <v/>
      </c>
      <c r="O1937" s="55">
        <f>VLOOKUP(D1937,Products!$A$2:$F$61,4,FALSE())</f>
        <v/>
      </c>
      <c r="P1937" s="55">
        <f>VLOOKUP(C1937,Customers!$A$2:$F$301,3,FALSE())</f>
        <v/>
      </c>
      <c r="Q1937" s="55">
        <f>UPPER(TRIM(K1937))</f>
        <v/>
      </c>
      <c r="R1937" s="55">
        <f>(G1937-O1937)/G1937</f>
        <v/>
      </c>
      <c r="S1937" s="55">
        <f>VLOOKUP(D1937,Products!$A$2:$F$61,6,FALSE())</f>
        <v/>
      </c>
    </row>
    <row r="1938" ht="15" customHeight="1" s="56">
      <c r="A1938" s="55">
        <f>Orders!A1938</f>
        <v/>
      </c>
      <c r="B1938" s="103">
        <f>Orders!B1938</f>
        <v/>
      </c>
      <c r="C1938" s="55">
        <f>Orders!C1938</f>
        <v/>
      </c>
      <c r="D1938" s="55">
        <f>Orders!D1938</f>
        <v/>
      </c>
      <c r="E1938" s="55">
        <f>Orders!E1938</f>
        <v/>
      </c>
      <c r="F1938" s="55">
        <f>Orders!F1938</f>
        <v/>
      </c>
      <c r="G1938" s="55">
        <f>Orders!G1938</f>
        <v/>
      </c>
      <c r="H1938" s="55">
        <f>Orders!H1938</f>
        <v/>
      </c>
      <c r="I1938" s="55">
        <f>Orders!I1938</f>
        <v/>
      </c>
      <c r="J1938" s="55">
        <f>Orders!J1938</f>
        <v/>
      </c>
      <c r="K1938" s="55">
        <f>Orders!K1938</f>
        <v/>
      </c>
      <c r="L1938" s="55">
        <f>VLOOKUP(D1938,Products!$A$2:$F$61,3,FALSE())</f>
        <v/>
      </c>
      <c r="M1938" s="55">
        <f>VLOOKUP(C1938,Customers!$A$2:$F$301,5,FALSE())</f>
        <v/>
      </c>
      <c r="N1938" s="55">
        <f>VLOOKUP(E1938,Sales_Reps!$A$2:$E$31,3,FALSE())</f>
        <v/>
      </c>
      <c r="O1938" s="55">
        <f>VLOOKUP(D1938,Products!$A$2:$F$61,4,FALSE())</f>
        <v/>
      </c>
      <c r="P1938" s="55">
        <f>VLOOKUP(C1938,Customers!$A$2:$F$301,3,FALSE())</f>
        <v/>
      </c>
      <c r="Q1938" s="55">
        <f>UPPER(TRIM(K1938))</f>
        <v/>
      </c>
      <c r="R1938" s="55">
        <f>(G1938-O1938)/G1938</f>
        <v/>
      </c>
      <c r="S1938" s="55">
        <f>VLOOKUP(D1938,Products!$A$2:$F$61,6,FALSE())</f>
        <v/>
      </c>
    </row>
    <row r="1939" ht="15" customHeight="1" s="56">
      <c r="A1939" s="55">
        <f>Orders!A1939</f>
        <v/>
      </c>
      <c r="B1939" s="103">
        <f>Orders!B1939</f>
        <v/>
      </c>
      <c r="C1939" s="55">
        <f>Orders!C1939</f>
        <v/>
      </c>
      <c r="D1939" s="55">
        <f>Orders!D1939</f>
        <v/>
      </c>
      <c r="E1939" s="55">
        <f>Orders!E1939</f>
        <v/>
      </c>
      <c r="F1939" s="55">
        <f>Orders!F1939</f>
        <v/>
      </c>
      <c r="G1939" s="55">
        <f>Orders!G1939</f>
        <v/>
      </c>
      <c r="H1939" s="55">
        <f>Orders!H1939</f>
        <v/>
      </c>
      <c r="I1939" s="55">
        <f>Orders!I1939</f>
        <v/>
      </c>
      <c r="J1939" s="55">
        <f>Orders!J1939</f>
        <v/>
      </c>
      <c r="K1939" s="55">
        <f>Orders!K1939</f>
        <v/>
      </c>
      <c r="L1939" s="55">
        <f>VLOOKUP(D1939,Products!$A$2:$F$61,3,FALSE())</f>
        <v/>
      </c>
      <c r="M1939" s="55">
        <f>VLOOKUP(C1939,Customers!$A$2:$F$301,5,FALSE())</f>
        <v/>
      </c>
      <c r="N1939" s="55">
        <f>VLOOKUP(E1939,Sales_Reps!$A$2:$E$31,3,FALSE())</f>
        <v/>
      </c>
      <c r="O1939" s="55">
        <f>VLOOKUP(D1939,Products!$A$2:$F$61,4,FALSE())</f>
        <v/>
      </c>
      <c r="P1939" s="55">
        <f>VLOOKUP(C1939,Customers!$A$2:$F$301,3,FALSE())</f>
        <v/>
      </c>
      <c r="Q1939" s="55">
        <f>UPPER(TRIM(K1939))</f>
        <v/>
      </c>
      <c r="R1939" s="55">
        <f>(G1939-O1939)/G1939</f>
        <v/>
      </c>
      <c r="S1939" s="55">
        <f>VLOOKUP(D1939,Products!$A$2:$F$61,6,FALSE())</f>
        <v/>
      </c>
    </row>
    <row r="1940" ht="15" customHeight="1" s="56">
      <c r="A1940" s="55">
        <f>Orders!A1940</f>
        <v/>
      </c>
      <c r="B1940" s="103">
        <f>Orders!B1940</f>
        <v/>
      </c>
      <c r="C1940" s="55">
        <f>Orders!C1940</f>
        <v/>
      </c>
      <c r="D1940" s="55">
        <f>Orders!D1940</f>
        <v/>
      </c>
      <c r="E1940" s="55">
        <f>Orders!E1940</f>
        <v/>
      </c>
      <c r="F1940" s="55">
        <f>Orders!F1940</f>
        <v/>
      </c>
      <c r="G1940" s="55">
        <f>Orders!G1940</f>
        <v/>
      </c>
      <c r="H1940" s="55">
        <f>Orders!H1940</f>
        <v/>
      </c>
      <c r="I1940" s="55">
        <f>Orders!I1940</f>
        <v/>
      </c>
      <c r="J1940" s="55">
        <f>Orders!J1940</f>
        <v/>
      </c>
      <c r="K1940" s="55">
        <f>Orders!K1940</f>
        <v/>
      </c>
      <c r="L1940" s="55">
        <f>VLOOKUP(D1940,Products!$A$2:$F$61,3,FALSE())</f>
        <v/>
      </c>
      <c r="M1940" s="55">
        <f>VLOOKUP(C1940,Customers!$A$2:$F$301,5,FALSE())</f>
        <v/>
      </c>
      <c r="N1940" s="55">
        <f>VLOOKUP(E1940,Sales_Reps!$A$2:$E$31,3,FALSE())</f>
        <v/>
      </c>
      <c r="O1940" s="55">
        <f>VLOOKUP(D1940,Products!$A$2:$F$61,4,FALSE())</f>
        <v/>
      </c>
      <c r="P1940" s="55">
        <f>VLOOKUP(C1940,Customers!$A$2:$F$301,3,FALSE())</f>
        <v/>
      </c>
      <c r="Q1940" s="55">
        <f>UPPER(TRIM(K1940))</f>
        <v/>
      </c>
      <c r="R1940" s="55">
        <f>(G1940-O1940)/G1940</f>
        <v/>
      </c>
      <c r="S1940" s="55">
        <f>VLOOKUP(D1940,Products!$A$2:$F$61,6,FALSE())</f>
        <v/>
      </c>
    </row>
    <row r="1941" ht="15" customHeight="1" s="56">
      <c r="A1941" s="55">
        <f>Orders!A1941</f>
        <v/>
      </c>
      <c r="B1941" s="103">
        <f>Orders!B1941</f>
        <v/>
      </c>
      <c r="C1941" s="55">
        <f>Orders!C1941</f>
        <v/>
      </c>
      <c r="D1941" s="55">
        <f>Orders!D1941</f>
        <v/>
      </c>
      <c r="E1941" s="55">
        <f>Orders!E1941</f>
        <v/>
      </c>
      <c r="F1941" s="55">
        <f>Orders!F1941</f>
        <v/>
      </c>
      <c r="G1941" s="55">
        <f>Orders!G1941</f>
        <v/>
      </c>
      <c r="H1941" s="55">
        <f>Orders!H1941</f>
        <v/>
      </c>
      <c r="I1941" s="55">
        <f>Orders!I1941</f>
        <v/>
      </c>
      <c r="J1941" s="55">
        <f>Orders!J1941</f>
        <v/>
      </c>
      <c r="K1941" s="55">
        <f>Orders!K1941</f>
        <v/>
      </c>
      <c r="L1941" s="55">
        <f>VLOOKUP(D1941,Products!$A$2:$F$61,3,FALSE())</f>
        <v/>
      </c>
      <c r="M1941" s="55">
        <f>VLOOKUP(C1941,Customers!$A$2:$F$301,5,FALSE())</f>
        <v/>
      </c>
      <c r="N1941" s="55">
        <f>VLOOKUP(E1941,Sales_Reps!$A$2:$E$31,3,FALSE())</f>
        <v/>
      </c>
      <c r="O1941" s="55">
        <f>VLOOKUP(D1941,Products!$A$2:$F$61,4,FALSE())</f>
        <v/>
      </c>
      <c r="P1941" s="55">
        <f>VLOOKUP(C1941,Customers!$A$2:$F$301,3,FALSE())</f>
        <v/>
      </c>
      <c r="Q1941" s="55">
        <f>UPPER(TRIM(K1941))</f>
        <v/>
      </c>
      <c r="R1941" s="55">
        <f>(G1941-O1941)/G1941</f>
        <v/>
      </c>
      <c r="S1941" s="55">
        <f>VLOOKUP(D1941,Products!$A$2:$F$61,6,FALSE())</f>
        <v/>
      </c>
    </row>
    <row r="1942" ht="15" customHeight="1" s="56">
      <c r="A1942" s="55">
        <f>Orders!A1942</f>
        <v/>
      </c>
      <c r="B1942" s="103">
        <f>Orders!B1942</f>
        <v/>
      </c>
      <c r="C1942" s="55">
        <f>Orders!C1942</f>
        <v/>
      </c>
      <c r="D1942" s="55">
        <f>Orders!D1942</f>
        <v/>
      </c>
      <c r="E1942" s="55">
        <f>Orders!E1942</f>
        <v/>
      </c>
      <c r="F1942" s="55">
        <f>Orders!F1942</f>
        <v/>
      </c>
      <c r="G1942" s="55">
        <f>Orders!G1942</f>
        <v/>
      </c>
      <c r="H1942" s="55">
        <f>Orders!H1942</f>
        <v/>
      </c>
      <c r="I1942" s="55">
        <f>Orders!I1942</f>
        <v/>
      </c>
      <c r="J1942" s="55">
        <f>Orders!J1942</f>
        <v/>
      </c>
      <c r="K1942" s="55">
        <f>Orders!K1942</f>
        <v/>
      </c>
      <c r="L1942" s="55">
        <f>VLOOKUP(D1942,Products!$A$2:$F$61,3,FALSE())</f>
        <v/>
      </c>
      <c r="M1942" s="55">
        <f>VLOOKUP(C1942,Customers!$A$2:$F$301,5,FALSE())</f>
        <v/>
      </c>
      <c r="N1942" s="55">
        <f>VLOOKUP(E1942,Sales_Reps!$A$2:$E$31,3,FALSE())</f>
        <v/>
      </c>
      <c r="O1942" s="55">
        <f>VLOOKUP(D1942,Products!$A$2:$F$61,4,FALSE())</f>
        <v/>
      </c>
      <c r="P1942" s="55">
        <f>VLOOKUP(C1942,Customers!$A$2:$F$301,3,FALSE())</f>
        <v/>
      </c>
      <c r="Q1942" s="55">
        <f>UPPER(TRIM(K1942))</f>
        <v/>
      </c>
      <c r="R1942" s="55">
        <f>(G1942-O1942)/G1942</f>
        <v/>
      </c>
      <c r="S1942" s="55">
        <f>VLOOKUP(D1942,Products!$A$2:$F$61,6,FALSE())</f>
        <v/>
      </c>
    </row>
    <row r="1943" ht="15" customHeight="1" s="56">
      <c r="A1943" s="55">
        <f>Orders!A1943</f>
        <v/>
      </c>
      <c r="B1943" s="103">
        <f>Orders!B1943</f>
        <v/>
      </c>
      <c r="C1943" s="55">
        <f>Orders!C1943</f>
        <v/>
      </c>
      <c r="D1943" s="55">
        <f>Orders!D1943</f>
        <v/>
      </c>
      <c r="E1943" s="55">
        <f>Orders!E1943</f>
        <v/>
      </c>
      <c r="F1943" s="55">
        <f>Orders!F1943</f>
        <v/>
      </c>
      <c r="G1943" s="55">
        <f>Orders!G1943</f>
        <v/>
      </c>
      <c r="H1943" s="55">
        <f>Orders!H1943</f>
        <v/>
      </c>
      <c r="I1943" s="55">
        <f>Orders!I1943</f>
        <v/>
      </c>
      <c r="J1943" s="55">
        <f>Orders!J1943</f>
        <v/>
      </c>
      <c r="K1943" s="55">
        <f>Orders!K1943</f>
        <v/>
      </c>
      <c r="L1943" s="55">
        <f>VLOOKUP(D1943,Products!$A$2:$F$61,3,FALSE())</f>
        <v/>
      </c>
      <c r="M1943" s="55">
        <f>VLOOKUP(C1943,Customers!$A$2:$F$301,5,FALSE())</f>
        <v/>
      </c>
      <c r="N1943" s="55">
        <f>VLOOKUP(E1943,Sales_Reps!$A$2:$E$31,3,FALSE())</f>
        <v/>
      </c>
      <c r="O1943" s="55">
        <f>VLOOKUP(D1943,Products!$A$2:$F$61,4,FALSE())</f>
        <v/>
      </c>
      <c r="P1943" s="55">
        <f>VLOOKUP(C1943,Customers!$A$2:$F$301,3,FALSE())</f>
        <v/>
      </c>
      <c r="Q1943" s="55">
        <f>UPPER(TRIM(K1943))</f>
        <v/>
      </c>
      <c r="R1943" s="55">
        <f>(G1943-O1943)/G1943</f>
        <v/>
      </c>
      <c r="S1943" s="55">
        <f>VLOOKUP(D1943,Products!$A$2:$F$61,6,FALSE())</f>
        <v/>
      </c>
    </row>
    <row r="1944" ht="15" customHeight="1" s="56">
      <c r="A1944" s="55">
        <f>Orders!A1944</f>
        <v/>
      </c>
      <c r="B1944" s="103">
        <f>Orders!B1944</f>
        <v/>
      </c>
      <c r="C1944" s="55">
        <f>Orders!C1944</f>
        <v/>
      </c>
      <c r="D1944" s="55">
        <f>Orders!D1944</f>
        <v/>
      </c>
      <c r="E1944" s="55">
        <f>Orders!E1944</f>
        <v/>
      </c>
      <c r="F1944" s="55">
        <f>Orders!F1944</f>
        <v/>
      </c>
      <c r="G1944" s="55">
        <f>Orders!G1944</f>
        <v/>
      </c>
      <c r="H1944" s="55">
        <f>Orders!H1944</f>
        <v/>
      </c>
      <c r="I1944" s="55">
        <f>Orders!I1944</f>
        <v/>
      </c>
      <c r="J1944" s="55">
        <f>Orders!J1944</f>
        <v/>
      </c>
      <c r="K1944" s="55">
        <f>Orders!K1944</f>
        <v/>
      </c>
      <c r="L1944" s="55">
        <f>VLOOKUP(D1944,Products!$A$2:$F$61,3,FALSE())</f>
        <v/>
      </c>
      <c r="M1944" s="55">
        <f>VLOOKUP(C1944,Customers!$A$2:$F$301,5,FALSE())</f>
        <v/>
      </c>
      <c r="N1944" s="55">
        <f>VLOOKUP(E1944,Sales_Reps!$A$2:$E$31,3,FALSE())</f>
        <v/>
      </c>
      <c r="O1944" s="55">
        <f>VLOOKUP(D1944,Products!$A$2:$F$61,4,FALSE())</f>
        <v/>
      </c>
      <c r="P1944" s="55">
        <f>VLOOKUP(C1944,Customers!$A$2:$F$301,3,FALSE())</f>
        <v/>
      </c>
      <c r="Q1944" s="55">
        <f>UPPER(TRIM(K1944))</f>
        <v/>
      </c>
      <c r="R1944" s="55">
        <f>(G1944-O1944)/G1944</f>
        <v/>
      </c>
      <c r="S1944" s="55">
        <f>VLOOKUP(D1944,Products!$A$2:$F$61,6,FALSE())</f>
        <v/>
      </c>
    </row>
    <row r="1945" ht="15" customHeight="1" s="56">
      <c r="A1945" s="55">
        <f>Orders!A1945</f>
        <v/>
      </c>
      <c r="B1945" s="103">
        <f>Orders!B1945</f>
        <v/>
      </c>
      <c r="C1945" s="55">
        <f>Orders!C1945</f>
        <v/>
      </c>
      <c r="D1945" s="55">
        <f>Orders!D1945</f>
        <v/>
      </c>
      <c r="E1945" s="55">
        <f>Orders!E1945</f>
        <v/>
      </c>
      <c r="F1945" s="55">
        <f>Orders!F1945</f>
        <v/>
      </c>
      <c r="G1945" s="55">
        <f>Orders!G1945</f>
        <v/>
      </c>
      <c r="H1945" s="55">
        <f>Orders!H1945</f>
        <v/>
      </c>
      <c r="I1945" s="55">
        <f>Orders!I1945</f>
        <v/>
      </c>
      <c r="J1945" s="55">
        <f>Orders!J1945</f>
        <v/>
      </c>
      <c r="K1945" s="55">
        <f>Orders!K1945</f>
        <v/>
      </c>
      <c r="L1945" s="55">
        <f>VLOOKUP(D1945,Products!$A$2:$F$61,3,FALSE())</f>
        <v/>
      </c>
      <c r="M1945" s="55">
        <f>VLOOKUP(C1945,Customers!$A$2:$F$301,5,FALSE())</f>
        <v/>
      </c>
      <c r="N1945" s="55">
        <f>VLOOKUP(E1945,Sales_Reps!$A$2:$E$31,3,FALSE())</f>
        <v/>
      </c>
      <c r="O1945" s="55">
        <f>VLOOKUP(D1945,Products!$A$2:$F$61,4,FALSE())</f>
        <v/>
      </c>
      <c r="P1945" s="55">
        <f>VLOOKUP(C1945,Customers!$A$2:$F$301,3,FALSE())</f>
        <v/>
      </c>
      <c r="Q1945" s="55">
        <f>UPPER(TRIM(K1945))</f>
        <v/>
      </c>
      <c r="R1945" s="55">
        <f>(G1945-O1945)/G1945</f>
        <v/>
      </c>
      <c r="S1945" s="55">
        <f>VLOOKUP(D1945,Products!$A$2:$F$61,6,FALSE())</f>
        <v/>
      </c>
    </row>
    <row r="1946" ht="15" customHeight="1" s="56">
      <c r="A1946" s="55">
        <f>Orders!A1946</f>
        <v/>
      </c>
      <c r="B1946" s="103">
        <f>Orders!B1946</f>
        <v/>
      </c>
      <c r="C1946" s="55">
        <f>Orders!C1946</f>
        <v/>
      </c>
      <c r="D1946" s="55">
        <f>Orders!D1946</f>
        <v/>
      </c>
      <c r="E1946" s="55">
        <f>Orders!E1946</f>
        <v/>
      </c>
      <c r="F1946" s="55">
        <f>Orders!F1946</f>
        <v/>
      </c>
      <c r="G1946" s="55">
        <f>Orders!G1946</f>
        <v/>
      </c>
      <c r="H1946" s="55">
        <f>Orders!H1946</f>
        <v/>
      </c>
      <c r="I1946" s="55">
        <f>Orders!I1946</f>
        <v/>
      </c>
      <c r="J1946" s="55">
        <f>Orders!J1946</f>
        <v/>
      </c>
      <c r="K1946" s="55">
        <f>Orders!K1946</f>
        <v/>
      </c>
      <c r="L1946" s="55">
        <f>VLOOKUP(D1946,Products!$A$2:$F$61,3,FALSE())</f>
        <v/>
      </c>
      <c r="M1946" s="55">
        <f>VLOOKUP(C1946,Customers!$A$2:$F$301,5,FALSE())</f>
        <v/>
      </c>
      <c r="N1946" s="55">
        <f>VLOOKUP(E1946,Sales_Reps!$A$2:$E$31,3,FALSE())</f>
        <v/>
      </c>
      <c r="O1946" s="55">
        <f>VLOOKUP(D1946,Products!$A$2:$F$61,4,FALSE())</f>
        <v/>
      </c>
      <c r="P1946" s="55">
        <f>VLOOKUP(C1946,Customers!$A$2:$F$301,3,FALSE())</f>
        <v/>
      </c>
      <c r="Q1946" s="55">
        <f>UPPER(TRIM(K1946))</f>
        <v/>
      </c>
      <c r="R1946" s="55">
        <f>(G1946-O1946)/G1946</f>
        <v/>
      </c>
      <c r="S1946" s="55">
        <f>VLOOKUP(D1946,Products!$A$2:$F$61,6,FALSE())</f>
        <v/>
      </c>
    </row>
    <row r="1947" ht="15" customHeight="1" s="56">
      <c r="A1947" s="55">
        <f>Orders!A1947</f>
        <v/>
      </c>
      <c r="B1947" s="103">
        <f>Orders!B1947</f>
        <v/>
      </c>
      <c r="C1947" s="55">
        <f>Orders!C1947</f>
        <v/>
      </c>
      <c r="D1947" s="55">
        <f>Orders!D1947</f>
        <v/>
      </c>
      <c r="E1947" s="55">
        <f>Orders!E1947</f>
        <v/>
      </c>
      <c r="F1947" s="55">
        <f>Orders!F1947</f>
        <v/>
      </c>
      <c r="G1947" s="55">
        <f>Orders!G1947</f>
        <v/>
      </c>
      <c r="H1947" s="55">
        <f>Orders!H1947</f>
        <v/>
      </c>
      <c r="I1947" s="55">
        <f>Orders!I1947</f>
        <v/>
      </c>
      <c r="J1947" s="55">
        <f>Orders!J1947</f>
        <v/>
      </c>
      <c r="K1947" s="55">
        <f>Orders!K1947</f>
        <v/>
      </c>
      <c r="L1947" s="55">
        <f>VLOOKUP(D1947,Products!$A$2:$F$61,3,FALSE())</f>
        <v/>
      </c>
      <c r="M1947" s="55">
        <f>VLOOKUP(C1947,Customers!$A$2:$F$301,5,FALSE())</f>
        <v/>
      </c>
      <c r="N1947" s="55">
        <f>VLOOKUP(E1947,Sales_Reps!$A$2:$E$31,3,FALSE())</f>
        <v/>
      </c>
      <c r="O1947" s="55">
        <f>VLOOKUP(D1947,Products!$A$2:$F$61,4,FALSE())</f>
        <v/>
      </c>
      <c r="P1947" s="55">
        <f>VLOOKUP(C1947,Customers!$A$2:$F$301,3,FALSE())</f>
        <v/>
      </c>
      <c r="Q1947" s="55">
        <f>UPPER(TRIM(K1947))</f>
        <v/>
      </c>
      <c r="R1947" s="55">
        <f>(G1947-O1947)/G1947</f>
        <v/>
      </c>
      <c r="S1947" s="55">
        <f>VLOOKUP(D1947,Products!$A$2:$F$61,6,FALSE())</f>
        <v/>
      </c>
    </row>
    <row r="1948" ht="15" customHeight="1" s="56">
      <c r="A1948" s="55">
        <f>Orders!A1948</f>
        <v/>
      </c>
      <c r="B1948" s="103">
        <f>Orders!B1948</f>
        <v/>
      </c>
      <c r="C1948" s="55">
        <f>Orders!C1948</f>
        <v/>
      </c>
      <c r="D1948" s="55">
        <f>Orders!D1948</f>
        <v/>
      </c>
      <c r="E1948" s="55">
        <f>Orders!E1948</f>
        <v/>
      </c>
      <c r="F1948" s="55">
        <f>Orders!F1948</f>
        <v/>
      </c>
      <c r="G1948" s="55">
        <f>Orders!G1948</f>
        <v/>
      </c>
      <c r="H1948" s="55">
        <f>Orders!H1948</f>
        <v/>
      </c>
      <c r="I1948" s="55">
        <f>Orders!I1948</f>
        <v/>
      </c>
      <c r="J1948" s="55">
        <f>Orders!J1948</f>
        <v/>
      </c>
      <c r="K1948" s="55">
        <f>Orders!K1948</f>
        <v/>
      </c>
      <c r="L1948" s="55">
        <f>VLOOKUP(D1948,Products!$A$2:$F$61,3,FALSE())</f>
        <v/>
      </c>
      <c r="M1948" s="55">
        <f>VLOOKUP(C1948,Customers!$A$2:$F$301,5,FALSE())</f>
        <v/>
      </c>
      <c r="N1948" s="55">
        <f>VLOOKUP(E1948,Sales_Reps!$A$2:$E$31,3,FALSE())</f>
        <v/>
      </c>
      <c r="O1948" s="55">
        <f>VLOOKUP(D1948,Products!$A$2:$F$61,4,FALSE())</f>
        <v/>
      </c>
      <c r="P1948" s="55">
        <f>VLOOKUP(C1948,Customers!$A$2:$F$301,3,FALSE())</f>
        <v/>
      </c>
      <c r="Q1948" s="55">
        <f>UPPER(TRIM(K1948))</f>
        <v/>
      </c>
      <c r="R1948" s="55">
        <f>(G1948-O1948)/G1948</f>
        <v/>
      </c>
      <c r="S1948" s="55">
        <f>VLOOKUP(D1948,Products!$A$2:$F$61,6,FALSE())</f>
        <v/>
      </c>
    </row>
    <row r="1949" ht="15" customHeight="1" s="56">
      <c r="A1949" s="55">
        <f>Orders!A1949</f>
        <v/>
      </c>
      <c r="B1949" s="103">
        <f>Orders!B1949</f>
        <v/>
      </c>
      <c r="C1949" s="55">
        <f>Orders!C1949</f>
        <v/>
      </c>
      <c r="D1949" s="55">
        <f>Orders!D1949</f>
        <v/>
      </c>
      <c r="E1949" s="55">
        <f>Orders!E1949</f>
        <v/>
      </c>
      <c r="F1949" s="55">
        <f>Orders!F1949</f>
        <v/>
      </c>
      <c r="G1949" s="55">
        <f>Orders!G1949</f>
        <v/>
      </c>
      <c r="H1949" s="55">
        <f>Orders!H1949</f>
        <v/>
      </c>
      <c r="I1949" s="55">
        <f>Orders!I1949</f>
        <v/>
      </c>
      <c r="J1949" s="55">
        <f>Orders!J1949</f>
        <v/>
      </c>
      <c r="K1949" s="55">
        <f>Orders!K1949</f>
        <v/>
      </c>
      <c r="L1949" s="55">
        <f>VLOOKUP(D1949,Products!$A$2:$F$61,3,FALSE())</f>
        <v/>
      </c>
      <c r="M1949" s="55">
        <f>VLOOKUP(C1949,Customers!$A$2:$F$301,5,FALSE())</f>
        <v/>
      </c>
      <c r="N1949" s="55">
        <f>VLOOKUP(E1949,Sales_Reps!$A$2:$E$31,3,FALSE())</f>
        <v/>
      </c>
      <c r="O1949" s="55">
        <f>VLOOKUP(D1949,Products!$A$2:$F$61,4,FALSE())</f>
        <v/>
      </c>
      <c r="P1949" s="55">
        <f>VLOOKUP(C1949,Customers!$A$2:$F$301,3,FALSE())</f>
        <v/>
      </c>
      <c r="Q1949" s="55">
        <f>UPPER(TRIM(K1949))</f>
        <v/>
      </c>
      <c r="R1949" s="55">
        <f>(G1949-O1949)/G1949</f>
        <v/>
      </c>
      <c r="S1949" s="55">
        <f>VLOOKUP(D1949,Products!$A$2:$F$61,6,FALSE())</f>
        <v/>
      </c>
    </row>
    <row r="1950" ht="15" customHeight="1" s="56">
      <c r="A1950" s="55">
        <f>Orders!A1950</f>
        <v/>
      </c>
      <c r="B1950" s="103">
        <f>Orders!B1950</f>
        <v/>
      </c>
      <c r="C1950" s="55">
        <f>Orders!C1950</f>
        <v/>
      </c>
      <c r="D1950" s="55">
        <f>Orders!D1950</f>
        <v/>
      </c>
      <c r="E1950" s="55">
        <f>Orders!E1950</f>
        <v/>
      </c>
      <c r="F1950" s="55">
        <f>Orders!F1950</f>
        <v/>
      </c>
      <c r="G1950" s="55">
        <f>Orders!G1950</f>
        <v/>
      </c>
      <c r="H1950" s="55">
        <f>Orders!H1950</f>
        <v/>
      </c>
      <c r="I1950" s="55">
        <f>Orders!I1950</f>
        <v/>
      </c>
      <c r="J1950" s="55">
        <f>Orders!J1950</f>
        <v/>
      </c>
      <c r="K1950" s="55">
        <f>Orders!K1950</f>
        <v/>
      </c>
      <c r="L1950" s="55">
        <f>VLOOKUP(D1950,Products!$A$2:$F$61,3,FALSE())</f>
        <v/>
      </c>
      <c r="M1950" s="55">
        <f>VLOOKUP(C1950,Customers!$A$2:$F$301,5,FALSE())</f>
        <v/>
      </c>
      <c r="N1950" s="55">
        <f>VLOOKUP(E1950,Sales_Reps!$A$2:$E$31,3,FALSE())</f>
        <v/>
      </c>
      <c r="O1950" s="55">
        <f>VLOOKUP(D1950,Products!$A$2:$F$61,4,FALSE())</f>
        <v/>
      </c>
      <c r="P1950" s="55">
        <f>VLOOKUP(C1950,Customers!$A$2:$F$301,3,FALSE())</f>
        <v/>
      </c>
      <c r="Q1950" s="55">
        <f>UPPER(TRIM(K1950))</f>
        <v/>
      </c>
      <c r="R1950" s="55">
        <f>(G1950-O1950)/G1950</f>
        <v/>
      </c>
      <c r="S1950" s="55">
        <f>VLOOKUP(D1950,Products!$A$2:$F$61,6,FALSE())</f>
        <v/>
      </c>
    </row>
    <row r="1951" ht="15" customHeight="1" s="56">
      <c r="A1951" s="55">
        <f>Orders!A1951</f>
        <v/>
      </c>
      <c r="B1951" s="103">
        <f>Orders!B1951</f>
        <v/>
      </c>
      <c r="C1951" s="55">
        <f>Orders!C1951</f>
        <v/>
      </c>
      <c r="D1951" s="55">
        <f>Orders!D1951</f>
        <v/>
      </c>
      <c r="E1951" s="55">
        <f>Orders!E1951</f>
        <v/>
      </c>
      <c r="F1951" s="55">
        <f>Orders!F1951</f>
        <v/>
      </c>
      <c r="G1951" s="55">
        <f>Orders!G1951</f>
        <v/>
      </c>
      <c r="H1951" s="55">
        <f>Orders!H1951</f>
        <v/>
      </c>
      <c r="I1951" s="55">
        <f>Orders!I1951</f>
        <v/>
      </c>
      <c r="J1951" s="55">
        <f>Orders!J1951</f>
        <v/>
      </c>
      <c r="K1951" s="55">
        <f>Orders!K1951</f>
        <v/>
      </c>
      <c r="L1951" s="55">
        <f>VLOOKUP(D1951,Products!$A$2:$F$61,3,FALSE())</f>
        <v/>
      </c>
      <c r="M1951" s="55">
        <f>VLOOKUP(C1951,Customers!$A$2:$F$301,5,FALSE())</f>
        <v/>
      </c>
      <c r="N1951" s="55">
        <f>VLOOKUP(E1951,Sales_Reps!$A$2:$E$31,3,FALSE())</f>
        <v/>
      </c>
      <c r="O1951" s="55">
        <f>VLOOKUP(D1951,Products!$A$2:$F$61,4,FALSE())</f>
        <v/>
      </c>
      <c r="P1951" s="55">
        <f>VLOOKUP(C1951,Customers!$A$2:$F$301,3,FALSE())</f>
        <v/>
      </c>
      <c r="Q1951" s="55">
        <f>UPPER(TRIM(K1951))</f>
        <v/>
      </c>
      <c r="R1951" s="55">
        <f>(G1951-O1951)/G1951</f>
        <v/>
      </c>
      <c r="S1951" s="55">
        <f>VLOOKUP(D1951,Products!$A$2:$F$61,6,FALSE())</f>
        <v/>
      </c>
    </row>
    <row r="1952" ht="15" customHeight="1" s="56">
      <c r="A1952" s="55">
        <f>Orders!A1952</f>
        <v/>
      </c>
      <c r="B1952" s="103">
        <f>Orders!B1952</f>
        <v/>
      </c>
      <c r="C1952" s="55">
        <f>Orders!C1952</f>
        <v/>
      </c>
      <c r="D1952" s="55">
        <f>Orders!D1952</f>
        <v/>
      </c>
      <c r="E1952" s="55">
        <f>Orders!E1952</f>
        <v/>
      </c>
      <c r="F1952" s="55">
        <f>Orders!F1952</f>
        <v/>
      </c>
      <c r="G1952" s="55">
        <f>Orders!G1952</f>
        <v/>
      </c>
      <c r="H1952" s="55">
        <f>Orders!H1952</f>
        <v/>
      </c>
      <c r="I1952" s="55">
        <f>Orders!I1952</f>
        <v/>
      </c>
      <c r="J1952" s="55">
        <f>Orders!J1952</f>
        <v/>
      </c>
      <c r="K1952" s="55">
        <f>Orders!K1952</f>
        <v/>
      </c>
      <c r="L1952" s="55">
        <f>VLOOKUP(D1952,Products!$A$2:$F$61,3,FALSE())</f>
        <v/>
      </c>
      <c r="M1952" s="55">
        <f>VLOOKUP(C1952,Customers!$A$2:$F$301,5,FALSE())</f>
        <v/>
      </c>
      <c r="N1952" s="55">
        <f>VLOOKUP(E1952,Sales_Reps!$A$2:$E$31,3,FALSE())</f>
        <v/>
      </c>
      <c r="O1952" s="55">
        <f>VLOOKUP(D1952,Products!$A$2:$F$61,4,FALSE())</f>
        <v/>
      </c>
      <c r="P1952" s="55">
        <f>VLOOKUP(C1952,Customers!$A$2:$F$301,3,FALSE())</f>
        <v/>
      </c>
      <c r="Q1952" s="55">
        <f>UPPER(TRIM(K1952))</f>
        <v/>
      </c>
      <c r="R1952" s="55">
        <f>(G1952-O1952)/G1952</f>
        <v/>
      </c>
      <c r="S1952" s="55">
        <f>VLOOKUP(D1952,Products!$A$2:$F$61,6,FALSE())</f>
        <v/>
      </c>
    </row>
    <row r="1953" ht="15" customHeight="1" s="56">
      <c r="A1953" s="55">
        <f>Orders!A1953</f>
        <v/>
      </c>
      <c r="B1953" s="103">
        <f>Orders!B1953</f>
        <v/>
      </c>
      <c r="C1953" s="55">
        <f>Orders!C1953</f>
        <v/>
      </c>
      <c r="D1953" s="55">
        <f>Orders!D1953</f>
        <v/>
      </c>
      <c r="E1953" s="55">
        <f>Orders!E1953</f>
        <v/>
      </c>
      <c r="F1953" s="55">
        <f>Orders!F1953</f>
        <v/>
      </c>
      <c r="G1953" s="55">
        <f>Orders!G1953</f>
        <v/>
      </c>
      <c r="H1953" s="55">
        <f>Orders!H1953</f>
        <v/>
      </c>
      <c r="I1953" s="55">
        <f>Orders!I1953</f>
        <v/>
      </c>
      <c r="J1953" s="55">
        <f>Orders!J1953</f>
        <v/>
      </c>
      <c r="K1953" s="55">
        <f>Orders!K1953</f>
        <v/>
      </c>
      <c r="L1953" s="55">
        <f>VLOOKUP(D1953,Products!$A$2:$F$61,3,FALSE())</f>
        <v/>
      </c>
      <c r="M1953" s="55">
        <f>VLOOKUP(C1953,Customers!$A$2:$F$301,5,FALSE())</f>
        <v/>
      </c>
      <c r="N1953" s="55">
        <f>VLOOKUP(E1953,Sales_Reps!$A$2:$E$31,3,FALSE())</f>
        <v/>
      </c>
      <c r="O1953" s="55">
        <f>VLOOKUP(D1953,Products!$A$2:$F$61,4,FALSE())</f>
        <v/>
      </c>
      <c r="P1953" s="55">
        <f>VLOOKUP(C1953,Customers!$A$2:$F$301,3,FALSE())</f>
        <v/>
      </c>
      <c r="Q1953" s="55">
        <f>UPPER(TRIM(K1953))</f>
        <v/>
      </c>
      <c r="R1953" s="55">
        <f>(G1953-O1953)/G1953</f>
        <v/>
      </c>
      <c r="S1953" s="55">
        <f>VLOOKUP(D1953,Products!$A$2:$F$61,6,FALSE())</f>
        <v/>
      </c>
    </row>
    <row r="1954" ht="15" customHeight="1" s="56">
      <c r="A1954" s="55">
        <f>Orders!A1954</f>
        <v/>
      </c>
      <c r="B1954" s="103">
        <f>Orders!B1954</f>
        <v/>
      </c>
      <c r="C1954" s="55">
        <f>Orders!C1954</f>
        <v/>
      </c>
      <c r="D1954" s="55">
        <f>Orders!D1954</f>
        <v/>
      </c>
      <c r="E1954" s="55">
        <f>Orders!E1954</f>
        <v/>
      </c>
      <c r="F1954" s="55">
        <f>Orders!F1954</f>
        <v/>
      </c>
      <c r="G1954" s="55">
        <f>Orders!G1954</f>
        <v/>
      </c>
      <c r="H1954" s="55">
        <f>Orders!H1954</f>
        <v/>
      </c>
      <c r="I1954" s="55">
        <f>Orders!I1954</f>
        <v/>
      </c>
      <c r="J1954" s="55">
        <f>Orders!J1954</f>
        <v/>
      </c>
      <c r="K1954" s="55">
        <f>Orders!K1954</f>
        <v/>
      </c>
      <c r="L1954" s="55">
        <f>VLOOKUP(D1954,Products!$A$2:$F$61,3,FALSE())</f>
        <v/>
      </c>
      <c r="M1954" s="55">
        <f>VLOOKUP(C1954,Customers!$A$2:$F$301,5,FALSE())</f>
        <v/>
      </c>
      <c r="N1954" s="55">
        <f>VLOOKUP(E1954,Sales_Reps!$A$2:$E$31,3,FALSE())</f>
        <v/>
      </c>
      <c r="O1954" s="55">
        <f>VLOOKUP(D1954,Products!$A$2:$F$61,4,FALSE())</f>
        <v/>
      </c>
      <c r="P1954" s="55">
        <f>VLOOKUP(C1954,Customers!$A$2:$F$301,3,FALSE())</f>
        <v/>
      </c>
      <c r="Q1954" s="55">
        <f>UPPER(TRIM(K1954))</f>
        <v/>
      </c>
      <c r="R1954" s="55">
        <f>(G1954-O1954)/G1954</f>
        <v/>
      </c>
      <c r="S1954" s="55">
        <f>VLOOKUP(D1954,Products!$A$2:$F$61,6,FALSE())</f>
        <v/>
      </c>
    </row>
    <row r="1955" ht="15" customHeight="1" s="56">
      <c r="A1955" s="55">
        <f>Orders!A1955</f>
        <v/>
      </c>
      <c r="B1955" s="103">
        <f>Orders!B1955</f>
        <v/>
      </c>
      <c r="C1955" s="55">
        <f>Orders!C1955</f>
        <v/>
      </c>
      <c r="D1955" s="55">
        <f>Orders!D1955</f>
        <v/>
      </c>
      <c r="E1955" s="55">
        <f>Orders!E1955</f>
        <v/>
      </c>
      <c r="F1955" s="55">
        <f>Orders!F1955</f>
        <v/>
      </c>
      <c r="G1955" s="55">
        <f>Orders!G1955</f>
        <v/>
      </c>
      <c r="H1955" s="55">
        <f>Orders!H1955</f>
        <v/>
      </c>
      <c r="I1955" s="55">
        <f>Orders!I1955</f>
        <v/>
      </c>
      <c r="J1955" s="55">
        <f>Orders!J1955</f>
        <v/>
      </c>
      <c r="K1955" s="55">
        <f>Orders!K1955</f>
        <v/>
      </c>
      <c r="L1955" s="55">
        <f>VLOOKUP(D1955,Products!$A$2:$F$61,3,FALSE())</f>
        <v/>
      </c>
      <c r="M1955" s="55">
        <f>VLOOKUP(C1955,Customers!$A$2:$F$301,5,FALSE())</f>
        <v/>
      </c>
      <c r="N1955" s="55">
        <f>VLOOKUP(E1955,Sales_Reps!$A$2:$E$31,3,FALSE())</f>
        <v/>
      </c>
      <c r="O1955" s="55">
        <f>VLOOKUP(D1955,Products!$A$2:$F$61,4,FALSE())</f>
        <v/>
      </c>
      <c r="P1955" s="55">
        <f>VLOOKUP(C1955,Customers!$A$2:$F$301,3,FALSE())</f>
        <v/>
      </c>
      <c r="Q1955" s="55">
        <f>UPPER(TRIM(K1955))</f>
        <v/>
      </c>
      <c r="R1955" s="55">
        <f>(G1955-O1955)/G1955</f>
        <v/>
      </c>
      <c r="S1955" s="55">
        <f>VLOOKUP(D1955,Products!$A$2:$F$61,6,FALSE())</f>
        <v/>
      </c>
    </row>
    <row r="1956" ht="15" customHeight="1" s="56">
      <c r="A1956" s="55">
        <f>Orders!A1956</f>
        <v/>
      </c>
      <c r="B1956" s="103">
        <f>Orders!B1956</f>
        <v/>
      </c>
      <c r="C1956" s="55">
        <f>Orders!C1956</f>
        <v/>
      </c>
      <c r="D1956" s="55">
        <f>Orders!D1956</f>
        <v/>
      </c>
      <c r="E1956" s="55">
        <f>Orders!E1956</f>
        <v/>
      </c>
      <c r="F1956" s="55">
        <f>Orders!F1956</f>
        <v/>
      </c>
      <c r="G1956" s="55">
        <f>Orders!G1956</f>
        <v/>
      </c>
      <c r="H1956" s="55">
        <f>Orders!H1956</f>
        <v/>
      </c>
      <c r="I1956" s="55">
        <f>Orders!I1956</f>
        <v/>
      </c>
      <c r="J1956" s="55">
        <f>Orders!J1956</f>
        <v/>
      </c>
      <c r="K1956" s="55">
        <f>Orders!K1956</f>
        <v/>
      </c>
      <c r="L1956" s="55">
        <f>VLOOKUP(D1956,Products!$A$2:$F$61,3,FALSE())</f>
        <v/>
      </c>
      <c r="M1956" s="55">
        <f>VLOOKUP(C1956,Customers!$A$2:$F$301,5,FALSE())</f>
        <v/>
      </c>
      <c r="N1956" s="55">
        <f>VLOOKUP(E1956,Sales_Reps!$A$2:$E$31,3,FALSE())</f>
        <v/>
      </c>
      <c r="O1956" s="55">
        <f>VLOOKUP(D1956,Products!$A$2:$F$61,4,FALSE())</f>
        <v/>
      </c>
      <c r="P1956" s="55">
        <f>VLOOKUP(C1956,Customers!$A$2:$F$301,3,FALSE())</f>
        <v/>
      </c>
      <c r="Q1956" s="55">
        <f>UPPER(TRIM(K1956))</f>
        <v/>
      </c>
      <c r="R1956" s="55">
        <f>(G1956-O1956)/G1956</f>
        <v/>
      </c>
      <c r="S1956" s="55">
        <f>VLOOKUP(D1956,Products!$A$2:$F$61,6,FALSE())</f>
        <v/>
      </c>
    </row>
    <row r="1957" ht="15" customHeight="1" s="56">
      <c r="A1957" s="55">
        <f>Orders!A1957</f>
        <v/>
      </c>
      <c r="B1957" s="103">
        <f>Orders!B1957</f>
        <v/>
      </c>
      <c r="C1957" s="55">
        <f>Orders!C1957</f>
        <v/>
      </c>
      <c r="D1957" s="55">
        <f>Orders!D1957</f>
        <v/>
      </c>
      <c r="E1957" s="55">
        <f>Orders!E1957</f>
        <v/>
      </c>
      <c r="F1957" s="55">
        <f>Orders!F1957</f>
        <v/>
      </c>
      <c r="G1957" s="55">
        <f>Orders!G1957</f>
        <v/>
      </c>
      <c r="H1957" s="55">
        <f>Orders!H1957</f>
        <v/>
      </c>
      <c r="I1957" s="55">
        <f>Orders!I1957</f>
        <v/>
      </c>
      <c r="J1957" s="55">
        <f>Orders!J1957</f>
        <v/>
      </c>
      <c r="K1957" s="55">
        <f>Orders!K1957</f>
        <v/>
      </c>
      <c r="L1957" s="55">
        <f>VLOOKUP(D1957,Products!$A$2:$F$61,3,FALSE())</f>
        <v/>
      </c>
      <c r="M1957" s="55">
        <f>VLOOKUP(C1957,Customers!$A$2:$F$301,5,FALSE())</f>
        <v/>
      </c>
      <c r="N1957" s="55">
        <f>VLOOKUP(E1957,Sales_Reps!$A$2:$E$31,3,FALSE())</f>
        <v/>
      </c>
      <c r="O1957" s="55">
        <f>VLOOKUP(D1957,Products!$A$2:$F$61,4,FALSE())</f>
        <v/>
      </c>
      <c r="P1957" s="55">
        <f>VLOOKUP(C1957,Customers!$A$2:$F$301,3,FALSE())</f>
        <v/>
      </c>
      <c r="Q1957" s="55">
        <f>UPPER(TRIM(K1957))</f>
        <v/>
      </c>
      <c r="R1957" s="55">
        <f>(G1957-O1957)/G1957</f>
        <v/>
      </c>
      <c r="S1957" s="55">
        <f>VLOOKUP(D1957,Products!$A$2:$F$61,6,FALSE())</f>
        <v/>
      </c>
    </row>
    <row r="1958" ht="15" customHeight="1" s="56">
      <c r="A1958" s="55">
        <f>Orders!A1958</f>
        <v/>
      </c>
      <c r="B1958" s="103">
        <f>Orders!B1958</f>
        <v/>
      </c>
      <c r="C1958" s="55">
        <f>Orders!C1958</f>
        <v/>
      </c>
      <c r="D1958" s="55">
        <f>Orders!D1958</f>
        <v/>
      </c>
      <c r="E1958" s="55">
        <f>Orders!E1958</f>
        <v/>
      </c>
      <c r="F1958" s="55">
        <f>Orders!F1958</f>
        <v/>
      </c>
      <c r="G1958" s="55">
        <f>Orders!G1958</f>
        <v/>
      </c>
      <c r="H1958" s="55">
        <f>Orders!H1958</f>
        <v/>
      </c>
      <c r="I1958" s="55">
        <f>Orders!I1958</f>
        <v/>
      </c>
      <c r="J1958" s="55">
        <f>Orders!J1958</f>
        <v/>
      </c>
      <c r="K1958" s="55">
        <f>Orders!K1958</f>
        <v/>
      </c>
      <c r="L1958" s="55">
        <f>VLOOKUP(D1958,Products!$A$2:$F$61,3,FALSE())</f>
        <v/>
      </c>
      <c r="M1958" s="55">
        <f>VLOOKUP(C1958,Customers!$A$2:$F$301,5,FALSE())</f>
        <v/>
      </c>
      <c r="N1958" s="55">
        <f>VLOOKUP(E1958,Sales_Reps!$A$2:$E$31,3,FALSE())</f>
        <v/>
      </c>
      <c r="O1958" s="55">
        <f>VLOOKUP(D1958,Products!$A$2:$F$61,4,FALSE())</f>
        <v/>
      </c>
      <c r="P1958" s="55">
        <f>VLOOKUP(C1958,Customers!$A$2:$F$301,3,FALSE())</f>
        <v/>
      </c>
      <c r="Q1958" s="55">
        <f>UPPER(TRIM(K1958))</f>
        <v/>
      </c>
      <c r="R1958" s="55">
        <f>(G1958-O1958)/G1958</f>
        <v/>
      </c>
      <c r="S1958" s="55">
        <f>VLOOKUP(D1958,Products!$A$2:$F$61,6,FALSE())</f>
        <v/>
      </c>
    </row>
    <row r="1959" ht="15" customHeight="1" s="56">
      <c r="A1959" s="55">
        <f>Orders!A1959</f>
        <v/>
      </c>
      <c r="B1959" s="103">
        <f>Orders!B1959</f>
        <v/>
      </c>
      <c r="C1959" s="55">
        <f>Orders!C1959</f>
        <v/>
      </c>
      <c r="D1959" s="55">
        <f>Orders!D1959</f>
        <v/>
      </c>
      <c r="E1959" s="55">
        <f>Orders!E1959</f>
        <v/>
      </c>
      <c r="F1959" s="55">
        <f>Orders!F1959</f>
        <v/>
      </c>
      <c r="G1959" s="55">
        <f>Orders!G1959</f>
        <v/>
      </c>
      <c r="H1959" s="55">
        <f>Orders!H1959</f>
        <v/>
      </c>
      <c r="I1959" s="55">
        <f>Orders!I1959</f>
        <v/>
      </c>
      <c r="J1959" s="55">
        <f>Orders!J1959</f>
        <v/>
      </c>
      <c r="K1959" s="55">
        <f>Orders!K1959</f>
        <v/>
      </c>
      <c r="L1959" s="55">
        <f>VLOOKUP(D1959,Products!$A$2:$F$61,3,FALSE())</f>
        <v/>
      </c>
      <c r="M1959" s="55">
        <f>VLOOKUP(C1959,Customers!$A$2:$F$301,5,FALSE())</f>
        <v/>
      </c>
      <c r="N1959" s="55">
        <f>VLOOKUP(E1959,Sales_Reps!$A$2:$E$31,3,FALSE())</f>
        <v/>
      </c>
      <c r="O1959" s="55">
        <f>VLOOKUP(D1959,Products!$A$2:$F$61,4,FALSE())</f>
        <v/>
      </c>
      <c r="P1959" s="55">
        <f>VLOOKUP(C1959,Customers!$A$2:$F$301,3,FALSE())</f>
        <v/>
      </c>
      <c r="Q1959" s="55">
        <f>UPPER(TRIM(K1959))</f>
        <v/>
      </c>
      <c r="R1959" s="55">
        <f>(G1959-O1959)/G1959</f>
        <v/>
      </c>
      <c r="S1959" s="55">
        <f>VLOOKUP(D1959,Products!$A$2:$F$61,6,FALSE())</f>
        <v/>
      </c>
    </row>
    <row r="1960" ht="15" customHeight="1" s="56">
      <c r="A1960" s="55">
        <f>Orders!A1960</f>
        <v/>
      </c>
      <c r="B1960" s="103">
        <f>Orders!B1960</f>
        <v/>
      </c>
      <c r="C1960" s="55">
        <f>Orders!C1960</f>
        <v/>
      </c>
      <c r="D1960" s="55">
        <f>Orders!D1960</f>
        <v/>
      </c>
      <c r="E1960" s="55">
        <f>Orders!E1960</f>
        <v/>
      </c>
      <c r="F1960" s="55">
        <f>Orders!F1960</f>
        <v/>
      </c>
      <c r="G1960" s="55">
        <f>Orders!G1960</f>
        <v/>
      </c>
      <c r="H1960" s="55">
        <f>Orders!H1960</f>
        <v/>
      </c>
      <c r="I1960" s="55">
        <f>Orders!I1960</f>
        <v/>
      </c>
      <c r="J1960" s="55">
        <f>Orders!J1960</f>
        <v/>
      </c>
      <c r="K1960" s="55">
        <f>Orders!K1960</f>
        <v/>
      </c>
      <c r="L1960" s="55">
        <f>VLOOKUP(D1960,Products!$A$2:$F$61,3,FALSE())</f>
        <v/>
      </c>
      <c r="M1960" s="55">
        <f>VLOOKUP(C1960,Customers!$A$2:$F$301,5,FALSE())</f>
        <v/>
      </c>
      <c r="N1960" s="55">
        <f>VLOOKUP(E1960,Sales_Reps!$A$2:$E$31,3,FALSE())</f>
        <v/>
      </c>
      <c r="O1960" s="55">
        <f>VLOOKUP(D1960,Products!$A$2:$F$61,4,FALSE())</f>
        <v/>
      </c>
      <c r="P1960" s="55">
        <f>VLOOKUP(C1960,Customers!$A$2:$F$301,3,FALSE())</f>
        <v/>
      </c>
      <c r="Q1960" s="55">
        <f>UPPER(TRIM(K1960))</f>
        <v/>
      </c>
      <c r="R1960" s="55">
        <f>(G1960-O1960)/G1960</f>
        <v/>
      </c>
      <c r="S1960" s="55">
        <f>VLOOKUP(D1960,Products!$A$2:$F$61,6,FALSE())</f>
        <v/>
      </c>
    </row>
    <row r="1961" ht="15" customHeight="1" s="56">
      <c r="A1961" s="55">
        <f>Orders!A1961</f>
        <v/>
      </c>
      <c r="B1961" s="103">
        <f>Orders!B1961</f>
        <v/>
      </c>
      <c r="C1961" s="55">
        <f>Orders!C1961</f>
        <v/>
      </c>
      <c r="D1961" s="55">
        <f>Orders!D1961</f>
        <v/>
      </c>
      <c r="E1961" s="55">
        <f>Orders!E1961</f>
        <v/>
      </c>
      <c r="F1961" s="55">
        <f>Orders!F1961</f>
        <v/>
      </c>
      <c r="G1961" s="55">
        <f>Orders!G1961</f>
        <v/>
      </c>
      <c r="H1961" s="55">
        <f>Orders!H1961</f>
        <v/>
      </c>
      <c r="I1961" s="55">
        <f>Orders!I1961</f>
        <v/>
      </c>
      <c r="J1961" s="55">
        <f>Orders!J1961</f>
        <v/>
      </c>
      <c r="K1961" s="55">
        <f>Orders!K1961</f>
        <v/>
      </c>
      <c r="L1961" s="55">
        <f>VLOOKUP(D1961,Products!$A$2:$F$61,3,FALSE())</f>
        <v/>
      </c>
      <c r="M1961" s="55">
        <f>VLOOKUP(C1961,Customers!$A$2:$F$301,5,FALSE())</f>
        <v/>
      </c>
      <c r="N1961" s="55">
        <f>VLOOKUP(E1961,Sales_Reps!$A$2:$E$31,3,FALSE())</f>
        <v/>
      </c>
      <c r="O1961" s="55">
        <f>VLOOKUP(D1961,Products!$A$2:$F$61,4,FALSE())</f>
        <v/>
      </c>
      <c r="P1961" s="55">
        <f>VLOOKUP(C1961,Customers!$A$2:$F$301,3,FALSE())</f>
        <v/>
      </c>
      <c r="Q1961" s="55">
        <f>UPPER(TRIM(K1961))</f>
        <v/>
      </c>
      <c r="R1961" s="55">
        <f>(G1961-O1961)/G1961</f>
        <v/>
      </c>
      <c r="S1961" s="55">
        <f>VLOOKUP(D1961,Products!$A$2:$F$61,6,FALSE())</f>
        <v/>
      </c>
    </row>
    <row r="1962" ht="15" customHeight="1" s="56">
      <c r="A1962" s="55">
        <f>Orders!A1962</f>
        <v/>
      </c>
      <c r="B1962" s="103">
        <f>Orders!B1962</f>
        <v/>
      </c>
      <c r="C1962" s="55">
        <f>Orders!C1962</f>
        <v/>
      </c>
      <c r="D1962" s="55">
        <f>Orders!D1962</f>
        <v/>
      </c>
      <c r="E1962" s="55">
        <f>Orders!E1962</f>
        <v/>
      </c>
      <c r="F1962" s="55">
        <f>Orders!F1962</f>
        <v/>
      </c>
      <c r="G1962" s="55">
        <f>Orders!G1962</f>
        <v/>
      </c>
      <c r="H1962" s="55">
        <f>Orders!H1962</f>
        <v/>
      </c>
      <c r="I1962" s="55">
        <f>Orders!I1962</f>
        <v/>
      </c>
      <c r="J1962" s="55">
        <f>Orders!J1962</f>
        <v/>
      </c>
      <c r="K1962" s="55">
        <f>Orders!K1962</f>
        <v/>
      </c>
      <c r="L1962" s="55">
        <f>VLOOKUP(D1962,Products!$A$2:$F$61,3,FALSE())</f>
        <v/>
      </c>
      <c r="M1962" s="55">
        <f>VLOOKUP(C1962,Customers!$A$2:$F$301,5,FALSE())</f>
        <v/>
      </c>
      <c r="N1962" s="55">
        <f>VLOOKUP(E1962,Sales_Reps!$A$2:$E$31,3,FALSE())</f>
        <v/>
      </c>
      <c r="O1962" s="55">
        <f>VLOOKUP(D1962,Products!$A$2:$F$61,4,FALSE())</f>
        <v/>
      </c>
      <c r="P1962" s="55">
        <f>VLOOKUP(C1962,Customers!$A$2:$F$301,3,FALSE())</f>
        <v/>
      </c>
      <c r="Q1962" s="55">
        <f>UPPER(TRIM(K1962))</f>
        <v/>
      </c>
      <c r="R1962" s="55">
        <f>(G1962-O1962)/G1962</f>
        <v/>
      </c>
      <c r="S1962" s="55">
        <f>VLOOKUP(D1962,Products!$A$2:$F$61,6,FALSE())</f>
        <v/>
      </c>
    </row>
    <row r="1963" ht="15" customHeight="1" s="56">
      <c r="A1963" s="55">
        <f>Orders!A1963</f>
        <v/>
      </c>
      <c r="B1963" s="103">
        <f>Orders!B1963</f>
        <v/>
      </c>
      <c r="C1963" s="55">
        <f>Orders!C1963</f>
        <v/>
      </c>
      <c r="D1963" s="55">
        <f>Orders!D1963</f>
        <v/>
      </c>
      <c r="E1963" s="55">
        <f>Orders!E1963</f>
        <v/>
      </c>
      <c r="F1963" s="55">
        <f>Orders!F1963</f>
        <v/>
      </c>
      <c r="G1963" s="55">
        <f>Orders!G1963</f>
        <v/>
      </c>
      <c r="H1963" s="55">
        <f>Orders!H1963</f>
        <v/>
      </c>
      <c r="I1963" s="55">
        <f>Orders!I1963</f>
        <v/>
      </c>
      <c r="J1963" s="55">
        <f>Orders!J1963</f>
        <v/>
      </c>
      <c r="K1963" s="55">
        <f>Orders!K1963</f>
        <v/>
      </c>
      <c r="L1963" s="55">
        <f>VLOOKUP(D1963,Products!$A$2:$F$61,3,FALSE())</f>
        <v/>
      </c>
      <c r="M1963" s="55">
        <f>VLOOKUP(C1963,Customers!$A$2:$F$301,5,FALSE())</f>
        <v/>
      </c>
      <c r="N1963" s="55">
        <f>VLOOKUP(E1963,Sales_Reps!$A$2:$E$31,3,FALSE())</f>
        <v/>
      </c>
      <c r="O1963" s="55">
        <f>VLOOKUP(D1963,Products!$A$2:$F$61,4,FALSE())</f>
        <v/>
      </c>
      <c r="P1963" s="55">
        <f>VLOOKUP(C1963,Customers!$A$2:$F$301,3,FALSE())</f>
        <v/>
      </c>
      <c r="Q1963" s="55">
        <f>UPPER(TRIM(K1963))</f>
        <v/>
      </c>
      <c r="R1963" s="55">
        <f>(G1963-O1963)/G1963</f>
        <v/>
      </c>
      <c r="S1963" s="55">
        <f>VLOOKUP(D1963,Products!$A$2:$F$61,6,FALSE())</f>
        <v/>
      </c>
    </row>
    <row r="1964" ht="15" customHeight="1" s="56">
      <c r="A1964" s="55">
        <f>Orders!A1964</f>
        <v/>
      </c>
      <c r="B1964" s="103">
        <f>Orders!B1964</f>
        <v/>
      </c>
      <c r="C1964" s="55">
        <f>Orders!C1964</f>
        <v/>
      </c>
      <c r="D1964" s="55">
        <f>Orders!D1964</f>
        <v/>
      </c>
      <c r="E1964" s="55">
        <f>Orders!E1964</f>
        <v/>
      </c>
      <c r="F1964" s="55">
        <f>Orders!F1964</f>
        <v/>
      </c>
      <c r="G1964" s="55">
        <f>Orders!G1964</f>
        <v/>
      </c>
      <c r="H1964" s="55">
        <f>Orders!H1964</f>
        <v/>
      </c>
      <c r="I1964" s="55">
        <f>Orders!I1964</f>
        <v/>
      </c>
      <c r="J1964" s="55">
        <f>Orders!J1964</f>
        <v/>
      </c>
      <c r="K1964" s="55">
        <f>Orders!K1964</f>
        <v/>
      </c>
      <c r="L1964" s="55">
        <f>VLOOKUP(D1964,Products!$A$2:$F$61,3,FALSE())</f>
        <v/>
      </c>
      <c r="M1964" s="55">
        <f>VLOOKUP(C1964,Customers!$A$2:$F$301,5,FALSE())</f>
        <v/>
      </c>
      <c r="N1964" s="55">
        <f>VLOOKUP(E1964,Sales_Reps!$A$2:$E$31,3,FALSE())</f>
        <v/>
      </c>
      <c r="O1964" s="55">
        <f>VLOOKUP(D1964,Products!$A$2:$F$61,4,FALSE())</f>
        <v/>
      </c>
      <c r="P1964" s="55">
        <f>VLOOKUP(C1964,Customers!$A$2:$F$301,3,FALSE())</f>
        <v/>
      </c>
      <c r="Q1964" s="55">
        <f>UPPER(TRIM(K1964))</f>
        <v/>
      </c>
      <c r="R1964" s="55">
        <f>(G1964-O1964)/G1964</f>
        <v/>
      </c>
      <c r="S1964" s="55">
        <f>VLOOKUP(D1964,Products!$A$2:$F$61,6,FALSE())</f>
        <v/>
      </c>
    </row>
    <row r="1965" ht="15" customHeight="1" s="56">
      <c r="A1965" s="55">
        <f>Orders!A1965</f>
        <v/>
      </c>
      <c r="B1965" s="103">
        <f>Orders!B1965</f>
        <v/>
      </c>
      <c r="C1965" s="55">
        <f>Orders!C1965</f>
        <v/>
      </c>
      <c r="D1965" s="55">
        <f>Orders!D1965</f>
        <v/>
      </c>
      <c r="E1965" s="55">
        <f>Orders!E1965</f>
        <v/>
      </c>
      <c r="F1965" s="55">
        <f>Orders!F1965</f>
        <v/>
      </c>
      <c r="G1965" s="55">
        <f>Orders!G1965</f>
        <v/>
      </c>
      <c r="H1965" s="55">
        <f>Orders!H1965</f>
        <v/>
      </c>
      <c r="I1965" s="55">
        <f>Orders!I1965</f>
        <v/>
      </c>
      <c r="J1965" s="55">
        <f>Orders!J1965</f>
        <v/>
      </c>
      <c r="K1965" s="55">
        <f>Orders!K1965</f>
        <v/>
      </c>
      <c r="L1965" s="55">
        <f>VLOOKUP(D1965,Products!$A$2:$F$61,3,FALSE())</f>
        <v/>
      </c>
      <c r="M1965" s="55">
        <f>VLOOKUP(C1965,Customers!$A$2:$F$301,5,FALSE())</f>
        <v/>
      </c>
      <c r="N1965" s="55">
        <f>VLOOKUP(E1965,Sales_Reps!$A$2:$E$31,3,FALSE())</f>
        <v/>
      </c>
      <c r="O1965" s="55">
        <f>VLOOKUP(D1965,Products!$A$2:$F$61,4,FALSE())</f>
        <v/>
      </c>
      <c r="P1965" s="55">
        <f>VLOOKUP(C1965,Customers!$A$2:$F$301,3,FALSE())</f>
        <v/>
      </c>
      <c r="Q1965" s="55">
        <f>UPPER(TRIM(K1965))</f>
        <v/>
      </c>
      <c r="R1965" s="55">
        <f>(G1965-O1965)/G1965</f>
        <v/>
      </c>
      <c r="S1965" s="55">
        <f>VLOOKUP(D1965,Products!$A$2:$F$61,6,FALSE())</f>
        <v/>
      </c>
    </row>
    <row r="1966" ht="15" customHeight="1" s="56">
      <c r="A1966" s="55">
        <f>Orders!A1966</f>
        <v/>
      </c>
      <c r="B1966" s="103">
        <f>Orders!B1966</f>
        <v/>
      </c>
      <c r="C1966" s="55">
        <f>Orders!C1966</f>
        <v/>
      </c>
      <c r="D1966" s="55">
        <f>Orders!D1966</f>
        <v/>
      </c>
      <c r="E1966" s="55">
        <f>Orders!E1966</f>
        <v/>
      </c>
      <c r="F1966" s="55">
        <f>Orders!F1966</f>
        <v/>
      </c>
      <c r="G1966" s="55">
        <f>Orders!G1966</f>
        <v/>
      </c>
      <c r="H1966" s="55">
        <f>Orders!H1966</f>
        <v/>
      </c>
      <c r="I1966" s="55">
        <f>Orders!I1966</f>
        <v/>
      </c>
      <c r="J1966" s="55">
        <f>Orders!J1966</f>
        <v/>
      </c>
      <c r="K1966" s="55">
        <f>Orders!K1966</f>
        <v/>
      </c>
      <c r="L1966" s="55">
        <f>VLOOKUP(D1966,Products!$A$2:$F$61,3,FALSE())</f>
        <v/>
      </c>
      <c r="M1966" s="55">
        <f>VLOOKUP(C1966,Customers!$A$2:$F$301,5,FALSE())</f>
        <v/>
      </c>
      <c r="N1966" s="55">
        <f>VLOOKUP(E1966,Sales_Reps!$A$2:$E$31,3,FALSE())</f>
        <v/>
      </c>
      <c r="O1966" s="55">
        <f>VLOOKUP(D1966,Products!$A$2:$F$61,4,FALSE())</f>
        <v/>
      </c>
      <c r="P1966" s="55">
        <f>VLOOKUP(C1966,Customers!$A$2:$F$301,3,FALSE())</f>
        <v/>
      </c>
      <c r="Q1966" s="55">
        <f>UPPER(TRIM(K1966))</f>
        <v/>
      </c>
      <c r="R1966" s="55">
        <f>(G1966-O1966)/G1966</f>
        <v/>
      </c>
      <c r="S1966" s="55">
        <f>VLOOKUP(D1966,Products!$A$2:$F$61,6,FALSE())</f>
        <v/>
      </c>
    </row>
    <row r="1967" ht="15" customHeight="1" s="56">
      <c r="A1967" s="55">
        <f>Orders!A1967</f>
        <v/>
      </c>
      <c r="B1967" s="103">
        <f>Orders!B1967</f>
        <v/>
      </c>
      <c r="C1967" s="55">
        <f>Orders!C1967</f>
        <v/>
      </c>
      <c r="D1967" s="55">
        <f>Orders!D1967</f>
        <v/>
      </c>
      <c r="E1967" s="55">
        <f>Orders!E1967</f>
        <v/>
      </c>
      <c r="F1967" s="55">
        <f>Orders!F1967</f>
        <v/>
      </c>
      <c r="G1967" s="55">
        <f>Orders!G1967</f>
        <v/>
      </c>
      <c r="H1967" s="55">
        <f>Orders!H1967</f>
        <v/>
      </c>
      <c r="I1967" s="55">
        <f>Orders!I1967</f>
        <v/>
      </c>
      <c r="J1967" s="55">
        <f>Orders!J1967</f>
        <v/>
      </c>
      <c r="K1967" s="55">
        <f>Orders!K1967</f>
        <v/>
      </c>
      <c r="L1967" s="55">
        <f>VLOOKUP(D1967,Products!$A$2:$F$61,3,FALSE())</f>
        <v/>
      </c>
      <c r="M1967" s="55">
        <f>VLOOKUP(C1967,Customers!$A$2:$F$301,5,FALSE())</f>
        <v/>
      </c>
      <c r="N1967" s="55">
        <f>VLOOKUP(E1967,Sales_Reps!$A$2:$E$31,3,FALSE())</f>
        <v/>
      </c>
      <c r="O1967" s="55">
        <f>VLOOKUP(D1967,Products!$A$2:$F$61,4,FALSE())</f>
        <v/>
      </c>
      <c r="P1967" s="55">
        <f>VLOOKUP(C1967,Customers!$A$2:$F$301,3,FALSE())</f>
        <v/>
      </c>
      <c r="Q1967" s="55">
        <f>UPPER(TRIM(K1967))</f>
        <v/>
      </c>
      <c r="R1967" s="55">
        <f>(G1967-O1967)/G1967</f>
        <v/>
      </c>
      <c r="S1967" s="55">
        <f>VLOOKUP(D1967,Products!$A$2:$F$61,6,FALSE())</f>
        <v/>
      </c>
    </row>
    <row r="1968" ht="15" customHeight="1" s="56">
      <c r="A1968" s="55">
        <f>Orders!A1968</f>
        <v/>
      </c>
      <c r="B1968" s="103">
        <f>Orders!B1968</f>
        <v/>
      </c>
      <c r="C1968" s="55">
        <f>Orders!C1968</f>
        <v/>
      </c>
      <c r="D1968" s="55">
        <f>Orders!D1968</f>
        <v/>
      </c>
      <c r="E1968" s="55">
        <f>Orders!E1968</f>
        <v/>
      </c>
      <c r="F1968" s="55">
        <f>Orders!F1968</f>
        <v/>
      </c>
      <c r="G1968" s="55">
        <f>Orders!G1968</f>
        <v/>
      </c>
      <c r="H1968" s="55">
        <f>Orders!H1968</f>
        <v/>
      </c>
      <c r="I1968" s="55">
        <f>Orders!I1968</f>
        <v/>
      </c>
      <c r="J1968" s="55">
        <f>Orders!J1968</f>
        <v/>
      </c>
      <c r="K1968" s="55">
        <f>Orders!K1968</f>
        <v/>
      </c>
      <c r="L1968" s="55">
        <f>VLOOKUP(D1968,Products!$A$2:$F$61,3,FALSE())</f>
        <v/>
      </c>
      <c r="M1968" s="55">
        <f>VLOOKUP(C1968,Customers!$A$2:$F$301,5,FALSE())</f>
        <v/>
      </c>
      <c r="N1968" s="55">
        <f>VLOOKUP(E1968,Sales_Reps!$A$2:$E$31,3,FALSE())</f>
        <v/>
      </c>
      <c r="O1968" s="55">
        <f>VLOOKUP(D1968,Products!$A$2:$F$61,4,FALSE())</f>
        <v/>
      </c>
      <c r="P1968" s="55">
        <f>VLOOKUP(C1968,Customers!$A$2:$F$301,3,FALSE())</f>
        <v/>
      </c>
      <c r="Q1968" s="55">
        <f>UPPER(TRIM(K1968))</f>
        <v/>
      </c>
      <c r="R1968" s="55">
        <f>(G1968-O1968)/G1968</f>
        <v/>
      </c>
      <c r="S1968" s="55">
        <f>VLOOKUP(D1968,Products!$A$2:$F$61,6,FALSE())</f>
        <v/>
      </c>
    </row>
    <row r="1969" ht="15" customHeight="1" s="56">
      <c r="A1969" s="55">
        <f>Orders!A1969</f>
        <v/>
      </c>
      <c r="B1969" s="103">
        <f>Orders!B1969</f>
        <v/>
      </c>
      <c r="C1969" s="55">
        <f>Orders!C1969</f>
        <v/>
      </c>
      <c r="D1969" s="55">
        <f>Orders!D1969</f>
        <v/>
      </c>
      <c r="E1969" s="55">
        <f>Orders!E1969</f>
        <v/>
      </c>
      <c r="F1969" s="55">
        <f>Orders!F1969</f>
        <v/>
      </c>
      <c r="G1969" s="55">
        <f>Orders!G1969</f>
        <v/>
      </c>
      <c r="H1969" s="55">
        <f>Orders!H1969</f>
        <v/>
      </c>
      <c r="I1969" s="55">
        <f>Orders!I1969</f>
        <v/>
      </c>
      <c r="J1969" s="55">
        <f>Orders!J1969</f>
        <v/>
      </c>
      <c r="K1969" s="55">
        <f>Orders!K1969</f>
        <v/>
      </c>
      <c r="L1969" s="55">
        <f>VLOOKUP(D1969,Products!$A$2:$F$61,3,FALSE())</f>
        <v/>
      </c>
      <c r="M1969" s="55">
        <f>VLOOKUP(C1969,Customers!$A$2:$F$301,5,FALSE())</f>
        <v/>
      </c>
      <c r="N1969" s="55">
        <f>VLOOKUP(E1969,Sales_Reps!$A$2:$E$31,3,FALSE())</f>
        <v/>
      </c>
      <c r="O1969" s="55">
        <f>VLOOKUP(D1969,Products!$A$2:$F$61,4,FALSE())</f>
        <v/>
      </c>
      <c r="P1969" s="55">
        <f>VLOOKUP(C1969,Customers!$A$2:$F$301,3,FALSE())</f>
        <v/>
      </c>
      <c r="Q1969" s="55">
        <f>UPPER(TRIM(K1969))</f>
        <v/>
      </c>
      <c r="R1969" s="55">
        <f>(G1969-O1969)/G1969</f>
        <v/>
      </c>
      <c r="S1969" s="55">
        <f>VLOOKUP(D1969,Products!$A$2:$F$61,6,FALSE())</f>
        <v/>
      </c>
    </row>
    <row r="1970" ht="15" customHeight="1" s="56">
      <c r="A1970" s="55">
        <f>Orders!A1970</f>
        <v/>
      </c>
      <c r="B1970" s="103">
        <f>Orders!B1970</f>
        <v/>
      </c>
      <c r="C1970" s="55">
        <f>Orders!C1970</f>
        <v/>
      </c>
      <c r="D1970" s="55">
        <f>Orders!D1970</f>
        <v/>
      </c>
      <c r="E1970" s="55">
        <f>Orders!E1970</f>
        <v/>
      </c>
      <c r="F1970" s="55">
        <f>Orders!F1970</f>
        <v/>
      </c>
      <c r="G1970" s="55">
        <f>Orders!G1970</f>
        <v/>
      </c>
      <c r="H1970" s="55">
        <f>Orders!H1970</f>
        <v/>
      </c>
      <c r="I1970" s="55">
        <f>Orders!I1970</f>
        <v/>
      </c>
      <c r="J1970" s="55">
        <f>Orders!J1970</f>
        <v/>
      </c>
      <c r="K1970" s="55">
        <f>Orders!K1970</f>
        <v/>
      </c>
      <c r="L1970" s="55">
        <f>VLOOKUP(D1970,Products!$A$2:$F$61,3,FALSE())</f>
        <v/>
      </c>
      <c r="M1970" s="55">
        <f>VLOOKUP(C1970,Customers!$A$2:$F$301,5,FALSE())</f>
        <v/>
      </c>
      <c r="N1970" s="55">
        <f>VLOOKUP(E1970,Sales_Reps!$A$2:$E$31,3,FALSE())</f>
        <v/>
      </c>
      <c r="O1970" s="55">
        <f>VLOOKUP(D1970,Products!$A$2:$F$61,4,FALSE())</f>
        <v/>
      </c>
      <c r="P1970" s="55">
        <f>VLOOKUP(C1970,Customers!$A$2:$F$301,3,FALSE())</f>
        <v/>
      </c>
      <c r="Q1970" s="55">
        <f>UPPER(TRIM(K1970))</f>
        <v/>
      </c>
      <c r="R1970" s="55">
        <f>(G1970-O1970)/G1970</f>
        <v/>
      </c>
      <c r="S1970" s="55">
        <f>VLOOKUP(D1970,Products!$A$2:$F$61,6,FALSE())</f>
        <v/>
      </c>
    </row>
    <row r="1971" ht="15" customHeight="1" s="56">
      <c r="A1971" s="55">
        <f>Orders!A1971</f>
        <v/>
      </c>
      <c r="B1971" s="103">
        <f>Orders!B1971</f>
        <v/>
      </c>
      <c r="C1971" s="55">
        <f>Orders!C1971</f>
        <v/>
      </c>
      <c r="D1971" s="55">
        <f>Orders!D1971</f>
        <v/>
      </c>
      <c r="E1971" s="55">
        <f>Orders!E1971</f>
        <v/>
      </c>
      <c r="F1971" s="55">
        <f>Orders!F1971</f>
        <v/>
      </c>
      <c r="G1971" s="55">
        <f>Orders!G1971</f>
        <v/>
      </c>
      <c r="H1971" s="55">
        <f>Orders!H1971</f>
        <v/>
      </c>
      <c r="I1971" s="55">
        <f>Orders!I1971</f>
        <v/>
      </c>
      <c r="J1971" s="55">
        <f>Orders!J1971</f>
        <v/>
      </c>
      <c r="K1971" s="55">
        <f>Orders!K1971</f>
        <v/>
      </c>
      <c r="L1971" s="55">
        <f>VLOOKUP(D1971,Products!$A$2:$F$61,3,FALSE())</f>
        <v/>
      </c>
      <c r="M1971" s="55">
        <f>VLOOKUP(C1971,Customers!$A$2:$F$301,5,FALSE())</f>
        <v/>
      </c>
      <c r="N1971" s="55">
        <f>VLOOKUP(E1971,Sales_Reps!$A$2:$E$31,3,FALSE())</f>
        <v/>
      </c>
      <c r="O1971" s="55">
        <f>VLOOKUP(D1971,Products!$A$2:$F$61,4,FALSE())</f>
        <v/>
      </c>
      <c r="P1971" s="55">
        <f>VLOOKUP(C1971,Customers!$A$2:$F$301,3,FALSE())</f>
        <v/>
      </c>
      <c r="Q1971" s="55">
        <f>UPPER(TRIM(K1971))</f>
        <v/>
      </c>
      <c r="R1971" s="55">
        <f>(G1971-O1971)/G1971</f>
        <v/>
      </c>
      <c r="S1971" s="55">
        <f>VLOOKUP(D1971,Products!$A$2:$F$61,6,FALSE())</f>
        <v/>
      </c>
    </row>
    <row r="1972" ht="15" customHeight="1" s="56">
      <c r="A1972" s="55">
        <f>Orders!A1972</f>
        <v/>
      </c>
      <c r="B1972" s="103">
        <f>Orders!B1972</f>
        <v/>
      </c>
      <c r="C1972" s="55">
        <f>Orders!C1972</f>
        <v/>
      </c>
      <c r="D1972" s="55">
        <f>Orders!D1972</f>
        <v/>
      </c>
      <c r="E1972" s="55">
        <f>Orders!E1972</f>
        <v/>
      </c>
      <c r="F1972" s="55">
        <f>Orders!F1972</f>
        <v/>
      </c>
      <c r="G1972" s="55">
        <f>Orders!G1972</f>
        <v/>
      </c>
      <c r="H1972" s="55">
        <f>Orders!H1972</f>
        <v/>
      </c>
      <c r="I1972" s="55">
        <f>Orders!I1972</f>
        <v/>
      </c>
      <c r="J1972" s="55">
        <f>Orders!J1972</f>
        <v/>
      </c>
      <c r="K1972" s="55">
        <f>Orders!K1972</f>
        <v/>
      </c>
      <c r="L1972" s="55">
        <f>VLOOKUP(D1972,Products!$A$2:$F$61,3,FALSE())</f>
        <v/>
      </c>
      <c r="M1972" s="55">
        <f>VLOOKUP(C1972,Customers!$A$2:$F$301,5,FALSE())</f>
        <v/>
      </c>
      <c r="N1972" s="55">
        <f>VLOOKUP(E1972,Sales_Reps!$A$2:$E$31,3,FALSE())</f>
        <v/>
      </c>
      <c r="O1972" s="55">
        <f>VLOOKUP(D1972,Products!$A$2:$F$61,4,FALSE())</f>
        <v/>
      </c>
      <c r="P1972" s="55">
        <f>VLOOKUP(C1972,Customers!$A$2:$F$301,3,FALSE())</f>
        <v/>
      </c>
      <c r="Q1972" s="55">
        <f>UPPER(TRIM(K1972))</f>
        <v/>
      </c>
      <c r="R1972" s="55">
        <f>(G1972-O1972)/G1972</f>
        <v/>
      </c>
      <c r="S1972" s="55">
        <f>VLOOKUP(D1972,Products!$A$2:$F$61,6,FALSE())</f>
        <v/>
      </c>
    </row>
    <row r="1973" ht="15" customHeight="1" s="56">
      <c r="A1973" s="55">
        <f>Orders!A1973</f>
        <v/>
      </c>
      <c r="B1973" s="103">
        <f>Orders!B1973</f>
        <v/>
      </c>
      <c r="C1973" s="55">
        <f>Orders!C1973</f>
        <v/>
      </c>
      <c r="D1973" s="55">
        <f>Orders!D1973</f>
        <v/>
      </c>
      <c r="E1973" s="55">
        <f>Orders!E1973</f>
        <v/>
      </c>
      <c r="F1973" s="55">
        <f>Orders!F1973</f>
        <v/>
      </c>
      <c r="G1973" s="55">
        <f>Orders!G1973</f>
        <v/>
      </c>
      <c r="H1973" s="55">
        <f>Orders!H1973</f>
        <v/>
      </c>
      <c r="I1973" s="55">
        <f>Orders!I1973</f>
        <v/>
      </c>
      <c r="J1973" s="55">
        <f>Orders!J1973</f>
        <v/>
      </c>
      <c r="K1973" s="55">
        <f>Orders!K1973</f>
        <v/>
      </c>
      <c r="L1973" s="55">
        <f>VLOOKUP(D1973,Products!$A$2:$F$61,3,FALSE())</f>
        <v/>
      </c>
      <c r="M1973" s="55">
        <f>VLOOKUP(C1973,Customers!$A$2:$F$301,5,FALSE())</f>
        <v/>
      </c>
      <c r="N1973" s="55">
        <f>VLOOKUP(E1973,Sales_Reps!$A$2:$E$31,3,FALSE())</f>
        <v/>
      </c>
      <c r="O1973" s="55">
        <f>VLOOKUP(D1973,Products!$A$2:$F$61,4,FALSE())</f>
        <v/>
      </c>
      <c r="P1973" s="55">
        <f>VLOOKUP(C1973,Customers!$A$2:$F$301,3,FALSE())</f>
        <v/>
      </c>
      <c r="Q1973" s="55">
        <f>UPPER(TRIM(K1973))</f>
        <v/>
      </c>
      <c r="R1973" s="55">
        <f>(G1973-O1973)/G1973</f>
        <v/>
      </c>
      <c r="S1973" s="55">
        <f>VLOOKUP(D1973,Products!$A$2:$F$61,6,FALSE())</f>
        <v/>
      </c>
    </row>
    <row r="1974" ht="15" customHeight="1" s="56">
      <c r="A1974" s="55">
        <f>Orders!A1974</f>
        <v/>
      </c>
      <c r="B1974" s="103">
        <f>Orders!B1974</f>
        <v/>
      </c>
      <c r="C1974" s="55">
        <f>Orders!C1974</f>
        <v/>
      </c>
      <c r="D1974" s="55">
        <f>Orders!D1974</f>
        <v/>
      </c>
      <c r="E1974" s="55">
        <f>Orders!E1974</f>
        <v/>
      </c>
      <c r="F1974" s="55">
        <f>Orders!F1974</f>
        <v/>
      </c>
      <c r="G1974" s="55">
        <f>Orders!G1974</f>
        <v/>
      </c>
      <c r="H1974" s="55">
        <f>Orders!H1974</f>
        <v/>
      </c>
      <c r="I1974" s="55">
        <f>Orders!I1974</f>
        <v/>
      </c>
      <c r="J1974" s="55">
        <f>Orders!J1974</f>
        <v/>
      </c>
      <c r="K1974" s="55">
        <f>Orders!K1974</f>
        <v/>
      </c>
      <c r="L1974" s="55">
        <f>VLOOKUP(D1974,Products!$A$2:$F$61,3,FALSE())</f>
        <v/>
      </c>
      <c r="M1974" s="55">
        <f>VLOOKUP(C1974,Customers!$A$2:$F$301,5,FALSE())</f>
        <v/>
      </c>
      <c r="N1974" s="55">
        <f>VLOOKUP(E1974,Sales_Reps!$A$2:$E$31,3,FALSE())</f>
        <v/>
      </c>
      <c r="O1974" s="55">
        <f>VLOOKUP(D1974,Products!$A$2:$F$61,4,FALSE())</f>
        <v/>
      </c>
      <c r="P1974" s="55">
        <f>VLOOKUP(C1974,Customers!$A$2:$F$301,3,FALSE())</f>
        <v/>
      </c>
      <c r="Q1974" s="55">
        <f>UPPER(TRIM(K1974))</f>
        <v/>
      </c>
      <c r="R1974" s="55">
        <f>(G1974-O1974)/G1974</f>
        <v/>
      </c>
      <c r="S1974" s="55">
        <f>VLOOKUP(D1974,Products!$A$2:$F$61,6,FALSE())</f>
        <v/>
      </c>
    </row>
    <row r="1975" ht="15" customHeight="1" s="56">
      <c r="A1975" s="55">
        <f>Orders!A1975</f>
        <v/>
      </c>
      <c r="B1975" s="103">
        <f>Orders!B1975</f>
        <v/>
      </c>
      <c r="C1975" s="55">
        <f>Orders!C1975</f>
        <v/>
      </c>
      <c r="D1975" s="55">
        <f>Orders!D1975</f>
        <v/>
      </c>
      <c r="E1975" s="55">
        <f>Orders!E1975</f>
        <v/>
      </c>
      <c r="F1975" s="55">
        <f>Orders!F1975</f>
        <v/>
      </c>
      <c r="G1975" s="55">
        <f>Orders!G1975</f>
        <v/>
      </c>
      <c r="H1975" s="55">
        <f>Orders!H1975</f>
        <v/>
      </c>
      <c r="I1975" s="55">
        <f>Orders!I1975</f>
        <v/>
      </c>
      <c r="J1975" s="55">
        <f>Orders!J1975</f>
        <v/>
      </c>
      <c r="K1975" s="55">
        <f>Orders!K1975</f>
        <v/>
      </c>
      <c r="L1975" s="55">
        <f>VLOOKUP(D1975,Products!$A$2:$F$61,3,FALSE())</f>
        <v/>
      </c>
      <c r="M1975" s="55">
        <f>VLOOKUP(C1975,Customers!$A$2:$F$301,5,FALSE())</f>
        <v/>
      </c>
      <c r="N1975" s="55">
        <f>VLOOKUP(E1975,Sales_Reps!$A$2:$E$31,3,FALSE())</f>
        <v/>
      </c>
      <c r="O1975" s="55">
        <f>VLOOKUP(D1975,Products!$A$2:$F$61,4,FALSE())</f>
        <v/>
      </c>
      <c r="P1975" s="55">
        <f>VLOOKUP(C1975,Customers!$A$2:$F$301,3,FALSE())</f>
        <v/>
      </c>
      <c r="Q1975" s="55">
        <f>UPPER(TRIM(K1975))</f>
        <v/>
      </c>
      <c r="R1975" s="55">
        <f>(G1975-O1975)/G1975</f>
        <v/>
      </c>
      <c r="S1975" s="55">
        <f>VLOOKUP(D1975,Products!$A$2:$F$61,6,FALSE())</f>
        <v/>
      </c>
    </row>
    <row r="1976" ht="15" customHeight="1" s="56">
      <c r="A1976" s="55">
        <f>Orders!A1976</f>
        <v/>
      </c>
      <c r="B1976" s="103">
        <f>Orders!B1976</f>
        <v/>
      </c>
      <c r="C1976" s="55">
        <f>Orders!C1976</f>
        <v/>
      </c>
      <c r="D1976" s="55">
        <f>Orders!D1976</f>
        <v/>
      </c>
      <c r="E1976" s="55">
        <f>Orders!E1976</f>
        <v/>
      </c>
      <c r="F1976" s="55">
        <f>Orders!F1976</f>
        <v/>
      </c>
      <c r="G1976" s="55">
        <f>Orders!G1976</f>
        <v/>
      </c>
      <c r="H1976" s="55">
        <f>Orders!H1976</f>
        <v/>
      </c>
      <c r="I1976" s="55">
        <f>Orders!I1976</f>
        <v/>
      </c>
      <c r="J1976" s="55">
        <f>Orders!J1976</f>
        <v/>
      </c>
      <c r="K1976" s="55">
        <f>Orders!K1976</f>
        <v/>
      </c>
      <c r="L1976" s="55">
        <f>VLOOKUP(D1976,Products!$A$2:$F$61,3,FALSE())</f>
        <v/>
      </c>
      <c r="M1976" s="55">
        <f>VLOOKUP(C1976,Customers!$A$2:$F$301,5,FALSE())</f>
        <v/>
      </c>
      <c r="N1976" s="55">
        <f>VLOOKUP(E1976,Sales_Reps!$A$2:$E$31,3,FALSE())</f>
        <v/>
      </c>
      <c r="O1976" s="55">
        <f>VLOOKUP(D1976,Products!$A$2:$F$61,4,FALSE())</f>
        <v/>
      </c>
      <c r="P1976" s="55">
        <f>VLOOKUP(C1976,Customers!$A$2:$F$301,3,FALSE())</f>
        <v/>
      </c>
      <c r="Q1976" s="55">
        <f>UPPER(TRIM(K1976))</f>
        <v/>
      </c>
      <c r="R1976" s="55">
        <f>(G1976-O1976)/G1976</f>
        <v/>
      </c>
      <c r="S1976" s="55">
        <f>VLOOKUP(D1976,Products!$A$2:$F$61,6,FALSE())</f>
        <v/>
      </c>
    </row>
    <row r="1977" ht="15" customHeight="1" s="56">
      <c r="A1977" s="55">
        <f>Orders!A1977</f>
        <v/>
      </c>
      <c r="B1977" s="103">
        <f>Orders!B1977</f>
        <v/>
      </c>
      <c r="C1977" s="55">
        <f>Orders!C1977</f>
        <v/>
      </c>
      <c r="D1977" s="55">
        <f>Orders!D1977</f>
        <v/>
      </c>
      <c r="E1977" s="55">
        <f>Orders!E1977</f>
        <v/>
      </c>
      <c r="F1977" s="55">
        <f>Orders!F1977</f>
        <v/>
      </c>
      <c r="G1977" s="55">
        <f>Orders!G1977</f>
        <v/>
      </c>
      <c r="H1977" s="55">
        <f>Orders!H1977</f>
        <v/>
      </c>
      <c r="I1977" s="55">
        <f>Orders!I1977</f>
        <v/>
      </c>
      <c r="J1977" s="55">
        <f>Orders!J1977</f>
        <v/>
      </c>
      <c r="K1977" s="55">
        <f>Orders!K1977</f>
        <v/>
      </c>
      <c r="L1977" s="55">
        <f>VLOOKUP(D1977,Products!$A$2:$F$61,3,FALSE())</f>
        <v/>
      </c>
      <c r="M1977" s="55">
        <f>VLOOKUP(C1977,Customers!$A$2:$F$301,5,FALSE())</f>
        <v/>
      </c>
      <c r="N1977" s="55">
        <f>VLOOKUP(E1977,Sales_Reps!$A$2:$E$31,3,FALSE())</f>
        <v/>
      </c>
      <c r="O1977" s="55">
        <f>VLOOKUP(D1977,Products!$A$2:$F$61,4,FALSE())</f>
        <v/>
      </c>
      <c r="P1977" s="55">
        <f>VLOOKUP(C1977,Customers!$A$2:$F$301,3,FALSE())</f>
        <v/>
      </c>
      <c r="Q1977" s="55">
        <f>UPPER(TRIM(K1977))</f>
        <v/>
      </c>
      <c r="R1977" s="55">
        <f>(G1977-O1977)/G1977</f>
        <v/>
      </c>
      <c r="S1977" s="55">
        <f>VLOOKUP(D1977,Products!$A$2:$F$61,6,FALSE())</f>
        <v/>
      </c>
    </row>
    <row r="1978" ht="15" customHeight="1" s="56">
      <c r="A1978" s="55">
        <f>Orders!A1978</f>
        <v/>
      </c>
      <c r="B1978" s="103">
        <f>Orders!B1978</f>
        <v/>
      </c>
      <c r="C1978" s="55">
        <f>Orders!C1978</f>
        <v/>
      </c>
      <c r="D1978" s="55">
        <f>Orders!D1978</f>
        <v/>
      </c>
      <c r="E1978" s="55">
        <f>Orders!E1978</f>
        <v/>
      </c>
      <c r="F1978" s="55">
        <f>Orders!F1978</f>
        <v/>
      </c>
      <c r="G1978" s="55">
        <f>Orders!G1978</f>
        <v/>
      </c>
      <c r="H1978" s="55">
        <f>Orders!H1978</f>
        <v/>
      </c>
      <c r="I1978" s="55">
        <f>Orders!I1978</f>
        <v/>
      </c>
      <c r="J1978" s="55">
        <f>Orders!J1978</f>
        <v/>
      </c>
      <c r="K1978" s="55">
        <f>Orders!K1978</f>
        <v/>
      </c>
      <c r="L1978" s="55">
        <f>VLOOKUP(D1978,Products!$A$2:$F$61,3,FALSE())</f>
        <v/>
      </c>
      <c r="M1978" s="55">
        <f>VLOOKUP(C1978,Customers!$A$2:$F$301,5,FALSE())</f>
        <v/>
      </c>
      <c r="N1978" s="55">
        <f>VLOOKUP(E1978,Sales_Reps!$A$2:$E$31,3,FALSE())</f>
        <v/>
      </c>
      <c r="O1978" s="55">
        <f>VLOOKUP(D1978,Products!$A$2:$F$61,4,FALSE())</f>
        <v/>
      </c>
      <c r="P1978" s="55">
        <f>VLOOKUP(C1978,Customers!$A$2:$F$301,3,FALSE())</f>
        <v/>
      </c>
      <c r="Q1978" s="55">
        <f>UPPER(TRIM(K1978))</f>
        <v/>
      </c>
      <c r="R1978" s="55">
        <f>(G1978-O1978)/G1978</f>
        <v/>
      </c>
      <c r="S1978" s="55">
        <f>VLOOKUP(D1978,Products!$A$2:$F$61,6,FALSE())</f>
        <v/>
      </c>
    </row>
    <row r="1979" ht="15" customHeight="1" s="56">
      <c r="A1979" s="55">
        <f>Orders!A1979</f>
        <v/>
      </c>
      <c r="B1979" s="103">
        <f>Orders!B1979</f>
        <v/>
      </c>
      <c r="C1979" s="55">
        <f>Orders!C1979</f>
        <v/>
      </c>
      <c r="D1979" s="55">
        <f>Orders!D1979</f>
        <v/>
      </c>
      <c r="E1979" s="55">
        <f>Orders!E1979</f>
        <v/>
      </c>
      <c r="F1979" s="55">
        <f>Orders!F1979</f>
        <v/>
      </c>
      <c r="G1979" s="55">
        <f>Orders!G1979</f>
        <v/>
      </c>
      <c r="H1979" s="55">
        <f>Orders!H1979</f>
        <v/>
      </c>
      <c r="I1979" s="55">
        <f>Orders!I1979</f>
        <v/>
      </c>
      <c r="J1979" s="55">
        <f>Orders!J1979</f>
        <v/>
      </c>
      <c r="K1979" s="55">
        <f>Orders!K1979</f>
        <v/>
      </c>
      <c r="L1979" s="55">
        <f>VLOOKUP(D1979,Products!$A$2:$F$61,3,FALSE())</f>
        <v/>
      </c>
      <c r="M1979" s="55">
        <f>VLOOKUP(C1979,Customers!$A$2:$F$301,5,FALSE())</f>
        <v/>
      </c>
      <c r="N1979" s="55">
        <f>VLOOKUP(E1979,Sales_Reps!$A$2:$E$31,3,FALSE())</f>
        <v/>
      </c>
      <c r="O1979" s="55">
        <f>VLOOKUP(D1979,Products!$A$2:$F$61,4,FALSE())</f>
        <v/>
      </c>
      <c r="P1979" s="55">
        <f>VLOOKUP(C1979,Customers!$A$2:$F$301,3,FALSE())</f>
        <v/>
      </c>
      <c r="Q1979" s="55">
        <f>UPPER(TRIM(K1979))</f>
        <v/>
      </c>
      <c r="R1979" s="55">
        <f>(G1979-O1979)/G1979</f>
        <v/>
      </c>
      <c r="S1979" s="55">
        <f>VLOOKUP(D1979,Products!$A$2:$F$61,6,FALSE())</f>
        <v/>
      </c>
    </row>
    <row r="1980" ht="15" customHeight="1" s="56">
      <c r="A1980" s="55">
        <f>Orders!A1980</f>
        <v/>
      </c>
      <c r="B1980" s="103">
        <f>Orders!B1980</f>
        <v/>
      </c>
      <c r="C1980" s="55">
        <f>Orders!C1980</f>
        <v/>
      </c>
      <c r="D1980" s="55">
        <f>Orders!D1980</f>
        <v/>
      </c>
      <c r="E1980" s="55">
        <f>Orders!E1980</f>
        <v/>
      </c>
      <c r="F1980" s="55">
        <f>Orders!F1980</f>
        <v/>
      </c>
      <c r="G1980" s="55">
        <f>Orders!G1980</f>
        <v/>
      </c>
      <c r="H1980" s="55">
        <f>Orders!H1980</f>
        <v/>
      </c>
      <c r="I1980" s="55">
        <f>Orders!I1980</f>
        <v/>
      </c>
      <c r="J1980" s="55">
        <f>Orders!J1980</f>
        <v/>
      </c>
      <c r="K1980" s="55">
        <f>Orders!K1980</f>
        <v/>
      </c>
      <c r="L1980" s="55">
        <f>VLOOKUP(D1980,Products!$A$2:$F$61,3,FALSE())</f>
        <v/>
      </c>
      <c r="M1980" s="55">
        <f>VLOOKUP(C1980,Customers!$A$2:$F$301,5,FALSE())</f>
        <v/>
      </c>
      <c r="N1980" s="55">
        <f>VLOOKUP(E1980,Sales_Reps!$A$2:$E$31,3,FALSE())</f>
        <v/>
      </c>
      <c r="O1980" s="55">
        <f>VLOOKUP(D1980,Products!$A$2:$F$61,4,FALSE())</f>
        <v/>
      </c>
      <c r="P1980" s="55">
        <f>VLOOKUP(C1980,Customers!$A$2:$F$301,3,FALSE())</f>
        <v/>
      </c>
      <c r="Q1980" s="55">
        <f>UPPER(TRIM(K1980))</f>
        <v/>
      </c>
      <c r="R1980" s="55">
        <f>(G1980-O1980)/G1980</f>
        <v/>
      </c>
      <c r="S1980" s="55">
        <f>VLOOKUP(D1980,Products!$A$2:$F$61,6,FALSE())</f>
        <v/>
      </c>
    </row>
    <row r="1981" ht="15" customHeight="1" s="56">
      <c r="A1981" s="55">
        <f>Orders!A1981</f>
        <v/>
      </c>
      <c r="B1981" s="103">
        <f>Orders!B1981</f>
        <v/>
      </c>
      <c r="C1981" s="55">
        <f>Orders!C1981</f>
        <v/>
      </c>
      <c r="D1981" s="55">
        <f>Orders!D1981</f>
        <v/>
      </c>
      <c r="E1981" s="55">
        <f>Orders!E1981</f>
        <v/>
      </c>
      <c r="F1981" s="55">
        <f>Orders!F1981</f>
        <v/>
      </c>
      <c r="G1981" s="55">
        <f>Orders!G1981</f>
        <v/>
      </c>
      <c r="H1981" s="55">
        <f>Orders!H1981</f>
        <v/>
      </c>
      <c r="I1981" s="55">
        <f>Orders!I1981</f>
        <v/>
      </c>
      <c r="J1981" s="55">
        <f>Orders!J1981</f>
        <v/>
      </c>
      <c r="K1981" s="55">
        <f>Orders!K1981</f>
        <v/>
      </c>
      <c r="L1981" s="55">
        <f>VLOOKUP(D1981,Products!$A$2:$F$61,3,FALSE())</f>
        <v/>
      </c>
      <c r="M1981" s="55">
        <f>VLOOKUP(C1981,Customers!$A$2:$F$301,5,FALSE())</f>
        <v/>
      </c>
      <c r="N1981" s="55">
        <f>VLOOKUP(E1981,Sales_Reps!$A$2:$E$31,3,FALSE())</f>
        <v/>
      </c>
      <c r="O1981" s="55">
        <f>VLOOKUP(D1981,Products!$A$2:$F$61,4,FALSE())</f>
        <v/>
      </c>
      <c r="P1981" s="55">
        <f>VLOOKUP(C1981,Customers!$A$2:$F$301,3,FALSE())</f>
        <v/>
      </c>
      <c r="Q1981" s="55">
        <f>UPPER(TRIM(K1981))</f>
        <v/>
      </c>
      <c r="R1981" s="55">
        <f>(G1981-O1981)/G1981</f>
        <v/>
      </c>
      <c r="S1981" s="55">
        <f>VLOOKUP(D1981,Products!$A$2:$F$61,6,FALSE())</f>
        <v/>
      </c>
    </row>
    <row r="1982" ht="15" customHeight="1" s="56">
      <c r="A1982" s="55">
        <f>Orders!A1982</f>
        <v/>
      </c>
      <c r="B1982" s="103">
        <f>Orders!B1982</f>
        <v/>
      </c>
      <c r="C1982" s="55">
        <f>Orders!C1982</f>
        <v/>
      </c>
      <c r="D1982" s="55">
        <f>Orders!D1982</f>
        <v/>
      </c>
      <c r="E1982" s="55">
        <f>Orders!E1982</f>
        <v/>
      </c>
      <c r="F1982" s="55">
        <f>Orders!F1982</f>
        <v/>
      </c>
      <c r="G1982" s="55">
        <f>Orders!G1982</f>
        <v/>
      </c>
      <c r="H1982" s="55">
        <f>Orders!H1982</f>
        <v/>
      </c>
      <c r="I1982" s="55">
        <f>Orders!I1982</f>
        <v/>
      </c>
      <c r="J1982" s="55">
        <f>Orders!J1982</f>
        <v/>
      </c>
      <c r="K1982" s="55">
        <f>Orders!K1982</f>
        <v/>
      </c>
      <c r="L1982" s="55">
        <f>VLOOKUP(D1982,Products!$A$2:$F$61,3,FALSE())</f>
        <v/>
      </c>
      <c r="M1982" s="55">
        <f>VLOOKUP(C1982,Customers!$A$2:$F$301,5,FALSE())</f>
        <v/>
      </c>
      <c r="N1982" s="55">
        <f>VLOOKUP(E1982,Sales_Reps!$A$2:$E$31,3,FALSE())</f>
        <v/>
      </c>
      <c r="O1982" s="55">
        <f>VLOOKUP(D1982,Products!$A$2:$F$61,4,FALSE())</f>
        <v/>
      </c>
      <c r="P1982" s="55">
        <f>VLOOKUP(C1982,Customers!$A$2:$F$301,3,FALSE())</f>
        <v/>
      </c>
      <c r="Q1982" s="55">
        <f>UPPER(TRIM(K1982))</f>
        <v/>
      </c>
      <c r="R1982" s="55">
        <f>(G1982-O1982)/G1982</f>
        <v/>
      </c>
      <c r="S1982" s="55">
        <f>VLOOKUP(D1982,Products!$A$2:$F$61,6,FALSE())</f>
        <v/>
      </c>
    </row>
    <row r="1983" ht="15" customHeight="1" s="56">
      <c r="A1983" s="55">
        <f>Orders!A1983</f>
        <v/>
      </c>
      <c r="B1983" s="103">
        <f>Orders!B1983</f>
        <v/>
      </c>
      <c r="C1983" s="55">
        <f>Orders!C1983</f>
        <v/>
      </c>
      <c r="D1983" s="55">
        <f>Orders!D1983</f>
        <v/>
      </c>
      <c r="E1983" s="55">
        <f>Orders!E1983</f>
        <v/>
      </c>
      <c r="F1983" s="55">
        <f>Orders!F1983</f>
        <v/>
      </c>
      <c r="G1983" s="55">
        <f>Orders!G1983</f>
        <v/>
      </c>
      <c r="H1983" s="55">
        <f>Orders!H1983</f>
        <v/>
      </c>
      <c r="I1983" s="55">
        <f>Orders!I1983</f>
        <v/>
      </c>
      <c r="J1983" s="55">
        <f>Orders!J1983</f>
        <v/>
      </c>
      <c r="K1983" s="55">
        <f>Orders!K1983</f>
        <v/>
      </c>
      <c r="L1983" s="55">
        <f>VLOOKUP(D1983,Products!$A$2:$F$61,3,FALSE())</f>
        <v/>
      </c>
      <c r="M1983" s="55">
        <f>VLOOKUP(C1983,Customers!$A$2:$F$301,5,FALSE())</f>
        <v/>
      </c>
      <c r="N1983" s="55">
        <f>VLOOKUP(E1983,Sales_Reps!$A$2:$E$31,3,FALSE())</f>
        <v/>
      </c>
      <c r="O1983" s="55">
        <f>VLOOKUP(D1983,Products!$A$2:$F$61,4,FALSE())</f>
        <v/>
      </c>
      <c r="P1983" s="55">
        <f>VLOOKUP(C1983,Customers!$A$2:$F$301,3,FALSE())</f>
        <v/>
      </c>
      <c r="Q1983" s="55">
        <f>UPPER(TRIM(K1983))</f>
        <v/>
      </c>
      <c r="R1983" s="55">
        <f>(G1983-O1983)/G1983</f>
        <v/>
      </c>
      <c r="S1983" s="55">
        <f>VLOOKUP(D1983,Products!$A$2:$F$61,6,FALSE())</f>
        <v/>
      </c>
    </row>
    <row r="1984" ht="15" customHeight="1" s="56">
      <c r="A1984" s="55">
        <f>Orders!A1984</f>
        <v/>
      </c>
      <c r="B1984" s="103">
        <f>Orders!B1984</f>
        <v/>
      </c>
      <c r="C1984" s="55">
        <f>Orders!C1984</f>
        <v/>
      </c>
      <c r="D1984" s="55">
        <f>Orders!D1984</f>
        <v/>
      </c>
      <c r="E1984" s="55">
        <f>Orders!E1984</f>
        <v/>
      </c>
      <c r="F1984" s="55">
        <f>Orders!F1984</f>
        <v/>
      </c>
      <c r="G1984" s="55">
        <f>Orders!G1984</f>
        <v/>
      </c>
      <c r="H1984" s="55">
        <f>Orders!H1984</f>
        <v/>
      </c>
      <c r="I1984" s="55">
        <f>Orders!I1984</f>
        <v/>
      </c>
      <c r="J1984" s="55">
        <f>Orders!J1984</f>
        <v/>
      </c>
      <c r="K1984" s="55">
        <f>Orders!K1984</f>
        <v/>
      </c>
      <c r="L1984" s="55">
        <f>VLOOKUP(D1984,Products!$A$2:$F$61,3,FALSE())</f>
        <v/>
      </c>
      <c r="M1984" s="55">
        <f>VLOOKUP(C1984,Customers!$A$2:$F$301,5,FALSE())</f>
        <v/>
      </c>
      <c r="N1984" s="55">
        <f>VLOOKUP(E1984,Sales_Reps!$A$2:$E$31,3,FALSE())</f>
        <v/>
      </c>
      <c r="O1984" s="55">
        <f>VLOOKUP(D1984,Products!$A$2:$F$61,4,FALSE())</f>
        <v/>
      </c>
      <c r="P1984" s="55">
        <f>VLOOKUP(C1984,Customers!$A$2:$F$301,3,FALSE())</f>
        <v/>
      </c>
      <c r="Q1984" s="55">
        <f>UPPER(TRIM(K1984))</f>
        <v/>
      </c>
      <c r="R1984" s="55">
        <f>(G1984-O1984)/G1984</f>
        <v/>
      </c>
      <c r="S1984" s="55">
        <f>VLOOKUP(D1984,Products!$A$2:$F$61,6,FALSE())</f>
        <v/>
      </c>
    </row>
    <row r="1985" ht="15" customHeight="1" s="56">
      <c r="A1985" s="55">
        <f>Orders!A1985</f>
        <v/>
      </c>
      <c r="B1985" s="103">
        <f>Orders!B1985</f>
        <v/>
      </c>
      <c r="C1985" s="55">
        <f>Orders!C1985</f>
        <v/>
      </c>
      <c r="D1985" s="55">
        <f>Orders!D1985</f>
        <v/>
      </c>
      <c r="E1985" s="55">
        <f>Orders!E1985</f>
        <v/>
      </c>
      <c r="F1985" s="55">
        <f>Orders!F1985</f>
        <v/>
      </c>
      <c r="G1985" s="55">
        <f>Orders!G1985</f>
        <v/>
      </c>
      <c r="H1985" s="55">
        <f>Orders!H1985</f>
        <v/>
      </c>
      <c r="I1985" s="55">
        <f>Orders!I1985</f>
        <v/>
      </c>
      <c r="J1985" s="55">
        <f>Orders!J1985</f>
        <v/>
      </c>
      <c r="K1985" s="55">
        <f>Orders!K1985</f>
        <v/>
      </c>
      <c r="L1985" s="55">
        <f>VLOOKUP(D1985,Products!$A$2:$F$61,3,FALSE())</f>
        <v/>
      </c>
      <c r="M1985" s="55">
        <f>VLOOKUP(C1985,Customers!$A$2:$F$301,5,FALSE())</f>
        <v/>
      </c>
      <c r="N1985" s="55">
        <f>VLOOKUP(E1985,Sales_Reps!$A$2:$E$31,3,FALSE())</f>
        <v/>
      </c>
      <c r="O1985" s="55">
        <f>VLOOKUP(D1985,Products!$A$2:$F$61,4,FALSE())</f>
        <v/>
      </c>
      <c r="P1985" s="55">
        <f>VLOOKUP(C1985,Customers!$A$2:$F$301,3,FALSE())</f>
        <v/>
      </c>
      <c r="Q1985" s="55">
        <f>UPPER(TRIM(K1985))</f>
        <v/>
      </c>
      <c r="R1985" s="55">
        <f>(G1985-O1985)/G1985</f>
        <v/>
      </c>
      <c r="S1985" s="55">
        <f>VLOOKUP(D1985,Products!$A$2:$F$61,6,FALSE())</f>
        <v/>
      </c>
    </row>
    <row r="1986" ht="15" customHeight="1" s="56">
      <c r="A1986" s="55">
        <f>Orders!A1986</f>
        <v/>
      </c>
      <c r="B1986" s="103">
        <f>Orders!B1986</f>
        <v/>
      </c>
      <c r="C1986" s="55">
        <f>Orders!C1986</f>
        <v/>
      </c>
      <c r="D1986" s="55">
        <f>Orders!D1986</f>
        <v/>
      </c>
      <c r="E1986" s="55">
        <f>Orders!E1986</f>
        <v/>
      </c>
      <c r="F1986" s="55">
        <f>Orders!F1986</f>
        <v/>
      </c>
      <c r="G1986" s="55">
        <f>Orders!G1986</f>
        <v/>
      </c>
      <c r="H1986" s="55">
        <f>Orders!H1986</f>
        <v/>
      </c>
      <c r="I1986" s="55">
        <f>Orders!I1986</f>
        <v/>
      </c>
      <c r="J1986" s="55">
        <f>Orders!J1986</f>
        <v/>
      </c>
      <c r="K1986" s="55">
        <f>Orders!K1986</f>
        <v/>
      </c>
      <c r="L1986" s="55">
        <f>VLOOKUP(D1986,Products!$A$2:$F$61,3,FALSE())</f>
        <v/>
      </c>
      <c r="M1986" s="55">
        <f>VLOOKUP(C1986,Customers!$A$2:$F$301,5,FALSE())</f>
        <v/>
      </c>
      <c r="N1986" s="55">
        <f>VLOOKUP(E1986,Sales_Reps!$A$2:$E$31,3,FALSE())</f>
        <v/>
      </c>
      <c r="O1986" s="55">
        <f>VLOOKUP(D1986,Products!$A$2:$F$61,4,FALSE())</f>
        <v/>
      </c>
      <c r="P1986" s="55">
        <f>VLOOKUP(C1986,Customers!$A$2:$F$301,3,FALSE())</f>
        <v/>
      </c>
      <c r="Q1986" s="55">
        <f>UPPER(TRIM(K1986))</f>
        <v/>
      </c>
      <c r="R1986" s="55">
        <f>(G1986-O1986)/G1986</f>
        <v/>
      </c>
      <c r="S1986" s="55">
        <f>VLOOKUP(D1986,Products!$A$2:$F$61,6,FALSE())</f>
        <v/>
      </c>
    </row>
    <row r="1987" ht="15" customHeight="1" s="56">
      <c r="A1987" s="55">
        <f>Orders!A1987</f>
        <v/>
      </c>
      <c r="B1987" s="103">
        <f>Orders!B1987</f>
        <v/>
      </c>
      <c r="C1987" s="55">
        <f>Orders!C1987</f>
        <v/>
      </c>
      <c r="D1987" s="55">
        <f>Orders!D1987</f>
        <v/>
      </c>
      <c r="E1987" s="55">
        <f>Orders!E1987</f>
        <v/>
      </c>
      <c r="F1987" s="55">
        <f>Orders!F1987</f>
        <v/>
      </c>
      <c r="G1987" s="55">
        <f>Orders!G1987</f>
        <v/>
      </c>
      <c r="H1987" s="55">
        <f>Orders!H1987</f>
        <v/>
      </c>
      <c r="I1987" s="55">
        <f>Orders!I1987</f>
        <v/>
      </c>
      <c r="J1987" s="55">
        <f>Orders!J1987</f>
        <v/>
      </c>
      <c r="K1987" s="55">
        <f>Orders!K1987</f>
        <v/>
      </c>
      <c r="L1987" s="55">
        <f>VLOOKUP(D1987,Products!$A$2:$F$61,3,FALSE())</f>
        <v/>
      </c>
      <c r="M1987" s="55">
        <f>VLOOKUP(C1987,Customers!$A$2:$F$301,5,FALSE())</f>
        <v/>
      </c>
      <c r="N1987" s="55">
        <f>VLOOKUP(E1987,Sales_Reps!$A$2:$E$31,3,FALSE())</f>
        <v/>
      </c>
      <c r="O1987" s="55">
        <f>VLOOKUP(D1987,Products!$A$2:$F$61,4,FALSE())</f>
        <v/>
      </c>
      <c r="P1987" s="55">
        <f>VLOOKUP(C1987,Customers!$A$2:$F$301,3,FALSE())</f>
        <v/>
      </c>
      <c r="Q1987" s="55">
        <f>UPPER(TRIM(K1987))</f>
        <v/>
      </c>
      <c r="R1987" s="55">
        <f>(G1987-O1987)/G1987</f>
        <v/>
      </c>
      <c r="S1987" s="55">
        <f>VLOOKUP(D1987,Products!$A$2:$F$61,6,FALSE())</f>
        <v/>
      </c>
    </row>
    <row r="1988" ht="15" customHeight="1" s="56">
      <c r="A1988" s="55">
        <f>Orders!A1988</f>
        <v/>
      </c>
      <c r="B1988" s="103">
        <f>Orders!B1988</f>
        <v/>
      </c>
      <c r="C1988" s="55">
        <f>Orders!C1988</f>
        <v/>
      </c>
      <c r="D1988" s="55">
        <f>Orders!D1988</f>
        <v/>
      </c>
      <c r="E1988" s="55">
        <f>Orders!E1988</f>
        <v/>
      </c>
      <c r="F1988" s="55">
        <f>Orders!F1988</f>
        <v/>
      </c>
      <c r="G1988" s="55">
        <f>Orders!G1988</f>
        <v/>
      </c>
      <c r="H1988" s="55">
        <f>Orders!H1988</f>
        <v/>
      </c>
      <c r="I1988" s="55">
        <f>Orders!I1988</f>
        <v/>
      </c>
      <c r="J1988" s="55">
        <f>Orders!J1988</f>
        <v/>
      </c>
      <c r="K1988" s="55">
        <f>Orders!K1988</f>
        <v/>
      </c>
      <c r="L1988" s="55">
        <f>VLOOKUP(D1988,Products!$A$2:$F$61,3,FALSE())</f>
        <v/>
      </c>
      <c r="M1988" s="55">
        <f>VLOOKUP(C1988,Customers!$A$2:$F$301,5,FALSE())</f>
        <v/>
      </c>
      <c r="N1988" s="55">
        <f>VLOOKUP(E1988,Sales_Reps!$A$2:$E$31,3,FALSE())</f>
        <v/>
      </c>
      <c r="O1988" s="55">
        <f>VLOOKUP(D1988,Products!$A$2:$F$61,4,FALSE())</f>
        <v/>
      </c>
      <c r="P1988" s="55">
        <f>VLOOKUP(C1988,Customers!$A$2:$F$301,3,FALSE())</f>
        <v/>
      </c>
      <c r="Q1988" s="55">
        <f>UPPER(TRIM(K1988))</f>
        <v/>
      </c>
      <c r="R1988" s="55">
        <f>(G1988-O1988)/G1988</f>
        <v/>
      </c>
      <c r="S1988" s="55">
        <f>VLOOKUP(D1988,Products!$A$2:$F$61,6,FALSE())</f>
        <v/>
      </c>
    </row>
    <row r="1989" ht="15" customHeight="1" s="56">
      <c r="A1989" s="55">
        <f>Orders!A1989</f>
        <v/>
      </c>
      <c r="B1989" s="103">
        <f>Orders!B1989</f>
        <v/>
      </c>
      <c r="C1989" s="55">
        <f>Orders!C1989</f>
        <v/>
      </c>
      <c r="D1989" s="55">
        <f>Orders!D1989</f>
        <v/>
      </c>
      <c r="E1989" s="55">
        <f>Orders!E1989</f>
        <v/>
      </c>
      <c r="F1989" s="55">
        <f>Orders!F1989</f>
        <v/>
      </c>
      <c r="G1989" s="55">
        <f>Orders!G1989</f>
        <v/>
      </c>
      <c r="H1989" s="55">
        <f>Orders!H1989</f>
        <v/>
      </c>
      <c r="I1989" s="55">
        <f>Orders!I1989</f>
        <v/>
      </c>
      <c r="J1989" s="55">
        <f>Orders!J1989</f>
        <v/>
      </c>
      <c r="K1989" s="55">
        <f>Orders!K1989</f>
        <v/>
      </c>
      <c r="L1989" s="55">
        <f>VLOOKUP(D1989,Products!$A$2:$F$61,3,FALSE())</f>
        <v/>
      </c>
      <c r="M1989" s="55">
        <f>VLOOKUP(C1989,Customers!$A$2:$F$301,5,FALSE())</f>
        <v/>
      </c>
      <c r="N1989" s="55">
        <f>VLOOKUP(E1989,Sales_Reps!$A$2:$E$31,3,FALSE())</f>
        <v/>
      </c>
      <c r="O1989" s="55">
        <f>VLOOKUP(D1989,Products!$A$2:$F$61,4,FALSE())</f>
        <v/>
      </c>
      <c r="P1989" s="55">
        <f>VLOOKUP(C1989,Customers!$A$2:$F$301,3,FALSE())</f>
        <v/>
      </c>
      <c r="Q1989" s="55">
        <f>UPPER(TRIM(K1989))</f>
        <v/>
      </c>
      <c r="R1989" s="55">
        <f>(G1989-O1989)/G1989</f>
        <v/>
      </c>
      <c r="S1989" s="55">
        <f>VLOOKUP(D1989,Products!$A$2:$F$61,6,FALSE())</f>
        <v/>
      </c>
    </row>
    <row r="1990" ht="15" customHeight="1" s="56">
      <c r="A1990" s="55">
        <f>Orders!A1990</f>
        <v/>
      </c>
      <c r="B1990" s="103">
        <f>Orders!B1990</f>
        <v/>
      </c>
      <c r="C1990" s="55">
        <f>Orders!C1990</f>
        <v/>
      </c>
      <c r="D1990" s="55">
        <f>Orders!D1990</f>
        <v/>
      </c>
      <c r="E1990" s="55">
        <f>Orders!E1990</f>
        <v/>
      </c>
      <c r="F1990" s="55">
        <f>Orders!F1990</f>
        <v/>
      </c>
      <c r="G1990" s="55">
        <f>Orders!G1990</f>
        <v/>
      </c>
      <c r="H1990" s="55">
        <f>Orders!H1990</f>
        <v/>
      </c>
      <c r="I1990" s="55">
        <f>Orders!I1990</f>
        <v/>
      </c>
      <c r="J1990" s="55">
        <f>Orders!J1990</f>
        <v/>
      </c>
      <c r="K1990" s="55">
        <f>Orders!K1990</f>
        <v/>
      </c>
      <c r="L1990" s="55">
        <f>VLOOKUP(D1990,Products!$A$2:$F$61,3,FALSE())</f>
        <v/>
      </c>
      <c r="M1990" s="55">
        <f>VLOOKUP(C1990,Customers!$A$2:$F$301,5,FALSE())</f>
        <v/>
      </c>
      <c r="N1990" s="55">
        <f>VLOOKUP(E1990,Sales_Reps!$A$2:$E$31,3,FALSE())</f>
        <v/>
      </c>
      <c r="O1990" s="55">
        <f>VLOOKUP(D1990,Products!$A$2:$F$61,4,FALSE())</f>
        <v/>
      </c>
      <c r="P1990" s="55">
        <f>VLOOKUP(C1990,Customers!$A$2:$F$301,3,FALSE())</f>
        <v/>
      </c>
      <c r="Q1990" s="55">
        <f>UPPER(TRIM(K1990))</f>
        <v/>
      </c>
      <c r="R1990" s="55">
        <f>(G1990-O1990)/G1990</f>
        <v/>
      </c>
      <c r="S1990" s="55">
        <f>VLOOKUP(D1990,Products!$A$2:$F$61,6,FALSE())</f>
        <v/>
      </c>
    </row>
    <row r="1991" ht="15" customHeight="1" s="56">
      <c r="A1991" s="55">
        <f>Orders!A1991</f>
        <v/>
      </c>
      <c r="B1991" s="103">
        <f>Orders!B1991</f>
        <v/>
      </c>
      <c r="C1991" s="55">
        <f>Orders!C1991</f>
        <v/>
      </c>
      <c r="D1991" s="55">
        <f>Orders!D1991</f>
        <v/>
      </c>
      <c r="E1991" s="55">
        <f>Orders!E1991</f>
        <v/>
      </c>
      <c r="F1991" s="55">
        <f>Orders!F1991</f>
        <v/>
      </c>
      <c r="G1991" s="55">
        <f>Orders!G1991</f>
        <v/>
      </c>
      <c r="H1991" s="55">
        <f>Orders!H1991</f>
        <v/>
      </c>
      <c r="I1991" s="55">
        <f>Orders!I1991</f>
        <v/>
      </c>
      <c r="J1991" s="55">
        <f>Orders!J1991</f>
        <v/>
      </c>
      <c r="K1991" s="55">
        <f>Orders!K1991</f>
        <v/>
      </c>
      <c r="L1991" s="55">
        <f>VLOOKUP(D1991,Products!$A$2:$F$61,3,FALSE())</f>
        <v/>
      </c>
      <c r="M1991" s="55">
        <f>VLOOKUP(C1991,Customers!$A$2:$F$301,5,FALSE())</f>
        <v/>
      </c>
      <c r="N1991" s="55">
        <f>VLOOKUP(E1991,Sales_Reps!$A$2:$E$31,3,FALSE())</f>
        <v/>
      </c>
      <c r="O1991" s="55">
        <f>VLOOKUP(D1991,Products!$A$2:$F$61,4,FALSE())</f>
        <v/>
      </c>
      <c r="P1991" s="55">
        <f>VLOOKUP(C1991,Customers!$A$2:$F$301,3,FALSE())</f>
        <v/>
      </c>
      <c r="Q1991" s="55">
        <f>UPPER(TRIM(K1991))</f>
        <v/>
      </c>
      <c r="R1991" s="55">
        <f>(G1991-O1991)/G1991</f>
        <v/>
      </c>
      <c r="S1991" s="55">
        <f>VLOOKUP(D1991,Products!$A$2:$F$61,6,FALSE())</f>
        <v/>
      </c>
    </row>
    <row r="1992" ht="15" customHeight="1" s="56">
      <c r="A1992" s="55">
        <f>Orders!A1992</f>
        <v/>
      </c>
      <c r="B1992" s="103">
        <f>Orders!B1992</f>
        <v/>
      </c>
      <c r="C1992" s="55">
        <f>Orders!C1992</f>
        <v/>
      </c>
      <c r="D1992" s="55">
        <f>Orders!D1992</f>
        <v/>
      </c>
      <c r="E1992" s="55">
        <f>Orders!E1992</f>
        <v/>
      </c>
      <c r="F1992" s="55">
        <f>Orders!F1992</f>
        <v/>
      </c>
      <c r="G1992" s="55">
        <f>Orders!G1992</f>
        <v/>
      </c>
      <c r="H1992" s="55">
        <f>Orders!H1992</f>
        <v/>
      </c>
      <c r="I1992" s="55">
        <f>Orders!I1992</f>
        <v/>
      </c>
      <c r="J1992" s="55">
        <f>Orders!J1992</f>
        <v/>
      </c>
      <c r="K1992" s="55">
        <f>Orders!K1992</f>
        <v/>
      </c>
      <c r="L1992" s="55">
        <f>VLOOKUP(D1992,Products!$A$2:$F$61,3,FALSE())</f>
        <v/>
      </c>
      <c r="M1992" s="55">
        <f>VLOOKUP(C1992,Customers!$A$2:$F$301,5,FALSE())</f>
        <v/>
      </c>
      <c r="N1992" s="55">
        <f>VLOOKUP(E1992,Sales_Reps!$A$2:$E$31,3,FALSE())</f>
        <v/>
      </c>
      <c r="O1992" s="55">
        <f>VLOOKUP(D1992,Products!$A$2:$F$61,4,FALSE())</f>
        <v/>
      </c>
      <c r="P1992" s="55">
        <f>VLOOKUP(C1992,Customers!$A$2:$F$301,3,FALSE())</f>
        <v/>
      </c>
      <c r="Q1992" s="55">
        <f>UPPER(TRIM(K1992))</f>
        <v/>
      </c>
      <c r="R1992" s="55">
        <f>(G1992-O1992)/G1992</f>
        <v/>
      </c>
      <c r="S1992" s="55">
        <f>VLOOKUP(D1992,Products!$A$2:$F$61,6,FALSE())</f>
        <v/>
      </c>
    </row>
    <row r="1993" ht="15" customHeight="1" s="56">
      <c r="A1993" s="55">
        <f>Orders!A1993</f>
        <v/>
      </c>
      <c r="B1993" s="103">
        <f>Orders!B1993</f>
        <v/>
      </c>
      <c r="C1993" s="55">
        <f>Orders!C1993</f>
        <v/>
      </c>
      <c r="D1993" s="55">
        <f>Orders!D1993</f>
        <v/>
      </c>
      <c r="E1993" s="55">
        <f>Orders!E1993</f>
        <v/>
      </c>
      <c r="F1993" s="55">
        <f>Orders!F1993</f>
        <v/>
      </c>
      <c r="G1993" s="55">
        <f>Orders!G1993</f>
        <v/>
      </c>
      <c r="H1993" s="55">
        <f>Orders!H1993</f>
        <v/>
      </c>
      <c r="I1993" s="55">
        <f>Orders!I1993</f>
        <v/>
      </c>
      <c r="J1993" s="55">
        <f>Orders!J1993</f>
        <v/>
      </c>
      <c r="K1993" s="55">
        <f>Orders!K1993</f>
        <v/>
      </c>
      <c r="L1993" s="55">
        <f>VLOOKUP(D1993,Products!$A$2:$F$61,3,FALSE())</f>
        <v/>
      </c>
      <c r="M1993" s="55">
        <f>VLOOKUP(C1993,Customers!$A$2:$F$301,5,FALSE())</f>
        <v/>
      </c>
      <c r="N1993" s="55">
        <f>VLOOKUP(E1993,Sales_Reps!$A$2:$E$31,3,FALSE())</f>
        <v/>
      </c>
      <c r="O1993" s="55">
        <f>VLOOKUP(D1993,Products!$A$2:$F$61,4,FALSE())</f>
        <v/>
      </c>
      <c r="P1993" s="55">
        <f>VLOOKUP(C1993,Customers!$A$2:$F$301,3,FALSE())</f>
        <v/>
      </c>
      <c r="Q1993" s="55">
        <f>UPPER(TRIM(K1993))</f>
        <v/>
      </c>
      <c r="R1993" s="55">
        <f>(G1993-O1993)/G1993</f>
        <v/>
      </c>
      <c r="S1993" s="55">
        <f>VLOOKUP(D1993,Products!$A$2:$F$61,6,FALSE())</f>
        <v/>
      </c>
    </row>
    <row r="1994" ht="15" customHeight="1" s="56">
      <c r="A1994" s="55">
        <f>Orders!A1994</f>
        <v/>
      </c>
      <c r="B1994" s="103">
        <f>Orders!B1994</f>
        <v/>
      </c>
      <c r="C1994" s="55">
        <f>Orders!C1994</f>
        <v/>
      </c>
      <c r="D1994" s="55">
        <f>Orders!D1994</f>
        <v/>
      </c>
      <c r="E1994" s="55">
        <f>Orders!E1994</f>
        <v/>
      </c>
      <c r="F1994" s="55">
        <f>Orders!F1994</f>
        <v/>
      </c>
      <c r="G1994" s="55">
        <f>Orders!G1994</f>
        <v/>
      </c>
      <c r="H1994" s="55">
        <f>Orders!H1994</f>
        <v/>
      </c>
      <c r="I1994" s="55">
        <f>Orders!I1994</f>
        <v/>
      </c>
      <c r="J1994" s="55">
        <f>Orders!J1994</f>
        <v/>
      </c>
      <c r="K1994" s="55">
        <f>Orders!K1994</f>
        <v/>
      </c>
      <c r="L1994" s="55">
        <f>VLOOKUP(D1994,Products!$A$2:$F$61,3,FALSE())</f>
        <v/>
      </c>
      <c r="M1994" s="55">
        <f>VLOOKUP(C1994,Customers!$A$2:$F$301,5,FALSE())</f>
        <v/>
      </c>
      <c r="N1994" s="55">
        <f>VLOOKUP(E1994,Sales_Reps!$A$2:$E$31,3,FALSE())</f>
        <v/>
      </c>
      <c r="O1994" s="55">
        <f>VLOOKUP(D1994,Products!$A$2:$F$61,4,FALSE())</f>
        <v/>
      </c>
      <c r="P1994" s="55">
        <f>VLOOKUP(C1994,Customers!$A$2:$F$301,3,FALSE())</f>
        <v/>
      </c>
      <c r="Q1994" s="55">
        <f>UPPER(TRIM(K1994))</f>
        <v/>
      </c>
      <c r="R1994" s="55">
        <f>(G1994-O1994)/G1994</f>
        <v/>
      </c>
      <c r="S1994" s="55">
        <f>VLOOKUP(D1994,Products!$A$2:$F$61,6,FALSE())</f>
        <v/>
      </c>
    </row>
    <row r="1995" ht="15" customHeight="1" s="56">
      <c r="A1995" s="55">
        <f>Orders!A1995</f>
        <v/>
      </c>
      <c r="B1995" s="103">
        <f>Orders!B1995</f>
        <v/>
      </c>
      <c r="C1995" s="55">
        <f>Orders!C1995</f>
        <v/>
      </c>
      <c r="D1995" s="55">
        <f>Orders!D1995</f>
        <v/>
      </c>
      <c r="E1995" s="55">
        <f>Orders!E1995</f>
        <v/>
      </c>
      <c r="F1995" s="55">
        <f>Orders!F1995</f>
        <v/>
      </c>
      <c r="G1995" s="55">
        <f>Orders!G1995</f>
        <v/>
      </c>
      <c r="H1995" s="55">
        <f>Orders!H1995</f>
        <v/>
      </c>
      <c r="I1995" s="55">
        <f>Orders!I1995</f>
        <v/>
      </c>
      <c r="J1995" s="55">
        <f>Orders!J1995</f>
        <v/>
      </c>
      <c r="K1995" s="55">
        <f>Orders!K1995</f>
        <v/>
      </c>
      <c r="L1995" s="55">
        <f>VLOOKUP(D1995,Products!$A$2:$F$61,3,FALSE())</f>
        <v/>
      </c>
      <c r="M1995" s="55">
        <f>VLOOKUP(C1995,Customers!$A$2:$F$301,5,FALSE())</f>
        <v/>
      </c>
      <c r="N1995" s="55">
        <f>VLOOKUP(E1995,Sales_Reps!$A$2:$E$31,3,FALSE())</f>
        <v/>
      </c>
      <c r="O1995" s="55">
        <f>VLOOKUP(D1995,Products!$A$2:$F$61,4,FALSE())</f>
        <v/>
      </c>
      <c r="P1995" s="55">
        <f>VLOOKUP(C1995,Customers!$A$2:$F$301,3,FALSE())</f>
        <v/>
      </c>
      <c r="Q1995" s="55">
        <f>UPPER(TRIM(K1995))</f>
        <v/>
      </c>
      <c r="R1995" s="55">
        <f>(G1995-O1995)/G1995</f>
        <v/>
      </c>
      <c r="S1995" s="55">
        <f>VLOOKUP(D1995,Products!$A$2:$F$61,6,FALSE())</f>
        <v/>
      </c>
    </row>
    <row r="1996" ht="15" customHeight="1" s="56">
      <c r="A1996" s="55">
        <f>Orders!A1996</f>
        <v/>
      </c>
      <c r="B1996" s="103">
        <f>Orders!B1996</f>
        <v/>
      </c>
      <c r="C1996" s="55">
        <f>Orders!C1996</f>
        <v/>
      </c>
      <c r="D1996" s="55">
        <f>Orders!D1996</f>
        <v/>
      </c>
      <c r="E1996" s="55">
        <f>Orders!E1996</f>
        <v/>
      </c>
      <c r="F1996" s="55">
        <f>Orders!F1996</f>
        <v/>
      </c>
      <c r="G1996" s="55">
        <f>Orders!G1996</f>
        <v/>
      </c>
      <c r="H1996" s="55">
        <f>Orders!H1996</f>
        <v/>
      </c>
      <c r="I1996" s="55">
        <f>Orders!I1996</f>
        <v/>
      </c>
      <c r="J1996" s="55">
        <f>Orders!J1996</f>
        <v/>
      </c>
      <c r="K1996" s="55">
        <f>Orders!K1996</f>
        <v/>
      </c>
      <c r="L1996" s="55">
        <f>VLOOKUP(D1996,Products!$A$2:$F$61,3,FALSE())</f>
        <v/>
      </c>
      <c r="M1996" s="55">
        <f>VLOOKUP(C1996,Customers!$A$2:$F$301,5,FALSE())</f>
        <v/>
      </c>
      <c r="N1996" s="55">
        <f>VLOOKUP(E1996,Sales_Reps!$A$2:$E$31,3,FALSE())</f>
        <v/>
      </c>
      <c r="O1996" s="55">
        <f>VLOOKUP(D1996,Products!$A$2:$F$61,4,FALSE())</f>
        <v/>
      </c>
      <c r="P1996" s="55">
        <f>VLOOKUP(C1996,Customers!$A$2:$F$301,3,FALSE())</f>
        <v/>
      </c>
      <c r="Q1996" s="55">
        <f>UPPER(TRIM(K1996))</f>
        <v/>
      </c>
      <c r="R1996" s="55">
        <f>(G1996-O1996)/G1996</f>
        <v/>
      </c>
      <c r="S1996" s="55">
        <f>VLOOKUP(D1996,Products!$A$2:$F$61,6,FALSE())</f>
        <v/>
      </c>
    </row>
    <row r="1997" ht="15" customHeight="1" s="56">
      <c r="A1997" s="55">
        <f>Orders!A1997</f>
        <v/>
      </c>
      <c r="B1997" s="103">
        <f>Orders!B1997</f>
        <v/>
      </c>
      <c r="C1997" s="55">
        <f>Orders!C1997</f>
        <v/>
      </c>
      <c r="D1997" s="55">
        <f>Orders!D1997</f>
        <v/>
      </c>
      <c r="E1997" s="55">
        <f>Orders!E1997</f>
        <v/>
      </c>
      <c r="F1997" s="55">
        <f>Orders!F1997</f>
        <v/>
      </c>
      <c r="G1997" s="55">
        <f>Orders!G1997</f>
        <v/>
      </c>
      <c r="H1997" s="55">
        <f>Orders!H1997</f>
        <v/>
      </c>
      <c r="I1997" s="55">
        <f>Orders!I1997</f>
        <v/>
      </c>
      <c r="J1997" s="55">
        <f>Orders!J1997</f>
        <v/>
      </c>
      <c r="K1997" s="55">
        <f>Orders!K1997</f>
        <v/>
      </c>
      <c r="L1997" s="55">
        <f>VLOOKUP(D1997,Products!$A$2:$F$61,3,FALSE())</f>
        <v/>
      </c>
      <c r="M1997" s="55">
        <f>VLOOKUP(C1997,Customers!$A$2:$F$301,5,FALSE())</f>
        <v/>
      </c>
      <c r="N1997" s="55">
        <f>VLOOKUP(E1997,Sales_Reps!$A$2:$E$31,3,FALSE())</f>
        <v/>
      </c>
      <c r="O1997" s="55">
        <f>VLOOKUP(D1997,Products!$A$2:$F$61,4,FALSE())</f>
        <v/>
      </c>
      <c r="P1997" s="55">
        <f>VLOOKUP(C1997,Customers!$A$2:$F$301,3,FALSE())</f>
        <v/>
      </c>
      <c r="Q1997" s="55">
        <f>UPPER(TRIM(K1997))</f>
        <v/>
      </c>
      <c r="R1997" s="55">
        <f>(G1997-O1997)/G1997</f>
        <v/>
      </c>
      <c r="S1997" s="55">
        <f>VLOOKUP(D1997,Products!$A$2:$F$61,6,FALSE())</f>
        <v/>
      </c>
    </row>
    <row r="1998" ht="15" customHeight="1" s="56">
      <c r="A1998" s="55">
        <f>Orders!A1998</f>
        <v/>
      </c>
      <c r="B1998" s="103">
        <f>Orders!B1998</f>
        <v/>
      </c>
      <c r="C1998" s="55">
        <f>Orders!C1998</f>
        <v/>
      </c>
      <c r="D1998" s="55">
        <f>Orders!D1998</f>
        <v/>
      </c>
      <c r="E1998" s="55">
        <f>Orders!E1998</f>
        <v/>
      </c>
      <c r="F1998" s="55">
        <f>Orders!F1998</f>
        <v/>
      </c>
      <c r="G1998" s="55">
        <f>Orders!G1998</f>
        <v/>
      </c>
      <c r="H1998" s="55">
        <f>Orders!H1998</f>
        <v/>
      </c>
      <c r="I1998" s="55">
        <f>Orders!I1998</f>
        <v/>
      </c>
      <c r="J1998" s="55">
        <f>Orders!J1998</f>
        <v/>
      </c>
      <c r="K1998" s="55">
        <f>Orders!K1998</f>
        <v/>
      </c>
      <c r="L1998" s="55">
        <f>VLOOKUP(D1998,Products!$A$2:$F$61,3,FALSE())</f>
        <v/>
      </c>
      <c r="M1998" s="55">
        <f>VLOOKUP(C1998,Customers!$A$2:$F$301,5,FALSE())</f>
        <v/>
      </c>
      <c r="N1998" s="55">
        <f>VLOOKUP(E1998,Sales_Reps!$A$2:$E$31,3,FALSE())</f>
        <v/>
      </c>
      <c r="O1998" s="55">
        <f>VLOOKUP(D1998,Products!$A$2:$F$61,4,FALSE())</f>
        <v/>
      </c>
      <c r="P1998" s="55">
        <f>VLOOKUP(C1998,Customers!$A$2:$F$301,3,FALSE())</f>
        <v/>
      </c>
      <c r="Q1998" s="55">
        <f>UPPER(TRIM(K1998))</f>
        <v/>
      </c>
      <c r="R1998" s="55">
        <f>(G1998-O1998)/G1998</f>
        <v/>
      </c>
      <c r="S1998" s="55">
        <f>VLOOKUP(D1998,Products!$A$2:$F$61,6,FALSE())</f>
        <v/>
      </c>
    </row>
    <row r="1999" ht="15" customHeight="1" s="56">
      <c r="A1999" s="55">
        <f>Orders!A1999</f>
        <v/>
      </c>
      <c r="B1999" s="103">
        <f>Orders!B1999</f>
        <v/>
      </c>
      <c r="C1999" s="55">
        <f>Orders!C1999</f>
        <v/>
      </c>
      <c r="D1999" s="55">
        <f>Orders!D1999</f>
        <v/>
      </c>
      <c r="E1999" s="55">
        <f>Orders!E1999</f>
        <v/>
      </c>
      <c r="F1999" s="55">
        <f>Orders!F1999</f>
        <v/>
      </c>
      <c r="G1999" s="55">
        <f>Orders!G1999</f>
        <v/>
      </c>
      <c r="H1999" s="55">
        <f>Orders!H1999</f>
        <v/>
      </c>
      <c r="I1999" s="55">
        <f>Orders!I1999</f>
        <v/>
      </c>
      <c r="J1999" s="55">
        <f>Orders!J1999</f>
        <v/>
      </c>
      <c r="K1999" s="55">
        <f>Orders!K1999</f>
        <v/>
      </c>
      <c r="L1999" s="55">
        <f>VLOOKUP(D1999,Products!$A$2:$F$61,3,FALSE())</f>
        <v/>
      </c>
      <c r="M1999" s="55">
        <f>VLOOKUP(C1999,Customers!$A$2:$F$301,5,FALSE())</f>
        <v/>
      </c>
      <c r="N1999" s="55">
        <f>VLOOKUP(E1999,Sales_Reps!$A$2:$E$31,3,FALSE())</f>
        <v/>
      </c>
      <c r="O1999" s="55">
        <f>VLOOKUP(D1999,Products!$A$2:$F$61,4,FALSE())</f>
        <v/>
      </c>
      <c r="P1999" s="55">
        <f>VLOOKUP(C1999,Customers!$A$2:$F$301,3,FALSE())</f>
        <v/>
      </c>
      <c r="Q1999" s="55">
        <f>UPPER(TRIM(K1999))</f>
        <v/>
      </c>
      <c r="R1999" s="55">
        <f>(G1999-O1999)/G1999</f>
        <v/>
      </c>
      <c r="S1999" s="55">
        <f>VLOOKUP(D1999,Products!$A$2:$F$61,6,FALSE())</f>
        <v/>
      </c>
    </row>
    <row r="2000" ht="15" customHeight="1" s="56">
      <c r="A2000" s="55">
        <f>Orders!A2000</f>
        <v/>
      </c>
      <c r="B2000" s="103">
        <f>Orders!B2000</f>
        <v/>
      </c>
      <c r="C2000" s="55">
        <f>Orders!C2000</f>
        <v/>
      </c>
      <c r="D2000" s="55">
        <f>Orders!D2000</f>
        <v/>
      </c>
      <c r="E2000" s="55">
        <f>Orders!E2000</f>
        <v/>
      </c>
      <c r="F2000" s="55">
        <f>Orders!F2000</f>
        <v/>
      </c>
      <c r="G2000" s="55">
        <f>Orders!G2000</f>
        <v/>
      </c>
      <c r="H2000" s="55">
        <f>Orders!H2000</f>
        <v/>
      </c>
      <c r="I2000" s="55">
        <f>Orders!I2000</f>
        <v/>
      </c>
      <c r="J2000" s="55">
        <f>Orders!J2000</f>
        <v/>
      </c>
      <c r="K2000" s="55">
        <f>Orders!K2000</f>
        <v/>
      </c>
      <c r="L2000" s="55">
        <f>VLOOKUP(D2000,Products!$A$2:$F$61,3,FALSE())</f>
        <v/>
      </c>
      <c r="M2000" s="55">
        <f>VLOOKUP(C2000,Customers!$A$2:$F$301,5,FALSE())</f>
        <v/>
      </c>
      <c r="N2000" s="55">
        <f>VLOOKUP(E2000,Sales_Reps!$A$2:$E$31,3,FALSE())</f>
        <v/>
      </c>
      <c r="O2000" s="55">
        <f>VLOOKUP(D2000,Products!$A$2:$F$61,4,FALSE())</f>
        <v/>
      </c>
      <c r="P2000" s="55">
        <f>VLOOKUP(C2000,Customers!$A$2:$F$301,3,FALSE())</f>
        <v/>
      </c>
      <c r="Q2000" s="55">
        <f>UPPER(TRIM(K2000))</f>
        <v/>
      </c>
      <c r="R2000" s="55">
        <f>(G2000-O2000)/G2000</f>
        <v/>
      </c>
      <c r="S2000" s="55">
        <f>VLOOKUP(D2000,Products!$A$2:$F$61,6,FALSE())</f>
        <v/>
      </c>
    </row>
    <row r="2001" ht="15" customHeight="1" s="56">
      <c r="A2001" s="55">
        <f>Orders!A2001</f>
        <v/>
      </c>
      <c r="B2001" s="103">
        <f>Orders!B2001</f>
        <v/>
      </c>
      <c r="C2001" s="55">
        <f>Orders!C2001</f>
        <v/>
      </c>
      <c r="D2001" s="55">
        <f>Orders!D2001</f>
        <v/>
      </c>
      <c r="E2001" s="55">
        <f>Orders!E2001</f>
        <v/>
      </c>
      <c r="F2001" s="55">
        <f>Orders!F2001</f>
        <v/>
      </c>
      <c r="G2001" s="55">
        <f>Orders!G2001</f>
        <v/>
      </c>
      <c r="H2001" s="55">
        <f>Orders!H2001</f>
        <v/>
      </c>
      <c r="I2001" s="55">
        <f>Orders!I2001</f>
        <v/>
      </c>
      <c r="J2001" s="55">
        <f>Orders!J2001</f>
        <v/>
      </c>
      <c r="K2001" s="55">
        <f>Orders!K2001</f>
        <v/>
      </c>
      <c r="L2001" s="55">
        <f>VLOOKUP(D2001,Products!$A$2:$F$61,3,FALSE())</f>
        <v/>
      </c>
      <c r="M2001" s="55">
        <f>VLOOKUP(C2001,Customers!$A$2:$F$301,5,FALSE())</f>
        <v/>
      </c>
      <c r="N2001" s="55">
        <f>VLOOKUP(E2001,Sales_Reps!$A$2:$E$31,3,FALSE())</f>
        <v/>
      </c>
      <c r="O2001" s="55">
        <f>VLOOKUP(D2001,Products!$A$2:$F$61,4,FALSE())</f>
        <v/>
      </c>
      <c r="P2001" s="55">
        <f>VLOOKUP(C2001,Customers!$A$2:$F$301,3,FALSE())</f>
        <v/>
      </c>
      <c r="Q2001" s="55">
        <f>UPPER(TRIM(K2001))</f>
        <v/>
      </c>
      <c r="R2001" s="55">
        <f>(G2001-O2001)/G2001</f>
        <v/>
      </c>
      <c r="S2001" s="55">
        <f>VLOOKUP(D2001,Products!$A$2:$F$61,6,FALSE())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AO200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1" zeroHeight="0" outlineLevelRow="0"/>
  <cols>
    <col width="14" customWidth="1" style="55" min="1" max="39"/>
  </cols>
  <sheetData>
    <row r="1" ht="15" customHeight="1" s="56">
      <c r="A1" s="101" t="inlineStr">
        <is>
          <t>Order Month</t>
        </is>
      </c>
      <c r="B1" s="101" t="inlineStr">
        <is>
          <t>R001</t>
        </is>
      </c>
      <c r="C1" s="101" t="inlineStr">
        <is>
          <t>R002</t>
        </is>
      </c>
      <c r="D1" s="101" t="inlineStr">
        <is>
          <t>R003</t>
        </is>
      </c>
      <c r="E1" s="101" t="inlineStr">
        <is>
          <t>R004</t>
        </is>
      </c>
      <c r="F1" s="101" t="inlineStr">
        <is>
          <t>R005</t>
        </is>
      </c>
      <c r="G1" s="101" t="inlineStr">
        <is>
          <t>R006</t>
        </is>
      </c>
      <c r="H1" s="101" t="inlineStr">
        <is>
          <t>R007</t>
        </is>
      </c>
      <c r="I1" s="101" t="inlineStr">
        <is>
          <t>R008</t>
        </is>
      </c>
      <c r="J1" s="101" t="inlineStr">
        <is>
          <t>R009</t>
        </is>
      </c>
      <c r="K1" s="101" t="inlineStr">
        <is>
          <t>R010</t>
        </is>
      </c>
      <c r="L1" s="101" t="inlineStr">
        <is>
          <t>R011</t>
        </is>
      </c>
      <c r="M1" s="101" t="inlineStr">
        <is>
          <t>R012</t>
        </is>
      </c>
      <c r="N1" s="101" t="inlineStr">
        <is>
          <t>R013</t>
        </is>
      </c>
      <c r="O1" s="101" t="inlineStr">
        <is>
          <t>R014</t>
        </is>
      </c>
      <c r="P1" s="101" t="inlineStr">
        <is>
          <t>R015</t>
        </is>
      </c>
      <c r="Q1" s="101" t="inlineStr">
        <is>
          <t>R016</t>
        </is>
      </c>
      <c r="R1" s="101" t="inlineStr">
        <is>
          <t>R017</t>
        </is>
      </c>
      <c r="S1" s="101" t="inlineStr">
        <is>
          <t>R018</t>
        </is>
      </c>
      <c r="T1" s="101" t="inlineStr">
        <is>
          <t>R019</t>
        </is>
      </c>
      <c r="U1" s="101" t="inlineStr">
        <is>
          <t>R020</t>
        </is>
      </c>
      <c r="V1" s="101" t="inlineStr">
        <is>
          <t>R021</t>
        </is>
      </c>
      <c r="W1" s="101" t="inlineStr">
        <is>
          <t>R022</t>
        </is>
      </c>
      <c r="X1" s="101" t="inlineStr">
        <is>
          <t>R023</t>
        </is>
      </c>
      <c r="Y1" s="101" t="inlineStr">
        <is>
          <t>Supporting calculations</t>
        </is>
      </c>
      <c r="Z1" s="101" t="inlineStr">
        <is>
          <t>R025</t>
        </is>
      </c>
      <c r="AA1" s="101" t="inlineStr">
        <is>
          <t>R026</t>
        </is>
      </c>
      <c r="AB1" s="101" t="inlineStr">
        <is>
          <t>R027</t>
        </is>
      </c>
      <c r="AC1" s="101" t="inlineStr">
        <is>
          <t>R028</t>
        </is>
      </c>
      <c r="AD1" s="101" t="inlineStr">
        <is>
          <t>R029</t>
        </is>
      </c>
      <c r="AE1" s="101" t="inlineStr">
        <is>
          <t>R030</t>
        </is>
      </c>
      <c r="AF1" s="101" t="inlineStr">
        <is>
          <t>Rep ID</t>
        </is>
      </c>
      <c r="AG1" s="101" t="inlineStr">
        <is>
          <t>Rep Total Revenue</t>
        </is>
      </c>
      <c r="AH1" s="101" t="inlineStr">
        <is>
          <t>Rep Name</t>
        </is>
      </c>
      <c r="AI1" s="101" t="inlineStr">
        <is>
          <t>West Product Total</t>
        </is>
      </c>
      <c r="AJ1" s="101" t="n"/>
      <c r="AK1" s="101" t="inlineStr">
        <is>
          <t>West Product ID</t>
        </is>
      </c>
      <c r="AL1" s="101" t="inlineStr">
        <is>
          <t>West Product Name</t>
        </is>
      </c>
      <c r="AM1" s="101" t="inlineStr">
        <is>
          <t>West Revenue</t>
        </is>
      </c>
      <c r="AO1" s="105" t="inlineStr">
        <is>
          <t>Bengaluru Grocery Order Value</t>
        </is>
      </c>
    </row>
    <row r="2" ht="189.55" customHeight="1" s="56">
      <c r="A2" s="106" t="n">
        <v>45292</v>
      </c>
      <c r="B2" s="107">
        <f>SUMIFS(Analysis_Helper!$I$2:$I$2001,Analysis_Helper!$E$2:$E$2001,B$1,Analysis_Helper!$B$2:$B$2001,"&gt;="&amp;$A2,Analysis_Helper!$B$2:$B$2001,"&lt;"&amp;EDATE($A2,1))</f>
        <v/>
      </c>
      <c r="C2" s="107">
        <f>SUMIFS(Analysis_Helper!$I$2:$I$2001,Analysis_Helper!$E$2:$E$2001,C$1,Analysis_Helper!$B$2:$B$2001,"&gt;="&amp;$A2,Analysis_Helper!$B$2:$B$2001,"&lt;"&amp;EDATE($A2,1))</f>
        <v/>
      </c>
      <c r="D2" s="107">
        <f>SUMIFS(Analysis_Helper!$I$2:$I$2001,Analysis_Helper!$E$2:$E$2001,D$1,Analysis_Helper!$B$2:$B$2001,"&gt;="&amp;$A2,Analysis_Helper!$B$2:$B$2001,"&lt;"&amp;EDATE($A2,1))</f>
        <v/>
      </c>
      <c r="E2" s="107">
        <f>SUMIFS(Analysis_Helper!$I$2:$I$2001,Analysis_Helper!$E$2:$E$2001,E$1,Analysis_Helper!$B$2:$B$2001,"&gt;="&amp;$A2,Analysis_Helper!$B$2:$B$2001,"&lt;"&amp;EDATE($A2,1))</f>
        <v/>
      </c>
      <c r="F2" s="107">
        <f>SUMIFS(Analysis_Helper!$I$2:$I$2001,Analysis_Helper!$E$2:$E$2001,F$1,Analysis_Helper!$B$2:$B$2001,"&gt;="&amp;$A2,Analysis_Helper!$B$2:$B$2001,"&lt;"&amp;EDATE($A2,1))</f>
        <v/>
      </c>
      <c r="G2" s="107">
        <f>SUMIFS(Analysis_Helper!$I$2:$I$2001,Analysis_Helper!$E$2:$E$2001,G$1,Analysis_Helper!$B$2:$B$2001,"&gt;="&amp;$A2,Analysis_Helper!$B$2:$B$2001,"&lt;"&amp;EDATE($A2,1))</f>
        <v/>
      </c>
      <c r="H2" s="107">
        <f>SUMIFS(Analysis_Helper!$I$2:$I$2001,Analysis_Helper!$E$2:$E$2001,H$1,Analysis_Helper!$B$2:$B$2001,"&gt;="&amp;$A2,Analysis_Helper!$B$2:$B$2001,"&lt;"&amp;EDATE($A2,1))</f>
        <v/>
      </c>
      <c r="I2" s="107">
        <f>SUMIFS(Analysis_Helper!$I$2:$I$2001,Analysis_Helper!$E$2:$E$2001,I$1,Analysis_Helper!$B$2:$B$2001,"&gt;="&amp;$A2,Analysis_Helper!$B$2:$B$2001,"&lt;"&amp;EDATE($A2,1))</f>
        <v/>
      </c>
      <c r="J2" s="107">
        <f>SUMIFS(Analysis_Helper!$I$2:$I$2001,Analysis_Helper!$E$2:$E$2001,J$1,Analysis_Helper!$B$2:$B$2001,"&gt;="&amp;$A2,Analysis_Helper!$B$2:$B$2001,"&lt;"&amp;EDATE($A2,1))</f>
        <v/>
      </c>
      <c r="K2" s="107">
        <f>SUMIFS(Analysis_Helper!$I$2:$I$2001,Analysis_Helper!$E$2:$E$2001,K$1,Analysis_Helper!$B$2:$B$2001,"&gt;="&amp;$A2,Analysis_Helper!$B$2:$B$2001,"&lt;"&amp;EDATE($A2,1))</f>
        <v/>
      </c>
      <c r="L2" s="107">
        <f>SUMIFS(Analysis_Helper!$I$2:$I$2001,Analysis_Helper!$E$2:$E$2001,L$1,Analysis_Helper!$B$2:$B$2001,"&gt;="&amp;$A2,Analysis_Helper!$B$2:$B$2001,"&lt;"&amp;EDATE($A2,1))</f>
        <v/>
      </c>
      <c r="M2" s="107">
        <f>SUMIFS(Analysis_Helper!$I$2:$I$2001,Analysis_Helper!$E$2:$E$2001,M$1,Analysis_Helper!$B$2:$B$2001,"&gt;="&amp;$A2,Analysis_Helper!$B$2:$B$2001,"&lt;"&amp;EDATE($A2,1))</f>
        <v/>
      </c>
      <c r="N2" s="107">
        <f>SUMIFS(Analysis_Helper!$I$2:$I$2001,Analysis_Helper!$E$2:$E$2001,N$1,Analysis_Helper!$B$2:$B$2001,"&gt;="&amp;$A2,Analysis_Helper!$B$2:$B$2001,"&lt;"&amp;EDATE($A2,1))</f>
        <v/>
      </c>
      <c r="O2" s="107">
        <f>SUMIFS(Analysis_Helper!$I$2:$I$2001,Analysis_Helper!$E$2:$E$2001,O$1,Analysis_Helper!$B$2:$B$2001,"&gt;="&amp;$A2,Analysis_Helper!$B$2:$B$2001,"&lt;"&amp;EDATE($A2,1))</f>
        <v/>
      </c>
      <c r="P2" s="107">
        <f>SUMIFS(Analysis_Helper!$I$2:$I$2001,Analysis_Helper!$E$2:$E$2001,P$1,Analysis_Helper!$B$2:$B$2001,"&gt;="&amp;$A2,Analysis_Helper!$B$2:$B$2001,"&lt;"&amp;EDATE($A2,1))</f>
        <v/>
      </c>
      <c r="Q2" s="107">
        <f>SUMIFS(Analysis_Helper!$I$2:$I$2001,Analysis_Helper!$E$2:$E$2001,Q$1,Analysis_Helper!$B$2:$B$2001,"&gt;="&amp;$A2,Analysis_Helper!$B$2:$B$2001,"&lt;"&amp;EDATE($A2,1))</f>
        <v/>
      </c>
      <c r="R2" s="107">
        <f>SUMIFS(Analysis_Helper!$I$2:$I$2001,Analysis_Helper!$E$2:$E$2001,R$1,Analysis_Helper!$B$2:$B$2001,"&gt;="&amp;$A2,Analysis_Helper!$B$2:$B$2001,"&lt;"&amp;EDATE($A2,1))</f>
        <v/>
      </c>
      <c r="S2" s="107">
        <f>SUMIFS(Analysis_Helper!$I$2:$I$2001,Analysis_Helper!$E$2:$E$2001,S$1,Analysis_Helper!$B$2:$B$2001,"&gt;="&amp;$A2,Analysis_Helper!$B$2:$B$2001,"&lt;"&amp;EDATE($A2,1))</f>
        <v/>
      </c>
      <c r="T2" s="107">
        <f>SUMIFS(Analysis_Helper!$I$2:$I$2001,Analysis_Helper!$E$2:$E$2001,T$1,Analysis_Helper!$B$2:$B$2001,"&gt;="&amp;$A2,Analysis_Helper!$B$2:$B$2001,"&lt;"&amp;EDATE($A2,1))</f>
        <v/>
      </c>
      <c r="U2" s="107">
        <f>SUMIFS(Analysis_Helper!$I$2:$I$2001,Analysis_Helper!$E$2:$E$2001,U$1,Analysis_Helper!$B$2:$B$2001,"&gt;="&amp;$A2,Analysis_Helper!$B$2:$B$2001,"&lt;"&amp;EDATE($A2,1))</f>
        <v/>
      </c>
      <c r="V2" s="107">
        <f>SUMIFS(Analysis_Helper!$I$2:$I$2001,Analysis_Helper!$E$2:$E$2001,V$1,Analysis_Helper!$B$2:$B$2001,"&gt;="&amp;$A2,Analysis_Helper!$B$2:$B$2001,"&lt;"&amp;EDATE($A2,1))</f>
        <v/>
      </c>
      <c r="W2" s="107">
        <f>SUMIFS(Analysis_Helper!$I$2:$I$2001,Analysis_Helper!$E$2:$E$2001,W$1,Analysis_Helper!$B$2:$B$2001,"&gt;="&amp;$A2,Analysis_Helper!$B$2:$B$2001,"&lt;"&amp;EDATE($A2,1))</f>
        <v/>
      </c>
      <c r="X2" s="107">
        <f>SUMIFS(Analysis_Helper!$I$2:$I$2001,Analysis_Helper!$E$2:$E$2001,X$1,Analysis_Helper!$B$2:$B$2001,"&gt;="&amp;$A2,Analysis_Helper!$B$2:$B$2001,"&lt;"&amp;EDATE($A2,1))</f>
        <v/>
      </c>
      <c r="Y2" s="108" t="inlineStr">
        <is>
          <t>Static/formula-based pivot outputs are provided here because openpyxl cannot create native Excel PivotTable objects. The question cells contain recalculating formulas.</t>
        </is>
      </c>
      <c r="Z2" s="107">
        <f>SUMIFS(Analysis_Helper!$I$2:$I$2001,Analysis_Helper!$E$2:$E$2001,Z$1,Analysis_Helper!$B$2:$B$2001,"&gt;="&amp;$A2,Analysis_Helper!$B$2:$B$2001,"&lt;"&amp;EDATE($A2,1))</f>
        <v/>
      </c>
      <c r="AA2" s="107">
        <f>SUMIFS(Analysis_Helper!$I$2:$I$2001,Analysis_Helper!$E$2:$E$2001,AA$1,Analysis_Helper!$B$2:$B$2001,"&gt;="&amp;$A2,Analysis_Helper!$B$2:$B$2001,"&lt;"&amp;EDATE($A2,1))</f>
        <v/>
      </c>
      <c r="AB2" s="107">
        <f>SUMIFS(Analysis_Helper!$I$2:$I$2001,Analysis_Helper!$E$2:$E$2001,AB$1,Analysis_Helper!$B$2:$B$2001,"&gt;="&amp;$A2,Analysis_Helper!$B$2:$B$2001,"&lt;"&amp;EDATE($A2,1))</f>
        <v/>
      </c>
      <c r="AC2" s="107">
        <f>SUMIFS(Analysis_Helper!$I$2:$I$2001,Analysis_Helper!$E$2:$E$2001,AC$1,Analysis_Helper!$B$2:$B$2001,"&gt;="&amp;$A2,Analysis_Helper!$B$2:$B$2001,"&lt;"&amp;EDATE($A2,1))</f>
        <v/>
      </c>
      <c r="AD2" s="107">
        <f>SUMIFS(Analysis_Helper!$I$2:$I$2001,Analysis_Helper!$E$2:$E$2001,AD$1,Analysis_Helper!$B$2:$B$2001,"&gt;="&amp;$A2,Analysis_Helper!$B$2:$B$2001,"&lt;"&amp;EDATE($A2,1))</f>
        <v/>
      </c>
      <c r="AE2" s="107">
        <f>SUMIFS(Analysis_Helper!$I$2:$I$2001,Analysis_Helper!$E$2:$E$2001,AE$1,Analysis_Helper!$B$2:$B$2001,"&gt;="&amp;$A2,Analysis_Helper!$B$2:$B$2001,"&lt;"&amp;EDATE($A2,1))</f>
        <v/>
      </c>
      <c r="AF2" s="55" t="inlineStr">
        <is>
          <t>R001</t>
        </is>
      </c>
      <c r="AG2" s="55">
        <f>SUMIF(Analysis_Helper!$E$2:$E$2001,AF2,Analysis_Helper!$I$2:$I$2001)</f>
        <v/>
      </c>
      <c r="AH2" s="55">
        <f>VLOOKUP(AF2,Sales_Reps!$A$2:$B$31,2,FALSE())</f>
        <v/>
      </c>
      <c r="AK2" s="55" t="inlineStr">
        <is>
          <t>PROD-001</t>
        </is>
      </c>
      <c r="AL2" s="55">
        <f>VLOOKUP(AK2,Products!$A$2:$B$61,2,FALSE())</f>
        <v/>
      </c>
      <c r="AM2" s="55">
        <f>SUMIFS(Analysis_Helper!$I$2:$I$2001,Analysis_Helper!$D$2:$D$2001,AK2,Analysis_Helper!$N$2:$N$2001,"West")</f>
        <v/>
      </c>
      <c r="AO2" s="55">
        <f>IF(AND(Analysis_Helper!Q2="BENGALURU",Analysis_Helper!L2="Grocery"),Analysis_Helper!I2,0)</f>
        <v/>
      </c>
    </row>
    <row r="3" ht="15" customHeight="1" s="56">
      <c r="A3" s="106" t="n">
        <v>45323</v>
      </c>
      <c r="B3" s="107">
        <f>SUMIFS(Analysis_Helper!$I$2:$I$2001,Analysis_Helper!$E$2:$E$2001,B$1,Analysis_Helper!$B$2:$B$2001,"&gt;="&amp;$A3,Analysis_Helper!$B$2:$B$2001,"&lt;"&amp;EDATE($A3,1))</f>
        <v/>
      </c>
      <c r="C3" s="107">
        <f>SUMIFS(Analysis_Helper!$I$2:$I$2001,Analysis_Helper!$E$2:$E$2001,C$1,Analysis_Helper!$B$2:$B$2001,"&gt;="&amp;$A3,Analysis_Helper!$B$2:$B$2001,"&lt;"&amp;EDATE($A3,1))</f>
        <v/>
      </c>
      <c r="D3" s="107">
        <f>SUMIFS(Analysis_Helper!$I$2:$I$2001,Analysis_Helper!$E$2:$E$2001,D$1,Analysis_Helper!$B$2:$B$2001,"&gt;="&amp;$A3,Analysis_Helper!$B$2:$B$2001,"&lt;"&amp;EDATE($A3,1))</f>
        <v/>
      </c>
      <c r="E3" s="107">
        <f>SUMIFS(Analysis_Helper!$I$2:$I$2001,Analysis_Helper!$E$2:$E$2001,E$1,Analysis_Helper!$B$2:$B$2001,"&gt;="&amp;$A3,Analysis_Helper!$B$2:$B$2001,"&lt;"&amp;EDATE($A3,1))</f>
        <v/>
      </c>
      <c r="F3" s="107">
        <f>SUMIFS(Analysis_Helper!$I$2:$I$2001,Analysis_Helper!$E$2:$E$2001,F$1,Analysis_Helper!$B$2:$B$2001,"&gt;="&amp;$A3,Analysis_Helper!$B$2:$B$2001,"&lt;"&amp;EDATE($A3,1))</f>
        <v/>
      </c>
      <c r="G3" s="107">
        <f>SUMIFS(Analysis_Helper!$I$2:$I$2001,Analysis_Helper!$E$2:$E$2001,G$1,Analysis_Helper!$B$2:$B$2001,"&gt;="&amp;$A3,Analysis_Helper!$B$2:$B$2001,"&lt;"&amp;EDATE($A3,1))</f>
        <v/>
      </c>
      <c r="H3" s="107">
        <f>SUMIFS(Analysis_Helper!$I$2:$I$2001,Analysis_Helper!$E$2:$E$2001,H$1,Analysis_Helper!$B$2:$B$2001,"&gt;="&amp;$A3,Analysis_Helper!$B$2:$B$2001,"&lt;"&amp;EDATE($A3,1))</f>
        <v/>
      </c>
      <c r="I3" s="107">
        <f>SUMIFS(Analysis_Helper!$I$2:$I$2001,Analysis_Helper!$E$2:$E$2001,I$1,Analysis_Helper!$B$2:$B$2001,"&gt;="&amp;$A3,Analysis_Helper!$B$2:$B$2001,"&lt;"&amp;EDATE($A3,1))</f>
        <v/>
      </c>
      <c r="J3" s="107">
        <f>SUMIFS(Analysis_Helper!$I$2:$I$2001,Analysis_Helper!$E$2:$E$2001,J$1,Analysis_Helper!$B$2:$B$2001,"&gt;="&amp;$A3,Analysis_Helper!$B$2:$B$2001,"&lt;"&amp;EDATE($A3,1))</f>
        <v/>
      </c>
      <c r="K3" s="107">
        <f>SUMIFS(Analysis_Helper!$I$2:$I$2001,Analysis_Helper!$E$2:$E$2001,K$1,Analysis_Helper!$B$2:$B$2001,"&gt;="&amp;$A3,Analysis_Helper!$B$2:$B$2001,"&lt;"&amp;EDATE($A3,1))</f>
        <v/>
      </c>
      <c r="L3" s="107">
        <f>SUMIFS(Analysis_Helper!$I$2:$I$2001,Analysis_Helper!$E$2:$E$2001,L$1,Analysis_Helper!$B$2:$B$2001,"&gt;="&amp;$A3,Analysis_Helper!$B$2:$B$2001,"&lt;"&amp;EDATE($A3,1))</f>
        <v/>
      </c>
      <c r="M3" s="107">
        <f>SUMIFS(Analysis_Helper!$I$2:$I$2001,Analysis_Helper!$E$2:$E$2001,M$1,Analysis_Helper!$B$2:$B$2001,"&gt;="&amp;$A3,Analysis_Helper!$B$2:$B$2001,"&lt;"&amp;EDATE($A3,1))</f>
        <v/>
      </c>
      <c r="N3" s="107">
        <f>SUMIFS(Analysis_Helper!$I$2:$I$2001,Analysis_Helper!$E$2:$E$2001,N$1,Analysis_Helper!$B$2:$B$2001,"&gt;="&amp;$A3,Analysis_Helper!$B$2:$B$2001,"&lt;"&amp;EDATE($A3,1))</f>
        <v/>
      </c>
      <c r="O3" s="107">
        <f>SUMIFS(Analysis_Helper!$I$2:$I$2001,Analysis_Helper!$E$2:$E$2001,O$1,Analysis_Helper!$B$2:$B$2001,"&gt;="&amp;$A3,Analysis_Helper!$B$2:$B$2001,"&lt;"&amp;EDATE($A3,1))</f>
        <v/>
      </c>
      <c r="P3" s="107">
        <f>SUMIFS(Analysis_Helper!$I$2:$I$2001,Analysis_Helper!$E$2:$E$2001,P$1,Analysis_Helper!$B$2:$B$2001,"&gt;="&amp;$A3,Analysis_Helper!$B$2:$B$2001,"&lt;"&amp;EDATE($A3,1))</f>
        <v/>
      </c>
      <c r="Q3" s="107">
        <f>SUMIFS(Analysis_Helper!$I$2:$I$2001,Analysis_Helper!$E$2:$E$2001,Q$1,Analysis_Helper!$B$2:$B$2001,"&gt;="&amp;$A3,Analysis_Helper!$B$2:$B$2001,"&lt;"&amp;EDATE($A3,1))</f>
        <v/>
      </c>
      <c r="R3" s="107">
        <f>SUMIFS(Analysis_Helper!$I$2:$I$2001,Analysis_Helper!$E$2:$E$2001,R$1,Analysis_Helper!$B$2:$B$2001,"&gt;="&amp;$A3,Analysis_Helper!$B$2:$B$2001,"&lt;"&amp;EDATE($A3,1))</f>
        <v/>
      </c>
      <c r="S3" s="107">
        <f>SUMIFS(Analysis_Helper!$I$2:$I$2001,Analysis_Helper!$E$2:$E$2001,S$1,Analysis_Helper!$B$2:$B$2001,"&gt;="&amp;$A3,Analysis_Helper!$B$2:$B$2001,"&lt;"&amp;EDATE($A3,1))</f>
        <v/>
      </c>
      <c r="T3" s="107">
        <f>SUMIFS(Analysis_Helper!$I$2:$I$2001,Analysis_Helper!$E$2:$E$2001,T$1,Analysis_Helper!$B$2:$B$2001,"&gt;="&amp;$A3,Analysis_Helper!$B$2:$B$2001,"&lt;"&amp;EDATE($A3,1))</f>
        <v/>
      </c>
      <c r="U3" s="107">
        <f>SUMIFS(Analysis_Helper!$I$2:$I$2001,Analysis_Helper!$E$2:$E$2001,U$1,Analysis_Helper!$B$2:$B$2001,"&gt;="&amp;$A3,Analysis_Helper!$B$2:$B$2001,"&lt;"&amp;EDATE($A3,1))</f>
        <v/>
      </c>
      <c r="V3" s="107">
        <f>SUMIFS(Analysis_Helper!$I$2:$I$2001,Analysis_Helper!$E$2:$E$2001,V$1,Analysis_Helper!$B$2:$B$2001,"&gt;="&amp;$A3,Analysis_Helper!$B$2:$B$2001,"&lt;"&amp;EDATE($A3,1))</f>
        <v/>
      </c>
      <c r="W3" s="107">
        <f>SUMIFS(Analysis_Helper!$I$2:$I$2001,Analysis_Helper!$E$2:$E$2001,W$1,Analysis_Helper!$B$2:$B$2001,"&gt;="&amp;$A3,Analysis_Helper!$B$2:$B$2001,"&lt;"&amp;EDATE($A3,1))</f>
        <v/>
      </c>
      <c r="X3" s="107">
        <f>SUMIFS(Analysis_Helper!$I$2:$I$2001,Analysis_Helper!$E$2:$E$2001,X$1,Analysis_Helper!$B$2:$B$2001,"&gt;="&amp;$A3,Analysis_Helper!$B$2:$B$2001,"&lt;"&amp;EDATE($A3,1))</f>
        <v/>
      </c>
      <c r="Y3" s="107">
        <f>SUMIFS(Analysis_Helper!$I$2:$I$2001,Analysis_Helper!$E$2:$E$2001,Y$1,Analysis_Helper!$B$2:$B$2001,"&gt;="&amp;$A3,Analysis_Helper!$B$2:$B$2001,"&lt;"&amp;EDATE($A3,1))</f>
        <v/>
      </c>
      <c r="Z3" s="107">
        <f>SUMIFS(Analysis_Helper!$I$2:$I$2001,Analysis_Helper!$E$2:$E$2001,Z$1,Analysis_Helper!$B$2:$B$2001,"&gt;="&amp;$A3,Analysis_Helper!$B$2:$B$2001,"&lt;"&amp;EDATE($A3,1))</f>
        <v/>
      </c>
      <c r="AA3" s="107">
        <f>SUMIFS(Analysis_Helper!$I$2:$I$2001,Analysis_Helper!$E$2:$E$2001,AA$1,Analysis_Helper!$B$2:$B$2001,"&gt;="&amp;$A3,Analysis_Helper!$B$2:$B$2001,"&lt;"&amp;EDATE($A3,1))</f>
        <v/>
      </c>
      <c r="AB3" s="107">
        <f>SUMIFS(Analysis_Helper!$I$2:$I$2001,Analysis_Helper!$E$2:$E$2001,AB$1,Analysis_Helper!$B$2:$B$2001,"&gt;="&amp;$A3,Analysis_Helper!$B$2:$B$2001,"&lt;"&amp;EDATE($A3,1))</f>
        <v/>
      </c>
      <c r="AC3" s="107">
        <f>SUMIFS(Analysis_Helper!$I$2:$I$2001,Analysis_Helper!$E$2:$E$2001,AC$1,Analysis_Helper!$B$2:$B$2001,"&gt;="&amp;$A3,Analysis_Helper!$B$2:$B$2001,"&lt;"&amp;EDATE($A3,1))</f>
        <v/>
      </c>
      <c r="AD3" s="107">
        <f>SUMIFS(Analysis_Helper!$I$2:$I$2001,Analysis_Helper!$E$2:$E$2001,AD$1,Analysis_Helper!$B$2:$B$2001,"&gt;="&amp;$A3,Analysis_Helper!$B$2:$B$2001,"&lt;"&amp;EDATE($A3,1))</f>
        <v/>
      </c>
      <c r="AE3" s="107">
        <f>SUMIFS(Analysis_Helper!$I$2:$I$2001,Analysis_Helper!$E$2:$E$2001,AE$1,Analysis_Helper!$B$2:$B$2001,"&gt;="&amp;$A3,Analysis_Helper!$B$2:$B$2001,"&lt;"&amp;EDATE($A3,1))</f>
        <v/>
      </c>
      <c r="AF3" s="55" t="inlineStr">
        <is>
          <t>R002</t>
        </is>
      </c>
      <c r="AG3" s="55">
        <f>SUMIF(Analysis_Helper!$E$2:$E$2001,AF3,Analysis_Helper!$I$2:$I$2001)</f>
        <v/>
      </c>
      <c r="AH3" s="55">
        <f>VLOOKUP(AF3,Sales_Reps!$A$2:$B$31,2,FALSE())</f>
        <v/>
      </c>
      <c r="AK3" s="55" t="inlineStr">
        <is>
          <t>PROD-002</t>
        </is>
      </c>
      <c r="AL3" s="55">
        <f>VLOOKUP(AK3,Products!$A$2:$B$61,2,FALSE())</f>
        <v/>
      </c>
      <c r="AM3" s="55">
        <f>SUMIFS(Analysis_Helper!$I$2:$I$2001,Analysis_Helper!$D$2:$D$2001,AK3,Analysis_Helper!$N$2:$N$2001,"West")</f>
        <v/>
      </c>
      <c r="AO3" s="55">
        <f>IF(AND(Analysis_Helper!Q3="BENGALURU",Analysis_Helper!L3="Grocery"),Analysis_Helper!I3,0)</f>
        <v/>
      </c>
    </row>
    <row r="4" ht="15" customHeight="1" s="56">
      <c r="A4" s="106" t="n">
        <v>45352</v>
      </c>
      <c r="B4" s="107">
        <f>SUMIFS(Analysis_Helper!$I$2:$I$2001,Analysis_Helper!$E$2:$E$2001,B$1,Analysis_Helper!$B$2:$B$2001,"&gt;="&amp;$A4,Analysis_Helper!$B$2:$B$2001,"&lt;"&amp;EDATE($A4,1))</f>
        <v/>
      </c>
      <c r="C4" s="107">
        <f>SUMIFS(Analysis_Helper!$I$2:$I$2001,Analysis_Helper!$E$2:$E$2001,C$1,Analysis_Helper!$B$2:$B$2001,"&gt;="&amp;$A4,Analysis_Helper!$B$2:$B$2001,"&lt;"&amp;EDATE($A4,1))</f>
        <v/>
      </c>
      <c r="D4" s="107">
        <f>SUMIFS(Analysis_Helper!$I$2:$I$2001,Analysis_Helper!$E$2:$E$2001,D$1,Analysis_Helper!$B$2:$B$2001,"&gt;="&amp;$A4,Analysis_Helper!$B$2:$B$2001,"&lt;"&amp;EDATE($A4,1))</f>
        <v/>
      </c>
      <c r="E4" s="107">
        <f>SUMIFS(Analysis_Helper!$I$2:$I$2001,Analysis_Helper!$E$2:$E$2001,E$1,Analysis_Helper!$B$2:$B$2001,"&gt;="&amp;$A4,Analysis_Helper!$B$2:$B$2001,"&lt;"&amp;EDATE($A4,1))</f>
        <v/>
      </c>
      <c r="F4" s="107">
        <f>SUMIFS(Analysis_Helper!$I$2:$I$2001,Analysis_Helper!$E$2:$E$2001,F$1,Analysis_Helper!$B$2:$B$2001,"&gt;="&amp;$A4,Analysis_Helper!$B$2:$B$2001,"&lt;"&amp;EDATE($A4,1))</f>
        <v/>
      </c>
      <c r="G4" s="107">
        <f>SUMIFS(Analysis_Helper!$I$2:$I$2001,Analysis_Helper!$E$2:$E$2001,G$1,Analysis_Helper!$B$2:$B$2001,"&gt;="&amp;$A4,Analysis_Helper!$B$2:$B$2001,"&lt;"&amp;EDATE($A4,1))</f>
        <v/>
      </c>
      <c r="H4" s="107">
        <f>SUMIFS(Analysis_Helper!$I$2:$I$2001,Analysis_Helper!$E$2:$E$2001,H$1,Analysis_Helper!$B$2:$B$2001,"&gt;="&amp;$A4,Analysis_Helper!$B$2:$B$2001,"&lt;"&amp;EDATE($A4,1))</f>
        <v/>
      </c>
      <c r="I4" s="107">
        <f>SUMIFS(Analysis_Helper!$I$2:$I$2001,Analysis_Helper!$E$2:$E$2001,I$1,Analysis_Helper!$B$2:$B$2001,"&gt;="&amp;$A4,Analysis_Helper!$B$2:$B$2001,"&lt;"&amp;EDATE($A4,1))</f>
        <v/>
      </c>
      <c r="J4" s="107">
        <f>SUMIFS(Analysis_Helper!$I$2:$I$2001,Analysis_Helper!$E$2:$E$2001,J$1,Analysis_Helper!$B$2:$B$2001,"&gt;="&amp;$A4,Analysis_Helper!$B$2:$B$2001,"&lt;"&amp;EDATE($A4,1))</f>
        <v/>
      </c>
      <c r="K4" s="107">
        <f>SUMIFS(Analysis_Helper!$I$2:$I$2001,Analysis_Helper!$E$2:$E$2001,K$1,Analysis_Helper!$B$2:$B$2001,"&gt;="&amp;$A4,Analysis_Helper!$B$2:$B$2001,"&lt;"&amp;EDATE($A4,1))</f>
        <v/>
      </c>
      <c r="L4" s="107">
        <f>SUMIFS(Analysis_Helper!$I$2:$I$2001,Analysis_Helper!$E$2:$E$2001,L$1,Analysis_Helper!$B$2:$B$2001,"&gt;="&amp;$A4,Analysis_Helper!$B$2:$B$2001,"&lt;"&amp;EDATE($A4,1))</f>
        <v/>
      </c>
      <c r="M4" s="107">
        <f>SUMIFS(Analysis_Helper!$I$2:$I$2001,Analysis_Helper!$E$2:$E$2001,M$1,Analysis_Helper!$B$2:$B$2001,"&gt;="&amp;$A4,Analysis_Helper!$B$2:$B$2001,"&lt;"&amp;EDATE($A4,1))</f>
        <v/>
      </c>
      <c r="N4" s="107">
        <f>SUMIFS(Analysis_Helper!$I$2:$I$2001,Analysis_Helper!$E$2:$E$2001,N$1,Analysis_Helper!$B$2:$B$2001,"&gt;="&amp;$A4,Analysis_Helper!$B$2:$B$2001,"&lt;"&amp;EDATE($A4,1))</f>
        <v/>
      </c>
      <c r="O4" s="107">
        <f>SUMIFS(Analysis_Helper!$I$2:$I$2001,Analysis_Helper!$E$2:$E$2001,O$1,Analysis_Helper!$B$2:$B$2001,"&gt;="&amp;$A4,Analysis_Helper!$B$2:$B$2001,"&lt;"&amp;EDATE($A4,1))</f>
        <v/>
      </c>
      <c r="P4" s="107">
        <f>SUMIFS(Analysis_Helper!$I$2:$I$2001,Analysis_Helper!$E$2:$E$2001,P$1,Analysis_Helper!$B$2:$B$2001,"&gt;="&amp;$A4,Analysis_Helper!$B$2:$B$2001,"&lt;"&amp;EDATE($A4,1))</f>
        <v/>
      </c>
      <c r="Q4" s="107">
        <f>SUMIFS(Analysis_Helper!$I$2:$I$2001,Analysis_Helper!$E$2:$E$2001,Q$1,Analysis_Helper!$B$2:$B$2001,"&gt;="&amp;$A4,Analysis_Helper!$B$2:$B$2001,"&lt;"&amp;EDATE($A4,1))</f>
        <v/>
      </c>
      <c r="R4" s="107">
        <f>SUMIFS(Analysis_Helper!$I$2:$I$2001,Analysis_Helper!$E$2:$E$2001,R$1,Analysis_Helper!$B$2:$B$2001,"&gt;="&amp;$A4,Analysis_Helper!$B$2:$B$2001,"&lt;"&amp;EDATE($A4,1))</f>
        <v/>
      </c>
      <c r="S4" s="107">
        <f>SUMIFS(Analysis_Helper!$I$2:$I$2001,Analysis_Helper!$E$2:$E$2001,S$1,Analysis_Helper!$B$2:$B$2001,"&gt;="&amp;$A4,Analysis_Helper!$B$2:$B$2001,"&lt;"&amp;EDATE($A4,1))</f>
        <v/>
      </c>
      <c r="T4" s="107">
        <f>SUMIFS(Analysis_Helper!$I$2:$I$2001,Analysis_Helper!$E$2:$E$2001,T$1,Analysis_Helper!$B$2:$B$2001,"&gt;="&amp;$A4,Analysis_Helper!$B$2:$B$2001,"&lt;"&amp;EDATE($A4,1))</f>
        <v/>
      </c>
      <c r="U4" s="107">
        <f>SUMIFS(Analysis_Helper!$I$2:$I$2001,Analysis_Helper!$E$2:$E$2001,U$1,Analysis_Helper!$B$2:$B$2001,"&gt;="&amp;$A4,Analysis_Helper!$B$2:$B$2001,"&lt;"&amp;EDATE($A4,1))</f>
        <v/>
      </c>
      <c r="V4" s="107">
        <f>SUMIFS(Analysis_Helper!$I$2:$I$2001,Analysis_Helper!$E$2:$E$2001,V$1,Analysis_Helper!$B$2:$B$2001,"&gt;="&amp;$A4,Analysis_Helper!$B$2:$B$2001,"&lt;"&amp;EDATE($A4,1))</f>
        <v/>
      </c>
      <c r="W4" s="107">
        <f>SUMIFS(Analysis_Helper!$I$2:$I$2001,Analysis_Helper!$E$2:$E$2001,W$1,Analysis_Helper!$B$2:$B$2001,"&gt;="&amp;$A4,Analysis_Helper!$B$2:$B$2001,"&lt;"&amp;EDATE($A4,1))</f>
        <v/>
      </c>
      <c r="X4" s="107">
        <f>SUMIFS(Analysis_Helper!$I$2:$I$2001,Analysis_Helper!$E$2:$E$2001,X$1,Analysis_Helper!$B$2:$B$2001,"&gt;="&amp;$A4,Analysis_Helper!$B$2:$B$2001,"&lt;"&amp;EDATE($A4,1))</f>
        <v/>
      </c>
      <c r="Y4" s="107">
        <f>SUMIFS(Analysis_Helper!$I$2:$I$2001,Analysis_Helper!$E$2:$E$2001,Y$1,Analysis_Helper!$B$2:$B$2001,"&gt;="&amp;$A4,Analysis_Helper!$B$2:$B$2001,"&lt;"&amp;EDATE($A4,1))</f>
        <v/>
      </c>
      <c r="Z4" s="107">
        <f>SUMIFS(Analysis_Helper!$I$2:$I$2001,Analysis_Helper!$E$2:$E$2001,Z$1,Analysis_Helper!$B$2:$B$2001,"&gt;="&amp;$A4,Analysis_Helper!$B$2:$B$2001,"&lt;"&amp;EDATE($A4,1))</f>
        <v/>
      </c>
      <c r="AA4" s="107">
        <f>SUMIFS(Analysis_Helper!$I$2:$I$2001,Analysis_Helper!$E$2:$E$2001,AA$1,Analysis_Helper!$B$2:$B$2001,"&gt;="&amp;$A4,Analysis_Helper!$B$2:$B$2001,"&lt;"&amp;EDATE($A4,1))</f>
        <v/>
      </c>
      <c r="AB4" s="107">
        <f>SUMIFS(Analysis_Helper!$I$2:$I$2001,Analysis_Helper!$E$2:$E$2001,AB$1,Analysis_Helper!$B$2:$B$2001,"&gt;="&amp;$A4,Analysis_Helper!$B$2:$B$2001,"&lt;"&amp;EDATE($A4,1))</f>
        <v/>
      </c>
      <c r="AC4" s="107">
        <f>SUMIFS(Analysis_Helper!$I$2:$I$2001,Analysis_Helper!$E$2:$E$2001,AC$1,Analysis_Helper!$B$2:$B$2001,"&gt;="&amp;$A4,Analysis_Helper!$B$2:$B$2001,"&lt;"&amp;EDATE($A4,1))</f>
        <v/>
      </c>
      <c r="AD4" s="107">
        <f>SUMIFS(Analysis_Helper!$I$2:$I$2001,Analysis_Helper!$E$2:$E$2001,AD$1,Analysis_Helper!$B$2:$B$2001,"&gt;="&amp;$A4,Analysis_Helper!$B$2:$B$2001,"&lt;"&amp;EDATE($A4,1))</f>
        <v/>
      </c>
      <c r="AE4" s="107">
        <f>SUMIFS(Analysis_Helper!$I$2:$I$2001,Analysis_Helper!$E$2:$E$2001,AE$1,Analysis_Helper!$B$2:$B$2001,"&gt;="&amp;$A4,Analysis_Helper!$B$2:$B$2001,"&lt;"&amp;EDATE($A4,1))</f>
        <v/>
      </c>
      <c r="AF4" s="55" t="inlineStr">
        <is>
          <t>R003</t>
        </is>
      </c>
      <c r="AG4" s="55">
        <f>SUMIF(Analysis_Helper!$E$2:$E$2001,AF4,Analysis_Helper!$I$2:$I$2001)</f>
        <v/>
      </c>
      <c r="AH4" s="55">
        <f>VLOOKUP(AF4,Sales_Reps!$A$2:$B$31,2,FALSE())</f>
        <v/>
      </c>
      <c r="AK4" s="55" t="inlineStr">
        <is>
          <t>PROD-003</t>
        </is>
      </c>
      <c r="AL4" s="55">
        <f>VLOOKUP(AK4,Products!$A$2:$B$61,2,FALSE())</f>
        <v/>
      </c>
      <c r="AM4" s="55">
        <f>SUMIFS(Analysis_Helper!$I$2:$I$2001,Analysis_Helper!$D$2:$D$2001,AK4,Analysis_Helper!$N$2:$N$2001,"West")</f>
        <v/>
      </c>
      <c r="AO4" s="55">
        <f>IF(AND(Analysis_Helper!Q4="BENGALURU",Analysis_Helper!L4="Grocery"),Analysis_Helper!I4,0)</f>
        <v/>
      </c>
    </row>
    <row r="5" ht="15" customHeight="1" s="56">
      <c r="A5" s="106" t="n">
        <v>45383</v>
      </c>
      <c r="B5" s="107">
        <f>SUMIFS(Analysis_Helper!$I$2:$I$2001,Analysis_Helper!$E$2:$E$2001,B$1,Analysis_Helper!$B$2:$B$2001,"&gt;="&amp;$A5,Analysis_Helper!$B$2:$B$2001,"&lt;"&amp;EDATE($A5,1))</f>
        <v/>
      </c>
      <c r="C5" s="107">
        <f>SUMIFS(Analysis_Helper!$I$2:$I$2001,Analysis_Helper!$E$2:$E$2001,C$1,Analysis_Helper!$B$2:$B$2001,"&gt;="&amp;$A5,Analysis_Helper!$B$2:$B$2001,"&lt;"&amp;EDATE($A5,1))</f>
        <v/>
      </c>
      <c r="D5" s="107">
        <f>SUMIFS(Analysis_Helper!$I$2:$I$2001,Analysis_Helper!$E$2:$E$2001,D$1,Analysis_Helper!$B$2:$B$2001,"&gt;="&amp;$A5,Analysis_Helper!$B$2:$B$2001,"&lt;"&amp;EDATE($A5,1))</f>
        <v/>
      </c>
      <c r="E5" s="107">
        <f>SUMIFS(Analysis_Helper!$I$2:$I$2001,Analysis_Helper!$E$2:$E$2001,E$1,Analysis_Helper!$B$2:$B$2001,"&gt;="&amp;$A5,Analysis_Helper!$B$2:$B$2001,"&lt;"&amp;EDATE($A5,1))</f>
        <v/>
      </c>
      <c r="F5" s="107">
        <f>SUMIFS(Analysis_Helper!$I$2:$I$2001,Analysis_Helper!$E$2:$E$2001,F$1,Analysis_Helper!$B$2:$B$2001,"&gt;="&amp;$A5,Analysis_Helper!$B$2:$B$2001,"&lt;"&amp;EDATE($A5,1))</f>
        <v/>
      </c>
      <c r="G5" s="107">
        <f>SUMIFS(Analysis_Helper!$I$2:$I$2001,Analysis_Helper!$E$2:$E$2001,G$1,Analysis_Helper!$B$2:$B$2001,"&gt;="&amp;$A5,Analysis_Helper!$B$2:$B$2001,"&lt;"&amp;EDATE($A5,1))</f>
        <v/>
      </c>
      <c r="H5" s="107">
        <f>SUMIFS(Analysis_Helper!$I$2:$I$2001,Analysis_Helper!$E$2:$E$2001,H$1,Analysis_Helper!$B$2:$B$2001,"&gt;="&amp;$A5,Analysis_Helper!$B$2:$B$2001,"&lt;"&amp;EDATE($A5,1))</f>
        <v/>
      </c>
      <c r="I5" s="107">
        <f>SUMIFS(Analysis_Helper!$I$2:$I$2001,Analysis_Helper!$E$2:$E$2001,I$1,Analysis_Helper!$B$2:$B$2001,"&gt;="&amp;$A5,Analysis_Helper!$B$2:$B$2001,"&lt;"&amp;EDATE($A5,1))</f>
        <v/>
      </c>
      <c r="J5" s="107">
        <f>SUMIFS(Analysis_Helper!$I$2:$I$2001,Analysis_Helper!$E$2:$E$2001,J$1,Analysis_Helper!$B$2:$B$2001,"&gt;="&amp;$A5,Analysis_Helper!$B$2:$B$2001,"&lt;"&amp;EDATE($A5,1))</f>
        <v/>
      </c>
      <c r="K5" s="107">
        <f>SUMIFS(Analysis_Helper!$I$2:$I$2001,Analysis_Helper!$E$2:$E$2001,K$1,Analysis_Helper!$B$2:$B$2001,"&gt;="&amp;$A5,Analysis_Helper!$B$2:$B$2001,"&lt;"&amp;EDATE($A5,1))</f>
        <v/>
      </c>
      <c r="L5" s="107">
        <f>SUMIFS(Analysis_Helper!$I$2:$I$2001,Analysis_Helper!$E$2:$E$2001,L$1,Analysis_Helper!$B$2:$B$2001,"&gt;="&amp;$A5,Analysis_Helper!$B$2:$B$2001,"&lt;"&amp;EDATE($A5,1))</f>
        <v/>
      </c>
      <c r="M5" s="107">
        <f>SUMIFS(Analysis_Helper!$I$2:$I$2001,Analysis_Helper!$E$2:$E$2001,M$1,Analysis_Helper!$B$2:$B$2001,"&gt;="&amp;$A5,Analysis_Helper!$B$2:$B$2001,"&lt;"&amp;EDATE($A5,1))</f>
        <v/>
      </c>
      <c r="N5" s="107">
        <f>SUMIFS(Analysis_Helper!$I$2:$I$2001,Analysis_Helper!$E$2:$E$2001,N$1,Analysis_Helper!$B$2:$B$2001,"&gt;="&amp;$A5,Analysis_Helper!$B$2:$B$2001,"&lt;"&amp;EDATE($A5,1))</f>
        <v/>
      </c>
      <c r="O5" s="107">
        <f>SUMIFS(Analysis_Helper!$I$2:$I$2001,Analysis_Helper!$E$2:$E$2001,O$1,Analysis_Helper!$B$2:$B$2001,"&gt;="&amp;$A5,Analysis_Helper!$B$2:$B$2001,"&lt;"&amp;EDATE($A5,1))</f>
        <v/>
      </c>
      <c r="P5" s="107">
        <f>SUMIFS(Analysis_Helper!$I$2:$I$2001,Analysis_Helper!$E$2:$E$2001,P$1,Analysis_Helper!$B$2:$B$2001,"&gt;="&amp;$A5,Analysis_Helper!$B$2:$B$2001,"&lt;"&amp;EDATE($A5,1))</f>
        <v/>
      </c>
      <c r="Q5" s="107">
        <f>SUMIFS(Analysis_Helper!$I$2:$I$2001,Analysis_Helper!$E$2:$E$2001,Q$1,Analysis_Helper!$B$2:$B$2001,"&gt;="&amp;$A5,Analysis_Helper!$B$2:$B$2001,"&lt;"&amp;EDATE($A5,1))</f>
        <v/>
      </c>
      <c r="R5" s="107">
        <f>SUMIFS(Analysis_Helper!$I$2:$I$2001,Analysis_Helper!$E$2:$E$2001,R$1,Analysis_Helper!$B$2:$B$2001,"&gt;="&amp;$A5,Analysis_Helper!$B$2:$B$2001,"&lt;"&amp;EDATE($A5,1))</f>
        <v/>
      </c>
      <c r="S5" s="107">
        <f>SUMIFS(Analysis_Helper!$I$2:$I$2001,Analysis_Helper!$E$2:$E$2001,S$1,Analysis_Helper!$B$2:$B$2001,"&gt;="&amp;$A5,Analysis_Helper!$B$2:$B$2001,"&lt;"&amp;EDATE($A5,1))</f>
        <v/>
      </c>
      <c r="T5" s="107">
        <f>SUMIFS(Analysis_Helper!$I$2:$I$2001,Analysis_Helper!$E$2:$E$2001,T$1,Analysis_Helper!$B$2:$B$2001,"&gt;="&amp;$A5,Analysis_Helper!$B$2:$B$2001,"&lt;"&amp;EDATE($A5,1))</f>
        <v/>
      </c>
      <c r="U5" s="107">
        <f>SUMIFS(Analysis_Helper!$I$2:$I$2001,Analysis_Helper!$E$2:$E$2001,U$1,Analysis_Helper!$B$2:$B$2001,"&gt;="&amp;$A5,Analysis_Helper!$B$2:$B$2001,"&lt;"&amp;EDATE($A5,1))</f>
        <v/>
      </c>
      <c r="V5" s="107">
        <f>SUMIFS(Analysis_Helper!$I$2:$I$2001,Analysis_Helper!$E$2:$E$2001,V$1,Analysis_Helper!$B$2:$B$2001,"&gt;="&amp;$A5,Analysis_Helper!$B$2:$B$2001,"&lt;"&amp;EDATE($A5,1))</f>
        <v/>
      </c>
      <c r="W5" s="107">
        <f>SUMIFS(Analysis_Helper!$I$2:$I$2001,Analysis_Helper!$E$2:$E$2001,W$1,Analysis_Helper!$B$2:$B$2001,"&gt;="&amp;$A5,Analysis_Helper!$B$2:$B$2001,"&lt;"&amp;EDATE($A5,1))</f>
        <v/>
      </c>
      <c r="X5" s="107">
        <f>SUMIFS(Analysis_Helper!$I$2:$I$2001,Analysis_Helper!$E$2:$E$2001,X$1,Analysis_Helper!$B$2:$B$2001,"&gt;="&amp;$A5,Analysis_Helper!$B$2:$B$2001,"&lt;"&amp;EDATE($A5,1))</f>
        <v/>
      </c>
      <c r="Y5" s="107">
        <f>SUMIFS(Analysis_Helper!$I$2:$I$2001,Analysis_Helper!$E$2:$E$2001,Y$1,Analysis_Helper!$B$2:$B$2001,"&gt;="&amp;$A5,Analysis_Helper!$B$2:$B$2001,"&lt;"&amp;EDATE($A5,1))</f>
        <v/>
      </c>
      <c r="Z5" s="107">
        <f>SUMIFS(Analysis_Helper!$I$2:$I$2001,Analysis_Helper!$E$2:$E$2001,Z$1,Analysis_Helper!$B$2:$B$2001,"&gt;="&amp;$A5,Analysis_Helper!$B$2:$B$2001,"&lt;"&amp;EDATE($A5,1))</f>
        <v/>
      </c>
      <c r="AA5" s="107">
        <f>SUMIFS(Analysis_Helper!$I$2:$I$2001,Analysis_Helper!$E$2:$E$2001,AA$1,Analysis_Helper!$B$2:$B$2001,"&gt;="&amp;$A5,Analysis_Helper!$B$2:$B$2001,"&lt;"&amp;EDATE($A5,1))</f>
        <v/>
      </c>
      <c r="AB5" s="107">
        <f>SUMIFS(Analysis_Helper!$I$2:$I$2001,Analysis_Helper!$E$2:$E$2001,AB$1,Analysis_Helper!$B$2:$B$2001,"&gt;="&amp;$A5,Analysis_Helper!$B$2:$B$2001,"&lt;"&amp;EDATE($A5,1))</f>
        <v/>
      </c>
      <c r="AC5" s="107">
        <f>SUMIFS(Analysis_Helper!$I$2:$I$2001,Analysis_Helper!$E$2:$E$2001,AC$1,Analysis_Helper!$B$2:$B$2001,"&gt;="&amp;$A5,Analysis_Helper!$B$2:$B$2001,"&lt;"&amp;EDATE($A5,1))</f>
        <v/>
      </c>
      <c r="AD5" s="107">
        <f>SUMIFS(Analysis_Helper!$I$2:$I$2001,Analysis_Helper!$E$2:$E$2001,AD$1,Analysis_Helper!$B$2:$B$2001,"&gt;="&amp;$A5,Analysis_Helper!$B$2:$B$2001,"&lt;"&amp;EDATE($A5,1))</f>
        <v/>
      </c>
      <c r="AE5" s="107">
        <f>SUMIFS(Analysis_Helper!$I$2:$I$2001,Analysis_Helper!$E$2:$E$2001,AE$1,Analysis_Helper!$B$2:$B$2001,"&gt;="&amp;$A5,Analysis_Helper!$B$2:$B$2001,"&lt;"&amp;EDATE($A5,1))</f>
        <v/>
      </c>
      <c r="AF5" s="55" t="inlineStr">
        <is>
          <t>R004</t>
        </is>
      </c>
      <c r="AG5" s="55">
        <f>SUMIF(Analysis_Helper!$E$2:$E$2001,AF5,Analysis_Helper!$I$2:$I$2001)</f>
        <v/>
      </c>
      <c r="AH5" s="55">
        <f>VLOOKUP(AF5,Sales_Reps!$A$2:$B$31,2,FALSE())</f>
        <v/>
      </c>
      <c r="AK5" s="55" t="inlineStr">
        <is>
          <t>PROD-004</t>
        </is>
      </c>
      <c r="AL5" s="55">
        <f>VLOOKUP(AK5,Products!$A$2:$B$61,2,FALSE())</f>
        <v/>
      </c>
      <c r="AM5" s="55">
        <f>SUMIFS(Analysis_Helper!$I$2:$I$2001,Analysis_Helper!$D$2:$D$2001,AK5,Analysis_Helper!$N$2:$N$2001,"West")</f>
        <v/>
      </c>
      <c r="AO5" s="55">
        <f>IF(AND(Analysis_Helper!Q5="BENGALURU",Analysis_Helper!L5="Grocery"),Analysis_Helper!I5,0)</f>
        <v/>
      </c>
    </row>
    <row r="6" ht="15" customHeight="1" s="56">
      <c r="A6" s="106" t="n">
        <v>45413</v>
      </c>
      <c r="B6" s="107">
        <f>SUMIFS(Analysis_Helper!$I$2:$I$2001,Analysis_Helper!$E$2:$E$2001,B$1,Analysis_Helper!$B$2:$B$2001,"&gt;="&amp;$A6,Analysis_Helper!$B$2:$B$2001,"&lt;"&amp;EDATE($A6,1))</f>
        <v/>
      </c>
      <c r="C6" s="107">
        <f>SUMIFS(Analysis_Helper!$I$2:$I$2001,Analysis_Helper!$E$2:$E$2001,C$1,Analysis_Helper!$B$2:$B$2001,"&gt;="&amp;$A6,Analysis_Helper!$B$2:$B$2001,"&lt;"&amp;EDATE($A6,1))</f>
        <v/>
      </c>
      <c r="D6" s="107">
        <f>SUMIFS(Analysis_Helper!$I$2:$I$2001,Analysis_Helper!$E$2:$E$2001,D$1,Analysis_Helper!$B$2:$B$2001,"&gt;="&amp;$A6,Analysis_Helper!$B$2:$B$2001,"&lt;"&amp;EDATE($A6,1))</f>
        <v/>
      </c>
      <c r="E6" s="107">
        <f>SUMIFS(Analysis_Helper!$I$2:$I$2001,Analysis_Helper!$E$2:$E$2001,E$1,Analysis_Helper!$B$2:$B$2001,"&gt;="&amp;$A6,Analysis_Helper!$B$2:$B$2001,"&lt;"&amp;EDATE($A6,1))</f>
        <v/>
      </c>
      <c r="F6" s="107">
        <f>SUMIFS(Analysis_Helper!$I$2:$I$2001,Analysis_Helper!$E$2:$E$2001,F$1,Analysis_Helper!$B$2:$B$2001,"&gt;="&amp;$A6,Analysis_Helper!$B$2:$B$2001,"&lt;"&amp;EDATE($A6,1))</f>
        <v/>
      </c>
      <c r="G6" s="107">
        <f>SUMIFS(Analysis_Helper!$I$2:$I$2001,Analysis_Helper!$E$2:$E$2001,G$1,Analysis_Helper!$B$2:$B$2001,"&gt;="&amp;$A6,Analysis_Helper!$B$2:$B$2001,"&lt;"&amp;EDATE($A6,1))</f>
        <v/>
      </c>
      <c r="H6" s="107">
        <f>SUMIFS(Analysis_Helper!$I$2:$I$2001,Analysis_Helper!$E$2:$E$2001,H$1,Analysis_Helper!$B$2:$B$2001,"&gt;="&amp;$A6,Analysis_Helper!$B$2:$B$2001,"&lt;"&amp;EDATE($A6,1))</f>
        <v/>
      </c>
      <c r="I6" s="107">
        <f>SUMIFS(Analysis_Helper!$I$2:$I$2001,Analysis_Helper!$E$2:$E$2001,I$1,Analysis_Helper!$B$2:$B$2001,"&gt;="&amp;$A6,Analysis_Helper!$B$2:$B$2001,"&lt;"&amp;EDATE($A6,1))</f>
        <v/>
      </c>
      <c r="J6" s="107">
        <f>SUMIFS(Analysis_Helper!$I$2:$I$2001,Analysis_Helper!$E$2:$E$2001,J$1,Analysis_Helper!$B$2:$B$2001,"&gt;="&amp;$A6,Analysis_Helper!$B$2:$B$2001,"&lt;"&amp;EDATE($A6,1))</f>
        <v/>
      </c>
      <c r="K6" s="107">
        <f>SUMIFS(Analysis_Helper!$I$2:$I$2001,Analysis_Helper!$E$2:$E$2001,K$1,Analysis_Helper!$B$2:$B$2001,"&gt;="&amp;$A6,Analysis_Helper!$B$2:$B$2001,"&lt;"&amp;EDATE($A6,1))</f>
        <v/>
      </c>
      <c r="L6" s="107">
        <f>SUMIFS(Analysis_Helper!$I$2:$I$2001,Analysis_Helper!$E$2:$E$2001,L$1,Analysis_Helper!$B$2:$B$2001,"&gt;="&amp;$A6,Analysis_Helper!$B$2:$B$2001,"&lt;"&amp;EDATE($A6,1))</f>
        <v/>
      </c>
      <c r="M6" s="107">
        <f>SUMIFS(Analysis_Helper!$I$2:$I$2001,Analysis_Helper!$E$2:$E$2001,M$1,Analysis_Helper!$B$2:$B$2001,"&gt;="&amp;$A6,Analysis_Helper!$B$2:$B$2001,"&lt;"&amp;EDATE($A6,1))</f>
        <v/>
      </c>
      <c r="N6" s="107">
        <f>SUMIFS(Analysis_Helper!$I$2:$I$2001,Analysis_Helper!$E$2:$E$2001,N$1,Analysis_Helper!$B$2:$B$2001,"&gt;="&amp;$A6,Analysis_Helper!$B$2:$B$2001,"&lt;"&amp;EDATE($A6,1))</f>
        <v/>
      </c>
      <c r="O6" s="107">
        <f>SUMIFS(Analysis_Helper!$I$2:$I$2001,Analysis_Helper!$E$2:$E$2001,O$1,Analysis_Helper!$B$2:$B$2001,"&gt;="&amp;$A6,Analysis_Helper!$B$2:$B$2001,"&lt;"&amp;EDATE($A6,1))</f>
        <v/>
      </c>
      <c r="P6" s="107">
        <f>SUMIFS(Analysis_Helper!$I$2:$I$2001,Analysis_Helper!$E$2:$E$2001,P$1,Analysis_Helper!$B$2:$B$2001,"&gt;="&amp;$A6,Analysis_Helper!$B$2:$B$2001,"&lt;"&amp;EDATE($A6,1))</f>
        <v/>
      </c>
      <c r="Q6" s="107">
        <f>SUMIFS(Analysis_Helper!$I$2:$I$2001,Analysis_Helper!$E$2:$E$2001,Q$1,Analysis_Helper!$B$2:$B$2001,"&gt;="&amp;$A6,Analysis_Helper!$B$2:$B$2001,"&lt;"&amp;EDATE($A6,1))</f>
        <v/>
      </c>
      <c r="R6" s="107">
        <f>SUMIFS(Analysis_Helper!$I$2:$I$2001,Analysis_Helper!$E$2:$E$2001,R$1,Analysis_Helper!$B$2:$B$2001,"&gt;="&amp;$A6,Analysis_Helper!$B$2:$B$2001,"&lt;"&amp;EDATE($A6,1))</f>
        <v/>
      </c>
      <c r="S6" s="107">
        <f>SUMIFS(Analysis_Helper!$I$2:$I$2001,Analysis_Helper!$E$2:$E$2001,S$1,Analysis_Helper!$B$2:$B$2001,"&gt;="&amp;$A6,Analysis_Helper!$B$2:$B$2001,"&lt;"&amp;EDATE($A6,1))</f>
        <v/>
      </c>
      <c r="T6" s="107">
        <f>SUMIFS(Analysis_Helper!$I$2:$I$2001,Analysis_Helper!$E$2:$E$2001,T$1,Analysis_Helper!$B$2:$B$2001,"&gt;="&amp;$A6,Analysis_Helper!$B$2:$B$2001,"&lt;"&amp;EDATE($A6,1))</f>
        <v/>
      </c>
      <c r="U6" s="107">
        <f>SUMIFS(Analysis_Helper!$I$2:$I$2001,Analysis_Helper!$E$2:$E$2001,U$1,Analysis_Helper!$B$2:$B$2001,"&gt;="&amp;$A6,Analysis_Helper!$B$2:$B$2001,"&lt;"&amp;EDATE($A6,1))</f>
        <v/>
      </c>
      <c r="V6" s="107">
        <f>SUMIFS(Analysis_Helper!$I$2:$I$2001,Analysis_Helper!$E$2:$E$2001,V$1,Analysis_Helper!$B$2:$B$2001,"&gt;="&amp;$A6,Analysis_Helper!$B$2:$B$2001,"&lt;"&amp;EDATE($A6,1))</f>
        <v/>
      </c>
      <c r="W6" s="107">
        <f>SUMIFS(Analysis_Helper!$I$2:$I$2001,Analysis_Helper!$E$2:$E$2001,W$1,Analysis_Helper!$B$2:$B$2001,"&gt;="&amp;$A6,Analysis_Helper!$B$2:$B$2001,"&lt;"&amp;EDATE($A6,1))</f>
        <v/>
      </c>
      <c r="X6" s="107">
        <f>SUMIFS(Analysis_Helper!$I$2:$I$2001,Analysis_Helper!$E$2:$E$2001,X$1,Analysis_Helper!$B$2:$B$2001,"&gt;="&amp;$A6,Analysis_Helper!$B$2:$B$2001,"&lt;"&amp;EDATE($A6,1))</f>
        <v/>
      </c>
      <c r="Y6" s="107">
        <f>SUMIFS(Analysis_Helper!$I$2:$I$2001,Analysis_Helper!$E$2:$E$2001,Y$1,Analysis_Helper!$B$2:$B$2001,"&gt;="&amp;$A6,Analysis_Helper!$B$2:$B$2001,"&lt;"&amp;EDATE($A6,1))</f>
        <v/>
      </c>
      <c r="Z6" s="107">
        <f>SUMIFS(Analysis_Helper!$I$2:$I$2001,Analysis_Helper!$E$2:$E$2001,Z$1,Analysis_Helper!$B$2:$B$2001,"&gt;="&amp;$A6,Analysis_Helper!$B$2:$B$2001,"&lt;"&amp;EDATE($A6,1))</f>
        <v/>
      </c>
      <c r="AA6" s="107">
        <f>SUMIFS(Analysis_Helper!$I$2:$I$2001,Analysis_Helper!$E$2:$E$2001,AA$1,Analysis_Helper!$B$2:$B$2001,"&gt;="&amp;$A6,Analysis_Helper!$B$2:$B$2001,"&lt;"&amp;EDATE($A6,1))</f>
        <v/>
      </c>
      <c r="AB6" s="107">
        <f>SUMIFS(Analysis_Helper!$I$2:$I$2001,Analysis_Helper!$E$2:$E$2001,AB$1,Analysis_Helper!$B$2:$B$2001,"&gt;="&amp;$A6,Analysis_Helper!$B$2:$B$2001,"&lt;"&amp;EDATE($A6,1))</f>
        <v/>
      </c>
      <c r="AC6" s="107">
        <f>SUMIFS(Analysis_Helper!$I$2:$I$2001,Analysis_Helper!$E$2:$E$2001,AC$1,Analysis_Helper!$B$2:$B$2001,"&gt;="&amp;$A6,Analysis_Helper!$B$2:$B$2001,"&lt;"&amp;EDATE($A6,1))</f>
        <v/>
      </c>
      <c r="AD6" s="107">
        <f>SUMIFS(Analysis_Helper!$I$2:$I$2001,Analysis_Helper!$E$2:$E$2001,AD$1,Analysis_Helper!$B$2:$B$2001,"&gt;="&amp;$A6,Analysis_Helper!$B$2:$B$2001,"&lt;"&amp;EDATE($A6,1))</f>
        <v/>
      </c>
      <c r="AE6" s="107">
        <f>SUMIFS(Analysis_Helper!$I$2:$I$2001,Analysis_Helper!$E$2:$E$2001,AE$1,Analysis_Helper!$B$2:$B$2001,"&gt;="&amp;$A6,Analysis_Helper!$B$2:$B$2001,"&lt;"&amp;EDATE($A6,1))</f>
        <v/>
      </c>
      <c r="AF6" s="55" t="inlineStr">
        <is>
          <t>R005</t>
        </is>
      </c>
      <c r="AG6" s="55">
        <f>SUMIF(Analysis_Helper!$E$2:$E$2001,AF6,Analysis_Helper!$I$2:$I$2001)</f>
        <v/>
      </c>
      <c r="AH6" s="55">
        <f>VLOOKUP(AF6,Sales_Reps!$A$2:$B$31,2,FALSE())</f>
        <v/>
      </c>
      <c r="AK6" s="55" t="inlineStr">
        <is>
          <t>PROD-005</t>
        </is>
      </c>
      <c r="AL6" s="55">
        <f>VLOOKUP(AK6,Products!$A$2:$B$61,2,FALSE())</f>
        <v/>
      </c>
      <c r="AM6" s="55">
        <f>SUMIFS(Analysis_Helper!$I$2:$I$2001,Analysis_Helper!$D$2:$D$2001,AK6,Analysis_Helper!$N$2:$N$2001,"West")</f>
        <v/>
      </c>
      <c r="AO6" s="55">
        <f>IF(AND(Analysis_Helper!Q6="BENGALURU",Analysis_Helper!L6="Grocery"),Analysis_Helper!I6,0)</f>
        <v/>
      </c>
    </row>
    <row r="7" ht="15" customHeight="1" s="56">
      <c r="A7" s="106" t="n">
        <v>45444</v>
      </c>
      <c r="B7" s="107">
        <f>SUMIFS(Analysis_Helper!$I$2:$I$2001,Analysis_Helper!$E$2:$E$2001,B$1,Analysis_Helper!$B$2:$B$2001,"&gt;="&amp;$A7,Analysis_Helper!$B$2:$B$2001,"&lt;"&amp;EDATE($A7,1))</f>
        <v/>
      </c>
      <c r="C7" s="107">
        <f>SUMIFS(Analysis_Helper!$I$2:$I$2001,Analysis_Helper!$E$2:$E$2001,C$1,Analysis_Helper!$B$2:$B$2001,"&gt;="&amp;$A7,Analysis_Helper!$B$2:$B$2001,"&lt;"&amp;EDATE($A7,1))</f>
        <v/>
      </c>
      <c r="D7" s="107">
        <f>SUMIFS(Analysis_Helper!$I$2:$I$2001,Analysis_Helper!$E$2:$E$2001,D$1,Analysis_Helper!$B$2:$B$2001,"&gt;="&amp;$A7,Analysis_Helper!$B$2:$B$2001,"&lt;"&amp;EDATE($A7,1))</f>
        <v/>
      </c>
      <c r="E7" s="107">
        <f>SUMIFS(Analysis_Helper!$I$2:$I$2001,Analysis_Helper!$E$2:$E$2001,E$1,Analysis_Helper!$B$2:$B$2001,"&gt;="&amp;$A7,Analysis_Helper!$B$2:$B$2001,"&lt;"&amp;EDATE($A7,1))</f>
        <v/>
      </c>
      <c r="F7" s="107">
        <f>SUMIFS(Analysis_Helper!$I$2:$I$2001,Analysis_Helper!$E$2:$E$2001,F$1,Analysis_Helper!$B$2:$B$2001,"&gt;="&amp;$A7,Analysis_Helper!$B$2:$B$2001,"&lt;"&amp;EDATE($A7,1))</f>
        <v/>
      </c>
      <c r="G7" s="107">
        <f>SUMIFS(Analysis_Helper!$I$2:$I$2001,Analysis_Helper!$E$2:$E$2001,G$1,Analysis_Helper!$B$2:$B$2001,"&gt;="&amp;$A7,Analysis_Helper!$B$2:$B$2001,"&lt;"&amp;EDATE($A7,1))</f>
        <v/>
      </c>
      <c r="H7" s="107">
        <f>SUMIFS(Analysis_Helper!$I$2:$I$2001,Analysis_Helper!$E$2:$E$2001,H$1,Analysis_Helper!$B$2:$B$2001,"&gt;="&amp;$A7,Analysis_Helper!$B$2:$B$2001,"&lt;"&amp;EDATE($A7,1))</f>
        <v/>
      </c>
      <c r="I7" s="107">
        <f>SUMIFS(Analysis_Helper!$I$2:$I$2001,Analysis_Helper!$E$2:$E$2001,I$1,Analysis_Helper!$B$2:$B$2001,"&gt;="&amp;$A7,Analysis_Helper!$B$2:$B$2001,"&lt;"&amp;EDATE($A7,1))</f>
        <v/>
      </c>
      <c r="J7" s="107">
        <f>SUMIFS(Analysis_Helper!$I$2:$I$2001,Analysis_Helper!$E$2:$E$2001,J$1,Analysis_Helper!$B$2:$B$2001,"&gt;="&amp;$A7,Analysis_Helper!$B$2:$B$2001,"&lt;"&amp;EDATE($A7,1))</f>
        <v/>
      </c>
      <c r="K7" s="107">
        <f>SUMIFS(Analysis_Helper!$I$2:$I$2001,Analysis_Helper!$E$2:$E$2001,K$1,Analysis_Helper!$B$2:$B$2001,"&gt;="&amp;$A7,Analysis_Helper!$B$2:$B$2001,"&lt;"&amp;EDATE($A7,1))</f>
        <v/>
      </c>
      <c r="L7" s="107">
        <f>SUMIFS(Analysis_Helper!$I$2:$I$2001,Analysis_Helper!$E$2:$E$2001,L$1,Analysis_Helper!$B$2:$B$2001,"&gt;="&amp;$A7,Analysis_Helper!$B$2:$B$2001,"&lt;"&amp;EDATE($A7,1))</f>
        <v/>
      </c>
      <c r="M7" s="107">
        <f>SUMIFS(Analysis_Helper!$I$2:$I$2001,Analysis_Helper!$E$2:$E$2001,M$1,Analysis_Helper!$B$2:$B$2001,"&gt;="&amp;$A7,Analysis_Helper!$B$2:$B$2001,"&lt;"&amp;EDATE($A7,1))</f>
        <v/>
      </c>
      <c r="N7" s="107">
        <f>SUMIFS(Analysis_Helper!$I$2:$I$2001,Analysis_Helper!$E$2:$E$2001,N$1,Analysis_Helper!$B$2:$B$2001,"&gt;="&amp;$A7,Analysis_Helper!$B$2:$B$2001,"&lt;"&amp;EDATE($A7,1))</f>
        <v/>
      </c>
      <c r="O7" s="107">
        <f>SUMIFS(Analysis_Helper!$I$2:$I$2001,Analysis_Helper!$E$2:$E$2001,O$1,Analysis_Helper!$B$2:$B$2001,"&gt;="&amp;$A7,Analysis_Helper!$B$2:$B$2001,"&lt;"&amp;EDATE($A7,1))</f>
        <v/>
      </c>
      <c r="P7" s="107">
        <f>SUMIFS(Analysis_Helper!$I$2:$I$2001,Analysis_Helper!$E$2:$E$2001,P$1,Analysis_Helper!$B$2:$B$2001,"&gt;="&amp;$A7,Analysis_Helper!$B$2:$B$2001,"&lt;"&amp;EDATE($A7,1))</f>
        <v/>
      </c>
      <c r="Q7" s="107">
        <f>SUMIFS(Analysis_Helper!$I$2:$I$2001,Analysis_Helper!$E$2:$E$2001,Q$1,Analysis_Helper!$B$2:$B$2001,"&gt;="&amp;$A7,Analysis_Helper!$B$2:$B$2001,"&lt;"&amp;EDATE($A7,1))</f>
        <v/>
      </c>
      <c r="R7" s="107">
        <f>SUMIFS(Analysis_Helper!$I$2:$I$2001,Analysis_Helper!$E$2:$E$2001,R$1,Analysis_Helper!$B$2:$B$2001,"&gt;="&amp;$A7,Analysis_Helper!$B$2:$B$2001,"&lt;"&amp;EDATE($A7,1))</f>
        <v/>
      </c>
      <c r="S7" s="107">
        <f>SUMIFS(Analysis_Helper!$I$2:$I$2001,Analysis_Helper!$E$2:$E$2001,S$1,Analysis_Helper!$B$2:$B$2001,"&gt;="&amp;$A7,Analysis_Helper!$B$2:$B$2001,"&lt;"&amp;EDATE($A7,1))</f>
        <v/>
      </c>
      <c r="T7" s="107">
        <f>SUMIFS(Analysis_Helper!$I$2:$I$2001,Analysis_Helper!$E$2:$E$2001,T$1,Analysis_Helper!$B$2:$B$2001,"&gt;="&amp;$A7,Analysis_Helper!$B$2:$B$2001,"&lt;"&amp;EDATE($A7,1))</f>
        <v/>
      </c>
      <c r="U7" s="107">
        <f>SUMIFS(Analysis_Helper!$I$2:$I$2001,Analysis_Helper!$E$2:$E$2001,U$1,Analysis_Helper!$B$2:$B$2001,"&gt;="&amp;$A7,Analysis_Helper!$B$2:$B$2001,"&lt;"&amp;EDATE($A7,1))</f>
        <v/>
      </c>
      <c r="V7" s="107">
        <f>SUMIFS(Analysis_Helper!$I$2:$I$2001,Analysis_Helper!$E$2:$E$2001,V$1,Analysis_Helper!$B$2:$B$2001,"&gt;="&amp;$A7,Analysis_Helper!$B$2:$B$2001,"&lt;"&amp;EDATE($A7,1))</f>
        <v/>
      </c>
      <c r="W7" s="107">
        <f>SUMIFS(Analysis_Helper!$I$2:$I$2001,Analysis_Helper!$E$2:$E$2001,W$1,Analysis_Helper!$B$2:$B$2001,"&gt;="&amp;$A7,Analysis_Helper!$B$2:$B$2001,"&lt;"&amp;EDATE($A7,1))</f>
        <v/>
      </c>
      <c r="X7" s="107">
        <f>SUMIFS(Analysis_Helper!$I$2:$I$2001,Analysis_Helper!$E$2:$E$2001,X$1,Analysis_Helper!$B$2:$B$2001,"&gt;="&amp;$A7,Analysis_Helper!$B$2:$B$2001,"&lt;"&amp;EDATE($A7,1))</f>
        <v/>
      </c>
      <c r="Y7" s="107">
        <f>SUMIFS(Analysis_Helper!$I$2:$I$2001,Analysis_Helper!$E$2:$E$2001,Y$1,Analysis_Helper!$B$2:$B$2001,"&gt;="&amp;$A7,Analysis_Helper!$B$2:$B$2001,"&lt;"&amp;EDATE($A7,1))</f>
        <v/>
      </c>
      <c r="Z7" s="107">
        <f>SUMIFS(Analysis_Helper!$I$2:$I$2001,Analysis_Helper!$E$2:$E$2001,Z$1,Analysis_Helper!$B$2:$B$2001,"&gt;="&amp;$A7,Analysis_Helper!$B$2:$B$2001,"&lt;"&amp;EDATE($A7,1))</f>
        <v/>
      </c>
      <c r="AA7" s="107">
        <f>SUMIFS(Analysis_Helper!$I$2:$I$2001,Analysis_Helper!$E$2:$E$2001,AA$1,Analysis_Helper!$B$2:$B$2001,"&gt;="&amp;$A7,Analysis_Helper!$B$2:$B$2001,"&lt;"&amp;EDATE($A7,1))</f>
        <v/>
      </c>
      <c r="AB7" s="107">
        <f>SUMIFS(Analysis_Helper!$I$2:$I$2001,Analysis_Helper!$E$2:$E$2001,AB$1,Analysis_Helper!$B$2:$B$2001,"&gt;="&amp;$A7,Analysis_Helper!$B$2:$B$2001,"&lt;"&amp;EDATE($A7,1))</f>
        <v/>
      </c>
      <c r="AC7" s="107">
        <f>SUMIFS(Analysis_Helper!$I$2:$I$2001,Analysis_Helper!$E$2:$E$2001,AC$1,Analysis_Helper!$B$2:$B$2001,"&gt;="&amp;$A7,Analysis_Helper!$B$2:$B$2001,"&lt;"&amp;EDATE($A7,1))</f>
        <v/>
      </c>
      <c r="AD7" s="107">
        <f>SUMIFS(Analysis_Helper!$I$2:$I$2001,Analysis_Helper!$E$2:$E$2001,AD$1,Analysis_Helper!$B$2:$B$2001,"&gt;="&amp;$A7,Analysis_Helper!$B$2:$B$2001,"&lt;"&amp;EDATE($A7,1))</f>
        <v/>
      </c>
      <c r="AE7" s="107">
        <f>SUMIFS(Analysis_Helper!$I$2:$I$2001,Analysis_Helper!$E$2:$E$2001,AE$1,Analysis_Helper!$B$2:$B$2001,"&gt;="&amp;$A7,Analysis_Helper!$B$2:$B$2001,"&lt;"&amp;EDATE($A7,1))</f>
        <v/>
      </c>
      <c r="AF7" s="55" t="inlineStr">
        <is>
          <t>R006</t>
        </is>
      </c>
      <c r="AG7" s="55">
        <f>SUMIF(Analysis_Helper!$E$2:$E$2001,AF7,Analysis_Helper!$I$2:$I$2001)</f>
        <v/>
      </c>
      <c r="AH7" s="55">
        <f>VLOOKUP(AF7,Sales_Reps!$A$2:$B$31,2,FALSE())</f>
        <v/>
      </c>
      <c r="AK7" s="55" t="inlineStr">
        <is>
          <t>PROD-006</t>
        </is>
      </c>
      <c r="AL7" s="55">
        <f>VLOOKUP(AK7,Products!$A$2:$B$61,2,FALSE())</f>
        <v/>
      </c>
      <c r="AM7" s="55">
        <f>SUMIFS(Analysis_Helper!$I$2:$I$2001,Analysis_Helper!$D$2:$D$2001,AK7,Analysis_Helper!$N$2:$N$2001,"West")</f>
        <v/>
      </c>
      <c r="AO7" s="55">
        <f>IF(AND(Analysis_Helper!Q7="BENGALURU",Analysis_Helper!L7="Grocery"),Analysis_Helper!I7,0)</f>
        <v/>
      </c>
    </row>
    <row r="8" ht="15" customHeight="1" s="56">
      <c r="A8" s="106" t="n">
        <v>45474</v>
      </c>
      <c r="B8" s="107">
        <f>SUMIFS(Analysis_Helper!$I$2:$I$2001,Analysis_Helper!$E$2:$E$2001,B$1,Analysis_Helper!$B$2:$B$2001,"&gt;="&amp;$A8,Analysis_Helper!$B$2:$B$2001,"&lt;"&amp;EDATE($A8,1))</f>
        <v/>
      </c>
      <c r="C8" s="107">
        <f>SUMIFS(Analysis_Helper!$I$2:$I$2001,Analysis_Helper!$E$2:$E$2001,C$1,Analysis_Helper!$B$2:$B$2001,"&gt;="&amp;$A8,Analysis_Helper!$B$2:$B$2001,"&lt;"&amp;EDATE($A8,1))</f>
        <v/>
      </c>
      <c r="D8" s="107">
        <f>SUMIFS(Analysis_Helper!$I$2:$I$2001,Analysis_Helper!$E$2:$E$2001,D$1,Analysis_Helper!$B$2:$B$2001,"&gt;="&amp;$A8,Analysis_Helper!$B$2:$B$2001,"&lt;"&amp;EDATE($A8,1))</f>
        <v/>
      </c>
      <c r="E8" s="107">
        <f>SUMIFS(Analysis_Helper!$I$2:$I$2001,Analysis_Helper!$E$2:$E$2001,E$1,Analysis_Helper!$B$2:$B$2001,"&gt;="&amp;$A8,Analysis_Helper!$B$2:$B$2001,"&lt;"&amp;EDATE($A8,1))</f>
        <v/>
      </c>
      <c r="F8" s="107">
        <f>SUMIFS(Analysis_Helper!$I$2:$I$2001,Analysis_Helper!$E$2:$E$2001,F$1,Analysis_Helper!$B$2:$B$2001,"&gt;="&amp;$A8,Analysis_Helper!$B$2:$B$2001,"&lt;"&amp;EDATE($A8,1))</f>
        <v/>
      </c>
      <c r="G8" s="107">
        <f>SUMIFS(Analysis_Helper!$I$2:$I$2001,Analysis_Helper!$E$2:$E$2001,G$1,Analysis_Helper!$B$2:$B$2001,"&gt;="&amp;$A8,Analysis_Helper!$B$2:$B$2001,"&lt;"&amp;EDATE($A8,1))</f>
        <v/>
      </c>
      <c r="H8" s="107">
        <f>SUMIFS(Analysis_Helper!$I$2:$I$2001,Analysis_Helper!$E$2:$E$2001,H$1,Analysis_Helper!$B$2:$B$2001,"&gt;="&amp;$A8,Analysis_Helper!$B$2:$B$2001,"&lt;"&amp;EDATE($A8,1))</f>
        <v/>
      </c>
      <c r="I8" s="107">
        <f>SUMIFS(Analysis_Helper!$I$2:$I$2001,Analysis_Helper!$E$2:$E$2001,I$1,Analysis_Helper!$B$2:$B$2001,"&gt;="&amp;$A8,Analysis_Helper!$B$2:$B$2001,"&lt;"&amp;EDATE($A8,1))</f>
        <v/>
      </c>
      <c r="J8" s="107">
        <f>SUMIFS(Analysis_Helper!$I$2:$I$2001,Analysis_Helper!$E$2:$E$2001,J$1,Analysis_Helper!$B$2:$B$2001,"&gt;="&amp;$A8,Analysis_Helper!$B$2:$B$2001,"&lt;"&amp;EDATE($A8,1))</f>
        <v/>
      </c>
      <c r="K8" s="107">
        <f>SUMIFS(Analysis_Helper!$I$2:$I$2001,Analysis_Helper!$E$2:$E$2001,K$1,Analysis_Helper!$B$2:$B$2001,"&gt;="&amp;$A8,Analysis_Helper!$B$2:$B$2001,"&lt;"&amp;EDATE($A8,1))</f>
        <v/>
      </c>
      <c r="L8" s="107">
        <f>SUMIFS(Analysis_Helper!$I$2:$I$2001,Analysis_Helper!$E$2:$E$2001,L$1,Analysis_Helper!$B$2:$B$2001,"&gt;="&amp;$A8,Analysis_Helper!$B$2:$B$2001,"&lt;"&amp;EDATE($A8,1))</f>
        <v/>
      </c>
      <c r="M8" s="107">
        <f>SUMIFS(Analysis_Helper!$I$2:$I$2001,Analysis_Helper!$E$2:$E$2001,M$1,Analysis_Helper!$B$2:$B$2001,"&gt;="&amp;$A8,Analysis_Helper!$B$2:$B$2001,"&lt;"&amp;EDATE($A8,1))</f>
        <v/>
      </c>
      <c r="N8" s="107">
        <f>SUMIFS(Analysis_Helper!$I$2:$I$2001,Analysis_Helper!$E$2:$E$2001,N$1,Analysis_Helper!$B$2:$B$2001,"&gt;="&amp;$A8,Analysis_Helper!$B$2:$B$2001,"&lt;"&amp;EDATE($A8,1))</f>
        <v/>
      </c>
      <c r="O8" s="107">
        <f>SUMIFS(Analysis_Helper!$I$2:$I$2001,Analysis_Helper!$E$2:$E$2001,O$1,Analysis_Helper!$B$2:$B$2001,"&gt;="&amp;$A8,Analysis_Helper!$B$2:$B$2001,"&lt;"&amp;EDATE($A8,1))</f>
        <v/>
      </c>
      <c r="P8" s="107">
        <f>SUMIFS(Analysis_Helper!$I$2:$I$2001,Analysis_Helper!$E$2:$E$2001,P$1,Analysis_Helper!$B$2:$B$2001,"&gt;="&amp;$A8,Analysis_Helper!$B$2:$B$2001,"&lt;"&amp;EDATE($A8,1))</f>
        <v/>
      </c>
      <c r="Q8" s="107">
        <f>SUMIFS(Analysis_Helper!$I$2:$I$2001,Analysis_Helper!$E$2:$E$2001,Q$1,Analysis_Helper!$B$2:$B$2001,"&gt;="&amp;$A8,Analysis_Helper!$B$2:$B$2001,"&lt;"&amp;EDATE($A8,1))</f>
        <v/>
      </c>
      <c r="R8" s="107">
        <f>SUMIFS(Analysis_Helper!$I$2:$I$2001,Analysis_Helper!$E$2:$E$2001,R$1,Analysis_Helper!$B$2:$B$2001,"&gt;="&amp;$A8,Analysis_Helper!$B$2:$B$2001,"&lt;"&amp;EDATE($A8,1))</f>
        <v/>
      </c>
      <c r="S8" s="107">
        <f>SUMIFS(Analysis_Helper!$I$2:$I$2001,Analysis_Helper!$E$2:$E$2001,S$1,Analysis_Helper!$B$2:$B$2001,"&gt;="&amp;$A8,Analysis_Helper!$B$2:$B$2001,"&lt;"&amp;EDATE($A8,1))</f>
        <v/>
      </c>
      <c r="T8" s="107">
        <f>SUMIFS(Analysis_Helper!$I$2:$I$2001,Analysis_Helper!$E$2:$E$2001,T$1,Analysis_Helper!$B$2:$B$2001,"&gt;="&amp;$A8,Analysis_Helper!$B$2:$B$2001,"&lt;"&amp;EDATE($A8,1))</f>
        <v/>
      </c>
      <c r="U8" s="107">
        <f>SUMIFS(Analysis_Helper!$I$2:$I$2001,Analysis_Helper!$E$2:$E$2001,U$1,Analysis_Helper!$B$2:$B$2001,"&gt;="&amp;$A8,Analysis_Helper!$B$2:$B$2001,"&lt;"&amp;EDATE($A8,1))</f>
        <v/>
      </c>
      <c r="V8" s="107">
        <f>SUMIFS(Analysis_Helper!$I$2:$I$2001,Analysis_Helper!$E$2:$E$2001,V$1,Analysis_Helper!$B$2:$B$2001,"&gt;="&amp;$A8,Analysis_Helper!$B$2:$B$2001,"&lt;"&amp;EDATE($A8,1))</f>
        <v/>
      </c>
      <c r="W8" s="107">
        <f>SUMIFS(Analysis_Helper!$I$2:$I$2001,Analysis_Helper!$E$2:$E$2001,W$1,Analysis_Helper!$B$2:$B$2001,"&gt;="&amp;$A8,Analysis_Helper!$B$2:$B$2001,"&lt;"&amp;EDATE($A8,1))</f>
        <v/>
      </c>
      <c r="X8" s="107">
        <f>SUMIFS(Analysis_Helper!$I$2:$I$2001,Analysis_Helper!$E$2:$E$2001,X$1,Analysis_Helper!$B$2:$B$2001,"&gt;="&amp;$A8,Analysis_Helper!$B$2:$B$2001,"&lt;"&amp;EDATE($A8,1))</f>
        <v/>
      </c>
      <c r="Y8" s="107">
        <f>SUMIFS(Analysis_Helper!$I$2:$I$2001,Analysis_Helper!$E$2:$E$2001,Y$1,Analysis_Helper!$B$2:$B$2001,"&gt;="&amp;$A8,Analysis_Helper!$B$2:$B$2001,"&lt;"&amp;EDATE($A8,1))</f>
        <v/>
      </c>
      <c r="Z8" s="107">
        <f>SUMIFS(Analysis_Helper!$I$2:$I$2001,Analysis_Helper!$E$2:$E$2001,Z$1,Analysis_Helper!$B$2:$B$2001,"&gt;="&amp;$A8,Analysis_Helper!$B$2:$B$2001,"&lt;"&amp;EDATE($A8,1))</f>
        <v/>
      </c>
      <c r="AA8" s="107">
        <f>SUMIFS(Analysis_Helper!$I$2:$I$2001,Analysis_Helper!$E$2:$E$2001,AA$1,Analysis_Helper!$B$2:$B$2001,"&gt;="&amp;$A8,Analysis_Helper!$B$2:$B$2001,"&lt;"&amp;EDATE($A8,1))</f>
        <v/>
      </c>
      <c r="AB8" s="107">
        <f>SUMIFS(Analysis_Helper!$I$2:$I$2001,Analysis_Helper!$E$2:$E$2001,AB$1,Analysis_Helper!$B$2:$B$2001,"&gt;="&amp;$A8,Analysis_Helper!$B$2:$B$2001,"&lt;"&amp;EDATE($A8,1))</f>
        <v/>
      </c>
      <c r="AC8" s="107">
        <f>SUMIFS(Analysis_Helper!$I$2:$I$2001,Analysis_Helper!$E$2:$E$2001,AC$1,Analysis_Helper!$B$2:$B$2001,"&gt;="&amp;$A8,Analysis_Helper!$B$2:$B$2001,"&lt;"&amp;EDATE($A8,1))</f>
        <v/>
      </c>
      <c r="AD8" s="107">
        <f>SUMIFS(Analysis_Helper!$I$2:$I$2001,Analysis_Helper!$E$2:$E$2001,AD$1,Analysis_Helper!$B$2:$B$2001,"&gt;="&amp;$A8,Analysis_Helper!$B$2:$B$2001,"&lt;"&amp;EDATE($A8,1))</f>
        <v/>
      </c>
      <c r="AE8" s="107">
        <f>SUMIFS(Analysis_Helper!$I$2:$I$2001,Analysis_Helper!$E$2:$E$2001,AE$1,Analysis_Helper!$B$2:$B$2001,"&gt;="&amp;$A8,Analysis_Helper!$B$2:$B$2001,"&lt;"&amp;EDATE($A8,1))</f>
        <v/>
      </c>
      <c r="AF8" s="55" t="inlineStr">
        <is>
          <t>R007</t>
        </is>
      </c>
      <c r="AG8" s="55">
        <f>SUMIF(Analysis_Helper!$E$2:$E$2001,AF8,Analysis_Helper!$I$2:$I$2001)</f>
        <v/>
      </c>
      <c r="AH8" s="55">
        <f>VLOOKUP(AF8,Sales_Reps!$A$2:$B$31,2,FALSE())</f>
        <v/>
      </c>
      <c r="AK8" s="55" t="inlineStr">
        <is>
          <t>PROD-007</t>
        </is>
      </c>
      <c r="AL8" s="55">
        <f>VLOOKUP(AK8,Products!$A$2:$B$61,2,FALSE())</f>
        <v/>
      </c>
      <c r="AM8" s="55">
        <f>SUMIFS(Analysis_Helper!$I$2:$I$2001,Analysis_Helper!$D$2:$D$2001,AK8,Analysis_Helper!$N$2:$N$2001,"West")</f>
        <v/>
      </c>
      <c r="AO8" s="55">
        <f>IF(AND(Analysis_Helper!Q8="BENGALURU",Analysis_Helper!L8="Grocery"),Analysis_Helper!I8,0)</f>
        <v/>
      </c>
    </row>
    <row r="9" ht="15" customHeight="1" s="56">
      <c r="A9" s="106" t="n">
        <v>45505</v>
      </c>
      <c r="B9" s="107">
        <f>SUMIFS(Analysis_Helper!$I$2:$I$2001,Analysis_Helper!$E$2:$E$2001,B$1,Analysis_Helper!$B$2:$B$2001,"&gt;="&amp;$A9,Analysis_Helper!$B$2:$B$2001,"&lt;"&amp;EDATE($A9,1))</f>
        <v/>
      </c>
      <c r="C9" s="107">
        <f>SUMIFS(Analysis_Helper!$I$2:$I$2001,Analysis_Helper!$E$2:$E$2001,C$1,Analysis_Helper!$B$2:$B$2001,"&gt;="&amp;$A9,Analysis_Helper!$B$2:$B$2001,"&lt;"&amp;EDATE($A9,1))</f>
        <v/>
      </c>
      <c r="D9" s="107">
        <f>SUMIFS(Analysis_Helper!$I$2:$I$2001,Analysis_Helper!$E$2:$E$2001,D$1,Analysis_Helper!$B$2:$B$2001,"&gt;="&amp;$A9,Analysis_Helper!$B$2:$B$2001,"&lt;"&amp;EDATE($A9,1))</f>
        <v/>
      </c>
      <c r="E9" s="107">
        <f>SUMIFS(Analysis_Helper!$I$2:$I$2001,Analysis_Helper!$E$2:$E$2001,E$1,Analysis_Helper!$B$2:$B$2001,"&gt;="&amp;$A9,Analysis_Helper!$B$2:$B$2001,"&lt;"&amp;EDATE($A9,1))</f>
        <v/>
      </c>
      <c r="F9" s="107">
        <f>SUMIFS(Analysis_Helper!$I$2:$I$2001,Analysis_Helper!$E$2:$E$2001,F$1,Analysis_Helper!$B$2:$B$2001,"&gt;="&amp;$A9,Analysis_Helper!$B$2:$B$2001,"&lt;"&amp;EDATE($A9,1))</f>
        <v/>
      </c>
      <c r="G9" s="107">
        <f>SUMIFS(Analysis_Helper!$I$2:$I$2001,Analysis_Helper!$E$2:$E$2001,G$1,Analysis_Helper!$B$2:$B$2001,"&gt;="&amp;$A9,Analysis_Helper!$B$2:$B$2001,"&lt;"&amp;EDATE($A9,1))</f>
        <v/>
      </c>
      <c r="H9" s="107">
        <f>SUMIFS(Analysis_Helper!$I$2:$I$2001,Analysis_Helper!$E$2:$E$2001,H$1,Analysis_Helper!$B$2:$B$2001,"&gt;="&amp;$A9,Analysis_Helper!$B$2:$B$2001,"&lt;"&amp;EDATE($A9,1))</f>
        <v/>
      </c>
      <c r="I9" s="107">
        <f>SUMIFS(Analysis_Helper!$I$2:$I$2001,Analysis_Helper!$E$2:$E$2001,I$1,Analysis_Helper!$B$2:$B$2001,"&gt;="&amp;$A9,Analysis_Helper!$B$2:$B$2001,"&lt;"&amp;EDATE($A9,1))</f>
        <v/>
      </c>
      <c r="J9" s="107">
        <f>SUMIFS(Analysis_Helper!$I$2:$I$2001,Analysis_Helper!$E$2:$E$2001,J$1,Analysis_Helper!$B$2:$B$2001,"&gt;="&amp;$A9,Analysis_Helper!$B$2:$B$2001,"&lt;"&amp;EDATE($A9,1))</f>
        <v/>
      </c>
      <c r="K9" s="107">
        <f>SUMIFS(Analysis_Helper!$I$2:$I$2001,Analysis_Helper!$E$2:$E$2001,K$1,Analysis_Helper!$B$2:$B$2001,"&gt;="&amp;$A9,Analysis_Helper!$B$2:$B$2001,"&lt;"&amp;EDATE($A9,1))</f>
        <v/>
      </c>
      <c r="L9" s="107">
        <f>SUMIFS(Analysis_Helper!$I$2:$I$2001,Analysis_Helper!$E$2:$E$2001,L$1,Analysis_Helper!$B$2:$B$2001,"&gt;="&amp;$A9,Analysis_Helper!$B$2:$B$2001,"&lt;"&amp;EDATE($A9,1))</f>
        <v/>
      </c>
      <c r="M9" s="107">
        <f>SUMIFS(Analysis_Helper!$I$2:$I$2001,Analysis_Helper!$E$2:$E$2001,M$1,Analysis_Helper!$B$2:$B$2001,"&gt;="&amp;$A9,Analysis_Helper!$B$2:$B$2001,"&lt;"&amp;EDATE($A9,1))</f>
        <v/>
      </c>
      <c r="N9" s="107">
        <f>SUMIFS(Analysis_Helper!$I$2:$I$2001,Analysis_Helper!$E$2:$E$2001,N$1,Analysis_Helper!$B$2:$B$2001,"&gt;="&amp;$A9,Analysis_Helper!$B$2:$B$2001,"&lt;"&amp;EDATE($A9,1))</f>
        <v/>
      </c>
      <c r="O9" s="107">
        <f>SUMIFS(Analysis_Helper!$I$2:$I$2001,Analysis_Helper!$E$2:$E$2001,O$1,Analysis_Helper!$B$2:$B$2001,"&gt;="&amp;$A9,Analysis_Helper!$B$2:$B$2001,"&lt;"&amp;EDATE($A9,1))</f>
        <v/>
      </c>
      <c r="P9" s="107">
        <f>SUMIFS(Analysis_Helper!$I$2:$I$2001,Analysis_Helper!$E$2:$E$2001,P$1,Analysis_Helper!$B$2:$B$2001,"&gt;="&amp;$A9,Analysis_Helper!$B$2:$B$2001,"&lt;"&amp;EDATE($A9,1))</f>
        <v/>
      </c>
      <c r="Q9" s="107">
        <f>SUMIFS(Analysis_Helper!$I$2:$I$2001,Analysis_Helper!$E$2:$E$2001,Q$1,Analysis_Helper!$B$2:$B$2001,"&gt;="&amp;$A9,Analysis_Helper!$B$2:$B$2001,"&lt;"&amp;EDATE($A9,1))</f>
        <v/>
      </c>
      <c r="R9" s="107">
        <f>SUMIFS(Analysis_Helper!$I$2:$I$2001,Analysis_Helper!$E$2:$E$2001,R$1,Analysis_Helper!$B$2:$B$2001,"&gt;="&amp;$A9,Analysis_Helper!$B$2:$B$2001,"&lt;"&amp;EDATE($A9,1))</f>
        <v/>
      </c>
      <c r="S9" s="107">
        <f>SUMIFS(Analysis_Helper!$I$2:$I$2001,Analysis_Helper!$E$2:$E$2001,S$1,Analysis_Helper!$B$2:$B$2001,"&gt;="&amp;$A9,Analysis_Helper!$B$2:$B$2001,"&lt;"&amp;EDATE($A9,1))</f>
        <v/>
      </c>
      <c r="T9" s="107">
        <f>SUMIFS(Analysis_Helper!$I$2:$I$2001,Analysis_Helper!$E$2:$E$2001,T$1,Analysis_Helper!$B$2:$B$2001,"&gt;="&amp;$A9,Analysis_Helper!$B$2:$B$2001,"&lt;"&amp;EDATE($A9,1))</f>
        <v/>
      </c>
      <c r="U9" s="107">
        <f>SUMIFS(Analysis_Helper!$I$2:$I$2001,Analysis_Helper!$E$2:$E$2001,U$1,Analysis_Helper!$B$2:$B$2001,"&gt;="&amp;$A9,Analysis_Helper!$B$2:$B$2001,"&lt;"&amp;EDATE($A9,1))</f>
        <v/>
      </c>
      <c r="V9" s="107">
        <f>SUMIFS(Analysis_Helper!$I$2:$I$2001,Analysis_Helper!$E$2:$E$2001,V$1,Analysis_Helper!$B$2:$B$2001,"&gt;="&amp;$A9,Analysis_Helper!$B$2:$B$2001,"&lt;"&amp;EDATE($A9,1))</f>
        <v/>
      </c>
      <c r="W9" s="107">
        <f>SUMIFS(Analysis_Helper!$I$2:$I$2001,Analysis_Helper!$E$2:$E$2001,W$1,Analysis_Helper!$B$2:$B$2001,"&gt;="&amp;$A9,Analysis_Helper!$B$2:$B$2001,"&lt;"&amp;EDATE($A9,1))</f>
        <v/>
      </c>
      <c r="X9" s="107">
        <f>SUMIFS(Analysis_Helper!$I$2:$I$2001,Analysis_Helper!$E$2:$E$2001,X$1,Analysis_Helper!$B$2:$B$2001,"&gt;="&amp;$A9,Analysis_Helper!$B$2:$B$2001,"&lt;"&amp;EDATE($A9,1))</f>
        <v/>
      </c>
      <c r="Y9" s="107">
        <f>SUMIFS(Analysis_Helper!$I$2:$I$2001,Analysis_Helper!$E$2:$E$2001,Y$1,Analysis_Helper!$B$2:$B$2001,"&gt;="&amp;$A9,Analysis_Helper!$B$2:$B$2001,"&lt;"&amp;EDATE($A9,1))</f>
        <v/>
      </c>
      <c r="Z9" s="107">
        <f>SUMIFS(Analysis_Helper!$I$2:$I$2001,Analysis_Helper!$E$2:$E$2001,Z$1,Analysis_Helper!$B$2:$B$2001,"&gt;="&amp;$A9,Analysis_Helper!$B$2:$B$2001,"&lt;"&amp;EDATE($A9,1))</f>
        <v/>
      </c>
      <c r="AA9" s="107">
        <f>SUMIFS(Analysis_Helper!$I$2:$I$2001,Analysis_Helper!$E$2:$E$2001,AA$1,Analysis_Helper!$B$2:$B$2001,"&gt;="&amp;$A9,Analysis_Helper!$B$2:$B$2001,"&lt;"&amp;EDATE($A9,1))</f>
        <v/>
      </c>
      <c r="AB9" s="107">
        <f>SUMIFS(Analysis_Helper!$I$2:$I$2001,Analysis_Helper!$E$2:$E$2001,AB$1,Analysis_Helper!$B$2:$B$2001,"&gt;="&amp;$A9,Analysis_Helper!$B$2:$B$2001,"&lt;"&amp;EDATE($A9,1))</f>
        <v/>
      </c>
      <c r="AC9" s="107">
        <f>SUMIFS(Analysis_Helper!$I$2:$I$2001,Analysis_Helper!$E$2:$E$2001,AC$1,Analysis_Helper!$B$2:$B$2001,"&gt;="&amp;$A9,Analysis_Helper!$B$2:$B$2001,"&lt;"&amp;EDATE($A9,1))</f>
        <v/>
      </c>
      <c r="AD9" s="107">
        <f>SUMIFS(Analysis_Helper!$I$2:$I$2001,Analysis_Helper!$E$2:$E$2001,AD$1,Analysis_Helper!$B$2:$B$2001,"&gt;="&amp;$A9,Analysis_Helper!$B$2:$B$2001,"&lt;"&amp;EDATE($A9,1))</f>
        <v/>
      </c>
      <c r="AE9" s="107">
        <f>SUMIFS(Analysis_Helper!$I$2:$I$2001,Analysis_Helper!$E$2:$E$2001,AE$1,Analysis_Helper!$B$2:$B$2001,"&gt;="&amp;$A9,Analysis_Helper!$B$2:$B$2001,"&lt;"&amp;EDATE($A9,1))</f>
        <v/>
      </c>
      <c r="AF9" s="55" t="inlineStr">
        <is>
          <t>R008</t>
        </is>
      </c>
      <c r="AG9" s="55">
        <f>SUMIF(Analysis_Helper!$E$2:$E$2001,AF9,Analysis_Helper!$I$2:$I$2001)</f>
        <v/>
      </c>
      <c r="AH9" s="55">
        <f>VLOOKUP(AF9,Sales_Reps!$A$2:$B$31,2,FALSE())</f>
        <v/>
      </c>
      <c r="AK9" s="55" t="inlineStr">
        <is>
          <t>PROD-008</t>
        </is>
      </c>
      <c r="AL9" s="55">
        <f>VLOOKUP(AK9,Products!$A$2:$B$61,2,FALSE())</f>
        <v/>
      </c>
      <c r="AM9" s="55">
        <f>SUMIFS(Analysis_Helper!$I$2:$I$2001,Analysis_Helper!$D$2:$D$2001,AK9,Analysis_Helper!$N$2:$N$2001,"West")</f>
        <v/>
      </c>
      <c r="AO9" s="55">
        <f>IF(AND(Analysis_Helper!Q9="BENGALURU",Analysis_Helper!L9="Grocery"),Analysis_Helper!I9,0)</f>
        <v/>
      </c>
    </row>
    <row r="10" ht="15" customHeight="1" s="56">
      <c r="A10" s="106" t="n">
        <v>45536</v>
      </c>
      <c r="B10" s="107">
        <f>SUMIFS(Analysis_Helper!$I$2:$I$2001,Analysis_Helper!$E$2:$E$2001,B$1,Analysis_Helper!$B$2:$B$2001,"&gt;="&amp;$A10,Analysis_Helper!$B$2:$B$2001,"&lt;"&amp;EDATE($A10,1))</f>
        <v/>
      </c>
      <c r="C10" s="107">
        <f>SUMIFS(Analysis_Helper!$I$2:$I$2001,Analysis_Helper!$E$2:$E$2001,C$1,Analysis_Helper!$B$2:$B$2001,"&gt;="&amp;$A10,Analysis_Helper!$B$2:$B$2001,"&lt;"&amp;EDATE($A10,1))</f>
        <v/>
      </c>
      <c r="D10" s="107">
        <f>SUMIFS(Analysis_Helper!$I$2:$I$2001,Analysis_Helper!$E$2:$E$2001,D$1,Analysis_Helper!$B$2:$B$2001,"&gt;="&amp;$A10,Analysis_Helper!$B$2:$B$2001,"&lt;"&amp;EDATE($A10,1))</f>
        <v/>
      </c>
      <c r="E10" s="107">
        <f>SUMIFS(Analysis_Helper!$I$2:$I$2001,Analysis_Helper!$E$2:$E$2001,E$1,Analysis_Helper!$B$2:$B$2001,"&gt;="&amp;$A10,Analysis_Helper!$B$2:$B$2001,"&lt;"&amp;EDATE($A10,1))</f>
        <v/>
      </c>
      <c r="F10" s="107">
        <f>SUMIFS(Analysis_Helper!$I$2:$I$2001,Analysis_Helper!$E$2:$E$2001,F$1,Analysis_Helper!$B$2:$B$2001,"&gt;="&amp;$A10,Analysis_Helper!$B$2:$B$2001,"&lt;"&amp;EDATE($A10,1))</f>
        <v/>
      </c>
      <c r="G10" s="107">
        <f>SUMIFS(Analysis_Helper!$I$2:$I$2001,Analysis_Helper!$E$2:$E$2001,G$1,Analysis_Helper!$B$2:$B$2001,"&gt;="&amp;$A10,Analysis_Helper!$B$2:$B$2001,"&lt;"&amp;EDATE($A10,1))</f>
        <v/>
      </c>
      <c r="H10" s="107">
        <f>SUMIFS(Analysis_Helper!$I$2:$I$2001,Analysis_Helper!$E$2:$E$2001,H$1,Analysis_Helper!$B$2:$B$2001,"&gt;="&amp;$A10,Analysis_Helper!$B$2:$B$2001,"&lt;"&amp;EDATE($A10,1))</f>
        <v/>
      </c>
      <c r="I10" s="107">
        <f>SUMIFS(Analysis_Helper!$I$2:$I$2001,Analysis_Helper!$E$2:$E$2001,I$1,Analysis_Helper!$B$2:$B$2001,"&gt;="&amp;$A10,Analysis_Helper!$B$2:$B$2001,"&lt;"&amp;EDATE($A10,1))</f>
        <v/>
      </c>
      <c r="J10" s="107">
        <f>SUMIFS(Analysis_Helper!$I$2:$I$2001,Analysis_Helper!$E$2:$E$2001,J$1,Analysis_Helper!$B$2:$B$2001,"&gt;="&amp;$A10,Analysis_Helper!$B$2:$B$2001,"&lt;"&amp;EDATE($A10,1))</f>
        <v/>
      </c>
      <c r="K10" s="107">
        <f>SUMIFS(Analysis_Helper!$I$2:$I$2001,Analysis_Helper!$E$2:$E$2001,K$1,Analysis_Helper!$B$2:$B$2001,"&gt;="&amp;$A10,Analysis_Helper!$B$2:$B$2001,"&lt;"&amp;EDATE($A10,1))</f>
        <v/>
      </c>
      <c r="L10" s="107">
        <f>SUMIFS(Analysis_Helper!$I$2:$I$2001,Analysis_Helper!$E$2:$E$2001,L$1,Analysis_Helper!$B$2:$B$2001,"&gt;="&amp;$A10,Analysis_Helper!$B$2:$B$2001,"&lt;"&amp;EDATE($A10,1))</f>
        <v/>
      </c>
      <c r="M10" s="107">
        <f>SUMIFS(Analysis_Helper!$I$2:$I$2001,Analysis_Helper!$E$2:$E$2001,M$1,Analysis_Helper!$B$2:$B$2001,"&gt;="&amp;$A10,Analysis_Helper!$B$2:$B$2001,"&lt;"&amp;EDATE($A10,1))</f>
        <v/>
      </c>
      <c r="N10" s="107">
        <f>SUMIFS(Analysis_Helper!$I$2:$I$2001,Analysis_Helper!$E$2:$E$2001,N$1,Analysis_Helper!$B$2:$B$2001,"&gt;="&amp;$A10,Analysis_Helper!$B$2:$B$2001,"&lt;"&amp;EDATE($A10,1))</f>
        <v/>
      </c>
      <c r="O10" s="107">
        <f>SUMIFS(Analysis_Helper!$I$2:$I$2001,Analysis_Helper!$E$2:$E$2001,O$1,Analysis_Helper!$B$2:$B$2001,"&gt;="&amp;$A10,Analysis_Helper!$B$2:$B$2001,"&lt;"&amp;EDATE($A10,1))</f>
        <v/>
      </c>
      <c r="P10" s="107">
        <f>SUMIFS(Analysis_Helper!$I$2:$I$2001,Analysis_Helper!$E$2:$E$2001,P$1,Analysis_Helper!$B$2:$B$2001,"&gt;="&amp;$A10,Analysis_Helper!$B$2:$B$2001,"&lt;"&amp;EDATE($A10,1))</f>
        <v/>
      </c>
      <c r="Q10" s="107">
        <f>SUMIFS(Analysis_Helper!$I$2:$I$2001,Analysis_Helper!$E$2:$E$2001,Q$1,Analysis_Helper!$B$2:$B$2001,"&gt;="&amp;$A10,Analysis_Helper!$B$2:$B$2001,"&lt;"&amp;EDATE($A10,1))</f>
        <v/>
      </c>
      <c r="R10" s="107">
        <f>SUMIFS(Analysis_Helper!$I$2:$I$2001,Analysis_Helper!$E$2:$E$2001,R$1,Analysis_Helper!$B$2:$B$2001,"&gt;="&amp;$A10,Analysis_Helper!$B$2:$B$2001,"&lt;"&amp;EDATE($A10,1))</f>
        <v/>
      </c>
      <c r="S10" s="107">
        <f>SUMIFS(Analysis_Helper!$I$2:$I$2001,Analysis_Helper!$E$2:$E$2001,S$1,Analysis_Helper!$B$2:$B$2001,"&gt;="&amp;$A10,Analysis_Helper!$B$2:$B$2001,"&lt;"&amp;EDATE($A10,1))</f>
        <v/>
      </c>
      <c r="T10" s="107">
        <f>SUMIFS(Analysis_Helper!$I$2:$I$2001,Analysis_Helper!$E$2:$E$2001,T$1,Analysis_Helper!$B$2:$B$2001,"&gt;="&amp;$A10,Analysis_Helper!$B$2:$B$2001,"&lt;"&amp;EDATE($A10,1))</f>
        <v/>
      </c>
      <c r="U10" s="107">
        <f>SUMIFS(Analysis_Helper!$I$2:$I$2001,Analysis_Helper!$E$2:$E$2001,U$1,Analysis_Helper!$B$2:$B$2001,"&gt;="&amp;$A10,Analysis_Helper!$B$2:$B$2001,"&lt;"&amp;EDATE($A10,1))</f>
        <v/>
      </c>
      <c r="V10" s="107">
        <f>SUMIFS(Analysis_Helper!$I$2:$I$2001,Analysis_Helper!$E$2:$E$2001,V$1,Analysis_Helper!$B$2:$B$2001,"&gt;="&amp;$A10,Analysis_Helper!$B$2:$B$2001,"&lt;"&amp;EDATE($A10,1))</f>
        <v/>
      </c>
      <c r="W10" s="107">
        <f>SUMIFS(Analysis_Helper!$I$2:$I$2001,Analysis_Helper!$E$2:$E$2001,W$1,Analysis_Helper!$B$2:$B$2001,"&gt;="&amp;$A10,Analysis_Helper!$B$2:$B$2001,"&lt;"&amp;EDATE($A10,1))</f>
        <v/>
      </c>
      <c r="X10" s="107">
        <f>SUMIFS(Analysis_Helper!$I$2:$I$2001,Analysis_Helper!$E$2:$E$2001,X$1,Analysis_Helper!$B$2:$B$2001,"&gt;="&amp;$A10,Analysis_Helper!$B$2:$B$2001,"&lt;"&amp;EDATE($A10,1))</f>
        <v/>
      </c>
      <c r="Y10" s="107">
        <f>SUMIFS(Analysis_Helper!$I$2:$I$2001,Analysis_Helper!$E$2:$E$2001,Y$1,Analysis_Helper!$B$2:$B$2001,"&gt;="&amp;$A10,Analysis_Helper!$B$2:$B$2001,"&lt;"&amp;EDATE($A10,1))</f>
        <v/>
      </c>
      <c r="Z10" s="107">
        <f>SUMIFS(Analysis_Helper!$I$2:$I$2001,Analysis_Helper!$E$2:$E$2001,Z$1,Analysis_Helper!$B$2:$B$2001,"&gt;="&amp;$A10,Analysis_Helper!$B$2:$B$2001,"&lt;"&amp;EDATE($A10,1))</f>
        <v/>
      </c>
      <c r="AA10" s="107">
        <f>SUMIFS(Analysis_Helper!$I$2:$I$2001,Analysis_Helper!$E$2:$E$2001,AA$1,Analysis_Helper!$B$2:$B$2001,"&gt;="&amp;$A10,Analysis_Helper!$B$2:$B$2001,"&lt;"&amp;EDATE($A10,1))</f>
        <v/>
      </c>
      <c r="AB10" s="107">
        <f>SUMIFS(Analysis_Helper!$I$2:$I$2001,Analysis_Helper!$E$2:$E$2001,AB$1,Analysis_Helper!$B$2:$B$2001,"&gt;="&amp;$A10,Analysis_Helper!$B$2:$B$2001,"&lt;"&amp;EDATE($A10,1))</f>
        <v/>
      </c>
      <c r="AC10" s="107">
        <f>SUMIFS(Analysis_Helper!$I$2:$I$2001,Analysis_Helper!$E$2:$E$2001,AC$1,Analysis_Helper!$B$2:$B$2001,"&gt;="&amp;$A10,Analysis_Helper!$B$2:$B$2001,"&lt;"&amp;EDATE($A10,1))</f>
        <v/>
      </c>
      <c r="AD10" s="107">
        <f>SUMIFS(Analysis_Helper!$I$2:$I$2001,Analysis_Helper!$E$2:$E$2001,AD$1,Analysis_Helper!$B$2:$B$2001,"&gt;="&amp;$A10,Analysis_Helper!$B$2:$B$2001,"&lt;"&amp;EDATE($A10,1))</f>
        <v/>
      </c>
      <c r="AE10" s="107">
        <f>SUMIFS(Analysis_Helper!$I$2:$I$2001,Analysis_Helper!$E$2:$E$2001,AE$1,Analysis_Helper!$B$2:$B$2001,"&gt;="&amp;$A10,Analysis_Helper!$B$2:$B$2001,"&lt;"&amp;EDATE($A10,1))</f>
        <v/>
      </c>
      <c r="AF10" s="55" t="inlineStr">
        <is>
          <t>R009</t>
        </is>
      </c>
      <c r="AG10" s="55">
        <f>SUMIF(Analysis_Helper!$E$2:$E$2001,AF10,Analysis_Helper!$I$2:$I$2001)</f>
        <v/>
      </c>
      <c r="AH10" s="55">
        <f>VLOOKUP(AF10,Sales_Reps!$A$2:$B$31,2,FALSE())</f>
        <v/>
      </c>
      <c r="AK10" s="55" t="inlineStr">
        <is>
          <t>PROD-009</t>
        </is>
      </c>
      <c r="AL10" s="55">
        <f>VLOOKUP(AK10,Products!$A$2:$B$61,2,FALSE())</f>
        <v/>
      </c>
      <c r="AM10" s="55">
        <f>SUMIFS(Analysis_Helper!$I$2:$I$2001,Analysis_Helper!$D$2:$D$2001,AK10,Analysis_Helper!$N$2:$N$2001,"West")</f>
        <v/>
      </c>
      <c r="AO10" s="55">
        <f>IF(AND(Analysis_Helper!Q10="BENGALURU",Analysis_Helper!L10="Grocery"),Analysis_Helper!I10,0)</f>
        <v/>
      </c>
    </row>
    <row r="11" ht="15" customHeight="1" s="56">
      <c r="A11" s="106" t="n">
        <v>45566</v>
      </c>
      <c r="B11" s="107">
        <f>SUMIFS(Analysis_Helper!$I$2:$I$2001,Analysis_Helper!$E$2:$E$2001,B$1,Analysis_Helper!$B$2:$B$2001,"&gt;="&amp;$A11,Analysis_Helper!$B$2:$B$2001,"&lt;"&amp;EDATE($A11,1))</f>
        <v/>
      </c>
      <c r="C11" s="107">
        <f>SUMIFS(Analysis_Helper!$I$2:$I$2001,Analysis_Helper!$E$2:$E$2001,C$1,Analysis_Helper!$B$2:$B$2001,"&gt;="&amp;$A11,Analysis_Helper!$B$2:$B$2001,"&lt;"&amp;EDATE($A11,1))</f>
        <v/>
      </c>
      <c r="D11" s="107">
        <f>SUMIFS(Analysis_Helper!$I$2:$I$2001,Analysis_Helper!$E$2:$E$2001,D$1,Analysis_Helper!$B$2:$B$2001,"&gt;="&amp;$A11,Analysis_Helper!$B$2:$B$2001,"&lt;"&amp;EDATE($A11,1))</f>
        <v/>
      </c>
      <c r="E11" s="107">
        <f>SUMIFS(Analysis_Helper!$I$2:$I$2001,Analysis_Helper!$E$2:$E$2001,E$1,Analysis_Helper!$B$2:$B$2001,"&gt;="&amp;$A11,Analysis_Helper!$B$2:$B$2001,"&lt;"&amp;EDATE($A11,1))</f>
        <v/>
      </c>
      <c r="F11" s="107">
        <f>SUMIFS(Analysis_Helper!$I$2:$I$2001,Analysis_Helper!$E$2:$E$2001,F$1,Analysis_Helper!$B$2:$B$2001,"&gt;="&amp;$A11,Analysis_Helper!$B$2:$B$2001,"&lt;"&amp;EDATE($A11,1))</f>
        <v/>
      </c>
      <c r="G11" s="107">
        <f>SUMIFS(Analysis_Helper!$I$2:$I$2001,Analysis_Helper!$E$2:$E$2001,G$1,Analysis_Helper!$B$2:$B$2001,"&gt;="&amp;$A11,Analysis_Helper!$B$2:$B$2001,"&lt;"&amp;EDATE($A11,1))</f>
        <v/>
      </c>
      <c r="H11" s="107">
        <f>SUMIFS(Analysis_Helper!$I$2:$I$2001,Analysis_Helper!$E$2:$E$2001,H$1,Analysis_Helper!$B$2:$B$2001,"&gt;="&amp;$A11,Analysis_Helper!$B$2:$B$2001,"&lt;"&amp;EDATE($A11,1))</f>
        <v/>
      </c>
      <c r="I11" s="107">
        <f>SUMIFS(Analysis_Helper!$I$2:$I$2001,Analysis_Helper!$E$2:$E$2001,I$1,Analysis_Helper!$B$2:$B$2001,"&gt;="&amp;$A11,Analysis_Helper!$B$2:$B$2001,"&lt;"&amp;EDATE($A11,1))</f>
        <v/>
      </c>
      <c r="J11" s="107">
        <f>SUMIFS(Analysis_Helper!$I$2:$I$2001,Analysis_Helper!$E$2:$E$2001,J$1,Analysis_Helper!$B$2:$B$2001,"&gt;="&amp;$A11,Analysis_Helper!$B$2:$B$2001,"&lt;"&amp;EDATE($A11,1))</f>
        <v/>
      </c>
      <c r="K11" s="107">
        <f>SUMIFS(Analysis_Helper!$I$2:$I$2001,Analysis_Helper!$E$2:$E$2001,K$1,Analysis_Helper!$B$2:$B$2001,"&gt;="&amp;$A11,Analysis_Helper!$B$2:$B$2001,"&lt;"&amp;EDATE($A11,1))</f>
        <v/>
      </c>
      <c r="L11" s="107">
        <f>SUMIFS(Analysis_Helper!$I$2:$I$2001,Analysis_Helper!$E$2:$E$2001,L$1,Analysis_Helper!$B$2:$B$2001,"&gt;="&amp;$A11,Analysis_Helper!$B$2:$B$2001,"&lt;"&amp;EDATE($A11,1))</f>
        <v/>
      </c>
      <c r="M11" s="107">
        <f>SUMIFS(Analysis_Helper!$I$2:$I$2001,Analysis_Helper!$E$2:$E$2001,M$1,Analysis_Helper!$B$2:$B$2001,"&gt;="&amp;$A11,Analysis_Helper!$B$2:$B$2001,"&lt;"&amp;EDATE($A11,1))</f>
        <v/>
      </c>
      <c r="N11" s="107">
        <f>SUMIFS(Analysis_Helper!$I$2:$I$2001,Analysis_Helper!$E$2:$E$2001,N$1,Analysis_Helper!$B$2:$B$2001,"&gt;="&amp;$A11,Analysis_Helper!$B$2:$B$2001,"&lt;"&amp;EDATE($A11,1))</f>
        <v/>
      </c>
      <c r="O11" s="107">
        <f>SUMIFS(Analysis_Helper!$I$2:$I$2001,Analysis_Helper!$E$2:$E$2001,O$1,Analysis_Helper!$B$2:$B$2001,"&gt;="&amp;$A11,Analysis_Helper!$B$2:$B$2001,"&lt;"&amp;EDATE($A11,1))</f>
        <v/>
      </c>
      <c r="P11" s="107">
        <f>SUMIFS(Analysis_Helper!$I$2:$I$2001,Analysis_Helper!$E$2:$E$2001,P$1,Analysis_Helper!$B$2:$B$2001,"&gt;="&amp;$A11,Analysis_Helper!$B$2:$B$2001,"&lt;"&amp;EDATE($A11,1))</f>
        <v/>
      </c>
      <c r="Q11" s="107">
        <f>SUMIFS(Analysis_Helper!$I$2:$I$2001,Analysis_Helper!$E$2:$E$2001,Q$1,Analysis_Helper!$B$2:$B$2001,"&gt;="&amp;$A11,Analysis_Helper!$B$2:$B$2001,"&lt;"&amp;EDATE($A11,1))</f>
        <v/>
      </c>
      <c r="R11" s="107">
        <f>SUMIFS(Analysis_Helper!$I$2:$I$2001,Analysis_Helper!$E$2:$E$2001,R$1,Analysis_Helper!$B$2:$B$2001,"&gt;="&amp;$A11,Analysis_Helper!$B$2:$B$2001,"&lt;"&amp;EDATE($A11,1))</f>
        <v/>
      </c>
      <c r="S11" s="107">
        <f>SUMIFS(Analysis_Helper!$I$2:$I$2001,Analysis_Helper!$E$2:$E$2001,S$1,Analysis_Helper!$B$2:$B$2001,"&gt;="&amp;$A11,Analysis_Helper!$B$2:$B$2001,"&lt;"&amp;EDATE($A11,1))</f>
        <v/>
      </c>
      <c r="T11" s="107">
        <f>SUMIFS(Analysis_Helper!$I$2:$I$2001,Analysis_Helper!$E$2:$E$2001,T$1,Analysis_Helper!$B$2:$B$2001,"&gt;="&amp;$A11,Analysis_Helper!$B$2:$B$2001,"&lt;"&amp;EDATE($A11,1))</f>
        <v/>
      </c>
      <c r="U11" s="107">
        <f>SUMIFS(Analysis_Helper!$I$2:$I$2001,Analysis_Helper!$E$2:$E$2001,U$1,Analysis_Helper!$B$2:$B$2001,"&gt;="&amp;$A11,Analysis_Helper!$B$2:$B$2001,"&lt;"&amp;EDATE($A11,1))</f>
        <v/>
      </c>
      <c r="V11" s="107">
        <f>SUMIFS(Analysis_Helper!$I$2:$I$2001,Analysis_Helper!$E$2:$E$2001,V$1,Analysis_Helper!$B$2:$B$2001,"&gt;="&amp;$A11,Analysis_Helper!$B$2:$B$2001,"&lt;"&amp;EDATE($A11,1))</f>
        <v/>
      </c>
      <c r="W11" s="107">
        <f>SUMIFS(Analysis_Helper!$I$2:$I$2001,Analysis_Helper!$E$2:$E$2001,W$1,Analysis_Helper!$B$2:$B$2001,"&gt;="&amp;$A11,Analysis_Helper!$B$2:$B$2001,"&lt;"&amp;EDATE($A11,1))</f>
        <v/>
      </c>
      <c r="X11" s="107">
        <f>SUMIFS(Analysis_Helper!$I$2:$I$2001,Analysis_Helper!$E$2:$E$2001,X$1,Analysis_Helper!$B$2:$B$2001,"&gt;="&amp;$A11,Analysis_Helper!$B$2:$B$2001,"&lt;"&amp;EDATE($A11,1))</f>
        <v/>
      </c>
      <c r="Y11" s="107">
        <f>SUMIFS(Analysis_Helper!$I$2:$I$2001,Analysis_Helper!$E$2:$E$2001,Y$1,Analysis_Helper!$B$2:$B$2001,"&gt;="&amp;$A11,Analysis_Helper!$B$2:$B$2001,"&lt;"&amp;EDATE($A11,1))</f>
        <v/>
      </c>
      <c r="Z11" s="107">
        <f>SUMIFS(Analysis_Helper!$I$2:$I$2001,Analysis_Helper!$E$2:$E$2001,Z$1,Analysis_Helper!$B$2:$B$2001,"&gt;="&amp;$A11,Analysis_Helper!$B$2:$B$2001,"&lt;"&amp;EDATE($A11,1))</f>
        <v/>
      </c>
      <c r="AA11" s="107">
        <f>SUMIFS(Analysis_Helper!$I$2:$I$2001,Analysis_Helper!$E$2:$E$2001,AA$1,Analysis_Helper!$B$2:$B$2001,"&gt;="&amp;$A11,Analysis_Helper!$B$2:$B$2001,"&lt;"&amp;EDATE($A11,1))</f>
        <v/>
      </c>
      <c r="AB11" s="107">
        <f>SUMIFS(Analysis_Helper!$I$2:$I$2001,Analysis_Helper!$E$2:$E$2001,AB$1,Analysis_Helper!$B$2:$B$2001,"&gt;="&amp;$A11,Analysis_Helper!$B$2:$B$2001,"&lt;"&amp;EDATE($A11,1))</f>
        <v/>
      </c>
      <c r="AC11" s="107">
        <f>SUMIFS(Analysis_Helper!$I$2:$I$2001,Analysis_Helper!$E$2:$E$2001,AC$1,Analysis_Helper!$B$2:$B$2001,"&gt;="&amp;$A11,Analysis_Helper!$B$2:$B$2001,"&lt;"&amp;EDATE($A11,1))</f>
        <v/>
      </c>
      <c r="AD11" s="107">
        <f>SUMIFS(Analysis_Helper!$I$2:$I$2001,Analysis_Helper!$E$2:$E$2001,AD$1,Analysis_Helper!$B$2:$B$2001,"&gt;="&amp;$A11,Analysis_Helper!$B$2:$B$2001,"&lt;"&amp;EDATE($A11,1))</f>
        <v/>
      </c>
      <c r="AE11" s="107">
        <f>SUMIFS(Analysis_Helper!$I$2:$I$2001,Analysis_Helper!$E$2:$E$2001,AE$1,Analysis_Helper!$B$2:$B$2001,"&gt;="&amp;$A11,Analysis_Helper!$B$2:$B$2001,"&lt;"&amp;EDATE($A11,1))</f>
        <v/>
      </c>
      <c r="AF11" s="55" t="inlineStr">
        <is>
          <t>R010</t>
        </is>
      </c>
      <c r="AG11" s="55">
        <f>SUMIF(Analysis_Helper!$E$2:$E$2001,AF11,Analysis_Helper!$I$2:$I$2001)</f>
        <v/>
      </c>
      <c r="AH11" s="55">
        <f>VLOOKUP(AF11,Sales_Reps!$A$2:$B$31,2,FALSE())</f>
        <v/>
      </c>
      <c r="AK11" s="55" t="inlineStr">
        <is>
          <t>PROD-010</t>
        </is>
      </c>
      <c r="AL11" s="55">
        <f>VLOOKUP(AK11,Products!$A$2:$B$61,2,FALSE())</f>
        <v/>
      </c>
      <c r="AM11" s="55">
        <f>SUMIFS(Analysis_Helper!$I$2:$I$2001,Analysis_Helper!$D$2:$D$2001,AK11,Analysis_Helper!$N$2:$N$2001,"West")</f>
        <v/>
      </c>
      <c r="AO11" s="55">
        <f>IF(AND(Analysis_Helper!Q11="BENGALURU",Analysis_Helper!L11="Grocery"),Analysis_Helper!I11,0)</f>
        <v/>
      </c>
    </row>
    <row r="12" ht="15" customHeight="1" s="56">
      <c r="A12" s="106" t="n">
        <v>45597</v>
      </c>
      <c r="B12" s="107">
        <f>SUMIFS(Analysis_Helper!$I$2:$I$2001,Analysis_Helper!$E$2:$E$2001,B$1,Analysis_Helper!$B$2:$B$2001,"&gt;="&amp;$A12,Analysis_Helper!$B$2:$B$2001,"&lt;"&amp;EDATE($A12,1))</f>
        <v/>
      </c>
      <c r="C12" s="107">
        <f>SUMIFS(Analysis_Helper!$I$2:$I$2001,Analysis_Helper!$E$2:$E$2001,C$1,Analysis_Helper!$B$2:$B$2001,"&gt;="&amp;$A12,Analysis_Helper!$B$2:$B$2001,"&lt;"&amp;EDATE($A12,1))</f>
        <v/>
      </c>
      <c r="D12" s="107">
        <f>SUMIFS(Analysis_Helper!$I$2:$I$2001,Analysis_Helper!$E$2:$E$2001,D$1,Analysis_Helper!$B$2:$B$2001,"&gt;="&amp;$A12,Analysis_Helper!$B$2:$B$2001,"&lt;"&amp;EDATE($A12,1))</f>
        <v/>
      </c>
      <c r="E12" s="107">
        <f>SUMIFS(Analysis_Helper!$I$2:$I$2001,Analysis_Helper!$E$2:$E$2001,E$1,Analysis_Helper!$B$2:$B$2001,"&gt;="&amp;$A12,Analysis_Helper!$B$2:$B$2001,"&lt;"&amp;EDATE($A12,1))</f>
        <v/>
      </c>
      <c r="F12" s="107">
        <f>SUMIFS(Analysis_Helper!$I$2:$I$2001,Analysis_Helper!$E$2:$E$2001,F$1,Analysis_Helper!$B$2:$B$2001,"&gt;="&amp;$A12,Analysis_Helper!$B$2:$B$2001,"&lt;"&amp;EDATE($A12,1))</f>
        <v/>
      </c>
      <c r="G12" s="107">
        <f>SUMIFS(Analysis_Helper!$I$2:$I$2001,Analysis_Helper!$E$2:$E$2001,G$1,Analysis_Helper!$B$2:$B$2001,"&gt;="&amp;$A12,Analysis_Helper!$B$2:$B$2001,"&lt;"&amp;EDATE($A12,1))</f>
        <v/>
      </c>
      <c r="H12" s="107">
        <f>SUMIFS(Analysis_Helper!$I$2:$I$2001,Analysis_Helper!$E$2:$E$2001,H$1,Analysis_Helper!$B$2:$B$2001,"&gt;="&amp;$A12,Analysis_Helper!$B$2:$B$2001,"&lt;"&amp;EDATE($A12,1))</f>
        <v/>
      </c>
      <c r="I12" s="107">
        <f>SUMIFS(Analysis_Helper!$I$2:$I$2001,Analysis_Helper!$E$2:$E$2001,I$1,Analysis_Helper!$B$2:$B$2001,"&gt;="&amp;$A12,Analysis_Helper!$B$2:$B$2001,"&lt;"&amp;EDATE($A12,1))</f>
        <v/>
      </c>
      <c r="J12" s="107">
        <f>SUMIFS(Analysis_Helper!$I$2:$I$2001,Analysis_Helper!$E$2:$E$2001,J$1,Analysis_Helper!$B$2:$B$2001,"&gt;="&amp;$A12,Analysis_Helper!$B$2:$B$2001,"&lt;"&amp;EDATE($A12,1))</f>
        <v/>
      </c>
      <c r="K12" s="107">
        <f>SUMIFS(Analysis_Helper!$I$2:$I$2001,Analysis_Helper!$E$2:$E$2001,K$1,Analysis_Helper!$B$2:$B$2001,"&gt;="&amp;$A12,Analysis_Helper!$B$2:$B$2001,"&lt;"&amp;EDATE($A12,1))</f>
        <v/>
      </c>
      <c r="L12" s="107">
        <f>SUMIFS(Analysis_Helper!$I$2:$I$2001,Analysis_Helper!$E$2:$E$2001,L$1,Analysis_Helper!$B$2:$B$2001,"&gt;="&amp;$A12,Analysis_Helper!$B$2:$B$2001,"&lt;"&amp;EDATE($A12,1))</f>
        <v/>
      </c>
      <c r="M12" s="107">
        <f>SUMIFS(Analysis_Helper!$I$2:$I$2001,Analysis_Helper!$E$2:$E$2001,M$1,Analysis_Helper!$B$2:$B$2001,"&gt;="&amp;$A12,Analysis_Helper!$B$2:$B$2001,"&lt;"&amp;EDATE($A12,1))</f>
        <v/>
      </c>
      <c r="N12" s="107">
        <f>SUMIFS(Analysis_Helper!$I$2:$I$2001,Analysis_Helper!$E$2:$E$2001,N$1,Analysis_Helper!$B$2:$B$2001,"&gt;="&amp;$A12,Analysis_Helper!$B$2:$B$2001,"&lt;"&amp;EDATE($A12,1))</f>
        <v/>
      </c>
      <c r="O12" s="107">
        <f>SUMIFS(Analysis_Helper!$I$2:$I$2001,Analysis_Helper!$E$2:$E$2001,O$1,Analysis_Helper!$B$2:$B$2001,"&gt;="&amp;$A12,Analysis_Helper!$B$2:$B$2001,"&lt;"&amp;EDATE($A12,1))</f>
        <v/>
      </c>
      <c r="P12" s="107">
        <f>SUMIFS(Analysis_Helper!$I$2:$I$2001,Analysis_Helper!$E$2:$E$2001,P$1,Analysis_Helper!$B$2:$B$2001,"&gt;="&amp;$A12,Analysis_Helper!$B$2:$B$2001,"&lt;"&amp;EDATE($A12,1))</f>
        <v/>
      </c>
      <c r="Q12" s="107">
        <f>SUMIFS(Analysis_Helper!$I$2:$I$2001,Analysis_Helper!$E$2:$E$2001,Q$1,Analysis_Helper!$B$2:$B$2001,"&gt;="&amp;$A12,Analysis_Helper!$B$2:$B$2001,"&lt;"&amp;EDATE($A12,1))</f>
        <v/>
      </c>
      <c r="R12" s="107">
        <f>SUMIFS(Analysis_Helper!$I$2:$I$2001,Analysis_Helper!$E$2:$E$2001,R$1,Analysis_Helper!$B$2:$B$2001,"&gt;="&amp;$A12,Analysis_Helper!$B$2:$B$2001,"&lt;"&amp;EDATE($A12,1))</f>
        <v/>
      </c>
      <c r="S12" s="107">
        <f>SUMIFS(Analysis_Helper!$I$2:$I$2001,Analysis_Helper!$E$2:$E$2001,S$1,Analysis_Helper!$B$2:$B$2001,"&gt;="&amp;$A12,Analysis_Helper!$B$2:$B$2001,"&lt;"&amp;EDATE($A12,1))</f>
        <v/>
      </c>
      <c r="T12" s="107">
        <f>SUMIFS(Analysis_Helper!$I$2:$I$2001,Analysis_Helper!$E$2:$E$2001,T$1,Analysis_Helper!$B$2:$B$2001,"&gt;="&amp;$A12,Analysis_Helper!$B$2:$B$2001,"&lt;"&amp;EDATE($A12,1))</f>
        <v/>
      </c>
      <c r="U12" s="107">
        <f>SUMIFS(Analysis_Helper!$I$2:$I$2001,Analysis_Helper!$E$2:$E$2001,U$1,Analysis_Helper!$B$2:$B$2001,"&gt;="&amp;$A12,Analysis_Helper!$B$2:$B$2001,"&lt;"&amp;EDATE($A12,1))</f>
        <v/>
      </c>
      <c r="V12" s="107">
        <f>SUMIFS(Analysis_Helper!$I$2:$I$2001,Analysis_Helper!$E$2:$E$2001,V$1,Analysis_Helper!$B$2:$B$2001,"&gt;="&amp;$A12,Analysis_Helper!$B$2:$B$2001,"&lt;"&amp;EDATE($A12,1))</f>
        <v/>
      </c>
      <c r="W12" s="107">
        <f>SUMIFS(Analysis_Helper!$I$2:$I$2001,Analysis_Helper!$E$2:$E$2001,W$1,Analysis_Helper!$B$2:$B$2001,"&gt;="&amp;$A12,Analysis_Helper!$B$2:$B$2001,"&lt;"&amp;EDATE($A12,1))</f>
        <v/>
      </c>
      <c r="X12" s="107">
        <f>SUMIFS(Analysis_Helper!$I$2:$I$2001,Analysis_Helper!$E$2:$E$2001,X$1,Analysis_Helper!$B$2:$B$2001,"&gt;="&amp;$A12,Analysis_Helper!$B$2:$B$2001,"&lt;"&amp;EDATE($A12,1))</f>
        <v/>
      </c>
      <c r="Y12" s="107">
        <f>SUMIFS(Analysis_Helper!$I$2:$I$2001,Analysis_Helper!$E$2:$E$2001,Y$1,Analysis_Helper!$B$2:$B$2001,"&gt;="&amp;$A12,Analysis_Helper!$B$2:$B$2001,"&lt;"&amp;EDATE($A12,1))</f>
        <v/>
      </c>
      <c r="Z12" s="107">
        <f>SUMIFS(Analysis_Helper!$I$2:$I$2001,Analysis_Helper!$E$2:$E$2001,Z$1,Analysis_Helper!$B$2:$B$2001,"&gt;="&amp;$A12,Analysis_Helper!$B$2:$B$2001,"&lt;"&amp;EDATE($A12,1))</f>
        <v/>
      </c>
      <c r="AA12" s="107">
        <f>SUMIFS(Analysis_Helper!$I$2:$I$2001,Analysis_Helper!$E$2:$E$2001,AA$1,Analysis_Helper!$B$2:$B$2001,"&gt;="&amp;$A12,Analysis_Helper!$B$2:$B$2001,"&lt;"&amp;EDATE($A12,1))</f>
        <v/>
      </c>
      <c r="AB12" s="107">
        <f>SUMIFS(Analysis_Helper!$I$2:$I$2001,Analysis_Helper!$E$2:$E$2001,AB$1,Analysis_Helper!$B$2:$B$2001,"&gt;="&amp;$A12,Analysis_Helper!$B$2:$B$2001,"&lt;"&amp;EDATE($A12,1))</f>
        <v/>
      </c>
      <c r="AC12" s="107">
        <f>SUMIFS(Analysis_Helper!$I$2:$I$2001,Analysis_Helper!$E$2:$E$2001,AC$1,Analysis_Helper!$B$2:$B$2001,"&gt;="&amp;$A12,Analysis_Helper!$B$2:$B$2001,"&lt;"&amp;EDATE($A12,1))</f>
        <v/>
      </c>
      <c r="AD12" s="107">
        <f>SUMIFS(Analysis_Helper!$I$2:$I$2001,Analysis_Helper!$E$2:$E$2001,AD$1,Analysis_Helper!$B$2:$B$2001,"&gt;="&amp;$A12,Analysis_Helper!$B$2:$B$2001,"&lt;"&amp;EDATE($A12,1))</f>
        <v/>
      </c>
      <c r="AE12" s="107">
        <f>SUMIFS(Analysis_Helper!$I$2:$I$2001,Analysis_Helper!$E$2:$E$2001,AE$1,Analysis_Helper!$B$2:$B$2001,"&gt;="&amp;$A12,Analysis_Helper!$B$2:$B$2001,"&lt;"&amp;EDATE($A12,1))</f>
        <v/>
      </c>
      <c r="AF12" s="55" t="inlineStr">
        <is>
          <t>R011</t>
        </is>
      </c>
      <c r="AG12" s="55">
        <f>SUMIF(Analysis_Helper!$E$2:$E$2001,AF12,Analysis_Helper!$I$2:$I$2001)</f>
        <v/>
      </c>
      <c r="AH12" s="55">
        <f>VLOOKUP(AF12,Sales_Reps!$A$2:$B$31,2,FALSE())</f>
        <v/>
      </c>
      <c r="AK12" s="55" t="inlineStr">
        <is>
          <t>PROD-011</t>
        </is>
      </c>
      <c r="AL12" s="55">
        <f>VLOOKUP(AK12,Products!$A$2:$B$61,2,FALSE())</f>
        <v/>
      </c>
      <c r="AM12" s="55">
        <f>SUMIFS(Analysis_Helper!$I$2:$I$2001,Analysis_Helper!$D$2:$D$2001,AK12,Analysis_Helper!$N$2:$N$2001,"West")</f>
        <v/>
      </c>
      <c r="AO12" s="55">
        <f>IF(AND(Analysis_Helper!Q12="BENGALURU",Analysis_Helper!L12="Grocery"),Analysis_Helper!I12,0)</f>
        <v/>
      </c>
    </row>
    <row r="13" ht="15" customHeight="1" s="56">
      <c r="A13" s="106" t="n">
        <v>45627</v>
      </c>
      <c r="B13" s="107">
        <f>SUMIFS(Analysis_Helper!$I$2:$I$2001,Analysis_Helper!$E$2:$E$2001,B$1,Analysis_Helper!$B$2:$B$2001,"&gt;="&amp;$A13,Analysis_Helper!$B$2:$B$2001,"&lt;"&amp;EDATE($A13,1))</f>
        <v/>
      </c>
      <c r="C13" s="107">
        <f>SUMIFS(Analysis_Helper!$I$2:$I$2001,Analysis_Helper!$E$2:$E$2001,C$1,Analysis_Helper!$B$2:$B$2001,"&gt;="&amp;$A13,Analysis_Helper!$B$2:$B$2001,"&lt;"&amp;EDATE($A13,1))</f>
        <v/>
      </c>
      <c r="D13" s="107">
        <f>SUMIFS(Analysis_Helper!$I$2:$I$2001,Analysis_Helper!$E$2:$E$2001,D$1,Analysis_Helper!$B$2:$B$2001,"&gt;="&amp;$A13,Analysis_Helper!$B$2:$B$2001,"&lt;"&amp;EDATE($A13,1))</f>
        <v/>
      </c>
      <c r="E13" s="107">
        <f>SUMIFS(Analysis_Helper!$I$2:$I$2001,Analysis_Helper!$E$2:$E$2001,E$1,Analysis_Helper!$B$2:$B$2001,"&gt;="&amp;$A13,Analysis_Helper!$B$2:$B$2001,"&lt;"&amp;EDATE($A13,1))</f>
        <v/>
      </c>
      <c r="F13" s="107">
        <f>SUMIFS(Analysis_Helper!$I$2:$I$2001,Analysis_Helper!$E$2:$E$2001,F$1,Analysis_Helper!$B$2:$B$2001,"&gt;="&amp;$A13,Analysis_Helper!$B$2:$B$2001,"&lt;"&amp;EDATE($A13,1))</f>
        <v/>
      </c>
      <c r="G13" s="107">
        <f>SUMIFS(Analysis_Helper!$I$2:$I$2001,Analysis_Helper!$E$2:$E$2001,G$1,Analysis_Helper!$B$2:$B$2001,"&gt;="&amp;$A13,Analysis_Helper!$B$2:$B$2001,"&lt;"&amp;EDATE($A13,1))</f>
        <v/>
      </c>
      <c r="H13" s="107">
        <f>SUMIFS(Analysis_Helper!$I$2:$I$2001,Analysis_Helper!$E$2:$E$2001,H$1,Analysis_Helper!$B$2:$B$2001,"&gt;="&amp;$A13,Analysis_Helper!$B$2:$B$2001,"&lt;"&amp;EDATE($A13,1))</f>
        <v/>
      </c>
      <c r="I13" s="107">
        <f>SUMIFS(Analysis_Helper!$I$2:$I$2001,Analysis_Helper!$E$2:$E$2001,I$1,Analysis_Helper!$B$2:$B$2001,"&gt;="&amp;$A13,Analysis_Helper!$B$2:$B$2001,"&lt;"&amp;EDATE($A13,1))</f>
        <v/>
      </c>
      <c r="J13" s="107">
        <f>SUMIFS(Analysis_Helper!$I$2:$I$2001,Analysis_Helper!$E$2:$E$2001,J$1,Analysis_Helper!$B$2:$B$2001,"&gt;="&amp;$A13,Analysis_Helper!$B$2:$B$2001,"&lt;"&amp;EDATE($A13,1))</f>
        <v/>
      </c>
      <c r="K13" s="107">
        <f>SUMIFS(Analysis_Helper!$I$2:$I$2001,Analysis_Helper!$E$2:$E$2001,K$1,Analysis_Helper!$B$2:$B$2001,"&gt;="&amp;$A13,Analysis_Helper!$B$2:$B$2001,"&lt;"&amp;EDATE($A13,1))</f>
        <v/>
      </c>
      <c r="L13" s="107">
        <f>SUMIFS(Analysis_Helper!$I$2:$I$2001,Analysis_Helper!$E$2:$E$2001,L$1,Analysis_Helper!$B$2:$B$2001,"&gt;="&amp;$A13,Analysis_Helper!$B$2:$B$2001,"&lt;"&amp;EDATE($A13,1))</f>
        <v/>
      </c>
      <c r="M13" s="107">
        <f>SUMIFS(Analysis_Helper!$I$2:$I$2001,Analysis_Helper!$E$2:$E$2001,M$1,Analysis_Helper!$B$2:$B$2001,"&gt;="&amp;$A13,Analysis_Helper!$B$2:$B$2001,"&lt;"&amp;EDATE($A13,1))</f>
        <v/>
      </c>
      <c r="N13" s="107">
        <f>SUMIFS(Analysis_Helper!$I$2:$I$2001,Analysis_Helper!$E$2:$E$2001,N$1,Analysis_Helper!$B$2:$B$2001,"&gt;="&amp;$A13,Analysis_Helper!$B$2:$B$2001,"&lt;"&amp;EDATE($A13,1))</f>
        <v/>
      </c>
      <c r="O13" s="107">
        <f>SUMIFS(Analysis_Helper!$I$2:$I$2001,Analysis_Helper!$E$2:$E$2001,O$1,Analysis_Helper!$B$2:$B$2001,"&gt;="&amp;$A13,Analysis_Helper!$B$2:$B$2001,"&lt;"&amp;EDATE($A13,1))</f>
        <v/>
      </c>
      <c r="P13" s="107">
        <f>SUMIFS(Analysis_Helper!$I$2:$I$2001,Analysis_Helper!$E$2:$E$2001,P$1,Analysis_Helper!$B$2:$B$2001,"&gt;="&amp;$A13,Analysis_Helper!$B$2:$B$2001,"&lt;"&amp;EDATE($A13,1))</f>
        <v/>
      </c>
      <c r="Q13" s="107">
        <f>SUMIFS(Analysis_Helper!$I$2:$I$2001,Analysis_Helper!$E$2:$E$2001,Q$1,Analysis_Helper!$B$2:$B$2001,"&gt;="&amp;$A13,Analysis_Helper!$B$2:$B$2001,"&lt;"&amp;EDATE($A13,1))</f>
        <v/>
      </c>
      <c r="R13" s="107">
        <f>SUMIFS(Analysis_Helper!$I$2:$I$2001,Analysis_Helper!$E$2:$E$2001,R$1,Analysis_Helper!$B$2:$B$2001,"&gt;="&amp;$A13,Analysis_Helper!$B$2:$B$2001,"&lt;"&amp;EDATE($A13,1))</f>
        <v/>
      </c>
      <c r="S13" s="107">
        <f>SUMIFS(Analysis_Helper!$I$2:$I$2001,Analysis_Helper!$E$2:$E$2001,S$1,Analysis_Helper!$B$2:$B$2001,"&gt;="&amp;$A13,Analysis_Helper!$B$2:$B$2001,"&lt;"&amp;EDATE($A13,1))</f>
        <v/>
      </c>
      <c r="T13" s="107">
        <f>SUMIFS(Analysis_Helper!$I$2:$I$2001,Analysis_Helper!$E$2:$E$2001,T$1,Analysis_Helper!$B$2:$B$2001,"&gt;="&amp;$A13,Analysis_Helper!$B$2:$B$2001,"&lt;"&amp;EDATE($A13,1))</f>
        <v/>
      </c>
      <c r="U13" s="107">
        <f>SUMIFS(Analysis_Helper!$I$2:$I$2001,Analysis_Helper!$E$2:$E$2001,U$1,Analysis_Helper!$B$2:$B$2001,"&gt;="&amp;$A13,Analysis_Helper!$B$2:$B$2001,"&lt;"&amp;EDATE($A13,1))</f>
        <v/>
      </c>
      <c r="V13" s="107">
        <f>SUMIFS(Analysis_Helper!$I$2:$I$2001,Analysis_Helper!$E$2:$E$2001,V$1,Analysis_Helper!$B$2:$B$2001,"&gt;="&amp;$A13,Analysis_Helper!$B$2:$B$2001,"&lt;"&amp;EDATE($A13,1))</f>
        <v/>
      </c>
      <c r="W13" s="107">
        <f>SUMIFS(Analysis_Helper!$I$2:$I$2001,Analysis_Helper!$E$2:$E$2001,W$1,Analysis_Helper!$B$2:$B$2001,"&gt;="&amp;$A13,Analysis_Helper!$B$2:$B$2001,"&lt;"&amp;EDATE($A13,1))</f>
        <v/>
      </c>
      <c r="X13" s="107">
        <f>SUMIFS(Analysis_Helper!$I$2:$I$2001,Analysis_Helper!$E$2:$E$2001,X$1,Analysis_Helper!$B$2:$B$2001,"&gt;="&amp;$A13,Analysis_Helper!$B$2:$B$2001,"&lt;"&amp;EDATE($A13,1))</f>
        <v/>
      </c>
      <c r="Y13" s="107">
        <f>SUMIFS(Analysis_Helper!$I$2:$I$2001,Analysis_Helper!$E$2:$E$2001,Y$1,Analysis_Helper!$B$2:$B$2001,"&gt;="&amp;$A13,Analysis_Helper!$B$2:$B$2001,"&lt;"&amp;EDATE($A13,1))</f>
        <v/>
      </c>
      <c r="Z13" s="107">
        <f>SUMIFS(Analysis_Helper!$I$2:$I$2001,Analysis_Helper!$E$2:$E$2001,Z$1,Analysis_Helper!$B$2:$B$2001,"&gt;="&amp;$A13,Analysis_Helper!$B$2:$B$2001,"&lt;"&amp;EDATE($A13,1))</f>
        <v/>
      </c>
      <c r="AA13" s="107">
        <f>SUMIFS(Analysis_Helper!$I$2:$I$2001,Analysis_Helper!$E$2:$E$2001,AA$1,Analysis_Helper!$B$2:$B$2001,"&gt;="&amp;$A13,Analysis_Helper!$B$2:$B$2001,"&lt;"&amp;EDATE($A13,1))</f>
        <v/>
      </c>
      <c r="AB13" s="107">
        <f>SUMIFS(Analysis_Helper!$I$2:$I$2001,Analysis_Helper!$E$2:$E$2001,AB$1,Analysis_Helper!$B$2:$B$2001,"&gt;="&amp;$A13,Analysis_Helper!$B$2:$B$2001,"&lt;"&amp;EDATE($A13,1))</f>
        <v/>
      </c>
      <c r="AC13" s="107">
        <f>SUMIFS(Analysis_Helper!$I$2:$I$2001,Analysis_Helper!$E$2:$E$2001,AC$1,Analysis_Helper!$B$2:$B$2001,"&gt;="&amp;$A13,Analysis_Helper!$B$2:$B$2001,"&lt;"&amp;EDATE($A13,1))</f>
        <v/>
      </c>
      <c r="AD13" s="107">
        <f>SUMIFS(Analysis_Helper!$I$2:$I$2001,Analysis_Helper!$E$2:$E$2001,AD$1,Analysis_Helper!$B$2:$B$2001,"&gt;="&amp;$A13,Analysis_Helper!$B$2:$B$2001,"&lt;"&amp;EDATE($A13,1))</f>
        <v/>
      </c>
      <c r="AE13" s="107">
        <f>SUMIFS(Analysis_Helper!$I$2:$I$2001,Analysis_Helper!$E$2:$E$2001,AE$1,Analysis_Helper!$B$2:$B$2001,"&gt;="&amp;$A13,Analysis_Helper!$B$2:$B$2001,"&lt;"&amp;EDATE($A13,1))</f>
        <v/>
      </c>
      <c r="AF13" s="55" t="inlineStr">
        <is>
          <t>R012</t>
        </is>
      </c>
      <c r="AG13" s="55">
        <f>SUMIF(Analysis_Helper!$E$2:$E$2001,AF13,Analysis_Helper!$I$2:$I$2001)</f>
        <v/>
      </c>
      <c r="AH13" s="55">
        <f>VLOOKUP(AF13,Sales_Reps!$A$2:$B$31,2,FALSE())</f>
        <v/>
      </c>
      <c r="AK13" s="55" t="inlineStr">
        <is>
          <t>PROD-012</t>
        </is>
      </c>
      <c r="AL13" s="55">
        <f>VLOOKUP(AK13,Products!$A$2:$B$61,2,FALSE())</f>
        <v/>
      </c>
      <c r="AM13" s="55">
        <f>SUMIFS(Analysis_Helper!$I$2:$I$2001,Analysis_Helper!$D$2:$D$2001,AK13,Analysis_Helper!$N$2:$N$2001,"West")</f>
        <v/>
      </c>
      <c r="AO13" s="55">
        <f>IF(AND(Analysis_Helper!Q13="BENGALURU",Analysis_Helper!L13="Grocery"),Analysis_Helper!I13,0)</f>
        <v/>
      </c>
    </row>
    <row r="14" ht="15" customHeight="1" s="56">
      <c r="AF14" s="55" t="inlineStr">
        <is>
          <t>R013</t>
        </is>
      </c>
      <c r="AG14" s="55">
        <f>SUMIF(Analysis_Helper!$E$2:$E$2001,AF14,Analysis_Helper!$I$2:$I$2001)</f>
        <v/>
      </c>
      <c r="AH14" s="55">
        <f>VLOOKUP(AF14,Sales_Reps!$A$2:$B$31,2,FALSE())</f>
        <v/>
      </c>
      <c r="AK14" s="55" t="inlineStr">
        <is>
          <t>PROD-013</t>
        </is>
      </c>
      <c r="AL14" s="55">
        <f>VLOOKUP(AK14,Products!$A$2:$B$61,2,FALSE())</f>
        <v/>
      </c>
      <c r="AM14" s="55">
        <f>SUMIFS(Analysis_Helper!$I$2:$I$2001,Analysis_Helper!$D$2:$D$2001,AK14,Analysis_Helper!$N$2:$N$2001,"West")</f>
        <v/>
      </c>
      <c r="AO14" s="55">
        <f>IF(AND(Analysis_Helper!Q14="BENGALURU",Analysis_Helper!L14="Grocery"),Analysis_Helper!I14,0)</f>
        <v/>
      </c>
    </row>
    <row r="15" ht="15" customHeight="1" s="56">
      <c r="AF15" s="55" t="inlineStr">
        <is>
          <t>R014</t>
        </is>
      </c>
      <c r="AG15" s="55">
        <f>SUMIF(Analysis_Helper!$E$2:$E$2001,AF15,Analysis_Helper!$I$2:$I$2001)</f>
        <v/>
      </c>
      <c r="AH15" s="55">
        <f>VLOOKUP(AF15,Sales_Reps!$A$2:$B$31,2,FALSE())</f>
        <v/>
      </c>
      <c r="AK15" s="55" t="inlineStr">
        <is>
          <t>PROD-014</t>
        </is>
      </c>
      <c r="AL15" s="55">
        <f>VLOOKUP(AK15,Products!$A$2:$B$61,2,FALSE())</f>
        <v/>
      </c>
      <c r="AM15" s="55">
        <f>SUMIFS(Analysis_Helper!$I$2:$I$2001,Analysis_Helper!$D$2:$D$2001,AK15,Analysis_Helper!$N$2:$N$2001,"West")</f>
        <v/>
      </c>
      <c r="AO15" s="55">
        <f>IF(AND(Analysis_Helper!Q15="BENGALURU",Analysis_Helper!L15="Grocery"),Analysis_Helper!I15,0)</f>
        <v/>
      </c>
    </row>
    <row r="16" ht="15" customHeight="1" s="56">
      <c r="A16" s="109" t="inlineStr">
        <is>
          <t>Region x Category Revenue Pivot</t>
        </is>
      </c>
      <c r="AF16" s="55" t="inlineStr">
        <is>
          <t>R015</t>
        </is>
      </c>
      <c r="AG16" s="55">
        <f>SUMIF(Analysis_Helper!$E$2:$E$2001,AF16,Analysis_Helper!$I$2:$I$2001)</f>
        <v/>
      </c>
      <c r="AH16" s="55">
        <f>VLOOKUP(AF16,Sales_Reps!$A$2:$B$31,2,FALSE())</f>
        <v/>
      </c>
      <c r="AK16" s="55" t="inlineStr">
        <is>
          <t>PROD-015</t>
        </is>
      </c>
      <c r="AL16" s="55">
        <f>VLOOKUP(AK16,Products!$A$2:$B$61,2,FALSE())</f>
        <v/>
      </c>
      <c r="AM16" s="55">
        <f>SUMIFS(Analysis_Helper!$I$2:$I$2001,Analysis_Helper!$D$2:$D$2001,AK16,Analysis_Helper!$N$2:$N$2001,"West")</f>
        <v/>
      </c>
      <c r="AO16" s="55">
        <f>IF(AND(Analysis_Helper!Q16="BENGALURU",Analysis_Helper!L16="Grocery"),Analysis_Helper!I16,0)</f>
        <v/>
      </c>
    </row>
    <row r="17" ht="15" customHeight="1" s="56">
      <c r="A17" s="55" t="inlineStr">
        <is>
          <t>Sales Region</t>
        </is>
      </c>
      <c r="B17" s="55" t="inlineStr">
        <is>
          <t>Apparel</t>
        </is>
      </c>
      <c r="C17" s="55" t="inlineStr">
        <is>
          <t>Beauty</t>
        </is>
      </c>
      <c r="D17" s="55" t="inlineStr">
        <is>
          <t>Electronics</t>
        </is>
      </c>
      <c r="E17" s="55" t="inlineStr">
        <is>
          <t>Grocery</t>
        </is>
      </c>
      <c r="F17" s="55" t="inlineStr">
        <is>
          <t>Home</t>
        </is>
      </c>
      <c r="G17" s="55" t="inlineStr">
        <is>
          <t>Sports</t>
        </is>
      </c>
      <c r="AF17" s="55" t="inlineStr">
        <is>
          <t>R016</t>
        </is>
      </c>
      <c r="AG17" s="55">
        <f>SUMIF(Analysis_Helper!$E$2:$E$2001,AF17,Analysis_Helper!$I$2:$I$2001)</f>
        <v/>
      </c>
      <c r="AH17" s="55">
        <f>VLOOKUP(AF17,Sales_Reps!$A$2:$B$31,2,FALSE())</f>
        <v/>
      </c>
      <c r="AK17" s="55" t="inlineStr">
        <is>
          <t>PROD-016</t>
        </is>
      </c>
      <c r="AL17" s="55">
        <f>VLOOKUP(AK17,Products!$A$2:$B$61,2,FALSE())</f>
        <v/>
      </c>
      <c r="AM17" s="55">
        <f>SUMIFS(Analysis_Helper!$I$2:$I$2001,Analysis_Helper!$D$2:$D$2001,AK17,Analysis_Helper!$N$2:$N$2001,"West")</f>
        <v/>
      </c>
      <c r="AO17" s="55">
        <f>IF(AND(Analysis_Helper!Q17="BENGALURU",Analysis_Helper!L17="Grocery"),Analysis_Helper!I17,0)</f>
        <v/>
      </c>
    </row>
    <row r="18" ht="15" customHeight="1" s="56">
      <c r="A18" s="55" t="inlineStr">
        <is>
          <t>East</t>
        </is>
      </c>
      <c r="B18" s="107">
        <f>SUMIFS(Analysis_Helper!$I$2:$I$2001,Analysis_Helper!$N$2:$N$2001,$A18,Analysis_Helper!$L$2:$L$2001,B$17)</f>
        <v/>
      </c>
      <c r="C18" s="107">
        <f>SUMIFS(Analysis_Helper!$I$2:$I$2001,Analysis_Helper!$N$2:$N$2001,$A18,Analysis_Helper!$L$2:$L$2001,C$17)</f>
        <v/>
      </c>
      <c r="D18" s="107">
        <f>SUMIFS(Analysis_Helper!$I$2:$I$2001,Analysis_Helper!$N$2:$N$2001,$A18,Analysis_Helper!$L$2:$L$2001,D$17)</f>
        <v/>
      </c>
      <c r="E18" s="107">
        <f>SUMIFS(Analysis_Helper!$I$2:$I$2001,Analysis_Helper!$N$2:$N$2001,$A18,Analysis_Helper!$L$2:$L$2001,E$17)</f>
        <v/>
      </c>
      <c r="F18" s="107">
        <f>SUMIFS(Analysis_Helper!$I$2:$I$2001,Analysis_Helper!$N$2:$N$2001,$A18,Analysis_Helper!$L$2:$L$2001,F$17)</f>
        <v/>
      </c>
      <c r="G18" s="107">
        <f>SUMIFS(Analysis_Helper!$I$2:$I$2001,Analysis_Helper!$N$2:$N$2001,$A18,Analysis_Helper!$L$2:$L$2001,G$17)</f>
        <v/>
      </c>
      <c r="AF18" s="55" t="inlineStr">
        <is>
          <t>R017</t>
        </is>
      </c>
      <c r="AG18" s="55">
        <f>SUMIF(Analysis_Helper!$E$2:$E$2001,AF18,Analysis_Helper!$I$2:$I$2001)</f>
        <v/>
      </c>
      <c r="AH18" s="55">
        <f>VLOOKUP(AF18,Sales_Reps!$A$2:$B$31,2,FALSE())</f>
        <v/>
      </c>
      <c r="AK18" s="55" t="inlineStr">
        <is>
          <t>PROD-017</t>
        </is>
      </c>
      <c r="AL18" s="55">
        <f>VLOOKUP(AK18,Products!$A$2:$B$61,2,FALSE())</f>
        <v/>
      </c>
      <c r="AM18" s="55">
        <f>SUMIFS(Analysis_Helper!$I$2:$I$2001,Analysis_Helper!$D$2:$D$2001,AK18,Analysis_Helper!$N$2:$N$2001,"West")</f>
        <v/>
      </c>
      <c r="AO18" s="55">
        <f>IF(AND(Analysis_Helper!Q18="BENGALURU",Analysis_Helper!L18="Grocery"),Analysis_Helper!I18,0)</f>
        <v/>
      </c>
    </row>
    <row r="19" ht="15" customHeight="1" s="56">
      <c r="A19" s="55" t="inlineStr">
        <is>
          <t>North</t>
        </is>
      </c>
      <c r="B19" s="107">
        <f>SUMIFS(Analysis_Helper!$I$2:$I$2001,Analysis_Helper!$N$2:$N$2001,$A19,Analysis_Helper!$L$2:$L$2001,B$17)</f>
        <v/>
      </c>
      <c r="C19" s="107">
        <f>SUMIFS(Analysis_Helper!$I$2:$I$2001,Analysis_Helper!$N$2:$N$2001,$A19,Analysis_Helper!$L$2:$L$2001,C$17)</f>
        <v/>
      </c>
      <c r="D19" s="107">
        <f>SUMIFS(Analysis_Helper!$I$2:$I$2001,Analysis_Helper!$N$2:$N$2001,$A19,Analysis_Helper!$L$2:$L$2001,D$17)</f>
        <v/>
      </c>
      <c r="E19" s="107">
        <f>SUMIFS(Analysis_Helper!$I$2:$I$2001,Analysis_Helper!$N$2:$N$2001,$A19,Analysis_Helper!$L$2:$L$2001,E$17)</f>
        <v/>
      </c>
      <c r="F19" s="107">
        <f>SUMIFS(Analysis_Helper!$I$2:$I$2001,Analysis_Helper!$N$2:$N$2001,$A19,Analysis_Helper!$L$2:$L$2001,F$17)</f>
        <v/>
      </c>
      <c r="G19" s="107">
        <f>SUMIFS(Analysis_Helper!$I$2:$I$2001,Analysis_Helper!$N$2:$N$2001,$A19,Analysis_Helper!$L$2:$L$2001,G$17)</f>
        <v/>
      </c>
      <c r="AF19" s="55" t="inlineStr">
        <is>
          <t>R018</t>
        </is>
      </c>
      <c r="AG19" s="55">
        <f>SUMIF(Analysis_Helper!$E$2:$E$2001,AF19,Analysis_Helper!$I$2:$I$2001)</f>
        <v/>
      </c>
      <c r="AH19" s="55">
        <f>VLOOKUP(AF19,Sales_Reps!$A$2:$B$31,2,FALSE())</f>
        <v/>
      </c>
      <c r="AK19" s="55" t="inlineStr">
        <is>
          <t>PROD-018</t>
        </is>
      </c>
      <c r="AL19" s="55">
        <f>VLOOKUP(AK19,Products!$A$2:$B$61,2,FALSE())</f>
        <v/>
      </c>
      <c r="AM19" s="55">
        <f>SUMIFS(Analysis_Helper!$I$2:$I$2001,Analysis_Helper!$D$2:$D$2001,AK19,Analysis_Helper!$N$2:$N$2001,"West")</f>
        <v/>
      </c>
      <c r="AO19" s="55">
        <f>IF(AND(Analysis_Helper!Q19="BENGALURU",Analysis_Helper!L19="Grocery"),Analysis_Helper!I19,0)</f>
        <v/>
      </c>
    </row>
    <row r="20" ht="15" customHeight="1" s="56">
      <c r="A20" s="55" t="inlineStr">
        <is>
          <t>South</t>
        </is>
      </c>
      <c r="B20" s="107">
        <f>SUMIFS(Analysis_Helper!$I$2:$I$2001,Analysis_Helper!$N$2:$N$2001,$A20,Analysis_Helper!$L$2:$L$2001,B$17)</f>
        <v/>
      </c>
      <c r="C20" s="107">
        <f>SUMIFS(Analysis_Helper!$I$2:$I$2001,Analysis_Helper!$N$2:$N$2001,$A20,Analysis_Helper!$L$2:$L$2001,C$17)</f>
        <v/>
      </c>
      <c r="D20" s="107">
        <f>SUMIFS(Analysis_Helper!$I$2:$I$2001,Analysis_Helper!$N$2:$N$2001,$A20,Analysis_Helper!$L$2:$L$2001,D$17)</f>
        <v/>
      </c>
      <c r="E20" s="107">
        <f>SUMIFS(Analysis_Helper!$I$2:$I$2001,Analysis_Helper!$N$2:$N$2001,$A20,Analysis_Helper!$L$2:$L$2001,E$17)</f>
        <v/>
      </c>
      <c r="F20" s="107">
        <f>SUMIFS(Analysis_Helper!$I$2:$I$2001,Analysis_Helper!$N$2:$N$2001,$A20,Analysis_Helper!$L$2:$L$2001,F$17)</f>
        <v/>
      </c>
      <c r="G20" s="107">
        <f>SUMIFS(Analysis_Helper!$I$2:$I$2001,Analysis_Helper!$N$2:$N$2001,$A20,Analysis_Helper!$L$2:$L$2001,G$17)</f>
        <v/>
      </c>
      <c r="AF20" s="55" t="inlineStr">
        <is>
          <t>R019</t>
        </is>
      </c>
      <c r="AG20" s="55">
        <f>SUMIF(Analysis_Helper!$E$2:$E$2001,AF20,Analysis_Helper!$I$2:$I$2001)</f>
        <v/>
      </c>
      <c r="AH20" s="55">
        <f>VLOOKUP(AF20,Sales_Reps!$A$2:$B$31,2,FALSE())</f>
        <v/>
      </c>
      <c r="AK20" s="55" t="inlineStr">
        <is>
          <t>PROD-019</t>
        </is>
      </c>
      <c r="AL20" s="55">
        <f>VLOOKUP(AK20,Products!$A$2:$B$61,2,FALSE())</f>
        <v/>
      </c>
      <c r="AM20" s="55">
        <f>SUMIFS(Analysis_Helper!$I$2:$I$2001,Analysis_Helper!$D$2:$D$2001,AK20,Analysis_Helper!$N$2:$N$2001,"West")</f>
        <v/>
      </c>
      <c r="AO20" s="55">
        <f>IF(AND(Analysis_Helper!Q20="BENGALURU",Analysis_Helper!L20="Grocery"),Analysis_Helper!I20,0)</f>
        <v/>
      </c>
    </row>
    <row r="21" ht="15" customHeight="1" s="56">
      <c r="A21" s="55" t="inlineStr">
        <is>
          <t>West</t>
        </is>
      </c>
      <c r="B21" s="107">
        <f>SUMIFS(Analysis_Helper!$I$2:$I$2001,Analysis_Helper!$N$2:$N$2001,$A21,Analysis_Helper!$L$2:$L$2001,B$17)</f>
        <v/>
      </c>
      <c r="C21" s="107">
        <f>SUMIFS(Analysis_Helper!$I$2:$I$2001,Analysis_Helper!$N$2:$N$2001,$A21,Analysis_Helper!$L$2:$L$2001,C$17)</f>
        <v/>
      </c>
      <c r="D21" s="107">
        <f>SUMIFS(Analysis_Helper!$I$2:$I$2001,Analysis_Helper!$N$2:$N$2001,$A21,Analysis_Helper!$L$2:$L$2001,D$17)</f>
        <v/>
      </c>
      <c r="E21" s="107">
        <f>SUMIFS(Analysis_Helper!$I$2:$I$2001,Analysis_Helper!$N$2:$N$2001,$A21,Analysis_Helper!$L$2:$L$2001,E$17)</f>
        <v/>
      </c>
      <c r="F21" s="107">
        <f>SUMIFS(Analysis_Helper!$I$2:$I$2001,Analysis_Helper!$N$2:$N$2001,$A21,Analysis_Helper!$L$2:$L$2001,F$17)</f>
        <v/>
      </c>
      <c r="G21" s="107">
        <f>SUMIFS(Analysis_Helper!$I$2:$I$2001,Analysis_Helper!$N$2:$N$2001,$A21,Analysis_Helper!$L$2:$L$2001,G$17)</f>
        <v/>
      </c>
      <c r="AF21" s="55" t="inlineStr">
        <is>
          <t>R020</t>
        </is>
      </c>
      <c r="AG21" s="55">
        <f>SUMIF(Analysis_Helper!$E$2:$E$2001,AF21,Analysis_Helper!$I$2:$I$2001)</f>
        <v/>
      </c>
      <c r="AH21" s="55">
        <f>VLOOKUP(AF21,Sales_Reps!$A$2:$B$31,2,FALSE())</f>
        <v/>
      </c>
      <c r="AK21" s="55" t="inlineStr">
        <is>
          <t>PROD-020</t>
        </is>
      </c>
      <c r="AL21" s="55">
        <f>VLOOKUP(AK21,Products!$A$2:$B$61,2,FALSE())</f>
        <v/>
      </c>
      <c r="AM21" s="55">
        <f>SUMIFS(Analysis_Helper!$I$2:$I$2001,Analysis_Helper!$D$2:$D$2001,AK21,Analysis_Helper!$N$2:$N$2001,"West")</f>
        <v/>
      </c>
      <c r="AO21" s="55">
        <f>IF(AND(Analysis_Helper!Q21="BENGALURU",Analysis_Helper!L21="Grocery"),Analysis_Helper!I21,0)</f>
        <v/>
      </c>
    </row>
    <row r="22" ht="15" customHeight="1" s="56">
      <c r="AF22" s="55" t="inlineStr">
        <is>
          <t>R021</t>
        </is>
      </c>
      <c r="AG22" s="55">
        <f>SUMIF(Analysis_Helper!$E$2:$E$2001,AF22,Analysis_Helper!$I$2:$I$2001)</f>
        <v/>
      </c>
      <c r="AH22" s="55">
        <f>VLOOKUP(AF22,Sales_Reps!$A$2:$B$31,2,FALSE())</f>
        <v/>
      </c>
      <c r="AK22" s="55" t="inlineStr">
        <is>
          <t>PROD-021</t>
        </is>
      </c>
      <c r="AL22" s="55">
        <f>VLOOKUP(AK22,Products!$A$2:$B$61,2,FALSE())</f>
        <v/>
      </c>
      <c r="AM22" s="55">
        <f>SUMIFS(Analysis_Helper!$I$2:$I$2001,Analysis_Helper!$D$2:$D$2001,AK22,Analysis_Helper!$N$2:$N$2001,"West")</f>
        <v/>
      </c>
      <c r="AO22" s="55">
        <f>IF(AND(Analysis_Helper!Q22="BENGALURU",Analysis_Helper!L22="Grocery"),Analysis_Helper!I22,0)</f>
        <v/>
      </c>
    </row>
    <row r="23" ht="15" customHeight="1" s="56">
      <c r="AF23" s="55" t="inlineStr">
        <is>
          <t>R022</t>
        </is>
      </c>
      <c r="AG23" s="55">
        <f>SUMIF(Analysis_Helper!$E$2:$E$2001,AF23,Analysis_Helper!$I$2:$I$2001)</f>
        <v/>
      </c>
      <c r="AH23" s="55">
        <f>VLOOKUP(AF23,Sales_Reps!$A$2:$B$31,2,FALSE())</f>
        <v/>
      </c>
      <c r="AK23" s="55" t="inlineStr">
        <is>
          <t>PROD-022</t>
        </is>
      </c>
      <c r="AL23" s="55">
        <f>VLOOKUP(AK23,Products!$A$2:$B$61,2,FALSE())</f>
        <v/>
      </c>
      <c r="AM23" s="55">
        <f>SUMIFS(Analysis_Helper!$I$2:$I$2001,Analysis_Helper!$D$2:$D$2001,AK23,Analysis_Helper!$N$2:$N$2001,"West")</f>
        <v/>
      </c>
      <c r="AO23" s="55">
        <f>IF(AND(Analysis_Helper!Q23="BENGALURU",Analysis_Helper!L23="Grocery"),Analysis_Helper!I23,0)</f>
        <v/>
      </c>
    </row>
    <row r="24" ht="15" customHeight="1" s="56">
      <c r="AF24" s="55" t="inlineStr">
        <is>
          <t>R023</t>
        </is>
      </c>
      <c r="AG24" s="55">
        <f>SUMIF(Analysis_Helper!$E$2:$E$2001,AF24,Analysis_Helper!$I$2:$I$2001)</f>
        <v/>
      </c>
      <c r="AH24" s="55">
        <f>VLOOKUP(AF24,Sales_Reps!$A$2:$B$31,2,FALSE())</f>
        <v/>
      </c>
      <c r="AK24" s="55" t="inlineStr">
        <is>
          <t>PROD-023</t>
        </is>
      </c>
      <c r="AL24" s="55">
        <f>VLOOKUP(AK24,Products!$A$2:$B$61,2,FALSE())</f>
        <v/>
      </c>
      <c r="AM24" s="55">
        <f>SUMIFS(Analysis_Helper!$I$2:$I$2001,Analysis_Helper!$D$2:$D$2001,AK24,Analysis_Helper!$N$2:$N$2001,"West")</f>
        <v/>
      </c>
      <c r="AO24" s="55">
        <f>IF(AND(Analysis_Helper!Q24="BENGALURU",Analysis_Helper!L24="Grocery"),Analysis_Helper!I24,0)</f>
        <v/>
      </c>
    </row>
    <row r="25" ht="15" customHeight="1" s="56">
      <c r="A25" s="55" t="inlineStr">
        <is>
          <t>Quarter Revenue</t>
        </is>
      </c>
      <c r="AF25" s="55" t="inlineStr">
        <is>
          <t>R024</t>
        </is>
      </c>
      <c r="AG25" s="55">
        <f>SUMIF(Analysis_Helper!$E$2:$E$2001,AF25,Analysis_Helper!$I$2:$I$2001)</f>
        <v/>
      </c>
      <c r="AH25" s="55">
        <f>VLOOKUP(AF25,Sales_Reps!$A$2:$B$31,2,FALSE())</f>
        <v/>
      </c>
      <c r="AK25" s="55" t="inlineStr">
        <is>
          <t>PROD-024</t>
        </is>
      </c>
      <c r="AL25" s="55">
        <f>VLOOKUP(AK25,Products!$A$2:$B$61,2,FALSE())</f>
        <v/>
      </c>
      <c r="AM25" s="55">
        <f>SUMIFS(Analysis_Helper!$I$2:$I$2001,Analysis_Helper!$D$2:$D$2001,AK25,Analysis_Helper!$N$2:$N$2001,"West")</f>
        <v/>
      </c>
      <c r="AO25" s="55">
        <f>IF(AND(Analysis_Helper!Q25="BENGALURU",Analysis_Helper!L25="Grocery"),Analysis_Helper!I25,0)</f>
        <v/>
      </c>
    </row>
    <row r="26" ht="15" customHeight="1" s="56">
      <c r="A26" s="55" t="inlineStr">
        <is>
          <t>Quarter</t>
        </is>
      </c>
      <c r="B26" s="55" t="inlineStr">
        <is>
          <t>Revenue</t>
        </is>
      </c>
      <c r="AF26" s="55" t="inlineStr">
        <is>
          <t>R025</t>
        </is>
      </c>
      <c r="AG26" s="55">
        <f>SUMIF(Analysis_Helper!$E$2:$E$2001,AF26,Analysis_Helper!$I$2:$I$2001)</f>
        <v/>
      </c>
      <c r="AH26" s="55">
        <f>VLOOKUP(AF26,Sales_Reps!$A$2:$B$31,2,FALSE())</f>
        <v/>
      </c>
      <c r="AK26" s="55" t="inlineStr">
        <is>
          <t>PROD-025</t>
        </is>
      </c>
      <c r="AL26" s="55">
        <f>VLOOKUP(AK26,Products!$A$2:$B$61,2,FALSE())</f>
        <v/>
      </c>
      <c r="AM26" s="55">
        <f>SUMIFS(Analysis_Helper!$I$2:$I$2001,Analysis_Helper!$D$2:$D$2001,AK26,Analysis_Helper!$N$2:$N$2001,"West")</f>
        <v/>
      </c>
      <c r="AO26" s="55">
        <f>IF(AND(Analysis_Helper!Q26="BENGALURU",Analysis_Helper!L26="Grocery"),Analysis_Helper!I26,0)</f>
        <v/>
      </c>
    </row>
    <row r="27" ht="15" customHeight="1" s="56">
      <c r="A27" s="55" t="inlineStr">
        <is>
          <t>Q1 2024</t>
        </is>
      </c>
      <c r="B27" s="107">
        <f>SUMIFS(Analysis_Helper!$I$2:$I$2001,Analysis_Helper!$B$2:$B$2001,"&gt;="&amp;DATE(2024,1,1),Analysis_Helper!$B$2:$B$2001,"&lt;"&amp;DATE(2024,4,1))</f>
        <v/>
      </c>
      <c r="AF27" s="55" t="inlineStr">
        <is>
          <t>R026</t>
        </is>
      </c>
      <c r="AG27" s="55">
        <f>SUMIF(Analysis_Helper!$E$2:$E$2001,AF27,Analysis_Helper!$I$2:$I$2001)</f>
        <v/>
      </c>
      <c r="AH27" s="55">
        <f>VLOOKUP(AF27,Sales_Reps!$A$2:$B$31,2,FALSE())</f>
        <v/>
      </c>
      <c r="AK27" s="55" t="inlineStr">
        <is>
          <t>PROD-026</t>
        </is>
      </c>
      <c r="AL27" s="55">
        <f>VLOOKUP(AK27,Products!$A$2:$B$61,2,FALSE())</f>
        <v/>
      </c>
      <c r="AM27" s="55">
        <f>SUMIFS(Analysis_Helper!$I$2:$I$2001,Analysis_Helper!$D$2:$D$2001,AK27,Analysis_Helper!$N$2:$N$2001,"West")</f>
        <v/>
      </c>
      <c r="AO27" s="55">
        <f>IF(AND(Analysis_Helper!Q27="BENGALURU",Analysis_Helper!L27="Grocery"),Analysis_Helper!I27,0)</f>
        <v/>
      </c>
    </row>
    <row r="28" ht="15" customHeight="1" s="56">
      <c r="A28" s="55" t="inlineStr">
        <is>
          <t>Q2 2024</t>
        </is>
      </c>
      <c r="B28" s="107">
        <f>SUMIFS(Analysis_Helper!$I$2:$I$2001,Analysis_Helper!$B$2:$B$2001,"&gt;="&amp;DATE(2024,4,1),Analysis_Helper!$B$2:$B$2001,"&lt;"&amp;DATE(2024,7,1))</f>
        <v/>
      </c>
      <c r="AF28" s="55" t="inlineStr">
        <is>
          <t>R027</t>
        </is>
      </c>
      <c r="AG28" s="55">
        <f>SUMIF(Analysis_Helper!$E$2:$E$2001,AF28,Analysis_Helper!$I$2:$I$2001)</f>
        <v/>
      </c>
      <c r="AH28" s="55">
        <f>VLOOKUP(AF28,Sales_Reps!$A$2:$B$31,2,FALSE())</f>
        <v/>
      </c>
      <c r="AK28" s="55" t="inlineStr">
        <is>
          <t>PROD-027</t>
        </is>
      </c>
      <c r="AL28" s="55">
        <f>VLOOKUP(AK28,Products!$A$2:$B$61,2,FALSE())</f>
        <v/>
      </c>
      <c r="AM28" s="55">
        <f>SUMIFS(Analysis_Helper!$I$2:$I$2001,Analysis_Helper!$D$2:$D$2001,AK28,Analysis_Helper!$N$2:$N$2001,"West")</f>
        <v/>
      </c>
      <c r="AO28" s="55">
        <f>IF(AND(Analysis_Helper!Q28="BENGALURU",Analysis_Helper!L28="Grocery"),Analysis_Helper!I28,0)</f>
        <v/>
      </c>
    </row>
    <row r="29" ht="15" customHeight="1" s="56">
      <c r="A29" s="55" t="inlineStr">
        <is>
          <t>Q3 2024</t>
        </is>
      </c>
      <c r="B29" s="107">
        <f>SUMIFS(Analysis_Helper!$I$2:$I$2001,Analysis_Helper!$B$2:$B$2001,"&gt;="&amp;DATE(2024,7,1),Analysis_Helper!$B$2:$B$2001,"&lt;"&amp;DATE(2024,10,1))</f>
        <v/>
      </c>
      <c r="AF29" s="55" t="inlineStr">
        <is>
          <t>R028</t>
        </is>
      </c>
      <c r="AG29" s="55">
        <f>SUMIF(Analysis_Helper!$E$2:$E$2001,AF29,Analysis_Helper!$I$2:$I$2001)</f>
        <v/>
      </c>
      <c r="AH29" s="55">
        <f>VLOOKUP(AF29,Sales_Reps!$A$2:$B$31,2,FALSE())</f>
        <v/>
      </c>
      <c r="AK29" s="55" t="inlineStr">
        <is>
          <t>PROD-028</t>
        </is>
      </c>
      <c r="AL29" s="55">
        <f>VLOOKUP(AK29,Products!$A$2:$B$61,2,FALSE())</f>
        <v/>
      </c>
      <c r="AM29" s="55">
        <f>SUMIFS(Analysis_Helper!$I$2:$I$2001,Analysis_Helper!$D$2:$D$2001,AK29,Analysis_Helper!$N$2:$N$2001,"West")</f>
        <v/>
      </c>
      <c r="AO29" s="55">
        <f>IF(AND(Analysis_Helper!Q29="BENGALURU",Analysis_Helper!L29="Grocery"),Analysis_Helper!I29,0)</f>
        <v/>
      </c>
    </row>
    <row r="30" ht="15" customHeight="1" s="56">
      <c r="A30" s="55" t="inlineStr">
        <is>
          <t>Q4 2024</t>
        </is>
      </c>
      <c r="B30" s="107">
        <f>SUMIFS(Analysis_Helper!$I$2:$I$2001,Analysis_Helper!$B$2:$B$2001,"&gt;="&amp;DATE(2024,10,1),Analysis_Helper!$B$2:$B$2001,"&lt;"&amp;DATE(2025,1,1))</f>
        <v/>
      </c>
      <c r="AF30" s="55" t="inlineStr">
        <is>
          <t>R029</t>
        </is>
      </c>
      <c r="AG30" s="55">
        <f>SUMIF(Analysis_Helper!$E$2:$E$2001,AF30,Analysis_Helper!$I$2:$I$2001)</f>
        <v/>
      </c>
      <c r="AH30" s="55">
        <f>VLOOKUP(AF30,Sales_Reps!$A$2:$B$31,2,FALSE())</f>
        <v/>
      </c>
      <c r="AK30" s="55" t="inlineStr">
        <is>
          <t>PROD-029</t>
        </is>
      </c>
      <c r="AL30" s="55">
        <f>VLOOKUP(AK30,Products!$A$2:$B$61,2,FALSE())</f>
        <v/>
      </c>
      <c r="AM30" s="55">
        <f>SUMIFS(Analysis_Helper!$I$2:$I$2001,Analysis_Helper!$D$2:$D$2001,AK30,Analysis_Helper!$N$2:$N$2001,"West")</f>
        <v/>
      </c>
      <c r="AO30" s="55">
        <f>IF(AND(Analysis_Helper!Q30="BENGALURU",Analysis_Helper!L30="Grocery"),Analysis_Helper!I30,0)</f>
        <v/>
      </c>
    </row>
    <row r="31" ht="15" customHeight="1" s="56">
      <c r="AF31" s="55" t="inlineStr">
        <is>
          <t>R030</t>
        </is>
      </c>
      <c r="AG31" s="55">
        <f>SUMIF(Analysis_Helper!$E$2:$E$2001,AF31,Analysis_Helper!$I$2:$I$2001)</f>
        <v/>
      </c>
      <c r="AH31" s="55">
        <f>VLOOKUP(AF31,Sales_Reps!$A$2:$B$31,2,FALSE())</f>
        <v/>
      </c>
      <c r="AK31" s="55" t="inlineStr">
        <is>
          <t>PROD-030</t>
        </is>
      </c>
      <c r="AL31" s="55">
        <f>VLOOKUP(AK31,Products!$A$2:$B$61,2,FALSE())</f>
        <v/>
      </c>
      <c r="AM31" s="55">
        <f>SUMIFS(Analysis_Helper!$I$2:$I$2001,Analysis_Helper!$D$2:$D$2001,AK31,Analysis_Helper!$N$2:$N$2001,"West")</f>
        <v/>
      </c>
      <c r="AO31" s="55">
        <f>IF(AND(Analysis_Helper!Q31="BENGALURU",Analysis_Helper!L31="Grocery"),Analysis_Helper!I31,0)</f>
        <v/>
      </c>
    </row>
    <row r="32" ht="15" customHeight="1" s="56">
      <c r="A32" s="55" t="inlineStr">
        <is>
          <t>North Category % of Row Total</t>
        </is>
      </c>
      <c r="AK32" s="55" t="inlineStr">
        <is>
          <t>PROD-031</t>
        </is>
      </c>
      <c r="AL32" s="55">
        <f>VLOOKUP(AK32,Products!$A$2:$B$61,2,FALSE())</f>
        <v/>
      </c>
      <c r="AM32" s="55">
        <f>SUMIFS(Analysis_Helper!$I$2:$I$2001,Analysis_Helper!$D$2:$D$2001,AK32,Analysis_Helper!$N$2:$N$2001,"West")</f>
        <v/>
      </c>
      <c r="AO32" s="55">
        <f>IF(AND(Analysis_Helper!Q32="BENGALURU",Analysis_Helper!L32="Grocery"),Analysis_Helper!I32,0)</f>
        <v/>
      </c>
    </row>
    <row r="33" ht="15" customHeight="1" s="56">
      <c r="A33" s="55" t="inlineStr">
        <is>
          <t>Category</t>
        </is>
      </c>
      <c r="B33" s="55" t="inlineStr">
        <is>
          <t>% of North Revenue</t>
        </is>
      </c>
      <c r="AK33" s="55" t="inlineStr">
        <is>
          <t>PROD-032</t>
        </is>
      </c>
      <c r="AL33" s="55">
        <f>VLOOKUP(AK33,Products!$A$2:$B$61,2,FALSE())</f>
        <v/>
      </c>
      <c r="AM33" s="55">
        <f>SUMIFS(Analysis_Helper!$I$2:$I$2001,Analysis_Helper!$D$2:$D$2001,AK33,Analysis_Helper!$N$2:$N$2001,"West")</f>
        <v/>
      </c>
      <c r="AO33" s="55">
        <f>IF(AND(Analysis_Helper!Q33="BENGALURU",Analysis_Helper!L33="Grocery"),Analysis_Helper!I33,0)</f>
        <v/>
      </c>
    </row>
    <row r="34" ht="15" customHeight="1" s="56">
      <c r="A34" s="55" t="inlineStr">
        <is>
          <t>Apparel</t>
        </is>
      </c>
      <c r="B34" s="110">
        <f>SUMIFS(Analysis_Helper!$I$2:$I$2001,Analysis_Helper!$N$2:$N$2001,"North",Analysis_Helper!$L$2:$L$2001,A34)/SUMIFS(Analysis_Helper!$I$2:$I$2001,Analysis_Helper!$N$2:$N$2001,"North")</f>
        <v/>
      </c>
      <c r="AK34" s="55" t="inlineStr">
        <is>
          <t>PROD-033</t>
        </is>
      </c>
      <c r="AL34" s="55">
        <f>VLOOKUP(AK34,Products!$A$2:$B$61,2,FALSE())</f>
        <v/>
      </c>
      <c r="AM34" s="55">
        <f>SUMIFS(Analysis_Helper!$I$2:$I$2001,Analysis_Helper!$D$2:$D$2001,AK34,Analysis_Helper!$N$2:$N$2001,"West")</f>
        <v/>
      </c>
      <c r="AO34" s="55">
        <f>IF(AND(Analysis_Helper!Q34="BENGALURU",Analysis_Helper!L34="Grocery"),Analysis_Helper!I34,0)</f>
        <v/>
      </c>
    </row>
    <row r="35" ht="15" customHeight="1" s="56">
      <c r="A35" s="55" t="inlineStr">
        <is>
          <t>Beauty</t>
        </is>
      </c>
      <c r="B35" s="110">
        <f>SUMIFS(Analysis_Helper!$I$2:$I$2001,Analysis_Helper!$N$2:$N$2001,"North",Analysis_Helper!$L$2:$L$2001,A35)/SUMIFS(Analysis_Helper!$I$2:$I$2001,Analysis_Helper!$N$2:$N$2001,"North")</f>
        <v/>
      </c>
      <c r="AK35" s="55" t="inlineStr">
        <is>
          <t>PROD-034</t>
        </is>
      </c>
      <c r="AL35" s="55">
        <f>VLOOKUP(AK35,Products!$A$2:$B$61,2,FALSE())</f>
        <v/>
      </c>
      <c r="AM35" s="55">
        <f>SUMIFS(Analysis_Helper!$I$2:$I$2001,Analysis_Helper!$D$2:$D$2001,AK35,Analysis_Helper!$N$2:$N$2001,"West")</f>
        <v/>
      </c>
      <c r="AO35" s="55">
        <f>IF(AND(Analysis_Helper!Q35="BENGALURU",Analysis_Helper!L35="Grocery"),Analysis_Helper!I35,0)</f>
        <v/>
      </c>
    </row>
    <row r="36" ht="15" customHeight="1" s="56">
      <c r="A36" s="55" t="inlineStr">
        <is>
          <t>Electronics</t>
        </is>
      </c>
      <c r="B36" s="110">
        <f>SUMIFS(Analysis_Helper!$I$2:$I$2001,Analysis_Helper!$N$2:$N$2001,"North",Analysis_Helper!$L$2:$L$2001,A36)/SUMIFS(Analysis_Helper!$I$2:$I$2001,Analysis_Helper!$N$2:$N$2001,"North")</f>
        <v/>
      </c>
      <c r="AK36" s="55" t="inlineStr">
        <is>
          <t>PROD-035</t>
        </is>
      </c>
      <c r="AL36" s="55">
        <f>VLOOKUP(AK36,Products!$A$2:$B$61,2,FALSE())</f>
        <v/>
      </c>
      <c r="AM36" s="55">
        <f>SUMIFS(Analysis_Helper!$I$2:$I$2001,Analysis_Helper!$D$2:$D$2001,AK36,Analysis_Helper!$N$2:$N$2001,"West")</f>
        <v/>
      </c>
      <c r="AO36" s="55">
        <f>IF(AND(Analysis_Helper!Q36="BENGALURU",Analysis_Helper!L36="Grocery"),Analysis_Helper!I36,0)</f>
        <v/>
      </c>
    </row>
    <row r="37" ht="15" customHeight="1" s="56">
      <c r="A37" s="55" t="inlineStr">
        <is>
          <t>Grocery</t>
        </is>
      </c>
      <c r="B37" s="110">
        <f>SUMIFS(Analysis_Helper!$I$2:$I$2001,Analysis_Helper!$N$2:$N$2001,"North",Analysis_Helper!$L$2:$L$2001,A37)/SUMIFS(Analysis_Helper!$I$2:$I$2001,Analysis_Helper!$N$2:$N$2001,"North")</f>
        <v/>
      </c>
      <c r="AK37" s="55" t="inlineStr">
        <is>
          <t>PROD-036</t>
        </is>
      </c>
      <c r="AL37" s="55">
        <f>VLOOKUP(AK37,Products!$A$2:$B$61,2,FALSE())</f>
        <v/>
      </c>
      <c r="AM37" s="55">
        <f>SUMIFS(Analysis_Helper!$I$2:$I$2001,Analysis_Helper!$D$2:$D$2001,AK37,Analysis_Helper!$N$2:$N$2001,"West")</f>
        <v/>
      </c>
      <c r="AO37" s="55">
        <f>IF(AND(Analysis_Helper!Q37="BENGALURU",Analysis_Helper!L37="Grocery"),Analysis_Helper!I37,0)</f>
        <v/>
      </c>
    </row>
    <row r="38" ht="15" customHeight="1" s="56">
      <c r="A38" s="55" t="inlineStr">
        <is>
          <t>Home</t>
        </is>
      </c>
      <c r="B38" s="110">
        <f>SUMIFS(Analysis_Helper!$I$2:$I$2001,Analysis_Helper!$N$2:$N$2001,"North",Analysis_Helper!$L$2:$L$2001,A38)/SUMIFS(Analysis_Helper!$I$2:$I$2001,Analysis_Helper!$N$2:$N$2001,"North")</f>
        <v/>
      </c>
      <c r="AK38" s="55" t="inlineStr">
        <is>
          <t>PROD-037</t>
        </is>
      </c>
      <c r="AL38" s="55">
        <f>VLOOKUP(AK38,Products!$A$2:$B$61,2,FALSE())</f>
        <v/>
      </c>
      <c r="AM38" s="55">
        <f>SUMIFS(Analysis_Helper!$I$2:$I$2001,Analysis_Helper!$D$2:$D$2001,AK38,Analysis_Helper!$N$2:$N$2001,"West")</f>
        <v/>
      </c>
      <c r="AO38" s="55">
        <f>IF(AND(Analysis_Helper!Q38="BENGALURU",Analysis_Helper!L38="Grocery"),Analysis_Helper!I38,0)</f>
        <v/>
      </c>
    </row>
    <row r="39" ht="15" customHeight="1" s="56">
      <c r="A39" s="55" t="inlineStr">
        <is>
          <t>Sports</t>
        </is>
      </c>
      <c r="B39" s="110">
        <f>SUMIFS(Analysis_Helper!$I$2:$I$2001,Analysis_Helper!$N$2:$N$2001,"North",Analysis_Helper!$L$2:$L$2001,A39)/SUMIFS(Analysis_Helper!$I$2:$I$2001,Analysis_Helper!$N$2:$N$2001,"North")</f>
        <v/>
      </c>
      <c r="AK39" s="55" t="inlineStr">
        <is>
          <t>PROD-038</t>
        </is>
      </c>
      <c r="AL39" s="55">
        <f>VLOOKUP(AK39,Products!$A$2:$B$61,2,FALSE())</f>
        <v/>
      </c>
      <c r="AM39" s="55">
        <f>SUMIFS(Analysis_Helper!$I$2:$I$2001,Analysis_Helper!$D$2:$D$2001,AK39,Analysis_Helper!$N$2:$N$2001,"West")</f>
        <v/>
      </c>
      <c r="AO39" s="55">
        <f>IF(AND(Analysis_Helper!Q39="BENGALURU",Analysis_Helper!L39="Grocery"),Analysis_Helper!I39,0)</f>
        <v/>
      </c>
    </row>
    <row r="40" ht="15" customHeight="1" s="56">
      <c r="AK40" s="55" t="inlineStr">
        <is>
          <t>PROD-039</t>
        </is>
      </c>
      <c r="AL40" s="55">
        <f>VLOOKUP(AK40,Products!$A$2:$B$61,2,FALSE())</f>
        <v/>
      </c>
      <c r="AM40" s="55">
        <f>SUMIFS(Analysis_Helper!$I$2:$I$2001,Analysis_Helper!$D$2:$D$2001,AK40,Analysis_Helper!$N$2:$N$2001,"West")</f>
        <v/>
      </c>
      <c r="AO40" s="55">
        <f>IF(AND(Analysis_Helper!Q40="BENGALURU",Analysis_Helper!L40="Grocery"),Analysis_Helper!I40,0)</f>
        <v/>
      </c>
    </row>
    <row r="41" ht="15" customHeight="1" s="56">
      <c r="AK41" s="55" t="inlineStr">
        <is>
          <t>PROD-040</t>
        </is>
      </c>
      <c r="AL41" s="55">
        <f>VLOOKUP(AK41,Products!$A$2:$B$61,2,FALSE())</f>
        <v/>
      </c>
      <c r="AM41" s="55">
        <f>SUMIFS(Analysis_Helper!$I$2:$I$2001,Analysis_Helper!$D$2:$D$2001,AK41,Analysis_Helper!$N$2:$N$2001,"West")</f>
        <v/>
      </c>
      <c r="AO41" s="55">
        <f>IF(AND(Analysis_Helper!Q41="BENGALURU",Analysis_Helper!L41="Grocery"),Analysis_Helper!I41,0)</f>
        <v/>
      </c>
    </row>
    <row r="42" ht="15" customHeight="1" s="56">
      <c r="AK42" s="55" t="inlineStr">
        <is>
          <t>PROD-041</t>
        </is>
      </c>
      <c r="AL42" s="55">
        <f>VLOOKUP(AK42,Products!$A$2:$B$61,2,FALSE())</f>
        <v/>
      </c>
      <c r="AM42" s="55">
        <f>SUMIFS(Analysis_Helper!$I$2:$I$2001,Analysis_Helper!$D$2:$D$2001,AK42,Analysis_Helper!$N$2:$N$2001,"West")</f>
        <v/>
      </c>
      <c r="AO42" s="55">
        <f>IF(AND(Analysis_Helper!Q42="BENGALURU",Analysis_Helper!L42="Grocery"),Analysis_Helper!I42,0)</f>
        <v/>
      </c>
    </row>
    <row r="43" ht="15" customHeight="1" s="56">
      <c r="AK43" s="55" t="inlineStr">
        <is>
          <t>PROD-042</t>
        </is>
      </c>
      <c r="AL43" s="55">
        <f>VLOOKUP(AK43,Products!$A$2:$B$61,2,FALSE())</f>
        <v/>
      </c>
      <c r="AM43" s="55">
        <f>SUMIFS(Analysis_Helper!$I$2:$I$2001,Analysis_Helper!$D$2:$D$2001,AK43,Analysis_Helper!$N$2:$N$2001,"West")</f>
        <v/>
      </c>
      <c r="AO43" s="55">
        <f>IF(AND(Analysis_Helper!Q43="BENGALURU",Analysis_Helper!L43="Grocery"),Analysis_Helper!I43,0)</f>
        <v/>
      </c>
    </row>
    <row r="44" ht="15" customHeight="1" s="56">
      <c r="AK44" s="55" t="inlineStr">
        <is>
          <t>PROD-043</t>
        </is>
      </c>
      <c r="AL44" s="55">
        <f>VLOOKUP(AK44,Products!$A$2:$B$61,2,FALSE())</f>
        <v/>
      </c>
      <c r="AM44" s="55">
        <f>SUMIFS(Analysis_Helper!$I$2:$I$2001,Analysis_Helper!$D$2:$D$2001,AK44,Analysis_Helper!$N$2:$N$2001,"West")</f>
        <v/>
      </c>
      <c r="AO44" s="55">
        <f>IF(AND(Analysis_Helper!Q44="BENGALURU",Analysis_Helper!L44="Grocery"),Analysis_Helper!I44,0)</f>
        <v/>
      </c>
    </row>
    <row r="45" ht="15" customHeight="1" s="56">
      <c r="AK45" s="55" t="inlineStr">
        <is>
          <t>PROD-044</t>
        </is>
      </c>
      <c r="AL45" s="55">
        <f>VLOOKUP(AK45,Products!$A$2:$B$61,2,FALSE())</f>
        <v/>
      </c>
      <c r="AM45" s="55">
        <f>SUMIFS(Analysis_Helper!$I$2:$I$2001,Analysis_Helper!$D$2:$D$2001,AK45,Analysis_Helper!$N$2:$N$2001,"West")</f>
        <v/>
      </c>
      <c r="AO45" s="55">
        <f>IF(AND(Analysis_Helper!Q45="BENGALURU",Analysis_Helper!L45="Grocery"),Analysis_Helper!I45,0)</f>
        <v/>
      </c>
    </row>
    <row r="46" ht="15" customHeight="1" s="56">
      <c r="AK46" s="55" t="inlineStr">
        <is>
          <t>PROD-045</t>
        </is>
      </c>
      <c r="AL46" s="55">
        <f>VLOOKUP(AK46,Products!$A$2:$B$61,2,FALSE())</f>
        <v/>
      </c>
      <c r="AM46" s="55">
        <f>SUMIFS(Analysis_Helper!$I$2:$I$2001,Analysis_Helper!$D$2:$D$2001,AK46,Analysis_Helper!$N$2:$N$2001,"West")</f>
        <v/>
      </c>
      <c r="AO46" s="55">
        <f>IF(AND(Analysis_Helper!Q46="BENGALURU",Analysis_Helper!L46="Grocery"),Analysis_Helper!I46,0)</f>
        <v/>
      </c>
    </row>
    <row r="47" ht="15" customHeight="1" s="56">
      <c r="AK47" s="55" t="inlineStr">
        <is>
          <t>PROD-046</t>
        </is>
      </c>
      <c r="AL47" s="55">
        <f>VLOOKUP(AK47,Products!$A$2:$B$61,2,FALSE())</f>
        <v/>
      </c>
      <c r="AM47" s="55">
        <f>SUMIFS(Analysis_Helper!$I$2:$I$2001,Analysis_Helper!$D$2:$D$2001,AK47,Analysis_Helper!$N$2:$N$2001,"West")</f>
        <v/>
      </c>
      <c r="AO47" s="55">
        <f>IF(AND(Analysis_Helper!Q47="BENGALURU",Analysis_Helper!L47="Grocery"),Analysis_Helper!I47,0)</f>
        <v/>
      </c>
    </row>
    <row r="48" ht="15" customHeight="1" s="56">
      <c r="AK48" s="55" t="inlineStr">
        <is>
          <t>PROD-047</t>
        </is>
      </c>
      <c r="AL48" s="55">
        <f>VLOOKUP(AK48,Products!$A$2:$B$61,2,FALSE())</f>
        <v/>
      </c>
      <c r="AM48" s="55">
        <f>SUMIFS(Analysis_Helper!$I$2:$I$2001,Analysis_Helper!$D$2:$D$2001,AK48,Analysis_Helper!$N$2:$N$2001,"West")</f>
        <v/>
      </c>
      <c r="AO48" s="55">
        <f>IF(AND(Analysis_Helper!Q48="BENGALURU",Analysis_Helper!L48="Grocery"),Analysis_Helper!I48,0)</f>
        <v/>
      </c>
    </row>
    <row r="49" ht="15" customHeight="1" s="56">
      <c r="AK49" s="55" t="inlineStr">
        <is>
          <t>PROD-048</t>
        </is>
      </c>
      <c r="AL49" s="55">
        <f>VLOOKUP(AK49,Products!$A$2:$B$61,2,FALSE())</f>
        <v/>
      </c>
      <c r="AM49" s="55">
        <f>SUMIFS(Analysis_Helper!$I$2:$I$2001,Analysis_Helper!$D$2:$D$2001,AK49,Analysis_Helper!$N$2:$N$2001,"West")</f>
        <v/>
      </c>
      <c r="AO49" s="55">
        <f>IF(AND(Analysis_Helper!Q49="BENGALURU",Analysis_Helper!L49="Grocery"),Analysis_Helper!I49,0)</f>
        <v/>
      </c>
    </row>
    <row r="50" ht="15" customHeight="1" s="56">
      <c r="AK50" s="55" t="inlineStr">
        <is>
          <t>PROD-049</t>
        </is>
      </c>
      <c r="AL50" s="55">
        <f>VLOOKUP(AK50,Products!$A$2:$B$61,2,FALSE())</f>
        <v/>
      </c>
      <c r="AM50" s="55">
        <f>SUMIFS(Analysis_Helper!$I$2:$I$2001,Analysis_Helper!$D$2:$D$2001,AK50,Analysis_Helper!$N$2:$N$2001,"West")</f>
        <v/>
      </c>
      <c r="AO50" s="55">
        <f>IF(AND(Analysis_Helper!Q50="BENGALURU",Analysis_Helper!L50="Grocery"),Analysis_Helper!I50,0)</f>
        <v/>
      </c>
    </row>
    <row r="51" ht="15" customHeight="1" s="56">
      <c r="AK51" s="55" t="inlineStr">
        <is>
          <t>PROD-050</t>
        </is>
      </c>
      <c r="AL51" s="55">
        <f>VLOOKUP(AK51,Products!$A$2:$B$61,2,FALSE())</f>
        <v/>
      </c>
      <c r="AM51" s="55">
        <f>SUMIFS(Analysis_Helper!$I$2:$I$2001,Analysis_Helper!$D$2:$D$2001,AK51,Analysis_Helper!$N$2:$N$2001,"West")</f>
        <v/>
      </c>
      <c r="AO51" s="55">
        <f>IF(AND(Analysis_Helper!Q51="BENGALURU",Analysis_Helper!L51="Grocery"),Analysis_Helper!I51,0)</f>
        <v/>
      </c>
    </row>
    <row r="52" ht="15" customHeight="1" s="56">
      <c r="AK52" s="55" t="inlineStr">
        <is>
          <t>PROD-051</t>
        </is>
      </c>
      <c r="AL52" s="55">
        <f>VLOOKUP(AK52,Products!$A$2:$B$61,2,FALSE())</f>
        <v/>
      </c>
      <c r="AM52" s="55">
        <f>SUMIFS(Analysis_Helper!$I$2:$I$2001,Analysis_Helper!$D$2:$D$2001,AK52,Analysis_Helper!$N$2:$N$2001,"West")</f>
        <v/>
      </c>
      <c r="AO52" s="55">
        <f>IF(AND(Analysis_Helper!Q52="BENGALURU",Analysis_Helper!L52="Grocery"),Analysis_Helper!I52,0)</f>
        <v/>
      </c>
    </row>
    <row r="53" ht="15" customHeight="1" s="56">
      <c r="AK53" s="55" t="inlineStr">
        <is>
          <t>PROD-052</t>
        </is>
      </c>
      <c r="AL53" s="55">
        <f>VLOOKUP(AK53,Products!$A$2:$B$61,2,FALSE())</f>
        <v/>
      </c>
      <c r="AM53" s="55">
        <f>SUMIFS(Analysis_Helper!$I$2:$I$2001,Analysis_Helper!$D$2:$D$2001,AK53,Analysis_Helper!$N$2:$N$2001,"West")</f>
        <v/>
      </c>
      <c r="AO53" s="55">
        <f>IF(AND(Analysis_Helper!Q53="BENGALURU",Analysis_Helper!L53="Grocery"),Analysis_Helper!I53,0)</f>
        <v/>
      </c>
    </row>
    <row r="54" ht="15" customHeight="1" s="56">
      <c r="AK54" s="55" t="inlineStr">
        <is>
          <t>PROD-053</t>
        </is>
      </c>
      <c r="AL54" s="55">
        <f>VLOOKUP(AK54,Products!$A$2:$B$61,2,FALSE())</f>
        <v/>
      </c>
      <c r="AM54" s="55">
        <f>SUMIFS(Analysis_Helper!$I$2:$I$2001,Analysis_Helper!$D$2:$D$2001,AK54,Analysis_Helper!$N$2:$N$2001,"West")</f>
        <v/>
      </c>
      <c r="AO54" s="55">
        <f>IF(AND(Analysis_Helper!Q54="BENGALURU",Analysis_Helper!L54="Grocery"),Analysis_Helper!I54,0)</f>
        <v/>
      </c>
    </row>
    <row r="55" ht="15" customHeight="1" s="56">
      <c r="AK55" s="55" t="inlineStr">
        <is>
          <t>PROD-054</t>
        </is>
      </c>
      <c r="AL55" s="55">
        <f>VLOOKUP(AK55,Products!$A$2:$B$61,2,FALSE())</f>
        <v/>
      </c>
      <c r="AM55" s="55">
        <f>SUMIFS(Analysis_Helper!$I$2:$I$2001,Analysis_Helper!$D$2:$D$2001,AK55,Analysis_Helper!$N$2:$N$2001,"West")</f>
        <v/>
      </c>
      <c r="AO55" s="55">
        <f>IF(AND(Analysis_Helper!Q55="BENGALURU",Analysis_Helper!L55="Grocery"),Analysis_Helper!I55,0)</f>
        <v/>
      </c>
    </row>
    <row r="56" ht="15" customHeight="1" s="56">
      <c r="AK56" s="55" t="inlineStr">
        <is>
          <t>PROD-055</t>
        </is>
      </c>
      <c r="AL56" s="55">
        <f>VLOOKUP(AK56,Products!$A$2:$B$61,2,FALSE())</f>
        <v/>
      </c>
      <c r="AM56" s="55">
        <f>SUMIFS(Analysis_Helper!$I$2:$I$2001,Analysis_Helper!$D$2:$D$2001,AK56,Analysis_Helper!$N$2:$N$2001,"West")</f>
        <v/>
      </c>
      <c r="AO56" s="55">
        <f>IF(AND(Analysis_Helper!Q56="BENGALURU",Analysis_Helper!L56="Grocery"),Analysis_Helper!I56,0)</f>
        <v/>
      </c>
    </row>
    <row r="57" ht="15" customHeight="1" s="56">
      <c r="AK57" s="55" t="inlineStr">
        <is>
          <t>PROD-056</t>
        </is>
      </c>
      <c r="AL57" s="55">
        <f>VLOOKUP(AK57,Products!$A$2:$B$61,2,FALSE())</f>
        <v/>
      </c>
      <c r="AM57" s="55">
        <f>SUMIFS(Analysis_Helper!$I$2:$I$2001,Analysis_Helper!$D$2:$D$2001,AK57,Analysis_Helper!$N$2:$N$2001,"West")</f>
        <v/>
      </c>
      <c r="AO57" s="55">
        <f>IF(AND(Analysis_Helper!Q57="BENGALURU",Analysis_Helper!L57="Grocery"),Analysis_Helper!I57,0)</f>
        <v/>
      </c>
    </row>
    <row r="58" ht="15" customHeight="1" s="56">
      <c r="AK58" s="55" t="inlineStr">
        <is>
          <t>PROD-057</t>
        </is>
      </c>
      <c r="AL58" s="55">
        <f>VLOOKUP(AK58,Products!$A$2:$B$61,2,FALSE())</f>
        <v/>
      </c>
      <c r="AM58" s="55">
        <f>SUMIFS(Analysis_Helper!$I$2:$I$2001,Analysis_Helper!$D$2:$D$2001,AK58,Analysis_Helper!$N$2:$N$2001,"West")</f>
        <v/>
      </c>
      <c r="AO58" s="55">
        <f>IF(AND(Analysis_Helper!Q58="BENGALURU",Analysis_Helper!L58="Grocery"),Analysis_Helper!I58,0)</f>
        <v/>
      </c>
    </row>
    <row r="59" ht="15" customHeight="1" s="56">
      <c r="AK59" s="55" t="inlineStr">
        <is>
          <t>PROD-058</t>
        </is>
      </c>
      <c r="AL59" s="55">
        <f>VLOOKUP(AK59,Products!$A$2:$B$61,2,FALSE())</f>
        <v/>
      </c>
      <c r="AM59" s="55">
        <f>SUMIFS(Analysis_Helper!$I$2:$I$2001,Analysis_Helper!$D$2:$D$2001,AK59,Analysis_Helper!$N$2:$N$2001,"West")</f>
        <v/>
      </c>
      <c r="AO59" s="55">
        <f>IF(AND(Analysis_Helper!Q59="BENGALURU",Analysis_Helper!L59="Grocery"),Analysis_Helper!I59,0)</f>
        <v/>
      </c>
    </row>
    <row r="60" ht="15" customHeight="1" s="56">
      <c r="AK60" s="55" t="inlineStr">
        <is>
          <t>PROD-059</t>
        </is>
      </c>
      <c r="AL60" s="55">
        <f>VLOOKUP(AK60,Products!$A$2:$B$61,2,FALSE())</f>
        <v/>
      </c>
      <c r="AM60" s="55">
        <f>SUMIFS(Analysis_Helper!$I$2:$I$2001,Analysis_Helper!$D$2:$D$2001,AK60,Analysis_Helper!$N$2:$N$2001,"West")</f>
        <v/>
      </c>
      <c r="AO60" s="55">
        <f>IF(AND(Analysis_Helper!Q60="BENGALURU",Analysis_Helper!L60="Grocery"),Analysis_Helper!I60,0)</f>
        <v/>
      </c>
    </row>
    <row r="61" ht="15" customHeight="1" s="56">
      <c r="AK61" s="55" t="inlineStr">
        <is>
          <t>PROD-060</t>
        </is>
      </c>
      <c r="AL61" s="55">
        <f>VLOOKUP(AK61,Products!$A$2:$B$61,2,FALSE())</f>
        <v/>
      </c>
      <c r="AM61" s="55">
        <f>SUMIFS(Analysis_Helper!$I$2:$I$2001,Analysis_Helper!$D$2:$D$2001,AK61,Analysis_Helper!$N$2:$N$2001,"West")</f>
        <v/>
      </c>
      <c r="AO61" s="55">
        <f>IF(AND(Analysis_Helper!Q61="BENGALURU",Analysis_Helper!L61="Grocery"),Analysis_Helper!I61,0)</f>
        <v/>
      </c>
    </row>
    <row r="62">
      <c r="AO62" s="55">
        <f>IF(AND(Analysis_Helper!Q62="BENGALURU",Analysis_Helper!L62="Grocery"),Analysis_Helper!I62,0)</f>
        <v/>
      </c>
    </row>
    <row r="63">
      <c r="AO63" s="55">
        <f>IF(AND(Analysis_Helper!Q63="BENGALURU",Analysis_Helper!L63="Grocery"),Analysis_Helper!I63,0)</f>
        <v/>
      </c>
    </row>
    <row r="64">
      <c r="AO64" s="55">
        <f>IF(AND(Analysis_Helper!Q64="BENGALURU",Analysis_Helper!L64="Grocery"),Analysis_Helper!I64,0)</f>
        <v/>
      </c>
    </row>
    <row r="65">
      <c r="AO65" s="55">
        <f>IF(AND(Analysis_Helper!Q65="BENGALURU",Analysis_Helper!L65="Grocery"),Analysis_Helper!I65,0)</f>
        <v/>
      </c>
    </row>
    <row r="66">
      <c r="AO66" s="55">
        <f>IF(AND(Analysis_Helper!Q66="BENGALURU",Analysis_Helper!L66="Grocery"),Analysis_Helper!I66,0)</f>
        <v/>
      </c>
    </row>
    <row r="67">
      <c r="AO67" s="55">
        <f>IF(AND(Analysis_Helper!Q67="BENGALURU",Analysis_Helper!L67="Grocery"),Analysis_Helper!I67,0)</f>
        <v/>
      </c>
    </row>
    <row r="68">
      <c r="AO68" s="55">
        <f>IF(AND(Analysis_Helper!Q68="BENGALURU",Analysis_Helper!L68="Grocery"),Analysis_Helper!I68,0)</f>
        <v/>
      </c>
    </row>
    <row r="69">
      <c r="AO69" s="55">
        <f>IF(AND(Analysis_Helper!Q69="BENGALURU",Analysis_Helper!L69="Grocery"),Analysis_Helper!I69,0)</f>
        <v/>
      </c>
    </row>
    <row r="70">
      <c r="AO70" s="55">
        <f>IF(AND(Analysis_Helper!Q70="BENGALURU",Analysis_Helper!L70="Grocery"),Analysis_Helper!I70,0)</f>
        <v/>
      </c>
    </row>
    <row r="71">
      <c r="AO71" s="55">
        <f>IF(AND(Analysis_Helper!Q71="BENGALURU",Analysis_Helper!L71="Grocery"),Analysis_Helper!I71,0)</f>
        <v/>
      </c>
    </row>
    <row r="72">
      <c r="AO72" s="55">
        <f>IF(AND(Analysis_Helper!Q72="BENGALURU",Analysis_Helper!L72="Grocery"),Analysis_Helper!I72,0)</f>
        <v/>
      </c>
    </row>
    <row r="73">
      <c r="AO73" s="55">
        <f>IF(AND(Analysis_Helper!Q73="BENGALURU",Analysis_Helper!L73="Grocery"),Analysis_Helper!I73,0)</f>
        <v/>
      </c>
    </row>
    <row r="74">
      <c r="AO74" s="55">
        <f>IF(AND(Analysis_Helper!Q74="BENGALURU",Analysis_Helper!L74="Grocery"),Analysis_Helper!I74,0)</f>
        <v/>
      </c>
    </row>
    <row r="75">
      <c r="AO75" s="55">
        <f>IF(AND(Analysis_Helper!Q75="BENGALURU",Analysis_Helper!L75="Grocery"),Analysis_Helper!I75,0)</f>
        <v/>
      </c>
    </row>
    <row r="76">
      <c r="AO76" s="55">
        <f>IF(AND(Analysis_Helper!Q76="BENGALURU",Analysis_Helper!L76="Grocery"),Analysis_Helper!I76,0)</f>
        <v/>
      </c>
    </row>
    <row r="77">
      <c r="AO77" s="55">
        <f>IF(AND(Analysis_Helper!Q77="BENGALURU",Analysis_Helper!L77="Grocery"),Analysis_Helper!I77,0)</f>
        <v/>
      </c>
    </row>
    <row r="78">
      <c r="AO78" s="55">
        <f>IF(AND(Analysis_Helper!Q78="BENGALURU",Analysis_Helper!L78="Grocery"),Analysis_Helper!I78,0)</f>
        <v/>
      </c>
    </row>
    <row r="79">
      <c r="AO79" s="55">
        <f>IF(AND(Analysis_Helper!Q79="BENGALURU",Analysis_Helper!L79="Grocery"),Analysis_Helper!I79,0)</f>
        <v/>
      </c>
    </row>
    <row r="80">
      <c r="AO80" s="55">
        <f>IF(AND(Analysis_Helper!Q80="BENGALURU",Analysis_Helper!L80="Grocery"),Analysis_Helper!I80,0)</f>
        <v/>
      </c>
    </row>
    <row r="81">
      <c r="AO81" s="55">
        <f>IF(AND(Analysis_Helper!Q81="BENGALURU",Analysis_Helper!L81="Grocery"),Analysis_Helper!I81,0)</f>
        <v/>
      </c>
    </row>
    <row r="82">
      <c r="AO82" s="55">
        <f>IF(AND(Analysis_Helper!Q82="BENGALURU",Analysis_Helper!L82="Grocery"),Analysis_Helper!I82,0)</f>
        <v/>
      </c>
    </row>
    <row r="83">
      <c r="AO83" s="55">
        <f>IF(AND(Analysis_Helper!Q83="BENGALURU",Analysis_Helper!L83="Grocery"),Analysis_Helper!I83,0)</f>
        <v/>
      </c>
    </row>
    <row r="84">
      <c r="AO84" s="55">
        <f>IF(AND(Analysis_Helper!Q84="BENGALURU",Analysis_Helper!L84="Grocery"),Analysis_Helper!I84,0)</f>
        <v/>
      </c>
    </row>
    <row r="85">
      <c r="AO85" s="55">
        <f>IF(AND(Analysis_Helper!Q85="BENGALURU",Analysis_Helper!L85="Grocery"),Analysis_Helper!I85,0)</f>
        <v/>
      </c>
    </row>
    <row r="86">
      <c r="AO86" s="55">
        <f>IF(AND(Analysis_Helper!Q86="BENGALURU",Analysis_Helper!L86="Grocery"),Analysis_Helper!I86,0)</f>
        <v/>
      </c>
    </row>
    <row r="87">
      <c r="AO87" s="55">
        <f>IF(AND(Analysis_Helper!Q87="BENGALURU",Analysis_Helper!L87="Grocery"),Analysis_Helper!I87,0)</f>
        <v/>
      </c>
    </row>
    <row r="88">
      <c r="AO88" s="55">
        <f>IF(AND(Analysis_Helper!Q88="BENGALURU",Analysis_Helper!L88="Grocery"),Analysis_Helper!I88,0)</f>
        <v/>
      </c>
    </row>
    <row r="89">
      <c r="AO89" s="55">
        <f>IF(AND(Analysis_Helper!Q89="BENGALURU",Analysis_Helper!L89="Grocery"),Analysis_Helper!I89,0)</f>
        <v/>
      </c>
    </row>
    <row r="90">
      <c r="AO90" s="55">
        <f>IF(AND(Analysis_Helper!Q90="BENGALURU",Analysis_Helper!L90="Grocery"),Analysis_Helper!I90,0)</f>
        <v/>
      </c>
    </row>
    <row r="91">
      <c r="AO91" s="55">
        <f>IF(AND(Analysis_Helper!Q91="BENGALURU",Analysis_Helper!L91="Grocery"),Analysis_Helper!I91,0)</f>
        <v/>
      </c>
    </row>
    <row r="92">
      <c r="AO92" s="55">
        <f>IF(AND(Analysis_Helper!Q92="BENGALURU",Analysis_Helper!L92="Grocery"),Analysis_Helper!I92,0)</f>
        <v/>
      </c>
    </row>
    <row r="93">
      <c r="AO93" s="55">
        <f>IF(AND(Analysis_Helper!Q93="BENGALURU",Analysis_Helper!L93="Grocery"),Analysis_Helper!I93,0)</f>
        <v/>
      </c>
    </row>
    <row r="94">
      <c r="AO94" s="55">
        <f>IF(AND(Analysis_Helper!Q94="BENGALURU",Analysis_Helper!L94="Grocery"),Analysis_Helper!I94,0)</f>
        <v/>
      </c>
    </row>
    <row r="95">
      <c r="AO95" s="55">
        <f>IF(AND(Analysis_Helper!Q95="BENGALURU",Analysis_Helper!L95="Grocery"),Analysis_Helper!I95,0)</f>
        <v/>
      </c>
    </row>
    <row r="96">
      <c r="AO96" s="55">
        <f>IF(AND(Analysis_Helper!Q96="BENGALURU",Analysis_Helper!L96="Grocery"),Analysis_Helper!I96,0)</f>
        <v/>
      </c>
    </row>
    <row r="97">
      <c r="AO97" s="55">
        <f>IF(AND(Analysis_Helper!Q97="BENGALURU",Analysis_Helper!L97="Grocery"),Analysis_Helper!I97,0)</f>
        <v/>
      </c>
    </row>
    <row r="98">
      <c r="AO98" s="55">
        <f>IF(AND(Analysis_Helper!Q98="BENGALURU",Analysis_Helper!L98="Grocery"),Analysis_Helper!I98,0)</f>
        <v/>
      </c>
    </row>
    <row r="99">
      <c r="AO99" s="55">
        <f>IF(AND(Analysis_Helper!Q99="BENGALURU",Analysis_Helper!L99="Grocery"),Analysis_Helper!I99,0)</f>
        <v/>
      </c>
    </row>
    <row r="100">
      <c r="AO100" s="55">
        <f>IF(AND(Analysis_Helper!Q100="BENGALURU",Analysis_Helper!L100="Grocery"),Analysis_Helper!I100,0)</f>
        <v/>
      </c>
    </row>
    <row r="101">
      <c r="AO101" s="55">
        <f>IF(AND(Analysis_Helper!Q101="BENGALURU",Analysis_Helper!L101="Grocery"),Analysis_Helper!I101,0)</f>
        <v/>
      </c>
    </row>
    <row r="102">
      <c r="AO102" s="55">
        <f>IF(AND(Analysis_Helper!Q102="BENGALURU",Analysis_Helper!L102="Grocery"),Analysis_Helper!I102,0)</f>
        <v/>
      </c>
    </row>
    <row r="103">
      <c r="AO103" s="55">
        <f>IF(AND(Analysis_Helper!Q103="BENGALURU",Analysis_Helper!L103="Grocery"),Analysis_Helper!I103,0)</f>
        <v/>
      </c>
    </row>
    <row r="104">
      <c r="AO104" s="55">
        <f>IF(AND(Analysis_Helper!Q104="BENGALURU",Analysis_Helper!L104="Grocery"),Analysis_Helper!I104,0)</f>
        <v/>
      </c>
    </row>
    <row r="105">
      <c r="AO105" s="55">
        <f>IF(AND(Analysis_Helper!Q105="BENGALURU",Analysis_Helper!L105="Grocery"),Analysis_Helper!I105,0)</f>
        <v/>
      </c>
    </row>
    <row r="106">
      <c r="AO106" s="55">
        <f>IF(AND(Analysis_Helper!Q106="BENGALURU",Analysis_Helper!L106="Grocery"),Analysis_Helper!I106,0)</f>
        <v/>
      </c>
    </row>
    <row r="107">
      <c r="AO107" s="55">
        <f>IF(AND(Analysis_Helper!Q107="BENGALURU",Analysis_Helper!L107="Grocery"),Analysis_Helper!I107,0)</f>
        <v/>
      </c>
    </row>
    <row r="108">
      <c r="AO108" s="55">
        <f>IF(AND(Analysis_Helper!Q108="BENGALURU",Analysis_Helper!L108="Grocery"),Analysis_Helper!I108,0)</f>
        <v/>
      </c>
    </row>
    <row r="109">
      <c r="AO109" s="55">
        <f>IF(AND(Analysis_Helper!Q109="BENGALURU",Analysis_Helper!L109="Grocery"),Analysis_Helper!I109,0)</f>
        <v/>
      </c>
    </row>
    <row r="110">
      <c r="AO110" s="55">
        <f>IF(AND(Analysis_Helper!Q110="BENGALURU",Analysis_Helper!L110="Grocery"),Analysis_Helper!I110,0)</f>
        <v/>
      </c>
    </row>
    <row r="111">
      <c r="AO111" s="55">
        <f>IF(AND(Analysis_Helper!Q111="BENGALURU",Analysis_Helper!L111="Grocery"),Analysis_Helper!I111,0)</f>
        <v/>
      </c>
    </row>
    <row r="112">
      <c r="AO112" s="55">
        <f>IF(AND(Analysis_Helper!Q112="BENGALURU",Analysis_Helper!L112="Grocery"),Analysis_Helper!I112,0)</f>
        <v/>
      </c>
    </row>
    <row r="113">
      <c r="AO113" s="55">
        <f>IF(AND(Analysis_Helper!Q113="BENGALURU",Analysis_Helper!L113="Grocery"),Analysis_Helper!I113,0)</f>
        <v/>
      </c>
    </row>
    <row r="114">
      <c r="AO114" s="55">
        <f>IF(AND(Analysis_Helper!Q114="BENGALURU",Analysis_Helper!L114="Grocery"),Analysis_Helper!I114,0)</f>
        <v/>
      </c>
    </row>
    <row r="115">
      <c r="AO115" s="55">
        <f>IF(AND(Analysis_Helper!Q115="BENGALURU",Analysis_Helper!L115="Grocery"),Analysis_Helper!I115,0)</f>
        <v/>
      </c>
    </row>
    <row r="116">
      <c r="AO116" s="55">
        <f>IF(AND(Analysis_Helper!Q116="BENGALURU",Analysis_Helper!L116="Grocery"),Analysis_Helper!I116,0)</f>
        <v/>
      </c>
    </row>
    <row r="117">
      <c r="AO117" s="55">
        <f>IF(AND(Analysis_Helper!Q117="BENGALURU",Analysis_Helper!L117="Grocery"),Analysis_Helper!I117,0)</f>
        <v/>
      </c>
    </row>
    <row r="118">
      <c r="AO118" s="55">
        <f>IF(AND(Analysis_Helper!Q118="BENGALURU",Analysis_Helper!L118="Grocery"),Analysis_Helper!I118,0)</f>
        <v/>
      </c>
    </row>
    <row r="119">
      <c r="AO119" s="55">
        <f>IF(AND(Analysis_Helper!Q119="BENGALURU",Analysis_Helper!L119="Grocery"),Analysis_Helper!I119,0)</f>
        <v/>
      </c>
    </row>
    <row r="120">
      <c r="AO120" s="55">
        <f>IF(AND(Analysis_Helper!Q120="BENGALURU",Analysis_Helper!L120="Grocery"),Analysis_Helper!I120,0)</f>
        <v/>
      </c>
    </row>
    <row r="121">
      <c r="AO121" s="55">
        <f>IF(AND(Analysis_Helper!Q121="BENGALURU",Analysis_Helper!L121="Grocery"),Analysis_Helper!I121,0)</f>
        <v/>
      </c>
    </row>
    <row r="122">
      <c r="AO122" s="55">
        <f>IF(AND(Analysis_Helper!Q122="BENGALURU",Analysis_Helper!L122="Grocery"),Analysis_Helper!I122,0)</f>
        <v/>
      </c>
    </row>
    <row r="123">
      <c r="AO123" s="55">
        <f>IF(AND(Analysis_Helper!Q123="BENGALURU",Analysis_Helper!L123="Grocery"),Analysis_Helper!I123,0)</f>
        <v/>
      </c>
    </row>
    <row r="124">
      <c r="AO124" s="55">
        <f>IF(AND(Analysis_Helper!Q124="BENGALURU",Analysis_Helper!L124="Grocery"),Analysis_Helper!I124,0)</f>
        <v/>
      </c>
    </row>
    <row r="125">
      <c r="AO125" s="55">
        <f>IF(AND(Analysis_Helper!Q125="BENGALURU",Analysis_Helper!L125="Grocery"),Analysis_Helper!I125,0)</f>
        <v/>
      </c>
    </row>
    <row r="126">
      <c r="AO126" s="55">
        <f>IF(AND(Analysis_Helper!Q126="BENGALURU",Analysis_Helper!L126="Grocery"),Analysis_Helper!I126,0)</f>
        <v/>
      </c>
    </row>
    <row r="127">
      <c r="AO127" s="55">
        <f>IF(AND(Analysis_Helper!Q127="BENGALURU",Analysis_Helper!L127="Grocery"),Analysis_Helper!I127,0)</f>
        <v/>
      </c>
    </row>
    <row r="128">
      <c r="AO128" s="55">
        <f>IF(AND(Analysis_Helper!Q128="BENGALURU",Analysis_Helper!L128="Grocery"),Analysis_Helper!I128,0)</f>
        <v/>
      </c>
    </row>
    <row r="129">
      <c r="AO129" s="55">
        <f>IF(AND(Analysis_Helper!Q129="BENGALURU",Analysis_Helper!L129="Grocery"),Analysis_Helper!I129,0)</f>
        <v/>
      </c>
    </row>
    <row r="130">
      <c r="AO130" s="55">
        <f>IF(AND(Analysis_Helper!Q130="BENGALURU",Analysis_Helper!L130="Grocery"),Analysis_Helper!I130,0)</f>
        <v/>
      </c>
    </row>
    <row r="131">
      <c r="AO131" s="55">
        <f>IF(AND(Analysis_Helper!Q131="BENGALURU",Analysis_Helper!L131="Grocery"),Analysis_Helper!I131,0)</f>
        <v/>
      </c>
    </row>
    <row r="132">
      <c r="AO132" s="55">
        <f>IF(AND(Analysis_Helper!Q132="BENGALURU",Analysis_Helper!L132="Grocery"),Analysis_Helper!I132,0)</f>
        <v/>
      </c>
    </row>
    <row r="133">
      <c r="AO133" s="55">
        <f>IF(AND(Analysis_Helper!Q133="BENGALURU",Analysis_Helper!L133="Grocery"),Analysis_Helper!I133,0)</f>
        <v/>
      </c>
    </row>
    <row r="134">
      <c r="AO134" s="55">
        <f>IF(AND(Analysis_Helper!Q134="BENGALURU",Analysis_Helper!L134="Grocery"),Analysis_Helper!I134,0)</f>
        <v/>
      </c>
    </row>
    <row r="135">
      <c r="AO135" s="55">
        <f>IF(AND(Analysis_Helper!Q135="BENGALURU",Analysis_Helper!L135="Grocery"),Analysis_Helper!I135,0)</f>
        <v/>
      </c>
    </row>
    <row r="136">
      <c r="AO136" s="55">
        <f>IF(AND(Analysis_Helper!Q136="BENGALURU",Analysis_Helper!L136="Grocery"),Analysis_Helper!I136,0)</f>
        <v/>
      </c>
    </row>
    <row r="137">
      <c r="AO137" s="55">
        <f>IF(AND(Analysis_Helper!Q137="BENGALURU",Analysis_Helper!L137="Grocery"),Analysis_Helper!I137,0)</f>
        <v/>
      </c>
    </row>
    <row r="138">
      <c r="AO138" s="55">
        <f>IF(AND(Analysis_Helper!Q138="BENGALURU",Analysis_Helper!L138="Grocery"),Analysis_Helper!I138,0)</f>
        <v/>
      </c>
    </row>
    <row r="139">
      <c r="AO139" s="55">
        <f>IF(AND(Analysis_Helper!Q139="BENGALURU",Analysis_Helper!L139="Grocery"),Analysis_Helper!I139,0)</f>
        <v/>
      </c>
    </row>
    <row r="140">
      <c r="AO140" s="55">
        <f>IF(AND(Analysis_Helper!Q140="BENGALURU",Analysis_Helper!L140="Grocery"),Analysis_Helper!I140,0)</f>
        <v/>
      </c>
    </row>
    <row r="141">
      <c r="AO141" s="55">
        <f>IF(AND(Analysis_Helper!Q141="BENGALURU",Analysis_Helper!L141="Grocery"),Analysis_Helper!I141,0)</f>
        <v/>
      </c>
    </row>
    <row r="142">
      <c r="AO142" s="55">
        <f>IF(AND(Analysis_Helper!Q142="BENGALURU",Analysis_Helper!L142="Grocery"),Analysis_Helper!I142,0)</f>
        <v/>
      </c>
    </row>
    <row r="143">
      <c r="AO143" s="55">
        <f>IF(AND(Analysis_Helper!Q143="BENGALURU",Analysis_Helper!L143="Grocery"),Analysis_Helper!I143,0)</f>
        <v/>
      </c>
    </row>
    <row r="144">
      <c r="AO144" s="55">
        <f>IF(AND(Analysis_Helper!Q144="BENGALURU",Analysis_Helper!L144="Grocery"),Analysis_Helper!I144,0)</f>
        <v/>
      </c>
    </row>
    <row r="145">
      <c r="AO145" s="55">
        <f>IF(AND(Analysis_Helper!Q145="BENGALURU",Analysis_Helper!L145="Grocery"),Analysis_Helper!I145,0)</f>
        <v/>
      </c>
    </row>
    <row r="146">
      <c r="AO146" s="55">
        <f>IF(AND(Analysis_Helper!Q146="BENGALURU",Analysis_Helper!L146="Grocery"),Analysis_Helper!I146,0)</f>
        <v/>
      </c>
    </row>
    <row r="147">
      <c r="AO147" s="55">
        <f>IF(AND(Analysis_Helper!Q147="BENGALURU",Analysis_Helper!L147="Grocery"),Analysis_Helper!I147,0)</f>
        <v/>
      </c>
    </row>
    <row r="148">
      <c r="AO148" s="55">
        <f>IF(AND(Analysis_Helper!Q148="BENGALURU",Analysis_Helper!L148="Grocery"),Analysis_Helper!I148,0)</f>
        <v/>
      </c>
    </row>
    <row r="149">
      <c r="AO149" s="55">
        <f>IF(AND(Analysis_Helper!Q149="BENGALURU",Analysis_Helper!L149="Grocery"),Analysis_Helper!I149,0)</f>
        <v/>
      </c>
    </row>
    <row r="150">
      <c r="AO150" s="55">
        <f>IF(AND(Analysis_Helper!Q150="BENGALURU",Analysis_Helper!L150="Grocery"),Analysis_Helper!I150,0)</f>
        <v/>
      </c>
    </row>
    <row r="151">
      <c r="AO151" s="55">
        <f>IF(AND(Analysis_Helper!Q151="BENGALURU",Analysis_Helper!L151="Grocery"),Analysis_Helper!I151,0)</f>
        <v/>
      </c>
    </row>
    <row r="152">
      <c r="AO152" s="55">
        <f>IF(AND(Analysis_Helper!Q152="BENGALURU",Analysis_Helper!L152="Grocery"),Analysis_Helper!I152,0)</f>
        <v/>
      </c>
    </row>
    <row r="153">
      <c r="AO153" s="55">
        <f>IF(AND(Analysis_Helper!Q153="BENGALURU",Analysis_Helper!L153="Grocery"),Analysis_Helper!I153,0)</f>
        <v/>
      </c>
    </row>
    <row r="154">
      <c r="AO154" s="55">
        <f>IF(AND(Analysis_Helper!Q154="BENGALURU",Analysis_Helper!L154="Grocery"),Analysis_Helper!I154,0)</f>
        <v/>
      </c>
    </row>
    <row r="155">
      <c r="AO155" s="55">
        <f>IF(AND(Analysis_Helper!Q155="BENGALURU",Analysis_Helper!L155="Grocery"),Analysis_Helper!I155,0)</f>
        <v/>
      </c>
    </row>
    <row r="156">
      <c r="AO156" s="55">
        <f>IF(AND(Analysis_Helper!Q156="BENGALURU",Analysis_Helper!L156="Grocery"),Analysis_Helper!I156,0)</f>
        <v/>
      </c>
    </row>
    <row r="157">
      <c r="AO157" s="55">
        <f>IF(AND(Analysis_Helper!Q157="BENGALURU",Analysis_Helper!L157="Grocery"),Analysis_Helper!I157,0)</f>
        <v/>
      </c>
    </row>
    <row r="158">
      <c r="AO158" s="55">
        <f>IF(AND(Analysis_Helper!Q158="BENGALURU",Analysis_Helper!L158="Grocery"),Analysis_Helper!I158,0)</f>
        <v/>
      </c>
    </row>
    <row r="159">
      <c r="AO159" s="55">
        <f>IF(AND(Analysis_Helper!Q159="BENGALURU",Analysis_Helper!L159="Grocery"),Analysis_Helper!I159,0)</f>
        <v/>
      </c>
    </row>
    <row r="160">
      <c r="AO160" s="55">
        <f>IF(AND(Analysis_Helper!Q160="BENGALURU",Analysis_Helper!L160="Grocery"),Analysis_Helper!I160,0)</f>
        <v/>
      </c>
    </row>
    <row r="161">
      <c r="AO161" s="55">
        <f>IF(AND(Analysis_Helper!Q161="BENGALURU",Analysis_Helper!L161="Grocery"),Analysis_Helper!I161,0)</f>
        <v/>
      </c>
    </row>
    <row r="162">
      <c r="AO162" s="55">
        <f>IF(AND(Analysis_Helper!Q162="BENGALURU",Analysis_Helper!L162="Grocery"),Analysis_Helper!I162,0)</f>
        <v/>
      </c>
    </row>
    <row r="163">
      <c r="AO163" s="55">
        <f>IF(AND(Analysis_Helper!Q163="BENGALURU",Analysis_Helper!L163="Grocery"),Analysis_Helper!I163,0)</f>
        <v/>
      </c>
    </row>
    <row r="164">
      <c r="AO164" s="55">
        <f>IF(AND(Analysis_Helper!Q164="BENGALURU",Analysis_Helper!L164="Grocery"),Analysis_Helper!I164,0)</f>
        <v/>
      </c>
    </row>
    <row r="165">
      <c r="AO165" s="55">
        <f>IF(AND(Analysis_Helper!Q165="BENGALURU",Analysis_Helper!L165="Grocery"),Analysis_Helper!I165,0)</f>
        <v/>
      </c>
    </row>
    <row r="166">
      <c r="AO166" s="55">
        <f>IF(AND(Analysis_Helper!Q166="BENGALURU",Analysis_Helper!L166="Grocery"),Analysis_Helper!I166,0)</f>
        <v/>
      </c>
    </row>
    <row r="167">
      <c r="AO167" s="55">
        <f>IF(AND(Analysis_Helper!Q167="BENGALURU",Analysis_Helper!L167="Grocery"),Analysis_Helper!I167,0)</f>
        <v/>
      </c>
    </row>
    <row r="168">
      <c r="AO168" s="55">
        <f>IF(AND(Analysis_Helper!Q168="BENGALURU",Analysis_Helper!L168="Grocery"),Analysis_Helper!I168,0)</f>
        <v/>
      </c>
    </row>
    <row r="169">
      <c r="AO169" s="55">
        <f>IF(AND(Analysis_Helper!Q169="BENGALURU",Analysis_Helper!L169="Grocery"),Analysis_Helper!I169,0)</f>
        <v/>
      </c>
    </row>
    <row r="170">
      <c r="AO170" s="55">
        <f>IF(AND(Analysis_Helper!Q170="BENGALURU",Analysis_Helper!L170="Grocery"),Analysis_Helper!I170,0)</f>
        <v/>
      </c>
    </row>
    <row r="171">
      <c r="AO171" s="55">
        <f>IF(AND(Analysis_Helper!Q171="BENGALURU",Analysis_Helper!L171="Grocery"),Analysis_Helper!I171,0)</f>
        <v/>
      </c>
    </row>
    <row r="172">
      <c r="AO172" s="55">
        <f>IF(AND(Analysis_Helper!Q172="BENGALURU",Analysis_Helper!L172="Grocery"),Analysis_Helper!I172,0)</f>
        <v/>
      </c>
    </row>
    <row r="173">
      <c r="AO173" s="55">
        <f>IF(AND(Analysis_Helper!Q173="BENGALURU",Analysis_Helper!L173="Grocery"),Analysis_Helper!I173,0)</f>
        <v/>
      </c>
    </row>
    <row r="174">
      <c r="AO174" s="55">
        <f>IF(AND(Analysis_Helper!Q174="BENGALURU",Analysis_Helper!L174="Grocery"),Analysis_Helper!I174,0)</f>
        <v/>
      </c>
    </row>
    <row r="175">
      <c r="AO175" s="55">
        <f>IF(AND(Analysis_Helper!Q175="BENGALURU",Analysis_Helper!L175="Grocery"),Analysis_Helper!I175,0)</f>
        <v/>
      </c>
    </row>
    <row r="176">
      <c r="AO176" s="55">
        <f>IF(AND(Analysis_Helper!Q176="BENGALURU",Analysis_Helper!L176="Grocery"),Analysis_Helper!I176,0)</f>
        <v/>
      </c>
    </row>
    <row r="177">
      <c r="AO177" s="55">
        <f>IF(AND(Analysis_Helper!Q177="BENGALURU",Analysis_Helper!L177="Grocery"),Analysis_Helper!I177,0)</f>
        <v/>
      </c>
    </row>
    <row r="178">
      <c r="AO178" s="55">
        <f>IF(AND(Analysis_Helper!Q178="BENGALURU",Analysis_Helper!L178="Grocery"),Analysis_Helper!I178,0)</f>
        <v/>
      </c>
    </row>
    <row r="179">
      <c r="AO179" s="55">
        <f>IF(AND(Analysis_Helper!Q179="BENGALURU",Analysis_Helper!L179="Grocery"),Analysis_Helper!I179,0)</f>
        <v/>
      </c>
    </row>
    <row r="180">
      <c r="AO180" s="55">
        <f>IF(AND(Analysis_Helper!Q180="BENGALURU",Analysis_Helper!L180="Grocery"),Analysis_Helper!I180,0)</f>
        <v/>
      </c>
    </row>
    <row r="181">
      <c r="AO181" s="55">
        <f>IF(AND(Analysis_Helper!Q181="BENGALURU",Analysis_Helper!L181="Grocery"),Analysis_Helper!I181,0)</f>
        <v/>
      </c>
    </row>
    <row r="182">
      <c r="AO182" s="55">
        <f>IF(AND(Analysis_Helper!Q182="BENGALURU",Analysis_Helper!L182="Grocery"),Analysis_Helper!I182,0)</f>
        <v/>
      </c>
    </row>
    <row r="183">
      <c r="AO183" s="55">
        <f>IF(AND(Analysis_Helper!Q183="BENGALURU",Analysis_Helper!L183="Grocery"),Analysis_Helper!I183,0)</f>
        <v/>
      </c>
    </row>
    <row r="184">
      <c r="AO184" s="55">
        <f>IF(AND(Analysis_Helper!Q184="BENGALURU",Analysis_Helper!L184="Grocery"),Analysis_Helper!I184,0)</f>
        <v/>
      </c>
    </row>
    <row r="185">
      <c r="AO185" s="55">
        <f>IF(AND(Analysis_Helper!Q185="BENGALURU",Analysis_Helper!L185="Grocery"),Analysis_Helper!I185,0)</f>
        <v/>
      </c>
    </row>
    <row r="186">
      <c r="AO186" s="55">
        <f>IF(AND(Analysis_Helper!Q186="BENGALURU",Analysis_Helper!L186="Grocery"),Analysis_Helper!I186,0)</f>
        <v/>
      </c>
    </row>
    <row r="187">
      <c r="AO187" s="55">
        <f>IF(AND(Analysis_Helper!Q187="BENGALURU",Analysis_Helper!L187="Grocery"),Analysis_Helper!I187,0)</f>
        <v/>
      </c>
    </row>
    <row r="188">
      <c r="AO188" s="55">
        <f>IF(AND(Analysis_Helper!Q188="BENGALURU",Analysis_Helper!L188="Grocery"),Analysis_Helper!I188,0)</f>
        <v/>
      </c>
    </row>
    <row r="189">
      <c r="AO189" s="55">
        <f>IF(AND(Analysis_Helper!Q189="BENGALURU",Analysis_Helper!L189="Grocery"),Analysis_Helper!I189,0)</f>
        <v/>
      </c>
    </row>
    <row r="190">
      <c r="AO190" s="55">
        <f>IF(AND(Analysis_Helper!Q190="BENGALURU",Analysis_Helper!L190="Grocery"),Analysis_Helper!I190,0)</f>
        <v/>
      </c>
    </row>
    <row r="191">
      <c r="AO191" s="55">
        <f>IF(AND(Analysis_Helper!Q191="BENGALURU",Analysis_Helper!L191="Grocery"),Analysis_Helper!I191,0)</f>
        <v/>
      </c>
    </row>
    <row r="192">
      <c r="AO192" s="55">
        <f>IF(AND(Analysis_Helper!Q192="BENGALURU",Analysis_Helper!L192="Grocery"),Analysis_Helper!I192,0)</f>
        <v/>
      </c>
    </row>
    <row r="193">
      <c r="AO193" s="55">
        <f>IF(AND(Analysis_Helper!Q193="BENGALURU",Analysis_Helper!L193="Grocery"),Analysis_Helper!I193,0)</f>
        <v/>
      </c>
    </row>
    <row r="194">
      <c r="AO194" s="55">
        <f>IF(AND(Analysis_Helper!Q194="BENGALURU",Analysis_Helper!L194="Grocery"),Analysis_Helper!I194,0)</f>
        <v/>
      </c>
    </row>
    <row r="195">
      <c r="AO195" s="55">
        <f>IF(AND(Analysis_Helper!Q195="BENGALURU",Analysis_Helper!L195="Grocery"),Analysis_Helper!I195,0)</f>
        <v/>
      </c>
    </row>
    <row r="196">
      <c r="AO196" s="55">
        <f>IF(AND(Analysis_Helper!Q196="BENGALURU",Analysis_Helper!L196="Grocery"),Analysis_Helper!I196,0)</f>
        <v/>
      </c>
    </row>
    <row r="197">
      <c r="AO197" s="55">
        <f>IF(AND(Analysis_Helper!Q197="BENGALURU",Analysis_Helper!L197="Grocery"),Analysis_Helper!I197,0)</f>
        <v/>
      </c>
    </row>
    <row r="198">
      <c r="AO198" s="55">
        <f>IF(AND(Analysis_Helper!Q198="BENGALURU",Analysis_Helper!L198="Grocery"),Analysis_Helper!I198,0)</f>
        <v/>
      </c>
    </row>
    <row r="199">
      <c r="AO199" s="55">
        <f>IF(AND(Analysis_Helper!Q199="BENGALURU",Analysis_Helper!L199="Grocery"),Analysis_Helper!I199,0)</f>
        <v/>
      </c>
    </row>
    <row r="200">
      <c r="AO200" s="55">
        <f>IF(AND(Analysis_Helper!Q200="BENGALURU",Analysis_Helper!L200="Grocery"),Analysis_Helper!I200,0)</f>
        <v/>
      </c>
    </row>
    <row r="201">
      <c r="AO201" s="55">
        <f>IF(AND(Analysis_Helper!Q201="BENGALURU",Analysis_Helper!L201="Grocery"),Analysis_Helper!I201,0)</f>
        <v/>
      </c>
    </row>
    <row r="202">
      <c r="AO202" s="55">
        <f>IF(AND(Analysis_Helper!Q202="BENGALURU",Analysis_Helper!L202="Grocery"),Analysis_Helper!I202,0)</f>
        <v/>
      </c>
    </row>
    <row r="203">
      <c r="AO203" s="55">
        <f>IF(AND(Analysis_Helper!Q203="BENGALURU",Analysis_Helper!L203="Grocery"),Analysis_Helper!I203,0)</f>
        <v/>
      </c>
    </row>
    <row r="204">
      <c r="AO204" s="55">
        <f>IF(AND(Analysis_Helper!Q204="BENGALURU",Analysis_Helper!L204="Grocery"),Analysis_Helper!I204,0)</f>
        <v/>
      </c>
    </row>
    <row r="205">
      <c r="AO205" s="55">
        <f>IF(AND(Analysis_Helper!Q205="BENGALURU",Analysis_Helper!L205="Grocery"),Analysis_Helper!I205,0)</f>
        <v/>
      </c>
    </row>
    <row r="206">
      <c r="AO206" s="55">
        <f>IF(AND(Analysis_Helper!Q206="BENGALURU",Analysis_Helper!L206="Grocery"),Analysis_Helper!I206,0)</f>
        <v/>
      </c>
    </row>
    <row r="207">
      <c r="AO207" s="55">
        <f>IF(AND(Analysis_Helper!Q207="BENGALURU",Analysis_Helper!L207="Grocery"),Analysis_Helper!I207,0)</f>
        <v/>
      </c>
    </row>
    <row r="208">
      <c r="AO208" s="55">
        <f>IF(AND(Analysis_Helper!Q208="BENGALURU",Analysis_Helper!L208="Grocery"),Analysis_Helper!I208,0)</f>
        <v/>
      </c>
    </row>
    <row r="209">
      <c r="AO209" s="55">
        <f>IF(AND(Analysis_Helper!Q209="BENGALURU",Analysis_Helper!L209="Grocery"),Analysis_Helper!I209,0)</f>
        <v/>
      </c>
    </row>
    <row r="210">
      <c r="AO210" s="55">
        <f>IF(AND(Analysis_Helper!Q210="BENGALURU",Analysis_Helper!L210="Grocery"),Analysis_Helper!I210,0)</f>
        <v/>
      </c>
    </row>
    <row r="211">
      <c r="AO211" s="55">
        <f>IF(AND(Analysis_Helper!Q211="BENGALURU",Analysis_Helper!L211="Grocery"),Analysis_Helper!I211,0)</f>
        <v/>
      </c>
    </row>
    <row r="212">
      <c r="AO212" s="55">
        <f>IF(AND(Analysis_Helper!Q212="BENGALURU",Analysis_Helper!L212="Grocery"),Analysis_Helper!I212,0)</f>
        <v/>
      </c>
    </row>
    <row r="213">
      <c r="AO213" s="55">
        <f>IF(AND(Analysis_Helper!Q213="BENGALURU",Analysis_Helper!L213="Grocery"),Analysis_Helper!I213,0)</f>
        <v/>
      </c>
    </row>
    <row r="214">
      <c r="AO214" s="55">
        <f>IF(AND(Analysis_Helper!Q214="BENGALURU",Analysis_Helper!L214="Grocery"),Analysis_Helper!I214,0)</f>
        <v/>
      </c>
    </row>
    <row r="215">
      <c r="AO215" s="55">
        <f>IF(AND(Analysis_Helper!Q215="BENGALURU",Analysis_Helper!L215="Grocery"),Analysis_Helper!I215,0)</f>
        <v/>
      </c>
    </row>
    <row r="216">
      <c r="AO216" s="55">
        <f>IF(AND(Analysis_Helper!Q216="BENGALURU",Analysis_Helper!L216="Grocery"),Analysis_Helper!I216,0)</f>
        <v/>
      </c>
    </row>
    <row r="217">
      <c r="AO217" s="55">
        <f>IF(AND(Analysis_Helper!Q217="BENGALURU",Analysis_Helper!L217="Grocery"),Analysis_Helper!I217,0)</f>
        <v/>
      </c>
    </row>
    <row r="218">
      <c r="AO218" s="55">
        <f>IF(AND(Analysis_Helper!Q218="BENGALURU",Analysis_Helper!L218="Grocery"),Analysis_Helper!I218,0)</f>
        <v/>
      </c>
    </row>
    <row r="219">
      <c r="AO219" s="55">
        <f>IF(AND(Analysis_Helper!Q219="BENGALURU",Analysis_Helper!L219="Grocery"),Analysis_Helper!I219,0)</f>
        <v/>
      </c>
    </row>
    <row r="220">
      <c r="AO220" s="55">
        <f>IF(AND(Analysis_Helper!Q220="BENGALURU",Analysis_Helper!L220="Grocery"),Analysis_Helper!I220,0)</f>
        <v/>
      </c>
    </row>
    <row r="221">
      <c r="AO221" s="55">
        <f>IF(AND(Analysis_Helper!Q221="BENGALURU",Analysis_Helper!L221="Grocery"),Analysis_Helper!I221,0)</f>
        <v/>
      </c>
    </row>
    <row r="222">
      <c r="AO222" s="55">
        <f>IF(AND(Analysis_Helper!Q222="BENGALURU",Analysis_Helper!L222="Grocery"),Analysis_Helper!I222,0)</f>
        <v/>
      </c>
    </row>
    <row r="223">
      <c r="AO223" s="55">
        <f>IF(AND(Analysis_Helper!Q223="BENGALURU",Analysis_Helper!L223="Grocery"),Analysis_Helper!I223,0)</f>
        <v/>
      </c>
    </row>
    <row r="224">
      <c r="AO224" s="55">
        <f>IF(AND(Analysis_Helper!Q224="BENGALURU",Analysis_Helper!L224="Grocery"),Analysis_Helper!I224,0)</f>
        <v/>
      </c>
    </row>
    <row r="225">
      <c r="AO225" s="55">
        <f>IF(AND(Analysis_Helper!Q225="BENGALURU",Analysis_Helper!L225="Grocery"),Analysis_Helper!I225,0)</f>
        <v/>
      </c>
    </row>
    <row r="226">
      <c r="AO226" s="55">
        <f>IF(AND(Analysis_Helper!Q226="BENGALURU",Analysis_Helper!L226="Grocery"),Analysis_Helper!I226,0)</f>
        <v/>
      </c>
    </row>
    <row r="227">
      <c r="AO227" s="55">
        <f>IF(AND(Analysis_Helper!Q227="BENGALURU",Analysis_Helper!L227="Grocery"),Analysis_Helper!I227,0)</f>
        <v/>
      </c>
    </row>
    <row r="228">
      <c r="AO228" s="55">
        <f>IF(AND(Analysis_Helper!Q228="BENGALURU",Analysis_Helper!L228="Grocery"),Analysis_Helper!I228,0)</f>
        <v/>
      </c>
    </row>
    <row r="229">
      <c r="AO229" s="55">
        <f>IF(AND(Analysis_Helper!Q229="BENGALURU",Analysis_Helper!L229="Grocery"),Analysis_Helper!I229,0)</f>
        <v/>
      </c>
    </row>
    <row r="230">
      <c r="AO230" s="55">
        <f>IF(AND(Analysis_Helper!Q230="BENGALURU",Analysis_Helper!L230="Grocery"),Analysis_Helper!I230,0)</f>
        <v/>
      </c>
    </row>
    <row r="231">
      <c r="AO231" s="55">
        <f>IF(AND(Analysis_Helper!Q231="BENGALURU",Analysis_Helper!L231="Grocery"),Analysis_Helper!I231,0)</f>
        <v/>
      </c>
    </row>
    <row r="232">
      <c r="AO232" s="55">
        <f>IF(AND(Analysis_Helper!Q232="BENGALURU",Analysis_Helper!L232="Grocery"),Analysis_Helper!I232,0)</f>
        <v/>
      </c>
    </row>
    <row r="233">
      <c r="AO233" s="55">
        <f>IF(AND(Analysis_Helper!Q233="BENGALURU",Analysis_Helper!L233="Grocery"),Analysis_Helper!I233,0)</f>
        <v/>
      </c>
    </row>
    <row r="234">
      <c r="AO234" s="55">
        <f>IF(AND(Analysis_Helper!Q234="BENGALURU",Analysis_Helper!L234="Grocery"),Analysis_Helper!I234,0)</f>
        <v/>
      </c>
    </row>
    <row r="235">
      <c r="AO235" s="55">
        <f>IF(AND(Analysis_Helper!Q235="BENGALURU",Analysis_Helper!L235="Grocery"),Analysis_Helper!I235,0)</f>
        <v/>
      </c>
    </row>
    <row r="236">
      <c r="AO236" s="55">
        <f>IF(AND(Analysis_Helper!Q236="BENGALURU",Analysis_Helper!L236="Grocery"),Analysis_Helper!I236,0)</f>
        <v/>
      </c>
    </row>
    <row r="237">
      <c r="AO237" s="55">
        <f>IF(AND(Analysis_Helper!Q237="BENGALURU",Analysis_Helper!L237="Grocery"),Analysis_Helper!I237,0)</f>
        <v/>
      </c>
    </row>
    <row r="238">
      <c r="AO238" s="55">
        <f>IF(AND(Analysis_Helper!Q238="BENGALURU",Analysis_Helper!L238="Grocery"),Analysis_Helper!I238,0)</f>
        <v/>
      </c>
    </row>
    <row r="239">
      <c r="AO239" s="55">
        <f>IF(AND(Analysis_Helper!Q239="BENGALURU",Analysis_Helper!L239="Grocery"),Analysis_Helper!I239,0)</f>
        <v/>
      </c>
    </row>
    <row r="240">
      <c r="AO240" s="55">
        <f>IF(AND(Analysis_Helper!Q240="BENGALURU",Analysis_Helper!L240="Grocery"),Analysis_Helper!I240,0)</f>
        <v/>
      </c>
    </row>
    <row r="241">
      <c r="AO241" s="55">
        <f>IF(AND(Analysis_Helper!Q241="BENGALURU",Analysis_Helper!L241="Grocery"),Analysis_Helper!I241,0)</f>
        <v/>
      </c>
    </row>
    <row r="242">
      <c r="AO242" s="55">
        <f>IF(AND(Analysis_Helper!Q242="BENGALURU",Analysis_Helper!L242="Grocery"),Analysis_Helper!I242,0)</f>
        <v/>
      </c>
    </row>
    <row r="243">
      <c r="AO243" s="55">
        <f>IF(AND(Analysis_Helper!Q243="BENGALURU",Analysis_Helper!L243="Grocery"),Analysis_Helper!I243,0)</f>
        <v/>
      </c>
    </row>
    <row r="244">
      <c r="AO244" s="55">
        <f>IF(AND(Analysis_Helper!Q244="BENGALURU",Analysis_Helper!L244="Grocery"),Analysis_Helper!I244,0)</f>
        <v/>
      </c>
    </row>
    <row r="245">
      <c r="AO245" s="55">
        <f>IF(AND(Analysis_Helper!Q245="BENGALURU",Analysis_Helper!L245="Grocery"),Analysis_Helper!I245,0)</f>
        <v/>
      </c>
    </row>
    <row r="246">
      <c r="AO246" s="55">
        <f>IF(AND(Analysis_Helper!Q246="BENGALURU",Analysis_Helper!L246="Grocery"),Analysis_Helper!I246,0)</f>
        <v/>
      </c>
    </row>
    <row r="247">
      <c r="AO247" s="55">
        <f>IF(AND(Analysis_Helper!Q247="BENGALURU",Analysis_Helper!L247="Grocery"),Analysis_Helper!I247,0)</f>
        <v/>
      </c>
    </row>
    <row r="248">
      <c r="AO248" s="55">
        <f>IF(AND(Analysis_Helper!Q248="BENGALURU",Analysis_Helper!L248="Grocery"),Analysis_Helper!I248,0)</f>
        <v/>
      </c>
    </row>
    <row r="249">
      <c r="AO249" s="55">
        <f>IF(AND(Analysis_Helper!Q249="BENGALURU",Analysis_Helper!L249="Grocery"),Analysis_Helper!I249,0)</f>
        <v/>
      </c>
    </row>
    <row r="250">
      <c r="AO250" s="55">
        <f>IF(AND(Analysis_Helper!Q250="BENGALURU",Analysis_Helper!L250="Grocery"),Analysis_Helper!I250,0)</f>
        <v/>
      </c>
    </row>
    <row r="251">
      <c r="AO251" s="55">
        <f>IF(AND(Analysis_Helper!Q251="BENGALURU",Analysis_Helper!L251="Grocery"),Analysis_Helper!I251,0)</f>
        <v/>
      </c>
    </row>
    <row r="252">
      <c r="AO252" s="55">
        <f>IF(AND(Analysis_Helper!Q252="BENGALURU",Analysis_Helper!L252="Grocery"),Analysis_Helper!I252,0)</f>
        <v/>
      </c>
    </row>
    <row r="253">
      <c r="AO253" s="55">
        <f>IF(AND(Analysis_Helper!Q253="BENGALURU",Analysis_Helper!L253="Grocery"),Analysis_Helper!I253,0)</f>
        <v/>
      </c>
    </row>
    <row r="254">
      <c r="AO254" s="55">
        <f>IF(AND(Analysis_Helper!Q254="BENGALURU",Analysis_Helper!L254="Grocery"),Analysis_Helper!I254,0)</f>
        <v/>
      </c>
    </row>
    <row r="255">
      <c r="AO255" s="55">
        <f>IF(AND(Analysis_Helper!Q255="BENGALURU",Analysis_Helper!L255="Grocery"),Analysis_Helper!I255,0)</f>
        <v/>
      </c>
    </row>
    <row r="256">
      <c r="AO256" s="55">
        <f>IF(AND(Analysis_Helper!Q256="BENGALURU",Analysis_Helper!L256="Grocery"),Analysis_Helper!I256,0)</f>
        <v/>
      </c>
    </row>
    <row r="257">
      <c r="AO257" s="55">
        <f>IF(AND(Analysis_Helper!Q257="BENGALURU",Analysis_Helper!L257="Grocery"),Analysis_Helper!I257,0)</f>
        <v/>
      </c>
    </row>
    <row r="258">
      <c r="AO258" s="55">
        <f>IF(AND(Analysis_Helper!Q258="BENGALURU",Analysis_Helper!L258="Grocery"),Analysis_Helper!I258,0)</f>
        <v/>
      </c>
    </row>
    <row r="259">
      <c r="AO259" s="55">
        <f>IF(AND(Analysis_Helper!Q259="BENGALURU",Analysis_Helper!L259="Grocery"),Analysis_Helper!I259,0)</f>
        <v/>
      </c>
    </row>
    <row r="260">
      <c r="AO260" s="55">
        <f>IF(AND(Analysis_Helper!Q260="BENGALURU",Analysis_Helper!L260="Grocery"),Analysis_Helper!I260,0)</f>
        <v/>
      </c>
    </row>
    <row r="261">
      <c r="AO261" s="55">
        <f>IF(AND(Analysis_Helper!Q261="BENGALURU",Analysis_Helper!L261="Grocery"),Analysis_Helper!I261,0)</f>
        <v/>
      </c>
    </row>
    <row r="262">
      <c r="AO262" s="55">
        <f>IF(AND(Analysis_Helper!Q262="BENGALURU",Analysis_Helper!L262="Grocery"),Analysis_Helper!I262,0)</f>
        <v/>
      </c>
    </row>
    <row r="263">
      <c r="AO263" s="55">
        <f>IF(AND(Analysis_Helper!Q263="BENGALURU",Analysis_Helper!L263="Grocery"),Analysis_Helper!I263,0)</f>
        <v/>
      </c>
    </row>
    <row r="264">
      <c r="AO264" s="55">
        <f>IF(AND(Analysis_Helper!Q264="BENGALURU",Analysis_Helper!L264="Grocery"),Analysis_Helper!I264,0)</f>
        <v/>
      </c>
    </row>
    <row r="265">
      <c r="AO265" s="55">
        <f>IF(AND(Analysis_Helper!Q265="BENGALURU",Analysis_Helper!L265="Grocery"),Analysis_Helper!I265,0)</f>
        <v/>
      </c>
    </row>
    <row r="266">
      <c r="AO266" s="55">
        <f>IF(AND(Analysis_Helper!Q266="BENGALURU",Analysis_Helper!L266="Grocery"),Analysis_Helper!I266,0)</f>
        <v/>
      </c>
    </row>
    <row r="267">
      <c r="AO267" s="55">
        <f>IF(AND(Analysis_Helper!Q267="BENGALURU",Analysis_Helper!L267="Grocery"),Analysis_Helper!I267,0)</f>
        <v/>
      </c>
    </row>
    <row r="268">
      <c r="AO268" s="55">
        <f>IF(AND(Analysis_Helper!Q268="BENGALURU",Analysis_Helper!L268="Grocery"),Analysis_Helper!I268,0)</f>
        <v/>
      </c>
    </row>
    <row r="269">
      <c r="AO269" s="55">
        <f>IF(AND(Analysis_Helper!Q269="BENGALURU",Analysis_Helper!L269="Grocery"),Analysis_Helper!I269,0)</f>
        <v/>
      </c>
    </row>
    <row r="270">
      <c r="AO270" s="55">
        <f>IF(AND(Analysis_Helper!Q270="BENGALURU",Analysis_Helper!L270="Grocery"),Analysis_Helper!I270,0)</f>
        <v/>
      </c>
    </row>
    <row r="271">
      <c r="AO271" s="55">
        <f>IF(AND(Analysis_Helper!Q271="BENGALURU",Analysis_Helper!L271="Grocery"),Analysis_Helper!I271,0)</f>
        <v/>
      </c>
    </row>
    <row r="272">
      <c r="AO272" s="55">
        <f>IF(AND(Analysis_Helper!Q272="BENGALURU",Analysis_Helper!L272="Grocery"),Analysis_Helper!I272,0)</f>
        <v/>
      </c>
    </row>
    <row r="273">
      <c r="AO273" s="55">
        <f>IF(AND(Analysis_Helper!Q273="BENGALURU",Analysis_Helper!L273="Grocery"),Analysis_Helper!I273,0)</f>
        <v/>
      </c>
    </row>
    <row r="274">
      <c r="AO274" s="55">
        <f>IF(AND(Analysis_Helper!Q274="BENGALURU",Analysis_Helper!L274="Grocery"),Analysis_Helper!I274,0)</f>
        <v/>
      </c>
    </row>
    <row r="275">
      <c r="AO275" s="55">
        <f>IF(AND(Analysis_Helper!Q275="BENGALURU",Analysis_Helper!L275="Grocery"),Analysis_Helper!I275,0)</f>
        <v/>
      </c>
    </row>
    <row r="276">
      <c r="AO276" s="55">
        <f>IF(AND(Analysis_Helper!Q276="BENGALURU",Analysis_Helper!L276="Grocery"),Analysis_Helper!I276,0)</f>
        <v/>
      </c>
    </row>
    <row r="277">
      <c r="AO277" s="55">
        <f>IF(AND(Analysis_Helper!Q277="BENGALURU",Analysis_Helper!L277="Grocery"),Analysis_Helper!I277,0)</f>
        <v/>
      </c>
    </row>
    <row r="278">
      <c r="AO278" s="55">
        <f>IF(AND(Analysis_Helper!Q278="BENGALURU",Analysis_Helper!L278="Grocery"),Analysis_Helper!I278,0)</f>
        <v/>
      </c>
    </row>
    <row r="279">
      <c r="AO279" s="55">
        <f>IF(AND(Analysis_Helper!Q279="BENGALURU",Analysis_Helper!L279="Grocery"),Analysis_Helper!I279,0)</f>
        <v/>
      </c>
    </row>
    <row r="280">
      <c r="AO280" s="55">
        <f>IF(AND(Analysis_Helper!Q280="BENGALURU",Analysis_Helper!L280="Grocery"),Analysis_Helper!I280,0)</f>
        <v/>
      </c>
    </row>
    <row r="281">
      <c r="AO281" s="55">
        <f>IF(AND(Analysis_Helper!Q281="BENGALURU",Analysis_Helper!L281="Grocery"),Analysis_Helper!I281,0)</f>
        <v/>
      </c>
    </row>
    <row r="282">
      <c r="AO282" s="55">
        <f>IF(AND(Analysis_Helper!Q282="BENGALURU",Analysis_Helper!L282="Grocery"),Analysis_Helper!I282,0)</f>
        <v/>
      </c>
    </row>
    <row r="283">
      <c r="AO283" s="55">
        <f>IF(AND(Analysis_Helper!Q283="BENGALURU",Analysis_Helper!L283="Grocery"),Analysis_Helper!I283,0)</f>
        <v/>
      </c>
    </row>
    <row r="284">
      <c r="AO284" s="55">
        <f>IF(AND(Analysis_Helper!Q284="BENGALURU",Analysis_Helper!L284="Grocery"),Analysis_Helper!I284,0)</f>
        <v/>
      </c>
    </row>
    <row r="285">
      <c r="AO285" s="55">
        <f>IF(AND(Analysis_Helper!Q285="BENGALURU",Analysis_Helper!L285="Grocery"),Analysis_Helper!I285,0)</f>
        <v/>
      </c>
    </row>
    <row r="286">
      <c r="AO286" s="55">
        <f>IF(AND(Analysis_Helper!Q286="BENGALURU",Analysis_Helper!L286="Grocery"),Analysis_Helper!I286,0)</f>
        <v/>
      </c>
    </row>
    <row r="287">
      <c r="AO287" s="55">
        <f>IF(AND(Analysis_Helper!Q287="BENGALURU",Analysis_Helper!L287="Grocery"),Analysis_Helper!I287,0)</f>
        <v/>
      </c>
    </row>
    <row r="288">
      <c r="AO288" s="55">
        <f>IF(AND(Analysis_Helper!Q288="BENGALURU",Analysis_Helper!L288="Grocery"),Analysis_Helper!I288,0)</f>
        <v/>
      </c>
    </row>
    <row r="289">
      <c r="AO289" s="55">
        <f>IF(AND(Analysis_Helper!Q289="BENGALURU",Analysis_Helper!L289="Grocery"),Analysis_Helper!I289,0)</f>
        <v/>
      </c>
    </row>
    <row r="290">
      <c r="AO290" s="55">
        <f>IF(AND(Analysis_Helper!Q290="BENGALURU",Analysis_Helper!L290="Grocery"),Analysis_Helper!I290,0)</f>
        <v/>
      </c>
    </row>
    <row r="291">
      <c r="AO291" s="55">
        <f>IF(AND(Analysis_Helper!Q291="BENGALURU",Analysis_Helper!L291="Grocery"),Analysis_Helper!I291,0)</f>
        <v/>
      </c>
    </row>
    <row r="292">
      <c r="AO292" s="55">
        <f>IF(AND(Analysis_Helper!Q292="BENGALURU",Analysis_Helper!L292="Grocery"),Analysis_Helper!I292,0)</f>
        <v/>
      </c>
    </row>
    <row r="293">
      <c r="AO293" s="55">
        <f>IF(AND(Analysis_Helper!Q293="BENGALURU",Analysis_Helper!L293="Grocery"),Analysis_Helper!I293,0)</f>
        <v/>
      </c>
    </row>
    <row r="294">
      <c r="AO294" s="55">
        <f>IF(AND(Analysis_Helper!Q294="BENGALURU",Analysis_Helper!L294="Grocery"),Analysis_Helper!I294,0)</f>
        <v/>
      </c>
    </row>
    <row r="295">
      <c r="AO295" s="55">
        <f>IF(AND(Analysis_Helper!Q295="BENGALURU",Analysis_Helper!L295="Grocery"),Analysis_Helper!I295,0)</f>
        <v/>
      </c>
    </row>
    <row r="296">
      <c r="AO296" s="55">
        <f>IF(AND(Analysis_Helper!Q296="BENGALURU",Analysis_Helper!L296="Grocery"),Analysis_Helper!I296,0)</f>
        <v/>
      </c>
    </row>
    <row r="297">
      <c r="AO297" s="55">
        <f>IF(AND(Analysis_Helper!Q297="BENGALURU",Analysis_Helper!L297="Grocery"),Analysis_Helper!I297,0)</f>
        <v/>
      </c>
    </row>
    <row r="298">
      <c r="AO298" s="55">
        <f>IF(AND(Analysis_Helper!Q298="BENGALURU",Analysis_Helper!L298="Grocery"),Analysis_Helper!I298,0)</f>
        <v/>
      </c>
    </row>
    <row r="299">
      <c r="AO299" s="55">
        <f>IF(AND(Analysis_Helper!Q299="BENGALURU",Analysis_Helper!L299="Grocery"),Analysis_Helper!I299,0)</f>
        <v/>
      </c>
    </row>
    <row r="300">
      <c r="AO300" s="55">
        <f>IF(AND(Analysis_Helper!Q300="BENGALURU",Analysis_Helper!L300="Grocery"),Analysis_Helper!I300,0)</f>
        <v/>
      </c>
    </row>
    <row r="301">
      <c r="AO301" s="55">
        <f>IF(AND(Analysis_Helper!Q301="BENGALURU",Analysis_Helper!L301="Grocery"),Analysis_Helper!I301,0)</f>
        <v/>
      </c>
    </row>
    <row r="302">
      <c r="AO302" s="55">
        <f>IF(AND(Analysis_Helper!Q302="BENGALURU",Analysis_Helper!L302="Grocery"),Analysis_Helper!I302,0)</f>
        <v/>
      </c>
    </row>
    <row r="303">
      <c r="AO303" s="55">
        <f>IF(AND(Analysis_Helper!Q303="BENGALURU",Analysis_Helper!L303="Grocery"),Analysis_Helper!I303,0)</f>
        <v/>
      </c>
    </row>
    <row r="304">
      <c r="AO304" s="55">
        <f>IF(AND(Analysis_Helper!Q304="BENGALURU",Analysis_Helper!L304="Grocery"),Analysis_Helper!I304,0)</f>
        <v/>
      </c>
    </row>
    <row r="305">
      <c r="AO305" s="55">
        <f>IF(AND(Analysis_Helper!Q305="BENGALURU",Analysis_Helper!L305="Grocery"),Analysis_Helper!I305,0)</f>
        <v/>
      </c>
    </row>
    <row r="306">
      <c r="AO306" s="55">
        <f>IF(AND(Analysis_Helper!Q306="BENGALURU",Analysis_Helper!L306="Grocery"),Analysis_Helper!I306,0)</f>
        <v/>
      </c>
    </row>
    <row r="307">
      <c r="AO307" s="55">
        <f>IF(AND(Analysis_Helper!Q307="BENGALURU",Analysis_Helper!L307="Grocery"),Analysis_Helper!I307,0)</f>
        <v/>
      </c>
    </row>
    <row r="308">
      <c r="AO308" s="55">
        <f>IF(AND(Analysis_Helper!Q308="BENGALURU",Analysis_Helper!L308="Grocery"),Analysis_Helper!I308,0)</f>
        <v/>
      </c>
    </row>
    <row r="309">
      <c r="AO309" s="55">
        <f>IF(AND(Analysis_Helper!Q309="BENGALURU",Analysis_Helper!L309="Grocery"),Analysis_Helper!I309,0)</f>
        <v/>
      </c>
    </row>
    <row r="310">
      <c r="AO310" s="55">
        <f>IF(AND(Analysis_Helper!Q310="BENGALURU",Analysis_Helper!L310="Grocery"),Analysis_Helper!I310,0)</f>
        <v/>
      </c>
    </row>
    <row r="311">
      <c r="AO311" s="55">
        <f>IF(AND(Analysis_Helper!Q311="BENGALURU",Analysis_Helper!L311="Grocery"),Analysis_Helper!I311,0)</f>
        <v/>
      </c>
    </row>
    <row r="312">
      <c r="AO312" s="55">
        <f>IF(AND(Analysis_Helper!Q312="BENGALURU",Analysis_Helper!L312="Grocery"),Analysis_Helper!I312,0)</f>
        <v/>
      </c>
    </row>
    <row r="313">
      <c r="AO313" s="55">
        <f>IF(AND(Analysis_Helper!Q313="BENGALURU",Analysis_Helper!L313="Grocery"),Analysis_Helper!I313,0)</f>
        <v/>
      </c>
    </row>
    <row r="314">
      <c r="AO314" s="55">
        <f>IF(AND(Analysis_Helper!Q314="BENGALURU",Analysis_Helper!L314="Grocery"),Analysis_Helper!I314,0)</f>
        <v/>
      </c>
    </row>
    <row r="315">
      <c r="AO315" s="55">
        <f>IF(AND(Analysis_Helper!Q315="BENGALURU",Analysis_Helper!L315="Grocery"),Analysis_Helper!I315,0)</f>
        <v/>
      </c>
    </row>
    <row r="316">
      <c r="AO316" s="55">
        <f>IF(AND(Analysis_Helper!Q316="BENGALURU",Analysis_Helper!L316="Grocery"),Analysis_Helper!I316,0)</f>
        <v/>
      </c>
    </row>
    <row r="317">
      <c r="AO317" s="55">
        <f>IF(AND(Analysis_Helper!Q317="BENGALURU",Analysis_Helper!L317="Grocery"),Analysis_Helper!I317,0)</f>
        <v/>
      </c>
    </row>
    <row r="318">
      <c r="AO318" s="55">
        <f>IF(AND(Analysis_Helper!Q318="BENGALURU",Analysis_Helper!L318="Grocery"),Analysis_Helper!I318,0)</f>
        <v/>
      </c>
    </row>
    <row r="319">
      <c r="AO319" s="55">
        <f>IF(AND(Analysis_Helper!Q319="BENGALURU",Analysis_Helper!L319="Grocery"),Analysis_Helper!I319,0)</f>
        <v/>
      </c>
    </row>
    <row r="320">
      <c r="AO320" s="55">
        <f>IF(AND(Analysis_Helper!Q320="BENGALURU",Analysis_Helper!L320="Grocery"),Analysis_Helper!I320,0)</f>
        <v/>
      </c>
    </row>
    <row r="321">
      <c r="AO321" s="55">
        <f>IF(AND(Analysis_Helper!Q321="BENGALURU",Analysis_Helper!L321="Grocery"),Analysis_Helper!I321,0)</f>
        <v/>
      </c>
    </row>
    <row r="322">
      <c r="AO322" s="55">
        <f>IF(AND(Analysis_Helper!Q322="BENGALURU",Analysis_Helper!L322="Grocery"),Analysis_Helper!I322,0)</f>
        <v/>
      </c>
    </row>
    <row r="323">
      <c r="AO323" s="55">
        <f>IF(AND(Analysis_Helper!Q323="BENGALURU",Analysis_Helper!L323="Grocery"),Analysis_Helper!I323,0)</f>
        <v/>
      </c>
    </row>
    <row r="324">
      <c r="AO324" s="55">
        <f>IF(AND(Analysis_Helper!Q324="BENGALURU",Analysis_Helper!L324="Grocery"),Analysis_Helper!I324,0)</f>
        <v/>
      </c>
    </row>
    <row r="325">
      <c r="AO325" s="55">
        <f>IF(AND(Analysis_Helper!Q325="BENGALURU",Analysis_Helper!L325="Grocery"),Analysis_Helper!I325,0)</f>
        <v/>
      </c>
    </row>
    <row r="326">
      <c r="AO326" s="55">
        <f>IF(AND(Analysis_Helper!Q326="BENGALURU",Analysis_Helper!L326="Grocery"),Analysis_Helper!I326,0)</f>
        <v/>
      </c>
    </row>
    <row r="327">
      <c r="AO327" s="55">
        <f>IF(AND(Analysis_Helper!Q327="BENGALURU",Analysis_Helper!L327="Grocery"),Analysis_Helper!I327,0)</f>
        <v/>
      </c>
    </row>
    <row r="328">
      <c r="AO328" s="55">
        <f>IF(AND(Analysis_Helper!Q328="BENGALURU",Analysis_Helper!L328="Grocery"),Analysis_Helper!I328,0)</f>
        <v/>
      </c>
    </row>
    <row r="329">
      <c r="AO329" s="55">
        <f>IF(AND(Analysis_Helper!Q329="BENGALURU",Analysis_Helper!L329="Grocery"),Analysis_Helper!I329,0)</f>
        <v/>
      </c>
    </row>
    <row r="330">
      <c r="AO330" s="55">
        <f>IF(AND(Analysis_Helper!Q330="BENGALURU",Analysis_Helper!L330="Grocery"),Analysis_Helper!I330,0)</f>
        <v/>
      </c>
    </row>
    <row r="331">
      <c r="AO331" s="55">
        <f>IF(AND(Analysis_Helper!Q331="BENGALURU",Analysis_Helper!L331="Grocery"),Analysis_Helper!I331,0)</f>
        <v/>
      </c>
    </row>
    <row r="332">
      <c r="AO332" s="55">
        <f>IF(AND(Analysis_Helper!Q332="BENGALURU",Analysis_Helper!L332="Grocery"),Analysis_Helper!I332,0)</f>
        <v/>
      </c>
    </row>
    <row r="333">
      <c r="AO333" s="55">
        <f>IF(AND(Analysis_Helper!Q333="BENGALURU",Analysis_Helper!L333="Grocery"),Analysis_Helper!I333,0)</f>
        <v/>
      </c>
    </row>
    <row r="334">
      <c r="AO334" s="55">
        <f>IF(AND(Analysis_Helper!Q334="BENGALURU",Analysis_Helper!L334="Grocery"),Analysis_Helper!I334,0)</f>
        <v/>
      </c>
    </row>
    <row r="335">
      <c r="AO335" s="55">
        <f>IF(AND(Analysis_Helper!Q335="BENGALURU",Analysis_Helper!L335="Grocery"),Analysis_Helper!I335,0)</f>
        <v/>
      </c>
    </row>
    <row r="336">
      <c r="AO336" s="55">
        <f>IF(AND(Analysis_Helper!Q336="BENGALURU",Analysis_Helper!L336="Grocery"),Analysis_Helper!I336,0)</f>
        <v/>
      </c>
    </row>
    <row r="337">
      <c r="AO337" s="55">
        <f>IF(AND(Analysis_Helper!Q337="BENGALURU",Analysis_Helper!L337="Grocery"),Analysis_Helper!I337,0)</f>
        <v/>
      </c>
    </row>
    <row r="338">
      <c r="AO338" s="55">
        <f>IF(AND(Analysis_Helper!Q338="BENGALURU",Analysis_Helper!L338="Grocery"),Analysis_Helper!I338,0)</f>
        <v/>
      </c>
    </row>
    <row r="339">
      <c r="AO339" s="55">
        <f>IF(AND(Analysis_Helper!Q339="BENGALURU",Analysis_Helper!L339="Grocery"),Analysis_Helper!I339,0)</f>
        <v/>
      </c>
    </row>
    <row r="340">
      <c r="AO340" s="55">
        <f>IF(AND(Analysis_Helper!Q340="BENGALURU",Analysis_Helper!L340="Grocery"),Analysis_Helper!I340,0)</f>
        <v/>
      </c>
    </row>
    <row r="341">
      <c r="AO341" s="55">
        <f>IF(AND(Analysis_Helper!Q341="BENGALURU",Analysis_Helper!L341="Grocery"),Analysis_Helper!I341,0)</f>
        <v/>
      </c>
    </row>
    <row r="342">
      <c r="AO342" s="55">
        <f>IF(AND(Analysis_Helper!Q342="BENGALURU",Analysis_Helper!L342="Grocery"),Analysis_Helper!I342,0)</f>
        <v/>
      </c>
    </row>
    <row r="343">
      <c r="AO343" s="55">
        <f>IF(AND(Analysis_Helper!Q343="BENGALURU",Analysis_Helper!L343="Grocery"),Analysis_Helper!I343,0)</f>
        <v/>
      </c>
    </row>
    <row r="344">
      <c r="AO344" s="55">
        <f>IF(AND(Analysis_Helper!Q344="BENGALURU",Analysis_Helper!L344="Grocery"),Analysis_Helper!I344,0)</f>
        <v/>
      </c>
    </row>
    <row r="345">
      <c r="AO345" s="55">
        <f>IF(AND(Analysis_Helper!Q345="BENGALURU",Analysis_Helper!L345="Grocery"),Analysis_Helper!I345,0)</f>
        <v/>
      </c>
    </row>
    <row r="346">
      <c r="AO346" s="55">
        <f>IF(AND(Analysis_Helper!Q346="BENGALURU",Analysis_Helper!L346="Grocery"),Analysis_Helper!I346,0)</f>
        <v/>
      </c>
    </row>
    <row r="347">
      <c r="AO347" s="55">
        <f>IF(AND(Analysis_Helper!Q347="BENGALURU",Analysis_Helper!L347="Grocery"),Analysis_Helper!I347,0)</f>
        <v/>
      </c>
    </row>
    <row r="348">
      <c r="AO348" s="55">
        <f>IF(AND(Analysis_Helper!Q348="BENGALURU",Analysis_Helper!L348="Grocery"),Analysis_Helper!I348,0)</f>
        <v/>
      </c>
    </row>
    <row r="349">
      <c r="AO349" s="55">
        <f>IF(AND(Analysis_Helper!Q349="BENGALURU",Analysis_Helper!L349="Grocery"),Analysis_Helper!I349,0)</f>
        <v/>
      </c>
    </row>
    <row r="350">
      <c r="AO350" s="55">
        <f>IF(AND(Analysis_Helper!Q350="BENGALURU",Analysis_Helper!L350="Grocery"),Analysis_Helper!I350,0)</f>
        <v/>
      </c>
    </row>
    <row r="351">
      <c r="AO351" s="55">
        <f>IF(AND(Analysis_Helper!Q351="BENGALURU",Analysis_Helper!L351="Grocery"),Analysis_Helper!I351,0)</f>
        <v/>
      </c>
    </row>
    <row r="352">
      <c r="AO352" s="55">
        <f>IF(AND(Analysis_Helper!Q352="BENGALURU",Analysis_Helper!L352="Grocery"),Analysis_Helper!I352,0)</f>
        <v/>
      </c>
    </row>
    <row r="353">
      <c r="AO353" s="55">
        <f>IF(AND(Analysis_Helper!Q353="BENGALURU",Analysis_Helper!L353="Grocery"),Analysis_Helper!I353,0)</f>
        <v/>
      </c>
    </row>
    <row r="354">
      <c r="AO354" s="55">
        <f>IF(AND(Analysis_Helper!Q354="BENGALURU",Analysis_Helper!L354="Grocery"),Analysis_Helper!I354,0)</f>
        <v/>
      </c>
    </row>
    <row r="355">
      <c r="AO355" s="55">
        <f>IF(AND(Analysis_Helper!Q355="BENGALURU",Analysis_Helper!L355="Grocery"),Analysis_Helper!I355,0)</f>
        <v/>
      </c>
    </row>
    <row r="356">
      <c r="AO356" s="55">
        <f>IF(AND(Analysis_Helper!Q356="BENGALURU",Analysis_Helper!L356="Grocery"),Analysis_Helper!I356,0)</f>
        <v/>
      </c>
    </row>
    <row r="357">
      <c r="AO357" s="55">
        <f>IF(AND(Analysis_Helper!Q357="BENGALURU",Analysis_Helper!L357="Grocery"),Analysis_Helper!I357,0)</f>
        <v/>
      </c>
    </row>
    <row r="358">
      <c r="AO358" s="55">
        <f>IF(AND(Analysis_Helper!Q358="BENGALURU",Analysis_Helper!L358="Grocery"),Analysis_Helper!I358,0)</f>
        <v/>
      </c>
    </row>
    <row r="359">
      <c r="AO359" s="55">
        <f>IF(AND(Analysis_Helper!Q359="BENGALURU",Analysis_Helper!L359="Grocery"),Analysis_Helper!I359,0)</f>
        <v/>
      </c>
    </row>
    <row r="360">
      <c r="AO360" s="55">
        <f>IF(AND(Analysis_Helper!Q360="BENGALURU",Analysis_Helper!L360="Grocery"),Analysis_Helper!I360,0)</f>
        <v/>
      </c>
    </row>
    <row r="361">
      <c r="AO361" s="55">
        <f>IF(AND(Analysis_Helper!Q361="BENGALURU",Analysis_Helper!L361="Grocery"),Analysis_Helper!I361,0)</f>
        <v/>
      </c>
    </row>
    <row r="362">
      <c r="AO362" s="55">
        <f>IF(AND(Analysis_Helper!Q362="BENGALURU",Analysis_Helper!L362="Grocery"),Analysis_Helper!I362,0)</f>
        <v/>
      </c>
    </row>
    <row r="363">
      <c r="AO363" s="55">
        <f>IF(AND(Analysis_Helper!Q363="BENGALURU",Analysis_Helper!L363="Grocery"),Analysis_Helper!I363,0)</f>
        <v/>
      </c>
    </row>
    <row r="364">
      <c r="AO364" s="55">
        <f>IF(AND(Analysis_Helper!Q364="BENGALURU",Analysis_Helper!L364="Grocery"),Analysis_Helper!I364,0)</f>
        <v/>
      </c>
    </row>
    <row r="365">
      <c r="AO365" s="55">
        <f>IF(AND(Analysis_Helper!Q365="BENGALURU",Analysis_Helper!L365="Grocery"),Analysis_Helper!I365,0)</f>
        <v/>
      </c>
    </row>
    <row r="366">
      <c r="AO366" s="55">
        <f>IF(AND(Analysis_Helper!Q366="BENGALURU",Analysis_Helper!L366="Grocery"),Analysis_Helper!I366,0)</f>
        <v/>
      </c>
    </row>
    <row r="367">
      <c r="AO367" s="55">
        <f>IF(AND(Analysis_Helper!Q367="BENGALURU",Analysis_Helper!L367="Grocery"),Analysis_Helper!I367,0)</f>
        <v/>
      </c>
    </row>
    <row r="368">
      <c r="AO368" s="55">
        <f>IF(AND(Analysis_Helper!Q368="BENGALURU",Analysis_Helper!L368="Grocery"),Analysis_Helper!I368,0)</f>
        <v/>
      </c>
    </row>
    <row r="369">
      <c r="AO369" s="55">
        <f>IF(AND(Analysis_Helper!Q369="BENGALURU",Analysis_Helper!L369="Grocery"),Analysis_Helper!I369,0)</f>
        <v/>
      </c>
    </row>
    <row r="370">
      <c r="AO370" s="55">
        <f>IF(AND(Analysis_Helper!Q370="BENGALURU",Analysis_Helper!L370="Grocery"),Analysis_Helper!I370,0)</f>
        <v/>
      </c>
    </row>
    <row r="371">
      <c r="AO371" s="55">
        <f>IF(AND(Analysis_Helper!Q371="BENGALURU",Analysis_Helper!L371="Grocery"),Analysis_Helper!I371,0)</f>
        <v/>
      </c>
    </row>
    <row r="372">
      <c r="AO372" s="55">
        <f>IF(AND(Analysis_Helper!Q372="BENGALURU",Analysis_Helper!L372="Grocery"),Analysis_Helper!I372,0)</f>
        <v/>
      </c>
    </row>
    <row r="373">
      <c r="AO373" s="55">
        <f>IF(AND(Analysis_Helper!Q373="BENGALURU",Analysis_Helper!L373="Grocery"),Analysis_Helper!I373,0)</f>
        <v/>
      </c>
    </row>
    <row r="374">
      <c r="AO374" s="55">
        <f>IF(AND(Analysis_Helper!Q374="BENGALURU",Analysis_Helper!L374="Grocery"),Analysis_Helper!I374,0)</f>
        <v/>
      </c>
    </row>
    <row r="375">
      <c r="AO375" s="55">
        <f>IF(AND(Analysis_Helper!Q375="BENGALURU",Analysis_Helper!L375="Grocery"),Analysis_Helper!I375,0)</f>
        <v/>
      </c>
    </row>
    <row r="376">
      <c r="AO376" s="55">
        <f>IF(AND(Analysis_Helper!Q376="BENGALURU",Analysis_Helper!L376="Grocery"),Analysis_Helper!I376,0)</f>
        <v/>
      </c>
    </row>
    <row r="377">
      <c r="AO377" s="55">
        <f>IF(AND(Analysis_Helper!Q377="BENGALURU",Analysis_Helper!L377="Grocery"),Analysis_Helper!I377,0)</f>
        <v/>
      </c>
    </row>
    <row r="378">
      <c r="AO378" s="55">
        <f>IF(AND(Analysis_Helper!Q378="BENGALURU",Analysis_Helper!L378="Grocery"),Analysis_Helper!I378,0)</f>
        <v/>
      </c>
    </row>
    <row r="379">
      <c r="AO379" s="55">
        <f>IF(AND(Analysis_Helper!Q379="BENGALURU",Analysis_Helper!L379="Grocery"),Analysis_Helper!I379,0)</f>
        <v/>
      </c>
    </row>
    <row r="380">
      <c r="AO380" s="55">
        <f>IF(AND(Analysis_Helper!Q380="BENGALURU",Analysis_Helper!L380="Grocery"),Analysis_Helper!I380,0)</f>
        <v/>
      </c>
    </row>
    <row r="381">
      <c r="AO381" s="55">
        <f>IF(AND(Analysis_Helper!Q381="BENGALURU",Analysis_Helper!L381="Grocery"),Analysis_Helper!I381,0)</f>
        <v/>
      </c>
    </row>
    <row r="382">
      <c r="AO382" s="55">
        <f>IF(AND(Analysis_Helper!Q382="BENGALURU",Analysis_Helper!L382="Grocery"),Analysis_Helper!I382,0)</f>
        <v/>
      </c>
    </row>
    <row r="383">
      <c r="AO383" s="55">
        <f>IF(AND(Analysis_Helper!Q383="BENGALURU",Analysis_Helper!L383="Grocery"),Analysis_Helper!I383,0)</f>
        <v/>
      </c>
    </row>
    <row r="384">
      <c r="AO384" s="55">
        <f>IF(AND(Analysis_Helper!Q384="BENGALURU",Analysis_Helper!L384="Grocery"),Analysis_Helper!I384,0)</f>
        <v/>
      </c>
    </row>
    <row r="385">
      <c r="AO385" s="55">
        <f>IF(AND(Analysis_Helper!Q385="BENGALURU",Analysis_Helper!L385="Grocery"),Analysis_Helper!I385,0)</f>
        <v/>
      </c>
    </row>
    <row r="386">
      <c r="AO386" s="55">
        <f>IF(AND(Analysis_Helper!Q386="BENGALURU",Analysis_Helper!L386="Grocery"),Analysis_Helper!I386,0)</f>
        <v/>
      </c>
    </row>
    <row r="387">
      <c r="AO387" s="55">
        <f>IF(AND(Analysis_Helper!Q387="BENGALURU",Analysis_Helper!L387="Grocery"),Analysis_Helper!I387,0)</f>
        <v/>
      </c>
    </row>
    <row r="388">
      <c r="AO388" s="55">
        <f>IF(AND(Analysis_Helper!Q388="BENGALURU",Analysis_Helper!L388="Grocery"),Analysis_Helper!I388,0)</f>
        <v/>
      </c>
    </row>
    <row r="389">
      <c r="AO389" s="55">
        <f>IF(AND(Analysis_Helper!Q389="BENGALURU",Analysis_Helper!L389="Grocery"),Analysis_Helper!I389,0)</f>
        <v/>
      </c>
    </row>
    <row r="390">
      <c r="AO390" s="55">
        <f>IF(AND(Analysis_Helper!Q390="BENGALURU",Analysis_Helper!L390="Grocery"),Analysis_Helper!I390,0)</f>
        <v/>
      </c>
    </row>
    <row r="391">
      <c r="AO391" s="55">
        <f>IF(AND(Analysis_Helper!Q391="BENGALURU",Analysis_Helper!L391="Grocery"),Analysis_Helper!I391,0)</f>
        <v/>
      </c>
    </row>
    <row r="392">
      <c r="AO392" s="55">
        <f>IF(AND(Analysis_Helper!Q392="BENGALURU",Analysis_Helper!L392="Grocery"),Analysis_Helper!I392,0)</f>
        <v/>
      </c>
    </row>
    <row r="393">
      <c r="AO393" s="55">
        <f>IF(AND(Analysis_Helper!Q393="BENGALURU",Analysis_Helper!L393="Grocery"),Analysis_Helper!I393,0)</f>
        <v/>
      </c>
    </row>
    <row r="394">
      <c r="AO394" s="55">
        <f>IF(AND(Analysis_Helper!Q394="BENGALURU",Analysis_Helper!L394="Grocery"),Analysis_Helper!I394,0)</f>
        <v/>
      </c>
    </row>
    <row r="395">
      <c r="AO395" s="55">
        <f>IF(AND(Analysis_Helper!Q395="BENGALURU",Analysis_Helper!L395="Grocery"),Analysis_Helper!I395,0)</f>
        <v/>
      </c>
    </row>
    <row r="396">
      <c r="AO396" s="55">
        <f>IF(AND(Analysis_Helper!Q396="BENGALURU",Analysis_Helper!L396="Grocery"),Analysis_Helper!I396,0)</f>
        <v/>
      </c>
    </row>
    <row r="397">
      <c r="AO397" s="55">
        <f>IF(AND(Analysis_Helper!Q397="BENGALURU",Analysis_Helper!L397="Grocery"),Analysis_Helper!I397,0)</f>
        <v/>
      </c>
    </row>
    <row r="398">
      <c r="AO398" s="55">
        <f>IF(AND(Analysis_Helper!Q398="BENGALURU",Analysis_Helper!L398="Grocery"),Analysis_Helper!I398,0)</f>
        <v/>
      </c>
    </row>
    <row r="399">
      <c r="AO399" s="55">
        <f>IF(AND(Analysis_Helper!Q399="BENGALURU",Analysis_Helper!L399="Grocery"),Analysis_Helper!I399,0)</f>
        <v/>
      </c>
    </row>
    <row r="400">
      <c r="AO400" s="55">
        <f>IF(AND(Analysis_Helper!Q400="BENGALURU",Analysis_Helper!L400="Grocery"),Analysis_Helper!I400,0)</f>
        <v/>
      </c>
    </row>
    <row r="401">
      <c r="AO401" s="55">
        <f>IF(AND(Analysis_Helper!Q401="BENGALURU",Analysis_Helper!L401="Grocery"),Analysis_Helper!I401,0)</f>
        <v/>
      </c>
    </row>
    <row r="402">
      <c r="AO402" s="55">
        <f>IF(AND(Analysis_Helper!Q402="BENGALURU",Analysis_Helper!L402="Grocery"),Analysis_Helper!I402,0)</f>
        <v/>
      </c>
    </row>
    <row r="403">
      <c r="AO403" s="55">
        <f>IF(AND(Analysis_Helper!Q403="BENGALURU",Analysis_Helper!L403="Grocery"),Analysis_Helper!I403,0)</f>
        <v/>
      </c>
    </row>
    <row r="404">
      <c r="AO404" s="55">
        <f>IF(AND(Analysis_Helper!Q404="BENGALURU",Analysis_Helper!L404="Grocery"),Analysis_Helper!I404,0)</f>
        <v/>
      </c>
    </row>
    <row r="405">
      <c r="AO405" s="55">
        <f>IF(AND(Analysis_Helper!Q405="BENGALURU",Analysis_Helper!L405="Grocery"),Analysis_Helper!I405,0)</f>
        <v/>
      </c>
    </row>
    <row r="406">
      <c r="AO406" s="55">
        <f>IF(AND(Analysis_Helper!Q406="BENGALURU",Analysis_Helper!L406="Grocery"),Analysis_Helper!I406,0)</f>
        <v/>
      </c>
    </row>
    <row r="407">
      <c r="AO407" s="55">
        <f>IF(AND(Analysis_Helper!Q407="BENGALURU",Analysis_Helper!L407="Grocery"),Analysis_Helper!I407,0)</f>
        <v/>
      </c>
    </row>
    <row r="408">
      <c r="AO408" s="55">
        <f>IF(AND(Analysis_Helper!Q408="BENGALURU",Analysis_Helper!L408="Grocery"),Analysis_Helper!I408,0)</f>
        <v/>
      </c>
    </row>
    <row r="409">
      <c r="AO409" s="55">
        <f>IF(AND(Analysis_Helper!Q409="BENGALURU",Analysis_Helper!L409="Grocery"),Analysis_Helper!I409,0)</f>
        <v/>
      </c>
    </row>
    <row r="410">
      <c r="AO410" s="55">
        <f>IF(AND(Analysis_Helper!Q410="BENGALURU",Analysis_Helper!L410="Grocery"),Analysis_Helper!I410,0)</f>
        <v/>
      </c>
    </row>
    <row r="411">
      <c r="AO411" s="55">
        <f>IF(AND(Analysis_Helper!Q411="BENGALURU",Analysis_Helper!L411="Grocery"),Analysis_Helper!I411,0)</f>
        <v/>
      </c>
    </row>
    <row r="412">
      <c r="AO412" s="55">
        <f>IF(AND(Analysis_Helper!Q412="BENGALURU",Analysis_Helper!L412="Grocery"),Analysis_Helper!I412,0)</f>
        <v/>
      </c>
    </row>
    <row r="413">
      <c r="AO413" s="55">
        <f>IF(AND(Analysis_Helper!Q413="BENGALURU",Analysis_Helper!L413="Grocery"),Analysis_Helper!I413,0)</f>
        <v/>
      </c>
    </row>
    <row r="414">
      <c r="AO414" s="55">
        <f>IF(AND(Analysis_Helper!Q414="BENGALURU",Analysis_Helper!L414="Grocery"),Analysis_Helper!I414,0)</f>
        <v/>
      </c>
    </row>
    <row r="415">
      <c r="AO415" s="55">
        <f>IF(AND(Analysis_Helper!Q415="BENGALURU",Analysis_Helper!L415="Grocery"),Analysis_Helper!I415,0)</f>
        <v/>
      </c>
    </row>
    <row r="416">
      <c r="AO416" s="55">
        <f>IF(AND(Analysis_Helper!Q416="BENGALURU",Analysis_Helper!L416="Grocery"),Analysis_Helper!I416,0)</f>
        <v/>
      </c>
    </row>
    <row r="417">
      <c r="AO417" s="55">
        <f>IF(AND(Analysis_Helper!Q417="BENGALURU",Analysis_Helper!L417="Grocery"),Analysis_Helper!I417,0)</f>
        <v/>
      </c>
    </row>
    <row r="418">
      <c r="AO418" s="55">
        <f>IF(AND(Analysis_Helper!Q418="BENGALURU",Analysis_Helper!L418="Grocery"),Analysis_Helper!I418,0)</f>
        <v/>
      </c>
    </row>
    <row r="419">
      <c r="AO419" s="55">
        <f>IF(AND(Analysis_Helper!Q419="BENGALURU",Analysis_Helper!L419="Grocery"),Analysis_Helper!I419,0)</f>
        <v/>
      </c>
    </row>
    <row r="420">
      <c r="AO420" s="55">
        <f>IF(AND(Analysis_Helper!Q420="BENGALURU",Analysis_Helper!L420="Grocery"),Analysis_Helper!I420,0)</f>
        <v/>
      </c>
    </row>
    <row r="421">
      <c r="AO421" s="55">
        <f>IF(AND(Analysis_Helper!Q421="BENGALURU",Analysis_Helper!L421="Grocery"),Analysis_Helper!I421,0)</f>
        <v/>
      </c>
    </row>
    <row r="422">
      <c r="AO422" s="55">
        <f>IF(AND(Analysis_Helper!Q422="BENGALURU",Analysis_Helper!L422="Grocery"),Analysis_Helper!I422,0)</f>
        <v/>
      </c>
    </row>
    <row r="423">
      <c r="AO423" s="55">
        <f>IF(AND(Analysis_Helper!Q423="BENGALURU",Analysis_Helper!L423="Grocery"),Analysis_Helper!I423,0)</f>
        <v/>
      </c>
    </row>
    <row r="424">
      <c r="AO424" s="55">
        <f>IF(AND(Analysis_Helper!Q424="BENGALURU",Analysis_Helper!L424="Grocery"),Analysis_Helper!I424,0)</f>
        <v/>
      </c>
    </row>
    <row r="425">
      <c r="AO425" s="55">
        <f>IF(AND(Analysis_Helper!Q425="BENGALURU",Analysis_Helper!L425="Grocery"),Analysis_Helper!I425,0)</f>
        <v/>
      </c>
    </row>
    <row r="426">
      <c r="AO426" s="55">
        <f>IF(AND(Analysis_Helper!Q426="BENGALURU",Analysis_Helper!L426="Grocery"),Analysis_Helper!I426,0)</f>
        <v/>
      </c>
    </row>
    <row r="427">
      <c r="AO427" s="55">
        <f>IF(AND(Analysis_Helper!Q427="BENGALURU",Analysis_Helper!L427="Grocery"),Analysis_Helper!I427,0)</f>
        <v/>
      </c>
    </row>
    <row r="428">
      <c r="AO428" s="55">
        <f>IF(AND(Analysis_Helper!Q428="BENGALURU",Analysis_Helper!L428="Grocery"),Analysis_Helper!I428,0)</f>
        <v/>
      </c>
    </row>
    <row r="429">
      <c r="AO429" s="55">
        <f>IF(AND(Analysis_Helper!Q429="BENGALURU",Analysis_Helper!L429="Grocery"),Analysis_Helper!I429,0)</f>
        <v/>
      </c>
    </row>
    <row r="430">
      <c r="AO430" s="55">
        <f>IF(AND(Analysis_Helper!Q430="BENGALURU",Analysis_Helper!L430="Grocery"),Analysis_Helper!I430,0)</f>
        <v/>
      </c>
    </row>
    <row r="431">
      <c r="AO431" s="55">
        <f>IF(AND(Analysis_Helper!Q431="BENGALURU",Analysis_Helper!L431="Grocery"),Analysis_Helper!I431,0)</f>
        <v/>
      </c>
    </row>
    <row r="432">
      <c r="AO432" s="55">
        <f>IF(AND(Analysis_Helper!Q432="BENGALURU",Analysis_Helper!L432="Grocery"),Analysis_Helper!I432,0)</f>
        <v/>
      </c>
    </row>
    <row r="433">
      <c r="AO433" s="55">
        <f>IF(AND(Analysis_Helper!Q433="BENGALURU",Analysis_Helper!L433="Grocery"),Analysis_Helper!I433,0)</f>
        <v/>
      </c>
    </row>
    <row r="434">
      <c r="AO434" s="55">
        <f>IF(AND(Analysis_Helper!Q434="BENGALURU",Analysis_Helper!L434="Grocery"),Analysis_Helper!I434,0)</f>
        <v/>
      </c>
    </row>
    <row r="435">
      <c r="AO435" s="55">
        <f>IF(AND(Analysis_Helper!Q435="BENGALURU",Analysis_Helper!L435="Grocery"),Analysis_Helper!I435,0)</f>
        <v/>
      </c>
    </row>
    <row r="436">
      <c r="AO436" s="55">
        <f>IF(AND(Analysis_Helper!Q436="BENGALURU",Analysis_Helper!L436="Grocery"),Analysis_Helper!I436,0)</f>
        <v/>
      </c>
    </row>
    <row r="437">
      <c r="AO437" s="55">
        <f>IF(AND(Analysis_Helper!Q437="BENGALURU",Analysis_Helper!L437="Grocery"),Analysis_Helper!I437,0)</f>
        <v/>
      </c>
    </row>
    <row r="438">
      <c r="AO438" s="55">
        <f>IF(AND(Analysis_Helper!Q438="BENGALURU",Analysis_Helper!L438="Grocery"),Analysis_Helper!I438,0)</f>
        <v/>
      </c>
    </row>
    <row r="439">
      <c r="AO439" s="55">
        <f>IF(AND(Analysis_Helper!Q439="BENGALURU",Analysis_Helper!L439="Grocery"),Analysis_Helper!I439,0)</f>
        <v/>
      </c>
    </row>
    <row r="440">
      <c r="AO440" s="55">
        <f>IF(AND(Analysis_Helper!Q440="BENGALURU",Analysis_Helper!L440="Grocery"),Analysis_Helper!I440,0)</f>
        <v/>
      </c>
    </row>
    <row r="441">
      <c r="AO441" s="55">
        <f>IF(AND(Analysis_Helper!Q441="BENGALURU",Analysis_Helper!L441="Grocery"),Analysis_Helper!I441,0)</f>
        <v/>
      </c>
    </row>
    <row r="442">
      <c r="AO442" s="55">
        <f>IF(AND(Analysis_Helper!Q442="BENGALURU",Analysis_Helper!L442="Grocery"),Analysis_Helper!I442,0)</f>
        <v/>
      </c>
    </row>
    <row r="443">
      <c r="AO443" s="55">
        <f>IF(AND(Analysis_Helper!Q443="BENGALURU",Analysis_Helper!L443="Grocery"),Analysis_Helper!I443,0)</f>
        <v/>
      </c>
    </row>
    <row r="444">
      <c r="AO444" s="55">
        <f>IF(AND(Analysis_Helper!Q444="BENGALURU",Analysis_Helper!L444="Grocery"),Analysis_Helper!I444,0)</f>
        <v/>
      </c>
    </row>
    <row r="445">
      <c r="AO445" s="55">
        <f>IF(AND(Analysis_Helper!Q445="BENGALURU",Analysis_Helper!L445="Grocery"),Analysis_Helper!I445,0)</f>
        <v/>
      </c>
    </row>
    <row r="446">
      <c r="AO446" s="55">
        <f>IF(AND(Analysis_Helper!Q446="BENGALURU",Analysis_Helper!L446="Grocery"),Analysis_Helper!I446,0)</f>
        <v/>
      </c>
    </row>
    <row r="447">
      <c r="AO447" s="55">
        <f>IF(AND(Analysis_Helper!Q447="BENGALURU",Analysis_Helper!L447="Grocery"),Analysis_Helper!I447,0)</f>
        <v/>
      </c>
    </row>
    <row r="448">
      <c r="AO448" s="55">
        <f>IF(AND(Analysis_Helper!Q448="BENGALURU",Analysis_Helper!L448="Grocery"),Analysis_Helper!I448,0)</f>
        <v/>
      </c>
    </row>
    <row r="449">
      <c r="AO449" s="55">
        <f>IF(AND(Analysis_Helper!Q449="BENGALURU",Analysis_Helper!L449="Grocery"),Analysis_Helper!I449,0)</f>
        <v/>
      </c>
    </row>
    <row r="450">
      <c r="AO450" s="55">
        <f>IF(AND(Analysis_Helper!Q450="BENGALURU",Analysis_Helper!L450="Grocery"),Analysis_Helper!I450,0)</f>
        <v/>
      </c>
    </row>
    <row r="451">
      <c r="AO451" s="55">
        <f>IF(AND(Analysis_Helper!Q451="BENGALURU",Analysis_Helper!L451="Grocery"),Analysis_Helper!I451,0)</f>
        <v/>
      </c>
    </row>
    <row r="452">
      <c r="AO452" s="55">
        <f>IF(AND(Analysis_Helper!Q452="BENGALURU",Analysis_Helper!L452="Grocery"),Analysis_Helper!I452,0)</f>
        <v/>
      </c>
    </row>
    <row r="453">
      <c r="AO453" s="55">
        <f>IF(AND(Analysis_Helper!Q453="BENGALURU",Analysis_Helper!L453="Grocery"),Analysis_Helper!I453,0)</f>
        <v/>
      </c>
    </row>
    <row r="454">
      <c r="AO454" s="55">
        <f>IF(AND(Analysis_Helper!Q454="BENGALURU",Analysis_Helper!L454="Grocery"),Analysis_Helper!I454,0)</f>
        <v/>
      </c>
    </row>
    <row r="455">
      <c r="AO455" s="55">
        <f>IF(AND(Analysis_Helper!Q455="BENGALURU",Analysis_Helper!L455="Grocery"),Analysis_Helper!I455,0)</f>
        <v/>
      </c>
    </row>
    <row r="456">
      <c r="AO456" s="55">
        <f>IF(AND(Analysis_Helper!Q456="BENGALURU",Analysis_Helper!L456="Grocery"),Analysis_Helper!I456,0)</f>
        <v/>
      </c>
    </row>
    <row r="457">
      <c r="AO457" s="55">
        <f>IF(AND(Analysis_Helper!Q457="BENGALURU",Analysis_Helper!L457="Grocery"),Analysis_Helper!I457,0)</f>
        <v/>
      </c>
    </row>
    <row r="458">
      <c r="AO458" s="55">
        <f>IF(AND(Analysis_Helper!Q458="BENGALURU",Analysis_Helper!L458="Grocery"),Analysis_Helper!I458,0)</f>
        <v/>
      </c>
    </row>
    <row r="459">
      <c r="AO459" s="55">
        <f>IF(AND(Analysis_Helper!Q459="BENGALURU",Analysis_Helper!L459="Grocery"),Analysis_Helper!I459,0)</f>
        <v/>
      </c>
    </row>
    <row r="460">
      <c r="AO460" s="55">
        <f>IF(AND(Analysis_Helper!Q460="BENGALURU",Analysis_Helper!L460="Grocery"),Analysis_Helper!I460,0)</f>
        <v/>
      </c>
    </row>
    <row r="461">
      <c r="AO461" s="55">
        <f>IF(AND(Analysis_Helper!Q461="BENGALURU",Analysis_Helper!L461="Grocery"),Analysis_Helper!I461,0)</f>
        <v/>
      </c>
    </row>
    <row r="462">
      <c r="AO462" s="55">
        <f>IF(AND(Analysis_Helper!Q462="BENGALURU",Analysis_Helper!L462="Grocery"),Analysis_Helper!I462,0)</f>
        <v/>
      </c>
    </row>
    <row r="463">
      <c r="AO463" s="55">
        <f>IF(AND(Analysis_Helper!Q463="BENGALURU",Analysis_Helper!L463="Grocery"),Analysis_Helper!I463,0)</f>
        <v/>
      </c>
    </row>
    <row r="464">
      <c r="AO464" s="55">
        <f>IF(AND(Analysis_Helper!Q464="BENGALURU",Analysis_Helper!L464="Grocery"),Analysis_Helper!I464,0)</f>
        <v/>
      </c>
    </row>
    <row r="465">
      <c r="AO465" s="55">
        <f>IF(AND(Analysis_Helper!Q465="BENGALURU",Analysis_Helper!L465="Grocery"),Analysis_Helper!I465,0)</f>
        <v/>
      </c>
    </row>
    <row r="466">
      <c r="AO466" s="55">
        <f>IF(AND(Analysis_Helper!Q466="BENGALURU",Analysis_Helper!L466="Grocery"),Analysis_Helper!I466,0)</f>
        <v/>
      </c>
    </row>
    <row r="467">
      <c r="AO467" s="55">
        <f>IF(AND(Analysis_Helper!Q467="BENGALURU",Analysis_Helper!L467="Grocery"),Analysis_Helper!I467,0)</f>
        <v/>
      </c>
    </row>
    <row r="468">
      <c r="AO468" s="55">
        <f>IF(AND(Analysis_Helper!Q468="BENGALURU",Analysis_Helper!L468="Grocery"),Analysis_Helper!I468,0)</f>
        <v/>
      </c>
    </row>
    <row r="469">
      <c r="AO469" s="55">
        <f>IF(AND(Analysis_Helper!Q469="BENGALURU",Analysis_Helper!L469="Grocery"),Analysis_Helper!I469,0)</f>
        <v/>
      </c>
    </row>
    <row r="470">
      <c r="AO470" s="55">
        <f>IF(AND(Analysis_Helper!Q470="BENGALURU",Analysis_Helper!L470="Grocery"),Analysis_Helper!I470,0)</f>
        <v/>
      </c>
    </row>
    <row r="471">
      <c r="AO471" s="55">
        <f>IF(AND(Analysis_Helper!Q471="BENGALURU",Analysis_Helper!L471="Grocery"),Analysis_Helper!I471,0)</f>
        <v/>
      </c>
    </row>
    <row r="472">
      <c r="AO472" s="55">
        <f>IF(AND(Analysis_Helper!Q472="BENGALURU",Analysis_Helper!L472="Grocery"),Analysis_Helper!I472,0)</f>
        <v/>
      </c>
    </row>
    <row r="473">
      <c r="AO473" s="55">
        <f>IF(AND(Analysis_Helper!Q473="BENGALURU",Analysis_Helper!L473="Grocery"),Analysis_Helper!I473,0)</f>
        <v/>
      </c>
    </row>
    <row r="474">
      <c r="AO474" s="55">
        <f>IF(AND(Analysis_Helper!Q474="BENGALURU",Analysis_Helper!L474="Grocery"),Analysis_Helper!I474,0)</f>
        <v/>
      </c>
    </row>
    <row r="475">
      <c r="AO475" s="55">
        <f>IF(AND(Analysis_Helper!Q475="BENGALURU",Analysis_Helper!L475="Grocery"),Analysis_Helper!I475,0)</f>
        <v/>
      </c>
    </row>
    <row r="476">
      <c r="AO476" s="55">
        <f>IF(AND(Analysis_Helper!Q476="BENGALURU",Analysis_Helper!L476="Grocery"),Analysis_Helper!I476,0)</f>
        <v/>
      </c>
    </row>
    <row r="477">
      <c r="AO477" s="55">
        <f>IF(AND(Analysis_Helper!Q477="BENGALURU",Analysis_Helper!L477="Grocery"),Analysis_Helper!I477,0)</f>
        <v/>
      </c>
    </row>
    <row r="478">
      <c r="AO478" s="55">
        <f>IF(AND(Analysis_Helper!Q478="BENGALURU",Analysis_Helper!L478="Grocery"),Analysis_Helper!I478,0)</f>
        <v/>
      </c>
    </row>
    <row r="479">
      <c r="AO479" s="55">
        <f>IF(AND(Analysis_Helper!Q479="BENGALURU",Analysis_Helper!L479="Grocery"),Analysis_Helper!I479,0)</f>
        <v/>
      </c>
    </row>
    <row r="480">
      <c r="AO480" s="55">
        <f>IF(AND(Analysis_Helper!Q480="BENGALURU",Analysis_Helper!L480="Grocery"),Analysis_Helper!I480,0)</f>
        <v/>
      </c>
    </row>
    <row r="481">
      <c r="AO481" s="55">
        <f>IF(AND(Analysis_Helper!Q481="BENGALURU",Analysis_Helper!L481="Grocery"),Analysis_Helper!I481,0)</f>
        <v/>
      </c>
    </row>
    <row r="482">
      <c r="AO482" s="55">
        <f>IF(AND(Analysis_Helper!Q482="BENGALURU",Analysis_Helper!L482="Grocery"),Analysis_Helper!I482,0)</f>
        <v/>
      </c>
    </row>
    <row r="483">
      <c r="AO483" s="55">
        <f>IF(AND(Analysis_Helper!Q483="BENGALURU",Analysis_Helper!L483="Grocery"),Analysis_Helper!I483,0)</f>
        <v/>
      </c>
    </row>
    <row r="484">
      <c r="AO484" s="55">
        <f>IF(AND(Analysis_Helper!Q484="BENGALURU",Analysis_Helper!L484="Grocery"),Analysis_Helper!I484,0)</f>
        <v/>
      </c>
    </row>
    <row r="485">
      <c r="AO485" s="55">
        <f>IF(AND(Analysis_Helper!Q485="BENGALURU",Analysis_Helper!L485="Grocery"),Analysis_Helper!I485,0)</f>
        <v/>
      </c>
    </row>
    <row r="486">
      <c r="AO486" s="55">
        <f>IF(AND(Analysis_Helper!Q486="BENGALURU",Analysis_Helper!L486="Grocery"),Analysis_Helper!I486,0)</f>
        <v/>
      </c>
    </row>
    <row r="487">
      <c r="AO487" s="55">
        <f>IF(AND(Analysis_Helper!Q487="BENGALURU",Analysis_Helper!L487="Grocery"),Analysis_Helper!I487,0)</f>
        <v/>
      </c>
    </row>
    <row r="488">
      <c r="AO488" s="55">
        <f>IF(AND(Analysis_Helper!Q488="BENGALURU",Analysis_Helper!L488="Grocery"),Analysis_Helper!I488,0)</f>
        <v/>
      </c>
    </row>
    <row r="489">
      <c r="AO489" s="55">
        <f>IF(AND(Analysis_Helper!Q489="BENGALURU",Analysis_Helper!L489="Grocery"),Analysis_Helper!I489,0)</f>
        <v/>
      </c>
    </row>
    <row r="490">
      <c r="AO490" s="55">
        <f>IF(AND(Analysis_Helper!Q490="BENGALURU",Analysis_Helper!L490="Grocery"),Analysis_Helper!I490,0)</f>
        <v/>
      </c>
    </row>
    <row r="491">
      <c r="AO491" s="55">
        <f>IF(AND(Analysis_Helper!Q491="BENGALURU",Analysis_Helper!L491="Grocery"),Analysis_Helper!I491,0)</f>
        <v/>
      </c>
    </row>
    <row r="492">
      <c r="AO492" s="55">
        <f>IF(AND(Analysis_Helper!Q492="BENGALURU",Analysis_Helper!L492="Grocery"),Analysis_Helper!I492,0)</f>
        <v/>
      </c>
    </row>
    <row r="493">
      <c r="AO493" s="55">
        <f>IF(AND(Analysis_Helper!Q493="BENGALURU",Analysis_Helper!L493="Grocery"),Analysis_Helper!I493,0)</f>
        <v/>
      </c>
    </row>
    <row r="494">
      <c r="AO494" s="55">
        <f>IF(AND(Analysis_Helper!Q494="BENGALURU",Analysis_Helper!L494="Grocery"),Analysis_Helper!I494,0)</f>
        <v/>
      </c>
    </row>
    <row r="495">
      <c r="AO495" s="55">
        <f>IF(AND(Analysis_Helper!Q495="BENGALURU",Analysis_Helper!L495="Grocery"),Analysis_Helper!I495,0)</f>
        <v/>
      </c>
    </row>
    <row r="496">
      <c r="AO496" s="55">
        <f>IF(AND(Analysis_Helper!Q496="BENGALURU",Analysis_Helper!L496="Grocery"),Analysis_Helper!I496,0)</f>
        <v/>
      </c>
    </row>
    <row r="497">
      <c r="AO497" s="55">
        <f>IF(AND(Analysis_Helper!Q497="BENGALURU",Analysis_Helper!L497="Grocery"),Analysis_Helper!I497,0)</f>
        <v/>
      </c>
    </row>
    <row r="498">
      <c r="AO498" s="55">
        <f>IF(AND(Analysis_Helper!Q498="BENGALURU",Analysis_Helper!L498="Grocery"),Analysis_Helper!I498,0)</f>
        <v/>
      </c>
    </row>
    <row r="499">
      <c r="AO499" s="55">
        <f>IF(AND(Analysis_Helper!Q499="BENGALURU",Analysis_Helper!L499="Grocery"),Analysis_Helper!I499,0)</f>
        <v/>
      </c>
    </row>
    <row r="500">
      <c r="AO500" s="55">
        <f>IF(AND(Analysis_Helper!Q500="BENGALURU",Analysis_Helper!L500="Grocery"),Analysis_Helper!I500,0)</f>
        <v/>
      </c>
    </row>
    <row r="501">
      <c r="AO501" s="55">
        <f>IF(AND(Analysis_Helper!Q501="BENGALURU",Analysis_Helper!L501="Grocery"),Analysis_Helper!I501,0)</f>
        <v/>
      </c>
    </row>
    <row r="502">
      <c r="AO502" s="55">
        <f>IF(AND(Analysis_Helper!Q502="BENGALURU",Analysis_Helper!L502="Grocery"),Analysis_Helper!I502,0)</f>
        <v/>
      </c>
    </row>
    <row r="503">
      <c r="AO503" s="55">
        <f>IF(AND(Analysis_Helper!Q503="BENGALURU",Analysis_Helper!L503="Grocery"),Analysis_Helper!I503,0)</f>
        <v/>
      </c>
    </row>
    <row r="504">
      <c r="AO504" s="55">
        <f>IF(AND(Analysis_Helper!Q504="BENGALURU",Analysis_Helper!L504="Grocery"),Analysis_Helper!I504,0)</f>
        <v/>
      </c>
    </row>
    <row r="505">
      <c r="AO505" s="55">
        <f>IF(AND(Analysis_Helper!Q505="BENGALURU",Analysis_Helper!L505="Grocery"),Analysis_Helper!I505,0)</f>
        <v/>
      </c>
    </row>
    <row r="506">
      <c r="AO506" s="55">
        <f>IF(AND(Analysis_Helper!Q506="BENGALURU",Analysis_Helper!L506="Grocery"),Analysis_Helper!I506,0)</f>
        <v/>
      </c>
    </row>
    <row r="507">
      <c r="AO507" s="55">
        <f>IF(AND(Analysis_Helper!Q507="BENGALURU",Analysis_Helper!L507="Grocery"),Analysis_Helper!I507,0)</f>
        <v/>
      </c>
    </row>
    <row r="508">
      <c r="AO508" s="55">
        <f>IF(AND(Analysis_Helper!Q508="BENGALURU",Analysis_Helper!L508="Grocery"),Analysis_Helper!I508,0)</f>
        <v/>
      </c>
    </row>
    <row r="509">
      <c r="AO509" s="55">
        <f>IF(AND(Analysis_Helper!Q509="BENGALURU",Analysis_Helper!L509="Grocery"),Analysis_Helper!I509,0)</f>
        <v/>
      </c>
    </row>
    <row r="510">
      <c r="AO510" s="55">
        <f>IF(AND(Analysis_Helper!Q510="BENGALURU",Analysis_Helper!L510="Grocery"),Analysis_Helper!I510,0)</f>
        <v/>
      </c>
    </row>
    <row r="511">
      <c r="AO511" s="55">
        <f>IF(AND(Analysis_Helper!Q511="BENGALURU",Analysis_Helper!L511="Grocery"),Analysis_Helper!I511,0)</f>
        <v/>
      </c>
    </row>
    <row r="512">
      <c r="AO512" s="55">
        <f>IF(AND(Analysis_Helper!Q512="BENGALURU",Analysis_Helper!L512="Grocery"),Analysis_Helper!I512,0)</f>
        <v/>
      </c>
    </row>
    <row r="513">
      <c r="AO513" s="55">
        <f>IF(AND(Analysis_Helper!Q513="BENGALURU",Analysis_Helper!L513="Grocery"),Analysis_Helper!I513,0)</f>
        <v/>
      </c>
    </row>
    <row r="514">
      <c r="AO514" s="55">
        <f>IF(AND(Analysis_Helper!Q514="BENGALURU",Analysis_Helper!L514="Grocery"),Analysis_Helper!I514,0)</f>
        <v/>
      </c>
    </row>
    <row r="515">
      <c r="AO515" s="55">
        <f>IF(AND(Analysis_Helper!Q515="BENGALURU",Analysis_Helper!L515="Grocery"),Analysis_Helper!I515,0)</f>
        <v/>
      </c>
    </row>
    <row r="516">
      <c r="AO516" s="55">
        <f>IF(AND(Analysis_Helper!Q516="BENGALURU",Analysis_Helper!L516="Grocery"),Analysis_Helper!I516,0)</f>
        <v/>
      </c>
    </row>
    <row r="517">
      <c r="AO517" s="55">
        <f>IF(AND(Analysis_Helper!Q517="BENGALURU",Analysis_Helper!L517="Grocery"),Analysis_Helper!I517,0)</f>
        <v/>
      </c>
    </row>
    <row r="518">
      <c r="AO518" s="55">
        <f>IF(AND(Analysis_Helper!Q518="BENGALURU",Analysis_Helper!L518="Grocery"),Analysis_Helper!I518,0)</f>
        <v/>
      </c>
    </row>
    <row r="519">
      <c r="AO519" s="55">
        <f>IF(AND(Analysis_Helper!Q519="BENGALURU",Analysis_Helper!L519="Grocery"),Analysis_Helper!I519,0)</f>
        <v/>
      </c>
    </row>
    <row r="520">
      <c r="AO520" s="55">
        <f>IF(AND(Analysis_Helper!Q520="BENGALURU",Analysis_Helper!L520="Grocery"),Analysis_Helper!I520,0)</f>
        <v/>
      </c>
    </row>
    <row r="521">
      <c r="AO521" s="55">
        <f>IF(AND(Analysis_Helper!Q521="BENGALURU",Analysis_Helper!L521="Grocery"),Analysis_Helper!I521,0)</f>
        <v/>
      </c>
    </row>
    <row r="522">
      <c r="AO522" s="55">
        <f>IF(AND(Analysis_Helper!Q522="BENGALURU",Analysis_Helper!L522="Grocery"),Analysis_Helper!I522,0)</f>
        <v/>
      </c>
    </row>
    <row r="523">
      <c r="AO523" s="55">
        <f>IF(AND(Analysis_Helper!Q523="BENGALURU",Analysis_Helper!L523="Grocery"),Analysis_Helper!I523,0)</f>
        <v/>
      </c>
    </row>
    <row r="524">
      <c r="AO524" s="55">
        <f>IF(AND(Analysis_Helper!Q524="BENGALURU",Analysis_Helper!L524="Grocery"),Analysis_Helper!I524,0)</f>
        <v/>
      </c>
    </row>
    <row r="525">
      <c r="AO525" s="55">
        <f>IF(AND(Analysis_Helper!Q525="BENGALURU",Analysis_Helper!L525="Grocery"),Analysis_Helper!I525,0)</f>
        <v/>
      </c>
    </row>
    <row r="526">
      <c r="AO526" s="55">
        <f>IF(AND(Analysis_Helper!Q526="BENGALURU",Analysis_Helper!L526="Grocery"),Analysis_Helper!I526,0)</f>
        <v/>
      </c>
    </row>
    <row r="527">
      <c r="AO527" s="55">
        <f>IF(AND(Analysis_Helper!Q527="BENGALURU",Analysis_Helper!L527="Grocery"),Analysis_Helper!I527,0)</f>
        <v/>
      </c>
    </row>
    <row r="528">
      <c r="AO528" s="55">
        <f>IF(AND(Analysis_Helper!Q528="BENGALURU",Analysis_Helper!L528="Grocery"),Analysis_Helper!I528,0)</f>
        <v/>
      </c>
    </row>
    <row r="529">
      <c r="AO529" s="55">
        <f>IF(AND(Analysis_Helper!Q529="BENGALURU",Analysis_Helper!L529="Grocery"),Analysis_Helper!I529,0)</f>
        <v/>
      </c>
    </row>
    <row r="530">
      <c r="AO530" s="55">
        <f>IF(AND(Analysis_Helper!Q530="BENGALURU",Analysis_Helper!L530="Grocery"),Analysis_Helper!I530,0)</f>
        <v/>
      </c>
    </row>
    <row r="531">
      <c r="AO531" s="55">
        <f>IF(AND(Analysis_Helper!Q531="BENGALURU",Analysis_Helper!L531="Grocery"),Analysis_Helper!I531,0)</f>
        <v/>
      </c>
    </row>
    <row r="532">
      <c r="AO532" s="55">
        <f>IF(AND(Analysis_Helper!Q532="BENGALURU",Analysis_Helper!L532="Grocery"),Analysis_Helper!I532,0)</f>
        <v/>
      </c>
    </row>
    <row r="533">
      <c r="AO533" s="55">
        <f>IF(AND(Analysis_Helper!Q533="BENGALURU",Analysis_Helper!L533="Grocery"),Analysis_Helper!I533,0)</f>
        <v/>
      </c>
    </row>
    <row r="534">
      <c r="AO534" s="55">
        <f>IF(AND(Analysis_Helper!Q534="BENGALURU",Analysis_Helper!L534="Grocery"),Analysis_Helper!I534,0)</f>
        <v/>
      </c>
    </row>
    <row r="535">
      <c r="AO535" s="55">
        <f>IF(AND(Analysis_Helper!Q535="BENGALURU",Analysis_Helper!L535="Grocery"),Analysis_Helper!I535,0)</f>
        <v/>
      </c>
    </row>
    <row r="536">
      <c r="AO536" s="55">
        <f>IF(AND(Analysis_Helper!Q536="BENGALURU",Analysis_Helper!L536="Grocery"),Analysis_Helper!I536,0)</f>
        <v/>
      </c>
    </row>
    <row r="537">
      <c r="AO537" s="55">
        <f>IF(AND(Analysis_Helper!Q537="BENGALURU",Analysis_Helper!L537="Grocery"),Analysis_Helper!I537,0)</f>
        <v/>
      </c>
    </row>
    <row r="538">
      <c r="AO538" s="55">
        <f>IF(AND(Analysis_Helper!Q538="BENGALURU",Analysis_Helper!L538="Grocery"),Analysis_Helper!I538,0)</f>
        <v/>
      </c>
    </row>
    <row r="539">
      <c r="AO539" s="55">
        <f>IF(AND(Analysis_Helper!Q539="BENGALURU",Analysis_Helper!L539="Grocery"),Analysis_Helper!I539,0)</f>
        <v/>
      </c>
    </row>
    <row r="540">
      <c r="AO540" s="55">
        <f>IF(AND(Analysis_Helper!Q540="BENGALURU",Analysis_Helper!L540="Grocery"),Analysis_Helper!I540,0)</f>
        <v/>
      </c>
    </row>
    <row r="541">
      <c r="AO541" s="55">
        <f>IF(AND(Analysis_Helper!Q541="BENGALURU",Analysis_Helper!L541="Grocery"),Analysis_Helper!I541,0)</f>
        <v/>
      </c>
    </row>
    <row r="542">
      <c r="AO542" s="55">
        <f>IF(AND(Analysis_Helper!Q542="BENGALURU",Analysis_Helper!L542="Grocery"),Analysis_Helper!I542,0)</f>
        <v/>
      </c>
    </row>
    <row r="543">
      <c r="AO543" s="55">
        <f>IF(AND(Analysis_Helper!Q543="BENGALURU",Analysis_Helper!L543="Grocery"),Analysis_Helper!I543,0)</f>
        <v/>
      </c>
    </row>
    <row r="544">
      <c r="AO544" s="55">
        <f>IF(AND(Analysis_Helper!Q544="BENGALURU",Analysis_Helper!L544="Grocery"),Analysis_Helper!I544,0)</f>
        <v/>
      </c>
    </row>
    <row r="545">
      <c r="AO545" s="55">
        <f>IF(AND(Analysis_Helper!Q545="BENGALURU",Analysis_Helper!L545="Grocery"),Analysis_Helper!I545,0)</f>
        <v/>
      </c>
    </row>
    <row r="546">
      <c r="AO546" s="55">
        <f>IF(AND(Analysis_Helper!Q546="BENGALURU",Analysis_Helper!L546="Grocery"),Analysis_Helper!I546,0)</f>
        <v/>
      </c>
    </row>
    <row r="547">
      <c r="AO547" s="55">
        <f>IF(AND(Analysis_Helper!Q547="BENGALURU",Analysis_Helper!L547="Grocery"),Analysis_Helper!I547,0)</f>
        <v/>
      </c>
    </row>
    <row r="548">
      <c r="AO548" s="55">
        <f>IF(AND(Analysis_Helper!Q548="BENGALURU",Analysis_Helper!L548="Grocery"),Analysis_Helper!I548,0)</f>
        <v/>
      </c>
    </row>
    <row r="549">
      <c r="AO549" s="55">
        <f>IF(AND(Analysis_Helper!Q549="BENGALURU",Analysis_Helper!L549="Grocery"),Analysis_Helper!I549,0)</f>
        <v/>
      </c>
    </row>
    <row r="550">
      <c r="AO550" s="55">
        <f>IF(AND(Analysis_Helper!Q550="BENGALURU",Analysis_Helper!L550="Grocery"),Analysis_Helper!I550,0)</f>
        <v/>
      </c>
    </row>
    <row r="551">
      <c r="AO551" s="55">
        <f>IF(AND(Analysis_Helper!Q551="BENGALURU",Analysis_Helper!L551="Grocery"),Analysis_Helper!I551,0)</f>
        <v/>
      </c>
    </row>
    <row r="552">
      <c r="AO552" s="55">
        <f>IF(AND(Analysis_Helper!Q552="BENGALURU",Analysis_Helper!L552="Grocery"),Analysis_Helper!I552,0)</f>
        <v/>
      </c>
    </row>
    <row r="553">
      <c r="AO553" s="55">
        <f>IF(AND(Analysis_Helper!Q553="BENGALURU",Analysis_Helper!L553="Grocery"),Analysis_Helper!I553,0)</f>
        <v/>
      </c>
    </row>
    <row r="554">
      <c r="AO554" s="55">
        <f>IF(AND(Analysis_Helper!Q554="BENGALURU",Analysis_Helper!L554="Grocery"),Analysis_Helper!I554,0)</f>
        <v/>
      </c>
    </row>
    <row r="555">
      <c r="AO555" s="55">
        <f>IF(AND(Analysis_Helper!Q555="BENGALURU",Analysis_Helper!L555="Grocery"),Analysis_Helper!I555,0)</f>
        <v/>
      </c>
    </row>
    <row r="556">
      <c r="AO556" s="55">
        <f>IF(AND(Analysis_Helper!Q556="BENGALURU",Analysis_Helper!L556="Grocery"),Analysis_Helper!I556,0)</f>
        <v/>
      </c>
    </row>
    <row r="557">
      <c r="AO557" s="55">
        <f>IF(AND(Analysis_Helper!Q557="BENGALURU",Analysis_Helper!L557="Grocery"),Analysis_Helper!I557,0)</f>
        <v/>
      </c>
    </row>
    <row r="558">
      <c r="AO558" s="55">
        <f>IF(AND(Analysis_Helper!Q558="BENGALURU",Analysis_Helper!L558="Grocery"),Analysis_Helper!I558,0)</f>
        <v/>
      </c>
    </row>
    <row r="559">
      <c r="AO559" s="55">
        <f>IF(AND(Analysis_Helper!Q559="BENGALURU",Analysis_Helper!L559="Grocery"),Analysis_Helper!I559,0)</f>
        <v/>
      </c>
    </row>
    <row r="560">
      <c r="AO560" s="55">
        <f>IF(AND(Analysis_Helper!Q560="BENGALURU",Analysis_Helper!L560="Grocery"),Analysis_Helper!I560,0)</f>
        <v/>
      </c>
    </row>
    <row r="561">
      <c r="AO561" s="55">
        <f>IF(AND(Analysis_Helper!Q561="BENGALURU",Analysis_Helper!L561="Grocery"),Analysis_Helper!I561,0)</f>
        <v/>
      </c>
    </row>
    <row r="562">
      <c r="AO562" s="55">
        <f>IF(AND(Analysis_Helper!Q562="BENGALURU",Analysis_Helper!L562="Grocery"),Analysis_Helper!I562,0)</f>
        <v/>
      </c>
    </row>
    <row r="563">
      <c r="AO563" s="55">
        <f>IF(AND(Analysis_Helper!Q563="BENGALURU",Analysis_Helper!L563="Grocery"),Analysis_Helper!I563,0)</f>
        <v/>
      </c>
    </row>
    <row r="564">
      <c r="AO564" s="55">
        <f>IF(AND(Analysis_Helper!Q564="BENGALURU",Analysis_Helper!L564="Grocery"),Analysis_Helper!I564,0)</f>
        <v/>
      </c>
    </row>
    <row r="565">
      <c r="AO565" s="55">
        <f>IF(AND(Analysis_Helper!Q565="BENGALURU",Analysis_Helper!L565="Grocery"),Analysis_Helper!I565,0)</f>
        <v/>
      </c>
    </row>
    <row r="566">
      <c r="AO566" s="55">
        <f>IF(AND(Analysis_Helper!Q566="BENGALURU",Analysis_Helper!L566="Grocery"),Analysis_Helper!I566,0)</f>
        <v/>
      </c>
    </row>
    <row r="567">
      <c r="AO567" s="55">
        <f>IF(AND(Analysis_Helper!Q567="BENGALURU",Analysis_Helper!L567="Grocery"),Analysis_Helper!I567,0)</f>
        <v/>
      </c>
    </row>
    <row r="568">
      <c r="AO568" s="55">
        <f>IF(AND(Analysis_Helper!Q568="BENGALURU",Analysis_Helper!L568="Grocery"),Analysis_Helper!I568,0)</f>
        <v/>
      </c>
    </row>
    <row r="569">
      <c r="AO569" s="55">
        <f>IF(AND(Analysis_Helper!Q569="BENGALURU",Analysis_Helper!L569="Grocery"),Analysis_Helper!I569,0)</f>
        <v/>
      </c>
    </row>
    <row r="570">
      <c r="AO570" s="55">
        <f>IF(AND(Analysis_Helper!Q570="BENGALURU",Analysis_Helper!L570="Grocery"),Analysis_Helper!I570,0)</f>
        <v/>
      </c>
    </row>
    <row r="571">
      <c r="AO571" s="55">
        <f>IF(AND(Analysis_Helper!Q571="BENGALURU",Analysis_Helper!L571="Grocery"),Analysis_Helper!I571,0)</f>
        <v/>
      </c>
    </row>
    <row r="572">
      <c r="AO572" s="55">
        <f>IF(AND(Analysis_Helper!Q572="BENGALURU",Analysis_Helper!L572="Grocery"),Analysis_Helper!I572,0)</f>
        <v/>
      </c>
    </row>
    <row r="573">
      <c r="AO573" s="55">
        <f>IF(AND(Analysis_Helper!Q573="BENGALURU",Analysis_Helper!L573="Grocery"),Analysis_Helper!I573,0)</f>
        <v/>
      </c>
    </row>
    <row r="574">
      <c r="AO574" s="55">
        <f>IF(AND(Analysis_Helper!Q574="BENGALURU",Analysis_Helper!L574="Grocery"),Analysis_Helper!I574,0)</f>
        <v/>
      </c>
    </row>
    <row r="575">
      <c r="AO575" s="55">
        <f>IF(AND(Analysis_Helper!Q575="BENGALURU",Analysis_Helper!L575="Grocery"),Analysis_Helper!I575,0)</f>
        <v/>
      </c>
    </row>
    <row r="576">
      <c r="AO576" s="55">
        <f>IF(AND(Analysis_Helper!Q576="BENGALURU",Analysis_Helper!L576="Grocery"),Analysis_Helper!I576,0)</f>
        <v/>
      </c>
    </row>
    <row r="577">
      <c r="AO577" s="55">
        <f>IF(AND(Analysis_Helper!Q577="BENGALURU",Analysis_Helper!L577="Grocery"),Analysis_Helper!I577,0)</f>
        <v/>
      </c>
    </row>
    <row r="578">
      <c r="AO578" s="55">
        <f>IF(AND(Analysis_Helper!Q578="BENGALURU",Analysis_Helper!L578="Grocery"),Analysis_Helper!I578,0)</f>
        <v/>
      </c>
    </row>
    <row r="579">
      <c r="AO579" s="55">
        <f>IF(AND(Analysis_Helper!Q579="BENGALURU",Analysis_Helper!L579="Grocery"),Analysis_Helper!I579,0)</f>
        <v/>
      </c>
    </row>
    <row r="580">
      <c r="AO580" s="55">
        <f>IF(AND(Analysis_Helper!Q580="BENGALURU",Analysis_Helper!L580="Grocery"),Analysis_Helper!I580,0)</f>
        <v/>
      </c>
    </row>
    <row r="581">
      <c r="AO581" s="55">
        <f>IF(AND(Analysis_Helper!Q581="BENGALURU",Analysis_Helper!L581="Grocery"),Analysis_Helper!I581,0)</f>
        <v/>
      </c>
    </row>
    <row r="582">
      <c r="AO582" s="55">
        <f>IF(AND(Analysis_Helper!Q582="BENGALURU",Analysis_Helper!L582="Grocery"),Analysis_Helper!I582,0)</f>
        <v/>
      </c>
    </row>
    <row r="583">
      <c r="AO583" s="55">
        <f>IF(AND(Analysis_Helper!Q583="BENGALURU",Analysis_Helper!L583="Grocery"),Analysis_Helper!I583,0)</f>
        <v/>
      </c>
    </row>
    <row r="584">
      <c r="AO584" s="55">
        <f>IF(AND(Analysis_Helper!Q584="BENGALURU",Analysis_Helper!L584="Grocery"),Analysis_Helper!I584,0)</f>
        <v/>
      </c>
    </row>
    <row r="585">
      <c r="AO585" s="55">
        <f>IF(AND(Analysis_Helper!Q585="BENGALURU",Analysis_Helper!L585="Grocery"),Analysis_Helper!I585,0)</f>
        <v/>
      </c>
    </row>
    <row r="586">
      <c r="AO586" s="55">
        <f>IF(AND(Analysis_Helper!Q586="BENGALURU",Analysis_Helper!L586="Grocery"),Analysis_Helper!I586,0)</f>
        <v/>
      </c>
    </row>
    <row r="587">
      <c r="AO587" s="55">
        <f>IF(AND(Analysis_Helper!Q587="BENGALURU",Analysis_Helper!L587="Grocery"),Analysis_Helper!I587,0)</f>
        <v/>
      </c>
    </row>
    <row r="588">
      <c r="AO588" s="55">
        <f>IF(AND(Analysis_Helper!Q588="BENGALURU",Analysis_Helper!L588="Grocery"),Analysis_Helper!I588,0)</f>
        <v/>
      </c>
    </row>
    <row r="589">
      <c r="AO589" s="55">
        <f>IF(AND(Analysis_Helper!Q589="BENGALURU",Analysis_Helper!L589="Grocery"),Analysis_Helper!I589,0)</f>
        <v/>
      </c>
    </row>
    <row r="590">
      <c r="AO590" s="55">
        <f>IF(AND(Analysis_Helper!Q590="BENGALURU",Analysis_Helper!L590="Grocery"),Analysis_Helper!I590,0)</f>
        <v/>
      </c>
    </row>
    <row r="591">
      <c r="AO591" s="55">
        <f>IF(AND(Analysis_Helper!Q591="BENGALURU",Analysis_Helper!L591="Grocery"),Analysis_Helper!I591,0)</f>
        <v/>
      </c>
    </row>
    <row r="592">
      <c r="AO592" s="55">
        <f>IF(AND(Analysis_Helper!Q592="BENGALURU",Analysis_Helper!L592="Grocery"),Analysis_Helper!I592,0)</f>
        <v/>
      </c>
    </row>
    <row r="593">
      <c r="AO593" s="55">
        <f>IF(AND(Analysis_Helper!Q593="BENGALURU",Analysis_Helper!L593="Grocery"),Analysis_Helper!I593,0)</f>
        <v/>
      </c>
    </row>
    <row r="594">
      <c r="AO594" s="55">
        <f>IF(AND(Analysis_Helper!Q594="BENGALURU",Analysis_Helper!L594="Grocery"),Analysis_Helper!I594,0)</f>
        <v/>
      </c>
    </row>
    <row r="595">
      <c r="AO595" s="55">
        <f>IF(AND(Analysis_Helper!Q595="BENGALURU",Analysis_Helper!L595="Grocery"),Analysis_Helper!I595,0)</f>
        <v/>
      </c>
    </row>
    <row r="596">
      <c r="AO596" s="55">
        <f>IF(AND(Analysis_Helper!Q596="BENGALURU",Analysis_Helper!L596="Grocery"),Analysis_Helper!I596,0)</f>
        <v/>
      </c>
    </row>
    <row r="597">
      <c r="AO597" s="55">
        <f>IF(AND(Analysis_Helper!Q597="BENGALURU",Analysis_Helper!L597="Grocery"),Analysis_Helper!I597,0)</f>
        <v/>
      </c>
    </row>
    <row r="598">
      <c r="AO598" s="55">
        <f>IF(AND(Analysis_Helper!Q598="BENGALURU",Analysis_Helper!L598="Grocery"),Analysis_Helper!I598,0)</f>
        <v/>
      </c>
    </row>
    <row r="599">
      <c r="AO599" s="55">
        <f>IF(AND(Analysis_Helper!Q599="BENGALURU",Analysis_Helper!L599="Grocery"),Analysis_Helper!I599,0)</f>
        <v/>
      </c>
    </row>
    <row r="600">
      <c r="AO600" s="55">
        <f>IF(AND(Analysis_Helper!Q600="BENGALURU",Analysis_Helper!L600="Grocery"),Analysis_Helper!I600,0)</f>
        <v/>
      </c>
    </row>
    <row r="601">
      <c r="AO601" s="55">
        <f>IF(AND(Analysis_Helper!Q601="BENGALURU",Analysis_Helper!L601="Grocery"),Analysis_Helper!I601,0)</f>
        <v/>
      </c>
    </row>
    <row r="602">
      <c r="AO602" s="55">
        <f>IF(AND(Analysis_Helper!Q602="BENGALURU",Analysis_Helper!L602="Grocery"),Analysis_Helper!I602,0)</f>
        <v/>
      </c>
    </row>
    <row r="603">
      <c r="AO603" s="55">
        <f>IF(AND(Analysis_Helper!Q603="BENGALURU",Analysis_Helper!L603="Grocery"),Analysis_Helper!I603,0)</f>
        <v/>
      </c>
    </row>
    <row r="604">
      <c r="AO604" s="55">
        <f>IF(AND(Analysis_Helper!Q604="BENGALURU",Analysis_Helper!L604="Grocery"),Analysis_Helper!I604,0)</f>
        <v/>
      </c>
    </row>
    <row r="605">
      <c r="AO605" s="55">
        <f>IF(AND(Analysis_Helper!Q605="BENGALURU",Analysis_Helper!L605="Grocery"),Analysis_Helper!I605,0)</f>
        <v/>
      </c>
    </row>
    <row r="606">
      <c r="AO606" s="55">
        <f>IF(AND(Analysis_Helper!Q606="BENGALURU",Analysis_Helper!L606="Grocery"),Analysis_Helper!I606,0)</f>
        <v/>
      </c>
    </row>
    <row r="607">
      <c r="AO607" s="55">
        <f>IF(AND(Analysis_Helper!Q607="BENGALURU",Analysis_Helper!L607="Grocery"),Analysis_Helper!I607,0)</f>
        <v/>
      </c>
    </row>
    <row r="608">
      <c r="AO608" s="55">
        <f>IF(AND(Analysis_Helper!Q608="BENGALURU",Analysis_Helper!L608="Grocery"),Analysis_Helper!I608,0)</f>
        <v/>
      </c>
    </row>
    <row r="609">
      <c r="AO609" s="55">
        <f>IF(AND(Analysis_Helper!Q609="BENGALURU",Analysis_Helper!L609="Grocery"),Analysis_Helper!I609,0)</f>
        <v/>
      </c>
    </row>
    <row r="610">
      <c r="AO610" s="55">
        <f>IF(AND(Analysis_Helper!Q610="BENGALURU",Analysis_Helper!L610="Grocery"),Analysis_Helper!I610,0)</f>
        <v/>
      </c>
    </row>
    <row r="611">
      <c r="AO611" s="55">
        <f>IF(AND(Analysis_Helper!Q611="BENGALURU",Analysis_Helper!L611="Grocery"),Analysis_Helper!I611,0)</f>
        <v/>
      </c>
    </row>
    <row r="612">
      <c r="AO612" s="55">
        <f>IF(AND(Analysis_Helper!Q612="BENGALURU",Analysis_Helper!L612="Grocery"),Analysis_Helper!I612,0)</f>
        <v/>
      </c>
    </row>
    <row r="613">
      <c r="AO613" s="55">
        <f>IF(AND(Analysis_Helper!Q613="BENGALURU",Analysis_Helper!L613="Grocery"),Analysis_Helper!I613,0)</f>
        <v/>
      </c>
    </row>
    <row r="614">
      <c r="AO614" s="55">
        <f>IF(AND(Analysis_Helper!Q614="BENGALURU",Analysis_Helper!L614="Grocery"),Analysis_Helper!I614,0)</f>
        <v/>
      </c>
    </row>
    <row r="615">
      <c r="AO615" s="55">
        <f>IF(AND(Analysis_Helper!Q615="BENGALURU",Analysis_Helper!L615="Grocery"),Analysis_Helper!I615,0)</f>
        <v/>
      </c>
    </row>
    <row r="616">
      <c r="AO616" s="55">
        <f>IF(AND(Analysis_Helper!Q616="BENGALURU",Analysis_Helper!L616="Grocery"),Analysis_Helper!I616,0)</f>
        <v/>
      </c>
    </row>
    <row r="617">
      <c r="AO617" s="55">
        <f>IF(AND(Analysis_Helper!Q617="BENGALURU",Analysis_Helper!L617="Grocery"),Analysis_Helper!I617,0)</f>
        <v/>
      </c>
    </row>
    <row r="618">
      <c r="AO618" s="55">
        <f>IF(AND(Analysis_Helper!Q618="BENGALURU",Analysis_Helper!L618="Grocery"),Analysis_Helper!I618,0)</f>
        <v/>
      </c>
    </row>
    <row r="619">
      <c r="AO619" s="55">
        <f>IF(AND(Analysis_Helper!Q619="BENGALURU",Analysis_Helper!L619="Grocery"),Analysis_Helper!I619,0)</f>
        <v/>
      </c>
    </row>
    <row r="620">
      <c r="AO620" s="55">
        <f>IF(AND(Analysis_Helper!Q620="BENGALURU",Analysis_Helper!L620="Grocery"),Analysis_Helper!I620,0)</f>
        <v/>
      </c>
    </row>
    <row r="621">
      <c r="AO621" s="55">
        <f>IF(AND(Analysis_Helper!Q621="BENGALURU",Analysis_Helper!L621="Grocery"),Analysis_Helper!I621,0)</f>
        <v/>
      </c>
    </row>
    <row r="622">
      <c r="AO622" s="55">
        <f>IF(AND(Analysis_Helper!Q622="BENGALURU",Analysis_Helper!L622="Grocery"),Analysis_Helper!I622,0)</f>
        <v/>
      </c>
    </row>
    <row r="623">
      <c r="AO623" s="55">
        <f>IF(AND(Analysis_Helper!Q623="BENGALURU",Analysis_Helper!L623="Grocery"),Analysis_Helper!I623,0)</f>
        <v/>
      </c>
    </row>
    <row r="624">
      <c r="AO624" s="55">
        <f>IF(AND(Analysis_Helper!Q624="BENGALURU",Analysis_Helper!L624="Grocery"),Analysis_Helper!I624,0)</f>
        <v/>
      </c>
    </row>
    <row r="625">
      <c r="AO625" s="55">
        <f>IF(AND(Analysis_Helper!Q625="BENGALURU",Analysis_Helper!L625="Grocery"),Analysis_Helper!I625,0)</f>
        <v/>
      </c>
    </row>
    <row r="626">
      <c r="AO626" s="55">
        <f>IF(AND(Analysis_Helper!Q626="BENGALURU",Analysis_Helper!L626="Grocery"),Analysis_Helper!I626,0)</f>
        <v/>
      </c>
    </row>
    <row r="627">
      <c r="AO627" s="55">
        <f>IF(AND(Analysis_Helper!Q627="BENGALURU",Analysis_Helper!L627="Grocery"),Analysis_Helper!I627,0)</f>
        <v/>
      </c>
    </row>
    <row r="628">
      <c r="AO628" s="55">
        <f>IF(AND(Analysis_Helper!Q628="BENGALURU",Analysis_Helper!L628="Grocery"),Analysis_Helper!I628,0)</f>
        <v/>
      </c>
    </row>
    <row r="629">
      <c r="AO629" s="55">
        <f>IF(AND(Analysis_Helper!Q629="BENGALURU",Analysis_Helper!L629="Grocery"),Analysis_Helper!I629,0)</f>
        <v/>
      </c>
    </row>
    <row r="630">
      <c r="AO630" s="55">
        <f>IF(AND(Analysis_Helper!Q630="BENGALURU",Analysis_Helper!L630="Grocery"),Analysis_Helper!I630,0)</f>
        <v/>
      </c>
    </row>
    <row r="631">
      <c r="AO631" s="55">
        <f>IF(AND(Analysis_Helper!Q631="BENGALURU",Analysis_Helper!L631="Grocery"),Analysis_Helper!I631,0)</f>
        <v/>
      </c>
    </row>
    <row r="632">
      <c r="AO632" s="55">
        <f>IF(AND(Analysis_Helper!Q632="BENGALURU",Analysis_Helper!L632="Grocery"),Analysis_Helper!I632,0)</f>
        <v/>
      </c>
    </row>
    <row r="633">
      <c r="AO633" s="55">
        <f>IF(AND(Analysis_Helper!Q633="BENGALURU",Analysis_Helper!L633="Grocery"),Analysis_Helper!I633,0)</f>
        <v/>
      </c>
    </row>
    <row r="634">
      <c r="AO634" s="55">
        <f>IF(AND(Analysis_Helper!Q634="BENGALURU",Analysis_Helper!L634="Grocery"),Analysis_Helper!I634,0)</f>
        <v/>
      </c>
    </row>
    <row r="635">
      <c r="AO635" s="55">
        <f>IF(AND(Analysis_Helper!Q635="BENGALURU",Analysis_Helper!L635="Grocery"),Analysis_Helper!I635,0)</f>
        <v/>
      </c>
    </row>
    <row r="636">
      <c r="AO636" s="55">
        <f>IF(AND(Analysis_Helper!Q636="BENGALURU",Analysis_Helper!L636="Grocery"),Analysis_Helper!I636,0)</f>
        <v/>
      </c>
    </row>
    <row r="637">
      <c r="AO637" s="55">
        <f>IF(AND(Analysis_Helper!Q637="BENGALURU",Analysis_Helper!L637="Grocery"),Analysis_Helper!I637,0)</f>
        <v/>
      </c>
    </row>
    <row r="638">
      <c r="AO638" s="55">
        <f>IF(AND(Analysis_Helper!Q638="BENGALURU",Analysis_Helper!L638="Grocery"),Analysis_Helper!I638,0)</f>
        <v/>
      </c>
    </row>
    <row r="639">
      <c r="AO639" s="55">
        <f>IF(AND(Analysis_Helper!Q639="BENGALURU",Analysis_Helper!L639="Grocery"),Analysis_Helper!I639,0)</f>
        <v/>
      </c>
    </row>
    <row r="640">
      <c r="AO640" s="55">
        <f>IF(AND(Analysis_Helper!Q640="BENGALURU",Analysis_Helper!L640="Grocery"),Analysis_Helper!I640,0)</f>
        <v/>
      </c>
    </row>
    <row r="641">
      <c r="AO641" s="55">
        <f>IF(AND(Analysis_Helper!Q641="BENGALURU",Analysis_Helper!L641="Grocery"),Analysis_Helper!I641,0)</f>
        <v/>
      </c>
    </row>
    <row r="642">
      <c r="AO642" s="55">
        <f>IF(AND(Analysis_Helper!Q642="BENGALURU",Analysis_Helper!L642="Grocery"),Analysis_Helper!I642,0)</f>
        <v/>
      </c>
    </row>
    <row r="643">
      <c r="AO643" s="55">
        <f>IF(AND(Analysis_Helper!Q643="BENGALURU",Analysis_Helper!L643="Grocery"),Analysis_Helper!I643,0)</f>
        <v/>
      </c>
    </row>
    <row r="644">
      <c r="AO644" s="55">
        <f>IF(AND(Analysis_Helper!Q644="BENGALURU",Analysis_Helper!L644="Grocery"),Analysis_Helper!I644,0)</f>
        <v/>
      </c>
    </row>
    <row r="645">
      <c r="AO645" s="55">
        <f>IF(AND(Analysis_Helper!Q645="BENGALURU",Analysis_Helper!L645="Grocery"),Analysis_Helper!I645,0)</f>
        <v/>
      </c>
    </row>
    <row r="646">
      <c r="AO646" s="55">
        <f>IF(AND(Analysis_Helper!Q646="BENGALURU",Analysis_Helper!L646="Grocery"),Analysis_Helper!I646,0)</f>
        <v/>
      </c>
    </row>
    <row r="647">
      <c r="AO647" s="55">
        <f>IF(AND(Analysis_Helper!Q647="BENGALURU",Analysis_Helper!L647="Grocery"),Analysis_Helper!I647,0)</f>
        <v/>
      </c>
    </row>
    <row r="648">
      <c r="AO648" s="55">
        <f>IF(AND(Analysis_Helper!Q648="BENGALURU",Analysis_Helper!L648="Grocery"),Analysis_Helper!I648,0)</f>
        <v/>
      </c>
    </row>
    <row r="649">
      <c r="AO649" s="55">
        <f>IF(AND(Analysis_Helper!Q649="BENGALURU",Analysis_Helper!L649="Grocery"),Analysis_Helper!I649,0)</f>
        <v/>
      </c>
    </row>
    <row r="650">
      <c r="AO650" s="55">
        <f>IF(AND(Analysis_Helper!Q650="BENGALURU",Analysis_Helper!L650="Grocery"),Analysis_Helper!I650,0)</f>
        <v/>
      </c>
    </row>
    <row r="651">
      <c r="AO651" s="55">
        <f>IF(AND(Analysis_Helper!Q651="BENGALURU",Analysis_Helper!L651="Grocery"),Analysis_Helper!I651,0)</f>
        <v/>
      </c>
    </row>
    <row r="652">
      <c r="AO652" s="55">
        <f>IF(AND(Analysis_Helper!Q652="BENGALURU",Analysis_Helper!L652="Grocery"),Analysis_Helper!I652,0)</f>
        <v/>
      </c>
    </row>
    <row r="653">
      <c r="AO653" s="55">
        <f>IF(AND(Analysis_Helper!Q653="BENGALURU",Analysis_Helper!L653="Grocery"),Analysis_Helper!I653,0)</f>
        <v/>
      </c>
    </row>
    <row r="654">
      <c r="AO654" s="55">
        <f>IF(AND(Analysis_Helper!Q654="BENGALURU",Analysis_Helper!L654="Grocery"),Analysis_Helper!I654,0)</f>
        <v/>
      </c>
    </row>
    <row r="655">
      <c r="AO655" s="55">
        <f>IF(AND(Analysis_Helper!Q655="BENGALURU",Analysis_Helper!L655="Grocery"),Analysis_Helper!I655,0)</f>
        <v/>
      </c>
    </row>
    <row r="656">
      <c r="AO656" s="55">
        <f>IF(AND(Analysis_Helper!Q656="BENGALURU",Analysis_Helper!L656="Grocery"),Analysis_Helper!I656,0)</f>
        <v/>
      </c>
    </row>
    <row r="657">
      <c r="AO657" s="55">
        <f>IF(AND(Analysis_Helper!Q657="BENGALURU",Analysis_Helper!L657="Grocery"),Analysis_Helper!I657,0)</f>
        <v/>
      </c>
    </row>
    <row r="658">
      <c r="AO658" s="55">
        <f>IF(AND(Analysis_Helper!Q658="BENGALURU",Analysis_Helper!L658="Grocery"),Analysis_Helper!I658,0)</f>
        <v/>
      </c>
    </row>
    <row r="659">
      <c r="AO659" s="55">
        <f>IF(AND(Analysis_Helper!Q659="BENGALURU",Analysis_Helper!L659="Grocery"),Analysis_Helper!I659,0)</f>
        <v/>
      </c>
    </row>
    <row r="660">
      <c r="AO660" s="55">
        <f>IF(AND(Analysis_Helper!Q660="BENGALURU",Analysis_Helper!L660="Grocery"),Analysis_Helper!I660,0)</f>
        <v/>
      </c>
    </row>
    <row r="661">
      <c r="AO661" s="55">
        <f>IF(AND(Analysis_Helper!Q661="BENGALURU",Analysis_Helper!L661="Grocery"),Analysis_Helper!I661,0)</f>
        <v/>
      </c>
    </row>
    <row r="662">
      <c r="AO662" s="55">
        <f>IF(AND(Analysis_Helper!Q662="BENGALURU",Analysis_Helper!L662="Grocery"),Analysis_Helper!I662,0)</f>
        <v/>
      </c>
    </row>
    <row r="663">
      <c r="AO663" s="55">
        <f>IF(AND(Analysis_Helper!Q663="BENGALURU",Analysis_Helper!L663="Grocery"),Analysis_Helper!I663,0)</f>
        <v/>
      </c>
    </row>
    <row r="664">
      <c r="AO664" s="55">
        <f>IF(AND(Analysis_Helper!Q664="BENGALURU",Analysis_Helper!L664="Grocery"),Analysis_Helper!I664,0)</f>
        <v/>
      </c>
    </row>
    <row r="665">
      <c r="AO665" s="55">
        <f>IF(AND(Analysis_Helper!Q665="BENGALURU",Analysis_Helper!L665="Grocery"),Analysis_Helper!I665,0)</f>
        <v/>
      </c>
    </row>
    <row r="666">
      <c r="AO666" s="55">
        <f>IF(AND(Analysis_Helper!Q666="BENGALURU",Analysis_Helper!L666="Grocery"),Analysis_Helper!I666,0)</f>
        <v/>
      </c>
    </row>
    <row r="667">
      <c r="AO667" s="55">
        <f>IF(AND(Analysis_Helper!Q667="BENGALURU",Analysis_Helper!L667="Grocery"),Analysis_Helper!I667,0)</f>
        <v/>
      </c>
    </row>
    <row r="668">
      <c r="AO668" s="55">
        <f>IF(AND(Analysis_Helper!Q668="BENGALURU",Analysis_Helper!L668="Grocery"),Analysis_Helper!I668,0)</f>
        <v/>
      </c>
    </row>
    <row r="669">
      <c r="AO669" s="55">
        <f>IF(AND(Analysis_Helper!Q669="BENGALURU",Analysis_Helper!L669="Grocery"),Analysis_Helper!I669,0)</f>
        <v/>
      </c>
    </row>
    <row r="670">
      <c r="AO670" s="55">
        <f>IF(AND(Analysis_Helper!Q670="BENGALURU",Analysis_Helper!L670="Grocery"),Analysis_Helper!I670,0)</f>
        <v/>
      </c>
    </row>
    <row r="671">
      <c r="AO671" s="55">
        <f>IF(AND(Analysis_Helper!Q671="BENGALURU",Analysis_Helper!L671="Grocery"),Analysis_Helper!I671,0)</f>
        <v/>
      </c>
    </row>
    <row r="672">
      <c r="AO672" s="55">
        <f>IF(AND(Analysis_Helper!Q672="BENGALURU",Analysis_Helper!L672="Grocery"),Analysis_Helper!I672,0)</f>
        <v/>
      </c>
    </row>
    <row r="673">
      <c r="AO673" s="55">
        <f>IF(AND(Analysis_Helper!Q673="BENGALURU",Analysis_Helper!L673="Grocery"),Analysis_Helper!I673,0)</f>
        <v/>
      </c>
    </row>
    <row r="674">
      <c r="AO674" s="55">
        <f>IF(AND(Analysis_Helper!Q674="BENGALURU",Analysis_Helper!L674="Grocery"),Analysis_Helper!I674,0)</f>
        <v/>
      </c>
    </row>
    <row r="675">
      <c r="AO675" s="55">
        <f>IF(AND(Analysis_Helper!Q675="BENGALURU",Analysis_Helper!L675="Grocery"),Analysis_Helper!I675,0)</f>
        <v/>
      </c>
    </row>
    <row r="676">
      <c r="AO676" s="55">
        <f>IF(AND(Analysis_Helper!Q676="BENGALURU",Analysis_Helper!L676="Grocery"),Analysis_Helper!I676,0)</f>
        <v/>
      </c>
    </row>
    <row r="677">
      <c r="AO677" s="55">
        <f>IF(AND(Analysis_Helper!Q677="BENGALURU",Analysis_Helper!L677="Grocery"),Analysis_Helper!I677,0)</f>
        <v/>
      </c>
    </row>
    <row r="678">
      <c r="AO678" s="55">
        <f>IF(AND(Analysis_Helper!Q678="BENGALURU",Analysis_Helper!L678="Grocery"),Analysis_Helper!I678,0)</f>
        <v/>
      </c>
    </row>
    <row r="679">
      <c r="AO679" s="55">
        <f>IF(AND(Analysis_Helper!Q679="BENGALURU",Analysis_Helper!L679="Grocery"),Analysis_Helper!I679,0)</f>
        <v/>
      </c>
    </row>
    <row r="680">
      <c r="AO680" s="55">
        <f>IF(AND(Analysis_Helper!Q680="BENGALURU",Analysis_Helper!L680="Grocery"),Analysis_Helper!I680,0)</f>
        <v/>
      </c>
    </row>
    <row r="681">
      <c r="AO681" s="55">
        <f>IF(AND(Analysis_Helper!Q681="BENGALURU",Analysis_Helper!L681="Grocery"),Analysis_Helper!I681,0)</f>
        <v/>
      </c>
    </row>
    <row r="682">
      <c r="AO682" s="55">
        <f>IF(AND(Analysis_Helper!Q682="BENGALURU",Analysis_Helper!L682="Grocery"),Analysis_Helper!I682,0)</f>
        <v/>
      </c>
    </row>
    <row r="683">
      <c r="AO683" s="55">
        <f>IF(AND(Analysis_Helper!Q683="BENGALURU",Analysis_Helper!L683="Grocery"),Analysis_Helper!I683,0)</f>
        <v/>
      </c>
    </row>
    <row r="684">
      <c r="AO684" s="55">
        <f>IF(AND(Analysis_Helper!Q684="BENGALURU",Analysis_Helper!L684="Grocery"),Analysis_Helper!I684,0)</f>
        <v/>
      </c>
    </row>
    <row r="685">
      <c r="AO685" s="55">
        <f>IF(AND(Analysis_Helper!Q685="BENGALURU",Analysis_Helper!L685="Grocery"),Analysis_Helper!I685,0)</f>
        <v/>
      </c>
    </row>
    <row r="686">
      <c r="AO686" s="55">
        <f>IF(AND(Analysis_Helper!Q686="BENGALURU",Analysis_Helper!L686="Grocery"),Analysis_Helper!I686,0)</f>
        <v/>
      </c>
    </row>
    <row r="687">
      <c r="AO687" s="55">
        <f>IF(AND(Analysis_Helper!Q687="BENGALURU",Analysis_Helper!L687="Grocery"),Analysis_Helper!I687,0)</f>
        <v/>
      </c>
    </row>
    <row r="688">
      <c r="AO688" s="55">
        <f>IF(AND(Analysis_Helper!Q688="BENGALURU",Analysis_Helper!L688="Grocery"),Analysis_Helper!I688,0)</f>
        <v/>
      </c>
    </row>
    <row r="689">
      <c r="AO689" s="55">
        <f>IF(AND(Analysis_Helper!Q689="BENGALURU",Analysis_Helper!L689="Grocery"),Analysis_Helper!I689,0)</f>
        <v/>
      </c>
    </row>
    <row r="690">
      <c r="AO690" s="55">
        <f>IF(AND(Analysis_Helper!Q690="BENGALURU",Analysis_Helper!L690="Grocery"),Analysis_Helper!I690,0)</f>
        <v/>
      </c>
    </row>
    <row r="691">
      <c r="AO691" s="55">
        <f>IF(AND(Analysis_Helper!Q691="BENGALURU",Analysis_Helper!L691="Grocery"),Analysis_Helper!I691,0)</f>
        <v/>
      </c>
    </row>
    <row r="692">
      <c r="AO692" s="55">
        <f>IF(AND(Analysis_Helper!Q692="BENGALURU",Analysis_Helper!L692="Grocery"),Analysis_Helper!I692,0)</f>
        <v/>
      </c>
    </row>
    <row r="693">
      <c r="AO693" s="55">
        <f>IF(AND(Analysis_Helper!Q693="BENGALURU",Analysis_Helper!L693="Grocery"),Analysis_Helper!I693,0)</f>
        <v/>
      </c>
    </row>
    <row r="694">
      <c r="AO694" s="55">
        <f>IF(AND(Analysis_Helper!Q694="BENGALURU",Analysis_Helper!L694="Grocery"),Analysis_Helper!I694,0)</f>
        <v/>
      </c>
    </row>
    <row r="695">
      <c r="AO695" s="55">
        <f>IF(AND(Analysis_Helper!Q695="BENGALURU",Analysis_Helper!L695="Grocery"),Analysis_Helper!I695,0)</f>
        <v/>
      </c>
    </row>
    <row r="696">
      <c r="AO696" s="55">
        <f>IF(AND(Analysis_Helper!Q696="BENGALURU",Analysis_Helper!L696="Grocery"),Analysis_Helper!I696,0)</f>
        <v/>
      </c>
    </row>
    <row r="697">
      <c r="AO697" s="55">
        <f>IF(AND(Analysis_Helper!Q697="BENGALURU",Analysis_Helper!L697="Grocery"),Analysis_Helper!I697,0)</f>
        <v/>
      </c>
    </row>
    <row r="698">
      <c r="AO698" s="55">
        <f>IF(AND(Analysis_Helper!Q698="BENGALURU",Analysis_Helper!L698="Grocery"),Analysis_Helper!I698,0)</f>
        <v/>
      </c>
    </row>
    <row r="699">
      <c r="AO699" s="55">
        <f>IF(AND(Analysis_Helper!Q699="BENGALURU",Analysis_Helper!L699="Grocery"),Analysis_Helper!I699,0)</f>
        <v/>
      </c>
    </row>
    <row r="700">
      <c r="AO700" s="55">
        <f>IF(AND(Analysis_Helper!Q700="BENGALURU",Analysis_Helper!L700="Grocery"),Analysis_Helper!I700,0)</f>
        <v/>
      </c>
    </row>
    <row r="701">
      <c r="AO701" s="55">
        <f>IF(AND(Analysis_Helper!Q701="BENGALURU",Analysis_Helper!L701="Grocery"),Analysis_Helper!I701,0)</f>
        <v/>
      </c>
    </row>
    <row r="702">
      <c r="AO702" s="55">
        <f>IF(AND(Analysis_Helper!Q702="BENGALURU",Analysis_Helper!L702="Grocery"),Analysis_Helper!I702,0)</f>
        <v/>
      </c>
    </row>
    <row r="703">
      <c r="AO703" s="55">
        <f>IF(AND(Analysis_Helper!Q703="BENGALURU",Analysis_Helper!L703="Grocery"),Analysis_Helper!I703,0)</f>
        <v/>
      </c>
    </row>
    <row r="704">
      <c r="AO704" s="55">
        <f>IF(AND(Analysis_Helper!Q704="BENGALURU",Analysis_Helper!L704="Grocery"),Analysis_Helper!I704,0)</f>
        <v/>
      </c>
    </row>
    <row r="705">
      <c r="AO705" s="55">
        <f>IF(AND(Analysis_Helper!Q705="BENGALURU",Analysis_Helper!L705="Grocery"),Analysis_Helper!I705,0)</f>
        <v/>
      </c>
    </row>
    <row r="706">
      <c r="AO706" s="55">
        <f>IF(AND(Analysis_Helper!Q706="BENGALURU",Analysis_Helper!L706="Grocery"),Analysis_Helper!I706,0)</f>
        <v/>
      </c>
    </row>
    <row r="707">
      <c r="AO707" s="55">
        <f>IF(AND(Analysis_Helper!Q707="BENGALURU",Analysis_Helper!L707="Grocery"),Analysis_Helper!I707,0)</f>
        <v/>
      </c>
    </row>
    <row r="708">
      <c r="AO708" s="55">
        <f>IF(AND(Analysis_Helper!Q708="BENGALURU",Analysis_Helper!L708="Grocery"),Analysis_Helper!I708,0)</f>
        <v/>
      </c>
    </row>
    <row r="709">
      <c r="AO709" s="55">
        <f>IF(AND(Analysis_Helper!Q709="BENGALURU",Analysis_Helper!L709="Grocery"),Analysis_Helper!I709,0)</f>
        <v/>
      </c>
    </row>
    <row r="710">
      <c r="AO710" s="55">
        <f>IF(AND(Analysis_Helper!Q710="BENGALURU",Analysis_Helper!L710="Grocery"),Analysis_Helper!I710,0)</f>
        <v/>
      </c>
    </row>
    <row r="711">
      <c r="AO711" s="55">
        <f>IF(AND(Analysis_Helper!Q711="BENGALURU",Analysis_Helper!L711="Grocery"),Analysis_Helper!I711,0)</f>
        <v/>
      </c>
    </row>
    <row r="712">
      <c r="AO712" s="55">
        <f>IF(AND(Analysis_Helper!Q712="BENGALURU",Analysis_Helper!L712="Grocery"),Analysis_Helper!I712,0)</f>
        <v/>
      </c>
    </row>
    <row r="713">
      <c r="AO713" s="55">
        <f>IF(AND(Analysis_Helper!Q713="BENGALURU",Analysis_Helper!L713="Grocery"),Analysis_Helper!I713,0)</f>
        <v/>
      </c>
    </row>
    <row r="714">
      <c r="AO714" s="55">
        <f>IF(AND(Analysis_Helper!Q714="BENGALURU",Analysis_Helper!L714="Grocery"),Analysis_Helper!I714,0)</f>
        <v/>
      </c>
    </row>
    <row r="715">
      <c r="AO715" s="55">
        <f>IF(AND(Analysis_Helper!Q715="BENGALURU",Analysis_Helper!L715="Grocery"),Analysis_Helper!I715,0)</f>
        <v/>
      </c>
    </row>
    <row r="716">
      <c r="AO716" s="55">
        <f>IF(AND(Analysis_Helper!Q716="BENGALURU",Analysis_Helper!L716="Grocery"),Analysis_Helper!I716,0)</f>
        <v/>
      </c>
    </row>
    <row r="717">
      <c r="AO717" s="55">
        <f>IF(AND(Analysis_Helper!Q717="BENGALURU",Analysis_Helper!L717="Grocery"),Analysis_Helper!I717,0)</f>
        <v/>
      </c>
    </row>
    <row r="718">
      <c r="AO718" s="55">
        <f>IF(AND(Analysis_Helper!Q718="BENGALURU",Analysis_Helper!L718="Grocery"),Analysis_Helper!I718,0)</f>
        <v/>
      </c>
    </row>
    <row r="719">
      <c r="AO719" s="55">
        <f>IF(AND(Analysis_Helper!Q719="BENGALURU",Analysis_Helper!L719="Grocery"),Analysis_Helper!I719,0)</f>
        <v/>
      </c>
    </row>
    <row r="720">
      <c r="AO720" s="55">
        <f>IF(AND(Analysis_Helper!Q720="BENGALURU",Analysis_Helper!L720="Grocery"),Analysis_Helper!I720,0)</f>
        <v/>
      </c>
    </row>
    <row r="721">
      <c r="AO721" s="55">
        <f>IF(AND(Analysis_Helper!Q721="BENGALURU",Analysis_Helper!L721="Grocery"),Analysis_Helper!I721,0)</f>
        <v/>
      </c>
    </row>
    <row r="722">
      <c r="AO722" s="55">
        <f>IF(AND(Analysis_Helper!Q722="BENGALURU",Analysis_Helper!L722="Grocery"),Analysis_Helper!I722,0)</f>
        <v/>
      </c>
    </row>
    <row r="723">
      <c r="AO723" s="55">
        <f>IF(AND(Analysis_Helper!Q723="BENGALURU",Analysis_Helper!L723="Grocery"),Analysis_Helper!I723,0)</f>
        <v/>
      </c>
    </row>
    <row r="724">
      <c r="AO724" s="55">
        <f>IF(AND(Analysis_Helper!Q724="BENGALURU",Analysis_Helper!L724="Grocery"),Analysis_Helper!I724,0)</f>
        <v/>
      </c>
    </row>
    <row r="725">
      <c r="AO725" s="55">
        <f>IF(AND(Analysis_Helper!Q725="BENGALURU",Analysis_Helper!L725="Grocery"),Analysis_Helper!I725,0)</f>
        <v/>
      </c>
    </row>
    <row r="726">
      <c r="AO726" s="55">
        <f>IF(AND(Analysis_Helper!Q726="BENGALURU",Analysis_Helper!L726="Grocery"),Analysis_Helper!I726,0)</f>
        <v/>
      </c>
    </row>
    <row r="727">
      <c r="AO727" s="55">
        <f>IF(AND(Analysis_Helper!Q727="BENGALURU",Analysis_Helper!L727="Grocery"),Analysis_Helper!I727,0)</f>
        <v/>
      </c>
    </row>
    <row r="728">
      <c r="AO728" s="55">
        <f>IF(AND(Analysis_Helper!Q728="BENGALURU",Analysis_Helper!L728="Grocery"),Analysis_Helper!I728,0)</f>
        <v/>
      </c>
    </row>
    <row r="729">
      <c r="AO729" s="55">
        <f>IF(AND(Analysis_Helper!Q729="BENGALURU",Analysis_Helper!L729="Grocery"),Analysis_Helper!I729,0)</f>
        <v/>
      </c>
    </row>
    <row r="730">
      <c r="AO730" s="55">
        <f>IF(AND(Analysis_Helper!Q730="BENGALURU",Analysis_Helper!L730="Grocery"),Analysis_Helper!I730,0)</f>
        <v/>
      </c>
    </row>
    <row r="731">
      <c r="AO731" s="55">
        <f>IF(AND(Analysis_Helper!Q731="BENGALURU",Analysis_Helper!L731="Grocery"),Analysis_Helper!I731,0)</f>
        <v/>
      </c>
    </row>
    <row r="732">
      <c r="AO732" s="55">
        <f>IF(AND(Analysis_Helper!Q732="BENGALURU",Analysis_Helper!L732="Grocery"),Analysis_Helper!I732,0)</f>
        <v/>
      </c>
    </row>
    <row r="733">
      <c r="AO733" s="55">
        <f>IF(AND(Analysis_Helper!Q733="BENGALURU",Analysis_Helper!L733="Grocery"),Analysis_Helper!I733,0)</f>
        <v/>
      </c>
    </row>
    <row r="734">
      <c r="AO734" s="55">
        <f>IF(AND(Analysis_Helper!Q734="BENGALURU",Analysis_Helper!L734="Grocery"),Analysis_Helper!I734,0)</f>
        <v/>
      </c>
    </row>
    <row r="735">
      <c r="AO735" s="55">
        <f>IF(AND(Analysis_Helper!Q735="BENGALURU",Analysis_Helper!L735="Grocery"),Analysis_Helper!I735,0)</f>
        <v/>
      </c>
    </row>
    <row r="736">
      <c r="AO736" s="55">
        <f>IF(AND(Analysis_Helper!Q736="BENGALURU",Analysis_Helper!L736="Grocery"),Analysis_Helper!I736,0)</f>
        <v/>
      </c>
    </row>
    <row r="737">
      <c r="AO737" s="55">
        <f>IF(AND(Analysis_Helper!Q737="BENGALURU",Analysis_Helper!L737="Grocery"),Analysis_Helper!I737,0)</f>
        <v/>
      </c>
    </row>
    <row r="738">
      <c r="AO738" s="55">
        <f>IF(AND(Analysis_Helper!Q738="BENGALURU",Analysis_Helper!L738="Grocery"),Analysis_Helper!I738,0)</f>
        <v/>
      </c>
    </row>
    <row r="739">
      <c r="AO739" s="55">
        <f>IF(AND(Analysis_Helper!Q739="BENGALURU",Analysis_Helper!L739="Grocery"),Analysis_Helper!I739,0)</f>
        <v/>
      </c>
    </row>
    <row r="740">
      <c r="AO740" s="55">
        <f>IF(AND(Analysis_Helper!Q740="BENGALURU",Analysis_Helper!L740="Grocery"),Analysis_Helper!I740,0)</f>
        <v/>
      </c>
    </row>
    <row r="741">
      <c r="AO741" s="55">
        <f>IF(AND(Analysis_Helper!Q741="BENGALURU",Analysis_Helper!L741="Grocery"),Analysis_Helper!I741,0)</f>
        <v/>
      </c>
    </row>
    <row r="742">
      <c r="AO742" s="55">
        <f>IF(AND(Analysis_Helper!Q742="BENGALURU",Analysis_Helper!L742="Grocery"),Analysis_Helper!I742,0)</f>
        <v/>
      </c>
    </row>
    <row r="743">
      <c r="AO743" s="55">
        <f>IF(AND(Analysis_Helper!Q743="BENGALURU",Analysis_Helper!L743="Grocery"),Analysis_Helper!I743,0)</f>
        <v/>
      </c>
    </row>
    <row r="744">
      <c r="AO744" s="55">
        <f>IF(AND(Analysis_Helper!Q744="BENGALURU",Analysis_Helper!L744="Grocery"),Analysis_Helper!I744,0)</f>
        <v/>
      </c>
    </row>
    <row r="745">
      <c r="AO745" s="55">
        <f>IF(AND(Analysis_Helper!Q745="BENGALURU",Analysis_Helper!L745="Grocery"),Analysis_Helper!I745,0)</f>
        <v/>
      </c>
    </row>
    <row r="746">
      <c r="AO746" s="55">
        <f>IF(AND(Analysis_Helper!Q746="BENGALURU",Analysis_Helper!L746="Grocery"),Analysis_Helper!I746,0)</f>
        <v/>
      </c>
    </row>
    <row r="747">
      <c r="AO747" s="55">
        <f>IF(AND(Analysis_Helper!Q747="BENGALURU",Analysis_Helper!L747="Grocery"),Analysis_Helper!I747,0)</f>
        <v/>
      </c>
    </row>
    <row r="748">
      <c r="AO748" s="55">
        <f>IF(AND(Analysis_Helper!Q748="BENGALURU",Analysis_Helper!L748="Grocery"),Analysis_Helper!I748,0)</f>
        <v/>
      </c>
    </row>
    <row r="749">
      <c r="AO749" s="55">
        <f>IF(AND(Analysis_Helper!Q749="BENGALURU",Analysis_Helper!L749="Grocery"),Analysis_Helper!I749,0)</f>
        <v/>
      </c>
    </row>
    <row r="750">
      <c r="AO750" s="55">
        <f>IF(AND(Analysis_Helper!Q750="BENGALURU",Analysis_Helper!L750="Grocery"),Analysis_Helper!I750,0)</f>
        <v/>
      </c>
    </row>
    <row r="751">
      <c r="AO751" s="55">
        <f>IF(AND(Analysis_Helper!Q751="BENGALURU",Analysis_Helper!L751="Grocery"),Analysis_Helper!I751,0)</f>
        <v/>
      </c>
    </row>
    <row r="752">
      <c r="AO752" s="55">
        <f>IF(AND(Analysis_Helper!Q752="BENGALURU",Analysis_Helper!L752="Grocery"),Analysis_Helper!I752,0)</f>
        <v/>
      </c>
    </row>
    <row r="753">
      <c r="AO753" s="55">
        <f>IF(AND(Analysis_Helper!Q753="BENGALURU",Analysis_Helper!L753="Grocery"),Analysis_Helper!I753,0)</f>
        <v/>
      </c>
    </row>
    <row r="754">
      <c r="AO754" s="55">
        <f>IF(AND(Analysis_Helper!Q754="BENGALURU",Analysis_Helper!L754="Grocery"),Analysis_Helper!I754,0)</f>
        <v/>
      </c>
    </row>
    <row r="755">
      <c r="AO755" s="55">
        <f>IF(AND(Analysis_Helper!Q755="BENGALURU",Analysis_Helper!L755="Grocery"),Analysis_Helper!I755,0)</f>
        <v/>
      </c>
    </row>
    <row r="756">
      <c r="AO756" s="55">
        <f>IF(AND(Analysis_Helper!Q756="BENGALURU",Analysis_Helper!L756="Grocery"),Analysis_Helper!I756,0)</f>
        <v/>
      </c>
    </row>
    <row r="757">
      <c r="AO757" s="55">
        <f>IF(AND(Analysis_Helper!Q757="BENGALURU",Analysis_Helper!L757="Grocery"),Analysis_Helper!I757,0)</f>
        <v/>
      </c>
    </row>
    <row r="758">
      <c r="AO758" s="55">
        <f>IF(AND(Analysis_Helper!Q758="BENGALURU",Analysis_Helper!L758="Grocery"),Analysis_Helper!I758,0)</f>
        <v/>
      </c>
    </row>
    <row r="759">
      <c r="AO759" s="55">
        <f>IF(AND(Analysis_Helper!Q759="BENGALURU",Analysis_Helper!L759="Grocery"),Analysis_Helper!I759,0)</f>
        <v/>
      </c>
    </row>
    <row r="760">
      <c r="AO760" s="55">
        <f>IF(AND(Analysis_Helper!Q760="BENGALURU",Analysis_Helper!L760="Grocery"),Analysis_Helper!I760,0)</f>
        <v/>
      </c>
    </row>
    <row r="761">
      <c r="AO761" s="55">
        <f>IF(AND(Analysis_Helper!Q761="BENGALURU",Analysis_Helper!L761="Grocery"),Analysis_Helper!I761,0)</f>
        <v/>
      </c>
    </row>
    <row r="762">
      <c r="AO762" s="55">
        <f>IF(AND(Analysis_Helper!Q762="BENGALURU",Analysis_Helper!L762="Grocery"),Analysis_Helper!I762,0)</f>
        <v/>
      </c>
    </row>
    <row r="763">
      <c r="AO763" s="55">
        <f>IF(AND(Analysis_Helper!Q763="BENGALURU",Analysis_Helper!L763="Grocery"),Analysis_Helper!I763,0)</f>
        <v/>
      </c>
    </row>
    <row r="764">
      <c r="AO764" s="55">
        <f>IF(AND(Analysis_Helper!Q764="BENGALURU",Analysis_Helper!L764="Grocery"),Analysis_Helper!I764,0)</f>
        <v/>
      </c>
    </row>
    <row r="765">
      <c r="AO765" s="55">
        <f>IF(AND(Analysis_Helper!Q765="BENGALURU",Analysis_Helper!L765="Grocery"),Analysis_Helper!I765,0)</f>
        <v/>
      </c>
    </row>
    <row r="766">
      <c r="AO766" s="55">
        <f>IF(AND(Analysis_Helper!Q766="BENGALURU",Analysis_Helper!L766="Grocery"),Analysis_Helper!I766,0)</f>
        <v/>
      </c>
    </row>
    <row r="767">
      <c r="AO767" s="55">
        <f>IF(AND(Analysis_Helper!Q767="BENGALURU",Analysis_Helper!L767="Grocery"),Analysis_Helper!I767,0)</f>
        <v/>
      </c>
    </row>
    <row r="768">
      <c r="AO768" s="55">
        <f>IF(AND(Analysis_Helper!Q768="BENGALURU",Analysis_Helper!L768="Grocery"),Analysis_Helper!I768,0)</f>
        <v/>
      </c>
    </row>
    <row r="769">
      <c r="AO769" s="55">
        <f>IF(AND(Analysis_Helper!Q769="BENGALURU",Analysis_Helper!L769="Grocery"),Analysis_Helper!I769,0)</f>
        <v/>
      </c>
    </row>
    <row r="770">
      <c r="AO770" s="55">
        <f>IF(AND(Analysis_Helper!Q770="BENGALURU",Analysis_Helper!L770="Grocery"),Analysis_Helper!I770,0)</f>
        <v/>
      </c>
    </row>
    <row r="771">
      <c r="AO771" s="55">
        <f>IF(AND(Analysis_Helper!Q771="BENGALURU",Analysis_Helper!L771="Grocery"),Analysis_Helper!I771,0)</f>
        <v/>
      </c>
    </row>
    <row r="772">
      <c r="AO772" s="55">
        <f>IF(AND(Analysis_Helper!Q772="BENGALURU",Analysis_Helper!L772="Grocery"),Analysis_Helper!I772,0)</f>
        <v/>
      </c>
    </row>
    <row r="773">
      <c r="AO773" s="55">
        <f>IF(AND(Analysis_Helper!Q773="BENGALURU",Analysis_Helper!L773="Grocery"),Analysis_Helper!I773,0)</f>
        <v/>
      </c>
    </row>
    <row r="774">
      <c r="AO774" s="55">
        <f>IF(AND(Analysis_Helper!Q774="BENGALURU",Analysis_Helper!L774="Grocery"),Analysis_Helper!I774,0)</f>
        <v/>
      </c>
    </row>
    <row r="775">
      <c r="AO775" s="55">
        <f>IF(AND(Analysis_Helper!Q775="BENGALURU",Analysis_Helper!L775="Grocery"),Analysis_Helper!I775,0)</f>
        <v/>
      </c>
    </row>
    <row r="776">
      <c r="AO776" s="55">
        <f>IF(AND(Analysis_Helper!Q776="BENGALURU",Analysis_Helper!L776="Grocery"),Analysis_Helper!I776,0)</f>
        <v/>
      </c>
    </row>
    <row r="777">
      <c r="AO777" s="55">
        <f>IF(AND(Analysis_Helper!Q777="BENGALURU",Analysis_Helper!L777="Grocery"),Analysis_Helper!I777,0)</f>
        <v/>
      </c>
    </row>
    <row r="778">
      <c r="AO778" s="55">
        <f>IF(AND(Analysis_Helper!Q778="BENGALURU",Analysis_Helper!L778="Grocery"),Analysis_Helper!I778,0)</f>
        <v/>
      </c>
    </row>
    <row r="779">
      <c r="AO779" s="55">
        <f>IF(AND(Analysis_Helper!Q779="BENGALURU",Analysis_Helper!L779="Grocery"),Analysis_Helper!I779,0)</f>
        <v/>
      </c>
    </row>
    <row r="780">
      <c r="AO780" s="55">
        <f>IF(AND(Analysis_Helper!Q780="BENGALURU",Analysis_Helper!L780="Grocery"),Analysis_Helper!I780,0)</f>
        <v/>
      </c>
    </row>
    <row r="781">
      <c r="AO781" s="55">
        <f>IF(AND(Analysis_Helper!Q781="BENGALURU",Analysis_Helper!L781="Grocery"),Analysis_Helper!I781,0)</f>
        <v/>
      </c>
    </row>
    <row r="782">
      <c r="AO782" s="55">
        <f>IF(AND(Analysis_Helper!Q782="BENGALURU",Analysis_Helper!L782="Grocery"),Analysis_Helper!I782,0)</f>
        <v/>
      </c>
    </row>
    <row r="783">
      <c r="AO783" s="55">
        <f>IF(AND(Analysis_Helper!Q783="BENGALURU",Analysis_Helper!L783="Grocery"),Analysis_Helper!I783,0)</f>
        <v/>
      </c>
    </row>
    <row r="784">
      <c r="AO784" s="55">
        <f>IF(AND(Analysis_Helper!Q784="BENGALURU",Analysis_Helper!L784="Grocery"),Analysis_Helper!I784,0)</f>
        <v/>
      </c>
    </row>
    <row r="785">
      <c r="AO785" s="55">
        <f>IF(AND(Analysis_Helper!Q785="BENGALURU",Analysis_Helper!L785="Grocery"),Analysis_Helper!I785,0)</f>
        <v/>
      </c>
    </row>
    <row r="786">
      <c r="AO786" s="55">
        <f>IF(AND(Analysis_Helper!Q786="BENGALURU",Analysis_Helper!L786="Grocery"),Analysis_Helper!I786,0)</f>
        <v/>
      </c>
    </row>
    <row r="787">
      <c r="AO787" s="55">
        <f>IF(AND(Analysis_Helper!Q787="BENGALURU",Analysis_Helper!L787="Grocery"),Analysis_Helper!I787,0)</f>
        <v/>
      </c>
    </row>
    <row r="788">
      <c r="AO788" s="55">
        <f>IF(AND(Analysis_Helper!Q788="BENGALURU",Analysis_Helper!L788="Grocery"),Analysis_Helper!I788,0)</f>
        <v/>
      </c>
    </row>
    <row r="789">
      <c r="AO789" s="55">
        <f>IF(AND(Analysis_Helper!Q789="BENGALURU",Analysis_Helper!L789="Grocery"),Analysis_Helper!I789,0)</f>
        <v/>
      </c>
    </row>
    <row r="790">
      <c r="AO790" s="55">
        <f>IF(AND(Analysis_Helper!Q790="BENGALURU",Analysis_Helper!L790="Grocery"),Analysis_Helper!I790,0)</f>
        <v/>
      </c>
    </row>
    <row r="791">
      <c r="AO791" s="55">
        <f>IF(AND(Analysis_Helper!Q791="BENGALURU",Analysis_Helper!L791="Grocery"),Analysis_Helper!I791,0)</f>
        <v/>
      </c>
    </row>
    <row r="792">
      <c r="AO792" s="55">
        <f>IF(AND(Analysis_Helper!Q792="BENGALURU",Analysis_Helper!L792="Grocery"),Analysis_Helper!I792,0)</f>
        <v/>
      </c>
    </row>
    <row r="793">
      <c r="AO793" s="55">
        <f>IF(AND(Analysis_Helper!Q793="BENGALURU",Analysis_Helper!L793="Grocery"),Analysis_Helper!I793,0)</f>
        <v/>
      </c>
    </row>
    <row r="794">
      <c r="AO794" s="55">
        <f>IF(AND(Analysis_Helper!Q794="BENGALURU",Analysis_Helper!L794="Grocery"),Analysis_Helper!I794,0)</f>
        <v/>
      </c>
    </row>
    <row r="795">
      <c r="AO795" s="55">
        <f>IF(AND(Analysis_Helper!Q795="BENGALURU",Analysis_Helper!L795="Grocery"),Analysis_Helper!I795,0)</f>
        <v/>
      </c>
    </row>
    <row r="796">
      <c r="AO796" s="55">
        <f>IF(AND(Analysis_Helper!Q796="BENGALURU",Analysis_Helper!L796="Grocery"),Analysis_Helper!I796,0)</f>
        <v/>
      </c>
    </row>
    <row r="797">
      <c r="AO797" s="55">
        <f>IF(AND(Analysis_Helper!Q797="BENGALURU",Analysis_Helper!L797="Grocery"),Analysis_Helper!I797,0)</f>
        <v/>
      </c>
    </row>
    <row r="798">
      <c r="AO798" s="55">
        <f>IF(AND(Analysis_Helper!Q798="BENGALURU",Analysis_Helper!L798="Grocery"),Analysis_Helper!I798,0)</f>
        <v/>
      </c>
    </row>
    <row r="799">
      <c r="AO799" s="55">
        <f>IF(AND(Analysis_Helper!Q799="BENGALURU",Analysis_Helper!L799="Grocery"),Analysis_Helper!I799,0)</f>
        <v/>
      </c>
    </row>
    <row r="800">
      <c r="AO800" s="55">
        <f>IF(AND(Analysis_Helper!Q800="BENGALURU",Analysis_Helper!L800="Grocery"),Analysis_Helper!I800,0)</f>
        <v/>
      </c>
    </row>
    <row r="801">
      <c r="AO801" s="55">
        <f>IF(AND(Analysis_Helper!Q801="BENGALURU",Analysis_Helper!L801="Grocery"),Analysis_Helper!I801,0)</f>
        <v/>
      </c>
    </row>
    <row r="802">
      <c r="AO802" s="55">
        <f>IF(AND(Analysis_Helper!Q802="BENGALURU",Analysis_Helper!L802="Grocery"),Analysis_Helper!I802,0)</f>
        <v/>
      </c>
    </row>
    <row r="803">
      <c r="AO803" s="55">
        <f>IF(AND(Analysis_Helper!Q803="BENGALURU",Analysis_Helper!L803="Grocery"),Analysis_Helper!I803,0)</f>
        <v/>
      </c>
    </row>
    <row r="804">
      <c r="AO804" s="55">
        <f>IF(AND(Analysis_Helper!Q804="BENGALURU",Analysis_Helper!L804="Grocery"),Analysis_Helper!I804,0)</f>
        <v/>
      </c>
    </row>
    <row r="805">
      <c r="AO805" s="55">
        <f>IF(AND(Analysis_Helper!Q805="BENGALURU",Analysis_Helper!L805="Grocery"),Analysis_Helper!I805,0)</f>
        <v/>
      </c>
    </row>
    <row r="806">
      <c r="AO806" s="55">
        <f>IF(AND(Analysis_Helper!Q806="BENGALURU",Analysis_Helper!L806="Grocery"),Analysis_Helper!I806,0)</f>
        <v/>
      </c>
    </row>
    <row r="807">
      <c r="AO807" s="55">
        <f>IF(AND(Analysis_Helper!Q807="BENGALURU",Analysis_Helper!L807="Grocery"),Analysis_Helper!I807,0)</f>
        <v/>
      </c>
    </row>
    <row r="808">
      <c r="AO808" s="55">
        <f>IF(AND(Analysis_Helper!Q808="BENGALURU",Analysis_Helper!L808="Grocery"),Analysis_Helper!I808,0)</f>
        <v/>
      </c>
    </row>
    <row r="809">
      <c r="AO809" s="55">
        <f>IF(AND(Analysis_Helper!Q809="BENGALURU",Analysis_Helper!L809="Grocery"),Analysis_Helper!I809,0)</f>
        <v/>
      </c>
    </row>
    <row r="810">
      <c r="AO810" s="55">
        <f>IF(AND(Analysis_Helper!Q810="BENGALURU",Analysis_Helper!L810="Grocery"),Analysis_Helper!I810,0)</f>
        <v/>
      </c>
    </row>
    <row r="811">
      <c r="AO811" s="55">
        <f>IF(AND(Analysis_Helper!Q811="BENGALURU",Analysis_Helper!L811="Grocery"),Analysis_Helper!I811,0)</f>
        <v/>
      </c>
    </row>
    <row r="812">
      <c r="AO812" s="55">
        <f>IF(AND(Analysis_Helper!Q812="BENGALURU",Analysis_Helper!L812="Grocery"),Analysis_Helper!I812,0)</f>
        <v/>
      </c>
    </row>
    <row r="813">
      <c r="AO813" s="55">
        <f>IF(AND(Analysis_Helper!Q813="BENGALURU",Analysis_Helper!L813="Grocery"),Analysis_Helper!I813,0)</f>
        <v/>
      </c>
    </row>
    <row r="814">
      <c r="AO814" s="55">
        <f>IF(AND(Analysis_Helper!Q814="BENGALURU",Analysis_Helper!L814="Grocery"),Analysis_Helper!I814,0)</f>
        <v/>
      </c>
    </row>
    <row r="815">
      <c r="AO815" s="55">
        <f>IF(AND(Analysis_Helper!Q815="BENGALURU",Analysis_Helper!L815="Grocery"),Analysis_Helper!I815,0)</f>
        <v/>
      </c>
    </row>
    <row r="816">
      <c r="AO816" s="55">
        <f>IF(AND(Analysis_Helper!Q816="BENGALURU",Analysis_Helper!L816="Grocery"),Analysis_Helper!I816,0)</f>
        <v/>
      </c>
    </row>
    <row r="817">
      <c r="AO817" s="55">
        <f>IF(AND(Analysis_Helper!Q817="BENGALURU",Analysis_Helper!L817="Grocery"),Analysis_Helper!I817,0)</f>
        <v/>
      </c>
    </row>
    <row r="818">
      <c r="AO818" s="55">
        <f>IF(AND(Analysis_Helper!Q818="BENGALURU",Analysis_Helper!L818="Grocery"),Analysis_Helper!I818,0)</f>
        <v/>
      </c>
    </row>
    <row r="819">
      <c r="AO819" s="55">
        <f>IF(AND(Analysis_Helper!Q819="BENGALURU",Analysis_Helper!L819="Grocery"),Analysis_Helper!I819,0)</f>
        <v/>
      </c>
    </row>
    <row r="820">
      <c r="AO820" s="55">
        <f>IF(AND(Analysis_Helper!Q820="BENGALURU",Analysis_Helper!L820="Grocery"),Analysis_Helper!I820,0)</f>
        <v/>
      </c>
    </row>
    <row r="821">
      <c r="AO821" s="55">
        <f>IF(AND(Analysis_Helper!Q821="BENGALURU",Analysis_Helper!L821="Grocery"),Analysis_Helper!I821,0)</f>
        <v/>
      </c>
    </row>
    <row r="822">
      <c r="AO822" s="55">
        <f>IF(AND(Analysis_Helper!Q822="BENGALURU",Analysis_Helper!L822="Grocery"),Analysis_Helper!I822,0)</f>
        <v/>
      </c>
    </row>
    <row r="823">
      <c r="AO823" s="55">
        <f>IF(AND(Analysis_Helper!Q823="BENGALURU",Analysis_Helper!L823="Grocery"),Analysis_Helper!I823,0)</f>
        <v/>
      </c>
    </row>
    <row r="824">
      <c r="AO824" s="55">
        <f>IF(AND(Analysis_Helper!Q824="BENGALURU",Analysis_Helper!L824="Grocery"),Analysis_Helper!I824,0)</f>
        <v/>
      </c>
    </row>
    <row r="825">
      <c r="AO825" s="55">
        <f>IF(AND(Analysis_Helper!Q825="BENGALURU",Analysis_Helper!L825="Grocery"),Analysis_Helper!I825,0)</f>
        <v/>
      </c>
    </row>
    <row r="826">
      <c r="AO826" s="55">
        <f>IF(AND(Analysis_Helper!Q826="BENGALURU",Analysis_Helper!L826="Grocery"),Analysis_Helper!I826,0)</f>
        <v/>
      </c>
    </row>
    <row r="827">
      <c r="AO827" s="55">
        <f>IF(AND(Analysis_Helper!Q827="BENGALURU",Analysis_Helper!L827="Grocery"),Analysis_Helper!I827,0)</f>
        <v/>
      </c>
    </row>
    <row r="828">
      <c r="AO828" s="55">
        <f>IF(AND(Analysis_Helper!Q828="BENGALURU",Analysis_Helper!L828="Grocery"),Analysis_Helper!I828,0)</f>
        <v/>
      </c>
    </row>
    <row r="829">
      <c r="AO829" s="55">
        <f>IF(AND(Analysis_Helper!Q829="BENGALURU",Analysis_Helper!L829="Grocery"),Analysis_Helper!I829,0)</f>
        <v/>
      </c>
    </row>
    <row r="830">
      <c r="AO830" s="55">
        <f>IF(AND(Analysis_Helper!Q830="BENGALURU",Analysis_Helper!L830="Grocery"),Analysis_Helper!I830,0)</f>
        <v/>
      </c>
    </row>
    <row r="831">
      <c r="AO831" s="55">
        <f>IF(AND(Analysis_Helper!Q831="BENGALURU",Analysis_Helper!L831="Grocery"),Analysis_Helper!I831,0)</f>
        <v/>
      </c>
    </row>
    <row r="832">
      <c r="AO832" s="55">
        <f>IF(AND(Analysis_Helper!Q832="BENGALURU",Analysis_Helper!L832="Grocery"),Analysis_Helper!I832,0)</f>
        <v/>
      </c>
    </row>
    <row r="833">
      <c r="AO833" s="55">
        <f>IF(AND(Analysis_Helper!Q833="BENGALURU",Analysis_Helper!L833="Grocery"),Analysis_Helper!I833,0)</f>
        <v/>
      </c>
    </row>
    <row r="834">
      <c r="AO834" s="55">
        <f>IF(AND(Analysis_Helper!Q834="BENGALURU",Analysis_Helper!L834="Grocery"),Analysis_Helper!I834,0)</f>
        <v/>
      </c>
    </row>
    <row r="835">
      <c r="AO835" s="55">
        <f>IF(AND(Analysis_Helper!Q835="BENGALURU",Analysis_Helper!L835="Grocery"),Analysis_Helper!I835,0)</f>
        <v/>
      </c>
    </row>
    <row r="836">
      <c r="AO836" s="55">
        <f>IF(AND(Analysis_Helper!Q836="BENGALURU",Analysis_Helper!L836="Grocery"),Analysis_Helper!I836,0)</f>
        <v/>
      </c>
    </row>
    <row r="837">
      <c r="AO837" s="55">
        <f>IF(AND(Analysis_Helper!Q837="BENGALURU",Analysis_Helper!L837="Grocery"),Analysis_Helper!I837,0)</f>
        <v/>
      </c>
    </row>
    <row r="838">
      <c r="AO838" s="55">
        <f>IF(AND(Analysis_Helper!Q838="BENGALURU",Analysis_Helper!L838="Grocery"),Analysis_Helper!I838,0)</f>
        <v/>
      </c>
    </row>
    <row r="839">
      <c r="AO839" s="55">
        <f>IF(AND(Analysis_Helper!Q839="BENGALURU",Analysis_Helper!L839="Grocery"),Analysis_Helper!I839,0)</f>
        <v/>
      </c>
    </row>
    <row r="840">
      <c r="AO840" s="55">
        <f>IF(AND(Analysis_Helper!Q840="BENGALURU",Analysis_Helper!L840="Grocery"),Analysis_Helper!I840,0)</f>
        <v/>
      </c>
    </row>
    <row r="841">
      <c r="AO841" s="55">
        <f>IF(AND(Analysis_Helper!Q841="BENGALURU",Analysis_Helper!L841="Grocery"),Analysis_Helper!I841,0)</f>
        <v/>
      </c>
    </row>
    <row r="842">
      <c r="AO842" s="55">
        <f>IF(AND(Analysis_Helper!Q842="BENGALURU",Analysis_Helper!L842="Grocery"),Analysis_Helper!I842,0)</f>
        <v/>
      </c>
    </row>
    <row r="843">
      <c r="AO843" s="55">
        <f>IF(AND(Analysis_Helper!Q843="BENGALURU",Analysis_Helper!L843="Grocery"),Analysis_Helper!I843,0)</f>
        <v/>
      </c>
    </row>
    <row r="844">
      <c r="AO844" s="55">
        <f>IF(AND(Analysis_Helper!Q844="BENGALURU",Analysis_Helper!L844="Grocery"),Analysis_Helper!I844,0)</f>
        <v/>
      </c>
    </row>
    <row r="845">
      <c r="AO845" s="55">
        <f>IF(AND(Analysis_Helper!Q845="BENGALURU",Analysis_Helper!L845="Grocery"),Analysis_Helper!I845,0)</f>
        <v/>
      </c>
    </row>
    <row r="846">
      <c r="AO846" s="55">
        <f>IF(AND(Analysis_Helper!Q846="BENGALURU",Analysis_Helper!L846="Grocery"),Analysis_Helper!I846,0)</f>
        <v/>
      </c>
    </row>
    <row r="847">
      <c r="AO847" s="55">
        <f>IF(AND(Analysis_Helper!Q847="BENGALURU",Analysis_Helper!L847="Grocery"),Analysis_Helper!I847,0)</f>
        <v/>
      </c>
    </row>
    <row r="848">
      <c r="AO848" s="55">
        <f>IF(AND(Analysis_Helper!Q848="BENGALURU",Analysis_Helper!L848="Grocery"),Analysis_Helper!I848,0)</f>
        <v/>
      </c>
    </row>
    <row r="849">
      <c r="AO849" s="55">
        <f>IF(AND(Analysis_Helper!Q849="BENGALURU",Analysis_Helper!L849="Grocery"),Analysis_Helper!I849,0)</f>
        <v/>
      </c>
    </row>
    <row r="850">
      <c r="AO850" s="55">
        <f>IF(AND(Analysis_Helper!Q850="BENGALURU",Analysis_Helper!L850="Grocery"),Analysis_Helper!I850,0)</f>
        <v/>
      </c>
    </row>
    <row r="851">
      <c r="AO851" s="55">
        <f>IF(AND(Analysis_Helper!Q851="BENGALURU",Analysis_Helper!L851="Grocery"),Analysis_Helper!I851,0)</f>
        <v/>
      </c>
    </row>
    <row r="852">
      <c r="AO852" s="55">
        <f>IF(AND(Analysis_Helper!Q852="BENGALURU",Analysis_Helper!L852="Grocery"),Analysis_Helper!I852,0)</f>
        <v/>
      </c>
    </row>
    <row r="853">
      <c r="AO853" s="55">
        <f>IF(AND(Analysis_Helper!Q853="BENGALURU",Analysis_Helper!L853="Grocery"),Analysis_Helper!I853,0)</f>
        <v/>
      </c>
    </row>
    <row r="854">
      <c r="AO854" s="55">
        <f>IF(AND(Analysis_Helper!Q854="BENGALURU",Analysis_Helper!L854="Grocery"),Analysis_Helper!I854,0)</f>
        <v/>
      </c>
    </row>
    <row r="855">
      <c r="AO855" s="55">
        <f>IF(AND(Analysis_Helper!Q855="BENGALURU",Analysis_Helper!L855="Grocery"),Analysis_Helper!I855,0)</f>
        <v/>
      </c>
    </row>
    <row r="856">
      <c r="AO856" s="55">
        <f>IF(AND(Analysis_Helper!Q856="BENGALURU",Analysis_Helper!L856="Grocery"),Analysis_Helper!I856,0)</f>
        <v/>
      </c>
    </row>
    <row r="857">
      <c r="AO857" s="55">
        <f>IF(AND(Analysis_Helper!Q857="BENGALURU",Analysis_Helper!L857="Grocery"),Analysis_Helper!I857,0)</f>
        <v/>
      </c>
    </row>
    <row r="858">
      <c r="AO858" s="55">
        <f>IF(AND(Analysis_Helper!Q858="BENGALURU",Analysis_Helper!L858="Grocery"),Analysis_Helper!I858,0)</f>
        <v/>
      </c>
    </row>
    <row r="859">
      <c r="AO859" s="55">
        <f>IF(AND(Analysis_Helper!Q859="BENGALURU",Analysis_Helper!L859="Grocery"),Analysis_Helper!I859,0)</f>
        <v/>
      </c>
    </row>
    <row r="860">
      <c r="AO860" s="55">
        <f>IF(AND(Analysis_Helper!Q860="BENGALURU",Analysis_Helper!L860="Grocery"),Analysis_Helper!I860,0)</f>
        <v/>
      </c>
    </row>
    <row r="861">
      <c r="AO861" s="55">
        <f>IF(AND(Analysis_Helper!Q861="BENGALURU",Analysis_Helper!L861="Grocery"),Analysis_Helper!I861,0)</f>
        <v/>
      </c>
    </row>
    <row r="862">
      <c r="AO862" s="55">
        <f>IF(AND(Analysis_Helper!Q862="BENGALURU",Analysis_Helper!L862="Grocery"),Analysis_Helper!I862,0)</f>
        <v/>
      </c>
    </row>
    <row r="863">
      <c r="AO863" s="55">
        <f>IF(AND(Analysis_Helper!Q863="BENGALURU",Analysis_Helper!L863="Grocery"),Analysis_Helper!I863,0)</f>
        <v/>
      </c>
    </row>
    <row r="864">
      <c r="AO864" s="55">
        <f>IF(AND(Analysis_Helper!Q864="BENGALURU",Analysis_Helper!L864="Grocery"),Analysis_Helper!I864,0)</f>
        <v/>
      </c>
    </row>
    <row r="865">
      <c r="AO865" s="55">
        <f>IF(AND(Analysis_Helper!Q865="BENGALURU",Analysis_Helper!L865="Grocery"),Analysis_Helper!I865,0)</f>
        <v/>
      </c>
    </row>
    <row r="866">
      <c r="AO866" s="55">
        <f>IF(AND(Analysis_Helper!Q866="BENGALURU",Analysis_Helper!L866="Grocery"),Analysis_Helper!I866,0)</f>
        <v/>
      </c>
    </row>
    <row r="867">
      <c r="AO867" s="55">
        <f>IF(AND(Analysis_Helper!Q867="BENGALURU",Analysis_Helper!L867="Grocery"),Analysis_Helper!I867,0)</f>
        <v/>
      </c>
    </row>
    <row r="868">
      <c r="AO868" s="55">
        <f>IF(AND(Analysis_Helper!Q868="BENGALURU",Analysis_Helper!L868="Grocery"),Analysis_Helper!I868,0)</f>
        <v/>
      </c>
    </row>
    <row r="869">
      <c r="AO869" s="55">
        <f>IF(AND(Analysis_Helper!Q869="BENGALURU",Analysis_Helper!L869="Grocery"),Analysis_Helper!I869,0)</f>
        <v/>
      </c>
    </row>
    <row r="870">
      <c r="AO870" s="55">
        <f>IF(AND(Analysis_Helper!Q870="BENGALURU",Analysis_Helper!L870="Grocery"),Analysis_Helper!I870,0)</f>
        <v/>
      </c>
    </row>
    <row r="871">
      <c r="AO871" s="55">
        <f>IF(AND(Analysis_Helper!Q871="BENGALURU",Analysis_Helper!L871="Grocery"),Analysis_Helper!I871,0)</f>
        <v/>
      </c>
    </row>
    <row r="872">
      <c r="AO872" s="55">
        <f>IF(AND(Analysis_Helper!Q872="BENGALURU",Analysis_Helper!L872="Grocery"),Analysis_Helper!I872,0)</f>
        <v/>
      </c>
    </row>
    <row r="873">
      <c r="AO873" s="55">
        <f>IF(AND(Analysis_Helper!Q873="BENGALURU",Analysis_Helper!L873="Grocery"),Analysis_Helper!I873,0)</f>
        <v/>
      </c>
    </row>
    <row r="874">
      <c r="AO874" s="55">
        <f>IF(AND(Analysis_Helper!Q874="BENGALURU",Analysis_Helper!L874="Grocery"),Analysis_Helper!I874,0)</f>
        <v/>
      </c>
    </row>
    <row r="875">
      <c r="AO875" s="55">
        <f>IF(AND(Analysis_Helper!Q875="BENGALURU",Analysis_Helper!L875="Grocery"),Analysis_Helper!I875,0)</f>
        <v/>
      </c>
    </row>
    <row r="876">
      <c r="AO876" s="55">
        <f>IF(AND(Analysis_Helper!Q876="BENGALURU",Analysis_Helper!L876="Grocery"),Analysis_Helper!I876,0)</f>
        <v/>
      </c>
    </row>
    <row r="877">
      <c r="AO877" s="55">
        <f>IF(AND(Analysis_Helper!Q877="BENGALURU",Analysis_Helper!L877="Grocery"),Analysis_Helper!I877,0)</f>
        <v/>
      </c>
    </row>
    <row r="878">
      <c r="AO878" s="55">
        <f>IF(AND(Analysis_Helper!Q878="BENGALURU",Analysis_Helper!L878="Grocery"),Analysis_Helper!I878,0)</f>
        <v/>
      </c>
    </row>
    <row r="879">
      <c r="AO879" s="55">
        <f>IF(AND(Analysis_Helper!Q879="BENGALURU",Analysis_Helper!L879="Grocery"),Analysis_Helper!I879,0)</f>
        <v/>
      </c>
    </row>
    <row r="880">
      <c r="AO880" s="55">
        <f>IF(AND(Analysis_Helper!Q880="BENGALURU",Analysis_Helper!L880="Grocery"),Analysis_Helper!I880,0)</f>
        <v/>
      </c>
    </row>
    <row r="881">
      <c r="AO881" s="55">
        <f>IF(AND(Analysis_Helper!Q881="BENGALURU",Analysis_Helper!L881="Grocery"),Analysis_Helper!I881,0)</f>
        <v/>
      </c>
    </row>
    <row r="882">
      <c r="AO882" s="55">
        <f>IF(AND(Analysis_Helper!Q882="BENGALURU",Analysis_Helper!L882="Grocery"),Analysis_Helper!I882,0)</f>
        <v/>
      </c>
    </row>
    <row r="883">
      <c r="AO883" s="55">
        <f>IF(AND(Analysis_Helper!Q883="BENGALURU",Analysis_Helper!L883="Grocery"),Analysis_Helper!I883,0)</f>
        <v/>
      </c>
    </row>
    <row r="884">
      <c r="AO884" s="55">
        <f>IF(AND(Analysis_Helper!Q884="BENGALURU",Analysis_Helper!L884="Grocery"),Analysis_Helper!I884,0)</f>
        <v/>
      </c>
    </row>
    <row r="885">
      <c r="AO885" s="55">
        <f>IF(AND(Analysis_Helper!Q885="BENGALURU",Analysis_Helper!L885="Grocery"),Analysis_Helper!I885,0)</f>
        <v/>
      </c>
    </row>
    <row r="886">
      <c r="AO886" s="55">
        <f>IF(AND(Analysis_Helper!Q886="BENGALURU",Analysis_Helper!L886="Grocery"),Analysis_Helper!I886,0)</f>
        <v/>
      </c>
    </row>
    <row r="887">
      <c r="AO887" s="55">
        <f>IF(AND(Analysis_Helper!Q887="BENGALURU",Analysis_Helper!L887="Grocery"),Analysis_Helper!I887,0)</f>
        <v/>
      </c>
    </row>
    <row r="888">
      <c r="AO888" s="55">
        <f>IF(AND(Analysis_Helper!Q888="BENGALURU",Analysis_Helper!L888="Grocery"),Analysis_Helper!I888,0)</f>
        <v/>
      </c>
    </row>
    <row r="889">
      <c r="AO889" s="55">
        <f>IF(AND(Analysis_Helper!Q889="BENGALURU",Analysis_Helper!L889="Grocery"),Analysis_Helper!I889,0)</f>
        <v/>
      </c>
    </row>
    <row r="890">
      <c r="AO890" s="55">
        <f>IF(AND(Analysis_Helper!Q890="BENGALURU",Analysis_Helper!L890="Grocery"),Analysis_Helper!I890,0)</f>
        <v/>
      </c>
    </row>
    <row r="891">
      <c r="AO891" s="55">
        <f>IF(AND(Analysis_Helper!Q891="BENGALURU",Analysis_Helper!L891="Grocery"),Analysis_Helper!I891,0)</f>
        <v/>
      </c>
    </row>
    <row r="892">
      <c r="AO892" s="55">
        <f>IF(AND(Analysis_Helper!Q892="BENGALURU",Analysis_Helper!L892="Grocery"),Analysis_Helper!I892,0)</f>
        <v/>
      </c>
    </row>
    <row r="893">
      <c r="AO893" s="55">
        <f>IF(AND(Analysis_Helper!Q893="BENGALURU",Analysis_Helper!L893="Grocery"),Analysis_Helper!I893,0)</f>
        <v/>
      </c>
    </row>
    <row r="894">
      <c r="AO894" s="55">
        <f>IF(AND(Analysis_Helper!Q894="BENGALURU",Analysis_Helper!L894="Grocery"),Analysis_Helper!I894,0)</f>
        <v/>
      </c>
    </row>
    <row r="895">
      <c r="AO895" s="55">
        <f>IF(AND(Analysis_Helper!Q895="BENGALURU",Analysis_Helper!L895="Grocery"),Analysis_Helper!I895,0)</f>
        <v/>
      </c>
    </row>
    <row r="896">
      <c r="AO896" s="55">
        <f>IF(AND(Analysis_Helper!Q896="BENGALURU",Analysis_Helper!L896="Grocery"),Analysis_Helper!I896,0)</f>
        <v/>
      </c>
    </row>
    <row r="897">
      <c r="AO897" s="55">
        <f>IF(AND(Analysis_Helper!Q897="BENGALURU",Analysis_Helper!L897="Grocery"),Analysis_Helper!I897,0)</f>
        <v/>
      </c>
    </row>
    <row r="898">
      <c r="AO898" s="55">
        <f>IF(AND(Analysis_Helper!Q898="BENGALURU",Analysis_Helper!L898="Grocery"),Analysis_Helper!I898,0)</f>
        <v/>
      </c>
    </row>
    <row r="899">
      <c r="AO899" s="55">
        <f>IF(AND(Analysis_Helper!Q899="BENGALURU",Analysis_Helper!L899="Grocery"),Analysis_Helper!I899,0)</f>
        <v/>
      </c>
    </row>
    <row r="900">
      <c r="AO900" s="55">
        <f>IF(AND(Analysis_Helper!Q900="BENGALURU",Analysis_Helper!L900="Grocery"),Analysis_Helper!I900,0)</f>
        <v/>
      </c>
    </row>
    <row r="901">
      <c r="AO901" s="55">
        <f>IF(AND(Analysis_Helper!Q901="BENGALURU",Analysis_Helper!L901="Grocery"),Analysis_Helper!I901,0)</f>
        <v/>
      </c>
    </row>
    <row r="902">
      <c r="AO902" s="55">
        <f>IF(AND(Analysis_Helper!Q902="BENGALURU",Analysis_Helper!L902="Grocery"),Analysis_Helper!I902,0)</f>
        <v/>
      </c>
    </row>
    <row r="903">
      <c r="AO903" s="55">
        <f>IF(AND(Analysis_Helper!Q903="BENGALURU",Analysis_Helper!L903="Grocery"),Analysis_Helper!I903,0)</f>
        <v/>
      </c>
    </row>
    <row r="904">
      <c r="AO904" s="55">
        <f>IF(AND(Analysis_Helper!Q904="BENGALURU",Analysis_Helper!L904="Grocery"),Analysis_Helper!I904,0)</f>
        <v/>
      </c>
    </row>
    <row r="905">
      <c r="AO905" s="55">
        <f>IF(AND(Analysis_Helper!Q905="BENGALURU",Analysis_Helper!L905="Grocery"),Analysis_Helper!I905,0)</f>
        <v/>
      </c>
    </row>
    <row r="906">
      <c r="AO906" s="55">
        <f>IF(AND(Analysis_Helper!Q906="BENGALURU",Analysis_Helper!L906="Grocery"),Analysis_Helper!I906,0)</f>
        <v/>
      </c>
    </row>
    <row r="907">
      <c r="AO907" s="55">
        <f>IF(AND(Analysis_Helper!Q907="BENGALURU",Analysis_Helper!L907="Grocery"),Analysis_Helper!I907,0)</f>
        <v/>
      </c>
    </row>
    <row r="908">
      <c r="AO908" s="55">
        <f>IF(AND(Analysis_Helper!Q908="BENGALURU",Analysis_Helper!L908="Grocery"),Analysis_Helper!I908,0)</f>
        <v/>
      </c>
    </row>
    <row r="909">
      <c r="AO909" s="55">
        <f>IF(AND(Analysis_Helper!Q909="BENGALURU",Analysis_Helper!L909="Grocery"),Analysis_Helper!I909,0)</f>
        <v/>
      </c>
    </row>
    <row r="910">
      <c r="AO910" s="55">
        <f>IF(AND(Analysis_Helper!Q910="BENGALURU",Analysis_Helper!L910="Grocery"),Analysis_Helper!I910,0)</f>
        <v/>
      </c>
    </row>
    <row r="911">
      <c r="AO911" s="55">
        <f>IF(AND(Analysis_Helper!Q911="BENGALURU",Analysis_Helper!L911="Grocery"),Analysis_Helper!I911,0)</f>
        <v/>
      </c>
    </row>
    <row r="912">
      <c r="AO912" s="55">
        <f>IF(AND(Analysis_Helper!Q912="BENGALURU",Analysis_Helper!L912="Grocery"),Analysis_Helper!I912,0)</f>
        <v/>
      </c>
    </row>
    <row r="913">
      <c r="AO913" s="55">
        <f>IF(AND(Analysis_Helper!Q913="BENGALURU",Analysis_Helper!L913="Grocery"),Analysis_Helper!I913,0)</f>
        <v/>
      </c>
    </row>
    <row r="914">
      <c r="AO914" s="55">
        <f>IF(AND(Analysis_Helper!Q914="BENGALURU",Analysis_Helper!L914="Grocery"),Analysis_Helper!I914,0)</f>
        <v/>
      </c>
    </row>
    <row r="915">
      <c r="AO915" s="55">
        <f>IF(AND(Analysis_Helper!Q915="BENGALURU",Analysis_Helper!L915="Grocery"),Analysis_Helper!I915,0)</f>
        <v/>
      </c>
    </row>
    <row r="916">
      <c r="AO916" s="55">
        <f>IF(AND(Analysis_Helper!Q916="BENGALURU",Analysis_Helper!L916="Grocery"),Analysis_Helper!I916,0)</f>
        <v/>
      </c>
    </row>
    <row r="917">
      <c r="AO917" s="55">
        <f>IF(AND(Analysis_Helper!Q917="BENGALURU",Analysis_Helper!L917="Grocery"),Analysis_Helper!I917,0)</f>
        <v/>
      </c>
    </row>
    <row r="918">
      <c r="AO918" s="55">
        <f>IF(AND(Analysis_Helper!Q918="BENGALURU",Analysis_Helper!L918="Grocery"),Analysis_Helper!I918,0)</f>
        <v/>
      </c>
    </row>
    <row r="919">
      <c r="AO919" s="55">
        <f>IF(AND(Analysis_Helper!Q919="BENGALURU",Analysis_Helper!L919="Grocery"),Analysis_Helper!I919,0)</f>
        <v/>
      </c>
    </row>
    <row r="920">
      <c r="AO920" s="55">
        <f>IF(AND(Analysis_Helper!Q920="BENGALURU",Analysis_Helper!L920="Grocery"),Analysis_Helper!I920,0)</f>
        <v/>
      </c>
    </row>
    <row r="921">
      <c r="AO921" s="55">
        <f>IF(AND(Analysis_Helper!Q921="BENGALURU",Analysis_Helper!L921="Grocery"),Analysis_Helper!I921,0)</f>
        <v/>
      </c>
    </row>
    <row r="922">
      <c r="AO922" s="55">
        <f>IF(AND(Analysis_Helper!Q922="BENGALURU",Analysis_Helper!L922="Grocery"),Analysis_Helper!I922,0)</f>
        <v/>
      </c>
    </row>
    <row r="923">
      <c r="AO923" s="55">
        <f>IF(AND(Analysis_Helper!Q923="BENGALURU",Analysis_Helper!L923="Grocery"),Analysis_Helper!I923,0)</f>
        <v/>
      </c>
    </row>
    <row r="924">
      <c r="AO924" s="55">
        <f>IF(AND(Analysis_Helper!Q924="BENGALURU",Analysis_Helper!L924="Grocery"),Analysis_Helper!I924,0)</f>
        <v/>
      </c>
    </row>
    <row r="925">
      <c r="AO925" s="55">
        <f>IF(AND(Analysis_Helper!Q925="BENGALURU",Analysis_Helper!L925="Grocery"),Analysis_Helper!I925,0)</f>
        <v/>
      </c>
    </row>
    <row r="926">
      <c r="AO926" s="55">
        <f>IF(AND(Analysis_Helper!Q926="BENGALURU",Analysis_Helper!L926="Grocery"),Analysis_Helper!I926,0)</f>
        <v/>
      </c>
    </row>
    <row r="927">
      <c r="AO927" s="55">
        <f>IF(AND(Analysis_Helper!Q927="BENGALURU",Analysis_Helper!L927="Grocery"),Analysis_Helper!I927,0)</f>
        <v/>
      </c>
    </row>
    <row r="928">
      <c r="AO928" s="55">
        <f>IF(AND(Analysis_Helper!Q928="BENGALURU",Analysis_Helper!L928="Grocery"),Analysis_Helper!I928,0)</f>
        <v/>
      </c>
    </row>
    <row r="929">
      <c r="AO929" s="55">
        <f>IF(AND(Analysis_Helper!Q929="BENGALURU",Analysis_Helper!L929="Grocery"),Analysis_Helper!I929,0)</f>
        <v/>
      </c>
    </row>
    <row r="930">
      <c r="AO930" s="55">
        <f>IF(AND(Analysis_Helper!Q930="BENGALURU",Analysis_Helper!L930="Grocery"),Analysis_Helper!I930,0)</f>
        <v/>
      </c>
    </row>
    <row r="931">
      <c r="AO931" s="55">
        <f>IF(AND(Analysis_Helper!Q931="BENGALURU",Analysis_Helper!L931="Grocery"),Analysis_Helper!I931,0)</f>
        <v/>
      </c>
    </row>
    <row r="932">
      <c r="AO932" s="55">
        <f>IF(AND(Analysis_Helper!Q932="BENGALURU",Analysis_Helper!L932="Grocery"),Analysis_Helper!I932,0)</f>
        <v/>
      </c>
    </row>
    <row r="933">
      <c r="AO933" s="55">
        <f>IF(AND(Analysis_Helper!Q933="BENGALURU",Analysis_Helper!L933="Grocery"),Analysis_Helper!I933,0)</f>
        <v/>
      </c>
    </row>
    <row r="934">
      <c r="AO934" s="55">
        <f>IF(AND(Analysis_Helper!Q934="BENGALURU",Analysis_Helper!L934="Grocery"),Analysis_Helper!I934,0)</f>
        <v/>
      </c>
    </row>
    <row r="935">
      <c r="AO935" s="55">
        <f>IF(AND(Analysis_Helper!Q935="BENGALURU",Analysis_Helper!L935="Grocery"),Analysis_Helper!I935,0)</f>
        <v/>
      </c>
    </row>
    <row r="936">
      <c r="AO936" s="55">
        <f>IF(AND(Analysis_Helper!Q936="BENGALURU",Analysis_Helper!L936="Grocery"),Analysis_Helper!I936,0)</f>
        <v/>
      </c>
    </row>
    <row r="937">
      <c r="AO937" s="55">
        <f>IF(AND(Analysis_Helper!Q937="BENGALURU",Analysis_Helper!L937="Grocery"),Analysis_Helper!I937,0)</f>
        <v/>
      </c>
    </row>
    <row r="938">
      <c r="AO938" s="55">
        <f>IF(AND(Analysis_Helper!Q938="BENGALURU",Analysis_Helper!L938="Grocery"),Analysis_Helper!I938,0)</f>
        <v/>
      </c>
    </row>
    <row r="939">
      <c r="AO939" s="55">
        <f>IF(AND(Analysis_Helper!Q939="BENGALURU",Analysis_Helper!L939="Grocery"),Analysis_Helper!I939,0)</f>
        <v/>
      </c>
    </row>
    <row r="940">
      <c r="AO940" s="55">
        <f>IF(AND(Analysis_Helper!Q940="BENGALURU",Analysis_Helper!L940="Grocery"),Analysis_Helper!I940,0)</f>
        <v/>
      </c>
    </row>
    <row r="941">
      <c r="AO941" s="55">
        <f>IF(AND(Analysis_Helper!Q941="BENGALURU",Analysis_Helper!L941="Grocery"),Analysis_Helper!I941,0)</f>
        <v/>
      </c>
    </row>
    <row r="942">
      <c r="AO942" s="55">
        <f>IF(AND(Analysis_Helper!Q942="BENGALURU",Analysis_Helper!L942="Grocery"),Analysis_Helper!I942,0)</f>
        <v/>
      </c>
    </row>
    <row r="943">
      <c r="AO943" s="55">
        <f>IF(AND(Analysis_Helper!Q943="BENGALURU",Analysis_Helper!L943="Grocery"),Analysis_Helper!I943,0)</f>
        <v/>
      </c>
    </row>
    <row r="944">
      <c r="AO944" s="55">
        <f>IF(AND(Analysis_Helper!Q944="BENGALURU",Analysis_Helper!L944="Grocery"),Analysis_Helper!I944,0)</f>
        <v/>
      </c>
    </row>
    <row r="945">
      <c r="AO945" s="55">
        <f>IF(AND(Analysis_Helper!Q945="BENGALURU",Analysis_Helper!L945="Grocery"),Analysis_Helper!I945,0)</f>
        <v/>
      </c>
    </row>
    <row r="946">
      <c r="AO946" s="55">
        <f>IF(AND(Analysis_Helper!Q946="BENGALURU",Analysis_Helper!L946="Grocery"),Analysis_Helper!I946,0)</f>
        <v/>
      </c>
    </row>
    <row r="947">
      <c r="AO947" s="55">
        <f>IF(AND(Analysis_Helper!Q947="BENGALURU",Analysis_Helper!L947="Grocery"),Analysis_Helper!I947,0)</f>
        <v/>
      </c>
    </row>
    <row r="948">
      <c r="AO948" s="55">
        <f>IF(AND(Analysis_Helper!Q948="BENGALURU",Analysis_Helper!L948="Grocery"),Analysis_Helper!I948,0)</f>
        <v/>
      </c>
    </row>
    <row r="949">
      <c r="AO949" s="55">
        <f>IF(AND(Analysis_Helper!Q949="BENGALURU",Analysis_Helper!L949="Grocery"),Analysis_Helper!I949,0)</f>
        <v/>
      </c>
    </row>
    <row r="950">
      <c r="AO950" s="55">
        <f>IF(AND(Analysis_Helper!Q950="BENGALURU",Analysis_Helper!L950="Grocery"),Analysis_Helper!I950,0)</f>
        <v/>
      </c>
    </row>
    <row r="951">
      <c r="AO951" s="55">
        <f>IF(AND(Analysis_Helper!Q951="BENGALURU",Analysis_Helper!L951="Grocery"),Analysis_Helper!I951,0)</f>
        <v/>
      </c>
    </row>
    <row r="952">
      <c r="AO952" s="55">
        <f>IF(AND(Analysis_Helper!Q952="BENGALURU",Analysis_Helper!L952="Grocery"),Analysis_Helper!I952,0)</f>
        <v/>
      </c>
    </row>
    <row r="953">
      <c r="AO953" s="55">
        <f>IF(AND(Analysis_Helper!Q953="BENGALURU",Analysis_Helper!L953="Grocery"),Analysis_Helper!I953,0)</f>
        <v/>
      </c>
    </row>
    <row r="954">
      <c r="AO954" s="55">
        <f>IF(AND(Analysis_Helper!Q954="BENGALURU",Analysis_Helper!L954="Grocery"),Analysis_Helper!I954,0)</f>
        <v/>
      </c>
    </row>
    <row r="955">
      <c r="AO955" s="55">
        <f>IF(AND(Analysis_Helper!Q955="BENGALURU",Analysis_Helper!L955="Grocery"),Analysis_Helper!I955,0)</f>
        <v/>
      </c>
    </row>
    <row r="956">
      <c r="AO956" s="55">
        <f>IF(AND(Analysis_Helper!Q956="BENGALURU",Analysis_Helper!L956="Grocery"),Analysis_Helper!I956,0)</f>
        <v/>
      </c>
    </row>
    <row r="957">
      <c r="AO957" s="55">
        <f>IF(AND(Analysis_Helper!Q957="BENGALURU",Analysis_Helper!L957="Grocery"),Analysis_Helper!I957,0)</f>
        <v/>
      </c>
    </row>
    <row r="958">
      <c r="AO958" s="55">
        <f>IF(AND(Analysis_Helper!Q958="BENGALURU",Analysis_Helper!L958="Grocery"),Analysis_Helper!I958,0)</f>
        <v/>
      </c>
    </row>
    <row r="959">
      <c r="AO959" s="55">
        <f>IF(AND(Analysis_Helper!Q959="BENGALURU",Analysis_Helper!L959="Grocery"),Analysis_Helper!I959,0)</f>
        <v/>
      </c>
    </row>
    <row r="960">
      <c r="AO960" s="55">
        <f>IF(AND(Analysis_Helper!Q960="BENGALURU",Analysis_Helper!L960="Grocery"),Analysis_Helper!I960,0)</f>
        <v/>
      </c>
    </row>
    <row r="961">
      <c r="AO961" s="55">
        <f>IF(AND(Analysis_Helper!Q961="BENGALURU",Analysis_Helper!L961="Grocery"),Analysis_Helper!I961,0)</f>
        <v/>
      </c>
    </row>
    <row r="962">
      <c r="AO962" s="55">
        <f>IF(AND(Analysis_Helper!Q962="BENGALURU",Analysis_Helper!L962="Grocery"),Analysis_Helper!I962,0)</f>
        <v/>
      </c>
    </row>
    <row r="963">
      <c r="AO963" s="55">
        <f>IF(AND(Analysis_Helper!Q963="BENGALURU",Analysis_Helper!L963="Grocery"),Analysis_Helper!I963,0)</f>
        <v/>
      </c>
    </row>
    <row r="964">
      <c r="AO964" s="55">
        <f>IF(AND(Analysis_Helper!Q964="BENGALURU",Analysis_Helper!L964="Grocery"),Analysis_Helper!I964,0)</f>
        <v/>
      </c>
    </row>
    <row r="965">
      <c r="AO965" s="55">
        <f>IF(AND(Analysis_Helper!Q965="BENGALURU",Analysis_Helper!L965="Grocery"),Analysis_Helper!I965,0)</f>
        <v/>
      </c>
    </row>
    <row r="966">
      <c r="AO966" s="55">
        <f>IF(AND(Analysis_Helper!Q966="BENGALURU",Analysis_Helper!L966="Grocery"),Analysis_Helper!I966,0)</f>
        <v/>
      </c>
    </row>
    <row r="967">
      <c r="AO967" s="55">
        <f>IF(AND(Analysis_Helper!Q967="BENGALURU",Analysis_Helper!L967="Grocery"),Analysis_Helper!I967,0)</f>
        <v/>
      </c>
    </row>
    <row r="968">
      <c r="AO968" s="55">
        <f>IF(AND(Analysis_Helper!Q968="BENGALURU",Analysis_Helper!L968="Grocery"),Analysis_Helper!I968,0)</f>
        <v/>
      </c>
    </row>
    <row r="969">
      <c r="AO969" s="55">
        <f>IF(AND(Analysis_Helper!Q969="BENGALURU",Analysis_Helper!L969="Grocery"),Analysis_Helper!I969,0)</f>
        <v/>
      </c>
    </row>
    <row r="970">
      <c r="AO970" s="55">
        <f>IF(AND(Analysis_Helper!Q970="BENGALURU",Analysis_Helper!L970="Grocery"),Analysis_Helper!I970,0)</f>
        <v/>
      </c>
    </row>
    <row r="971">
      <c r="AO971" s="55">
        <f>IF(AND(Analysis_Helper!Q971="BENGALURU",Analysis_Helper!L971="Grocery"),Analysis_Helper!I971,0)</f>
        <v/>
      </c>
    </row>
    <row r="972">
      <c r="AO972" s="55">
        <f>IF(AND(Analysis_Helper!Q972="BENGALURU",Analysis_Helper!L972="Grocery"),Analysis_Helper!I972,0)</f>
        <v/>
      </c>
    </row>
    <row r="973">
      <c r="AO973" s="55">
        <f>IF(AND(Analysis_Helper!Q973="BENGALURU",Analysis_Helper!L973="Grocery"),Analysis_Helper!I973,0)</f>
        <v/>
      </c>
    </row>
    <row r="974">
      <c r="AO974" s="55">
        <f>IF(AND(Analysis_Helper!Q974="BENGALURU",Analysis_Helper!L974="Grocery"),Analysis_Helper!I974,0)</f>
        <v/>
      </c>
    </row>
    <row r="975">
      <c r="AO975" s="55">
        <f>IF(AND(Analysis_Helper!Q975="BENGALURU",Analysis_Helper!L975="Grocery"),Analysis_Helper!I975,0)</f>
        <v/>
      </c>
    </row>
    <row r="976">
      <c r="AO976" s="55">
        <f>IF(AND(Analysis_Helper!Q976="BENGALURU",Analysis_Helper!L976="Grocery"),Analysis_Helper!I976,0)</f>
        <v/>
      </c>
    </row>
    <row r="977">
      <c r="AO977" s="55">
        <f>IF(AND(Analysis_Helper!Q977="BENGALURU",Analysis_Helper!L977="Grocery"),Analysis_Helper!I977,0)</f>
        <v/>
      </c>
    </row>
    <row r="978">
      <c r="AO978" s="55">
        <f>IF(AND(Analysis_Helper!Q978="BENGALURU",Analysis_Helper!L978="Grocery"),Analysis_Helper!I978,0)</f>
        <v/>
      </c>
    </row>
    <row r="979">
      <c r="AO979" s="55">
        <f>IF(AND(Analysis_Helper!Q979="BENGALURU",Analysis_Helper!L979="Grocery"),Analysis_Helper!I979,0)</f>
        <v/>
      </c>
    </row>
    <row r="980">
      <c r="AO980" s="55">
        <f>IF(AND(Analysis_Helper!Q980="BENGALURU",Analysis_Helper!L980="Grocery"),Analysis_Helper!I980,0)</f>
        <v/>
      </c>
    </row>
    <row r="981">
      <c r="AO981" s="55">
        <f>IF(AND(Analysis_Helper!Q981="BENGALURU",Analysis_Helper!L981="Grocery"),Analysis_Helper!I981,0)</f>
        <v/>
      </c>
    </row>
    <row r="982">
      <c r="AO982" s="55">
        <f>IF(AND(Analysis_Helper!Q982="BENGALURU",Analysis_Helper!L982="Grocery"),Analysis_Helper!I982,0)</f>
        <v/>
      </c>
    </row>
    <row r="983">
      <c r="AO983" s="55">
        <f>IF(AND(Analysis_Helper!Q983="BENGALURU",Analysis_Helper!L983="Grocery"),Analysis_Helper!I983,0)</f>
        <v/>
      </c>
    </row>
    <row r="984">
      <c r="AO984" s="55">
        <f>IF(AND(Analysis_Helper!Q984="BENGALURU",Analysis_Helper!L984="Grocery"),Analysis_Helper!I984,0)</f>
        <v/>
      </c>
    </row>
    <row r="985">
      <c r="AO985" s="55">
        <f>IF(AND(Analysis_Helper!Q985="BENGALURU",Analysis_Helper!L985="Grocery"),Analysis_Helper!I985,0)</f>
        <v/>
      </c>
    </row>
    <row r="986">
      <c r="AO986" s="55">
        <f>IF(AND(Analysis_Helper!Q986="BENGALURU",Analysis_Helper!L986="Grocery"),Analysis_Helper!I986,0)</f>
        <v/>
      </c>
    </row>
    <row r="987">
      <c r="AO987" s="55">
        <f>IF(AND(Analysis_Helper!Q987="BENGALURU",Analysis_Helper!L987="Grocery"),Analysis_Helper!I987,0)</f>
        <v/>
      </c>
    </row>
    <row r="988">
      <c r="AO988" s="55">
        <f>IF(AND(Analysis_Helper!Q988="BENGALURU",Analysis_Helper!L988="Grocery"),Analysis_Helper!I988,0)</f>
        <v/>
      </c>
    </row>
    <row r="989">
      <c r="AO989" s="55">
        <f>IF(AND(Analysis_Helper!Q989="BENGALURU",Analysis_Helper!L989="Grocery"),Analysis_Helper!I989,0)</f>
        <v/>
      </c>
    </row>
    <row r="990">
      <c r="AO990" s="55">
        <f>IF(AND(Analysis_Helper!Q990="BENGALURU",Analysis_Helper!L990="Grocery"),Analysis_Helper!I990,0)</f>
        <v/>
      </c>
    </row>
    <row r="991">
      <c r="AO991" s="55">
        <f>IF(AND(Analysis_Helper!Q991="BENGALURU",Analysis_Helper!L991="Grocery"),Analysis_Helper!I991,0)</f>
        <v/>
      </c>
    </row>
    <row r="992">
      <c r="AO992" s="55">
        <f>IF(AND(Analysis_Helper!Q992="BENGALURU",Analysis_Helper!L992="Grocery"),Analysis_Helper!I992,0)</f>
        <v/>
      </c>
    </row>
    <row r="993">
      <c r="AO993" s="55">
        <f>IF(AND(Analysis_Helper!Q993="BENGALURU",Analysis_Helper!L993="Grocery"),Analysis_Helper!I993,0)</f>
        <v/>
      </c>
    </row>
    <row r="994">
      <c r="AO994" s="55">
        <f>IF(AND(Analysis_Helper!Q994="BENGALURU",Analysis_Helper!L994="Grocery"),Analysis_Helper!I994,0)</f>
        <v/>
      </c>
    </row>
    <row r="995">
      <c r="AO995" s="55">
        <f>IF(AND(Analysis_Helper!Q995="BENGALURU",Analysis_Helper!L995="Grocery"),Analysis_Helper!I995,0)</f>
        <v/>
      </c>
    </row>
    <row r="996">
      <c r="AO996" s="55">
        <f>IF(AND(Analysis_Helper!Q996="BENGALURU",Analysis_Helper!L996="Grocery"),Analysis_Helper!I996,0)</f>
        <v/>
      </c>
    </row>
    <row r="997">
      <c r="AO997" s="55">
        <f>IF(AND(Analysis_Helper!Q997="BENGALURU",Analysis_Helper!L997="Grocery"),Analysis_Helper!I997,0)</f>
        <v/>
      </c>
    </row>
    <row r="998">
      <c r="AO998" s="55">
        <f>IF(AND(Analysis_Helper!Q998="BENGALURU",Analysis_Helper!L998="Grocery"),Analysis_Helper!I998,0)</f>
        <v/>
      </c>
    </row>
    <row r="999">
      <c r="AO999" s="55">
        <f>IF(AND(Analysis_Helper!Q999="BENGALURU",Analysis_Helper!L999="Grocery"),Analysis_Helper!I999,0)</f>
        <v/>
      </c>
    </row>
    <row r="1000">
      <c r="AO1000" s="55">
        <f>IF(AND(Analysis_Helper!Q1000="BENGALURU",Analysis_Helper!L1000="Grocery"),Analysis_Helper!I1000,0)</f>
        <v/>
      </c>
    </row>
    <row r="1001">
      <c r="AO1001" s="55">
        <f>IF(AND(Analysis_Helper!Q1001="BENGALURU",Analysis_Helper!L1001="Grocery"),Analysis_Helper!I1001,0)</f>
        <v/>
      </c>
    </row>
    <row r="1002">
      <c r="AO1002" s="55">
        <f>IF(AND(Analysis_Helper!Q1002="BENGALURU",Analysis_Helper!L1002="Grocery"),Analysis_Helper!I1002,0)</f>
        <v/>
      </c>
    </row>
    <row r="1003">
      <c r="AO1003" s="55">
        <f>IF(AND(Analysis_Helper!Q1003="BENGALURU",Analysis_Helper!L1003="Grocery"),Analysis_Helper!I1003,0)</f>
        <v/>
      </c>
    </row>
    <row r="1004">
      <c r="AO1004" s="55">
        <f>IF(AND(Analysis_Helper!Q1004="BENGALURU",Analysis_Helper!L1004="Grocery"),Analysis_Helper!I1004,0)</f>
        <v/>
      </c>
    </row>
    <row r="1005">
      <c r="AO1005" s="55">
        <f>IF(AND(Analysis_Helper!Q1005="BENGALURU",Analysis_Helper!L1005="Grocery"),Analysis_Helper!I1005,0)</f>
        <v/>
      </c>
    </row>
    <row r="1006">
      <c r="AO1006" s="55">
        <f>IF(AND(Analysis_Helper!Q1006="BENGALURU",Analysis_Helper!L1006="Grocery"),Analysis_Helper!I1006,0)</f>
        <v/>
      </c>
    </row>
    <row r="1007">
      <c r="AO1007" s="55">
        <f>IF(AND(Analysis_Helper!Q1007="BENGALURU",Analysis_Helper!L1007="Grocery"),Analysis_Helper!I1007,0)</f>
        <v/>
      </c>
    </row>
    <row r="1008">
      <c r="AO1008" s="55">
        <f>IF(AND(Analysis_Helper!Q1008="BENGALURU",Analysis_Helper!L1008="Grocery"),Analysis_Helper!I1008,0)</f>
        <v/>
      </c>
    </row>
    <row r="1009">
      <c r="AO1009" s="55">
        <f>IF(AND(Analysis_Helper!Q1009="BENGALURU",Analysis_Helper!L1009="Grocery"),Analysis_Helper!I1009,0)</f>
        <v/>
      </c>
    </row>
    <row r="1010">
      <c r="AO1010" s="55">
        <f>IF(AND(Analysis_Helper!Q1010="BENGALURU",Analysis_Helper!L1010="Grocery"),Analysis_Helper!I1010,0)</f>
        <v/>
      </c>
    </row>
    <row r="1011">
      <c r="AO1011" s="55">
        <f>IF(AND(Analysis_Helper!Q1011="BENGALURU",Analysis_Helper!L1011="Grocery"),Analysis_Helper!I1011,0)</f>
        <v/>
      </c>
    </row>
    <row r="1012">
      <c r="AO1012" s="55">
        <f>IF(AND(Analysis_Helper!Q1012="BENGALURU",Analysis_Helper!L1012="Grocery"),Analysis_Helper!I1012,0)</f>
        <v/>
      </c>
    </row>
    <row r="1013">
      <c r="AO1013" s="55">
        <f>IF(AND(Analysis_Helper!Q1013="BENGALURU",Analysis_Helper!L1013="Grocery"),Analysis_Helper!I1013,0)</f>
        <v/>
      </c>
    </row>
    <row r="1014">
      <c r="AO1014" s="55">
        <f>IF(AND(Analysis_Helper!Q1014="BENGALURU",Analysis_Helper!L1014="Grocery"),Analysis_Helper!I1014,0)</f>
        <v/>
      </c>
    </row>
    <row r="1015">
      <c r="AO1015" s="55">
        <f>IF(AND(Analysis_Helper!Q1015="BENGALURU",Analysis_Helper!L1015="Grocery"),Analysis_Helper!I1015,0)</f>
        <v/>
      </c>
    </row>
    <row r="1016">
      <c r="AO1016" s="55">
        <f>IF(AND(Analysis_Helper!Q1016="BENGALURU",Analysis_Helper!L1016="Grocery"),Analysis_Helper!I1016,0)</f>
        <v/>
      </c>
    </row>
    <row r="1017">
      <c r="AO1017" s="55">
        <f>IF(AND(Analysis_Helper!Q1017="BENGALURU",Analysis_Helper!L1017="Grocery"),Analysis_Helper!I1017,0)</f>
        <v/>
      </c>
    </row>
    <row r="1018">
      <c r="AO1018" s="55">
        <f>IF(AND(Analysis_Helper!Q1018="BENGALURU",Analysis_Helper!L1018="Grocery"),Analysis_Helper!I1018,0)</f>
        <v/>
      </c>
    </row>
    <row r="1019">
      <c r="AO1019" s="55">
        <f>IF(AND(Analysis_Helper!Q1019="BENGALURU",Analysis_Helper!L1019="Grocery"),Analysis_Helper!I1019,0)</f>
        <v/>
      </c>
    </row>
    <row r="1020">
      <c r="AO1020" s="55">
        <f>IF(AND(Analysis_Helper!Q1020="BENGALURU",Analysis_Helper!L1020="Grocery"),Analysis_Helper!I1020,0)</f>
        <v/>
      </c>
    </row>
    <row r="1021">
      <c r="AO1021" s="55">
        <f>IF(AND(Analysis_Helper!Q1021="BENGALURU",Analysis_Helper!L1021="Grocery"),Analysis_Helper!I1021,0)</f>
        <v/>
      </c>
    </row>
    <row r="1022">
      <c r="AO1022" s="55">
        <f>IF(AND(Analysis_Helper!Q1022="BENGALURU",Analysis_Helper!L1022="Grocery"),Analysis_Helper!I1022,0)</f>
        <v/>
      </c>
    </row>
    <row r="1023">
      <c r="AO1023" s="55">
        <f>IF(AND(Analysis_Helper!Q1023="BENGALURU",Analysis_Helper!L1023="Grocery"),Analysis_Helper!I1023,0)</f>
        <v/>
      </c>
    </row>
    <row r="1024">
      <c r="AO1024" s="55">
        <f>IF(AND(Analysis_Helper!Q1024="BENGALURU",Analysis_Helper!L1024="Grocery"),Analysis_Helper!I1024,0)</f>
        <v/>
      </c>
    </row>
    <row r="1025">
      <c r="AO1025" s="55">
        <f>IF(AND(Analysis_Helper!Q1025="BENGALURU",Analysis_Helper!L1025="Grocery"),Analysis_Helper!I1025,0)</f>
        <v/>
      </c>
    </row>
    <row r="1026">
      <c r="AO1026" s="55">
        <f>IF(AND(Analysis_Helper!Q1026="BENGALURU",Analysis_Helper!L1026="Grocery"),Analysis_Helper!I1026,0)</f>
        <v/>
      </c>
    </row>
    <row r="1027">
      <c r="AO1027" s="55">
        <f>IF(AND(Analysis_Helper!Q1027="BENGALURU",Analysis_Helper!L1027="Grocery"),Analysis_Helper!I1027,0)</f>
        <v/>
      </c>
    </row>
    <row r="1028">
      <c r="AO1028" s="55">
        <f>IF(AND(Analysis_Helper!Q1028="BENGALURU",Analysis_Helper!L1028="Grocery"),Analysis_Helper!I1028,0)</f>
        <v/>
      </c>
    </row>
    <row r="1029">
      <c r="AO1029" s="55">
        <f>IF(AND(Analysis_Helper!Q1029="BENGALURU",Analysis_Helper!L1029="Grocery"),Analysis_Helper!I1029,0)</f>
        <v/>
      </c>
    </row>
    <row r="1030">
      <c r="AO1030" s="55">
        <f>IF(AND(Analysis_Helper!Q1030="BENGALURU",Analysis_Helper!L1030="Grocery"),Analysis_Helper!I1030,0)</f>
        <v/>
      </c>
    </row>
    <row r="1031">
      <c r="AO1031" s="55">
        <f>IF(AND(Analysis_Helper!Q1031="BENGALURU",Analysis_Helper!L1031="Grocery"),Analysis_Helper!I1031,0)</f>
        <v/>
      </c>
    </row>
    <row r="1032">
      <c r="AO1032" s="55">
        <f>IF(AND(Analysis_Helper!Q1032="BENGALURU",Analysis_Helper!L1032="Grocery"),Analysis_Helper!I1032,0)</f>
        <v/>
      </c>
    </row>
    <row r="1033">
      <c r="AO1033" s="55">
        <f>IF(AND(Analysis_Helper!Q1033="BENGALURU",Analysis_Helper!L1033="Grocery"),Analysis_Helper!I1033,0)</f>
        <v/>
      </c>
    </row>
    <row r="1034">
      <c r="AO1034" s="55">
        <f>IF(AND(Analysis_Helper!Q1034="BENGALURU",Analysis_Helper!L1034="Grocery"),Analysis_Helper!I1034,0)</f>
        <v/>
      </c>
    </row>
    <row r="1035">
      <c r="AO1035" s="55">
        <f>IF(AND(Analysis_Helper!Q1035="BENGALURU",Analysis_Helper!L1035="Grocery"),Analysis_Helper!I1035,0)</f>
        <v/>
      </c>
    </row>
    <row r="1036">
      <c r="AO1036" s="55">
        <f>IF(AND(Analysis_Helper!Q1036="BENGALURU",Analysis_Helper!L1036="Grocery"),Analysis_Helper!I1036,0)</f>
        <v/>
      </c>
    </row>
    <row r="1037">
      <c r="AO1037" s="55">
        <f>IF(AND(Analysis_Helper!Q1037="BENGALURU",Analysis_Helper!L1037="Grocery"),Analysis_Helper!I1037,0)</f>
        <v/>
      </c>
    </row>
    <row r="1038">
      <c r="AO1038" s="55">
        <f>IF(AND(Analysis_Helper!Q1038="BENGALURU",Analysis_Helper!L1038="Grocery"),Analysis_Helper!I1038,0)</f>
        <v/>
      </c>
    </row>
    <row r="1039">
      <c r="AO1039" s="55">
        <f>IF(AND(Analysis_Helper!Q1039="BENGALURU",Analysis_Helper!L1039="Grocery"),Analysis_Helper!I1039,0)</f>
        <v/>
      </c>
    </row>
    <row r="1040">
      <c r="AO1040" s="55">
        <f>IF(AND(Analysis_Helper!Q1040="BENGALURU",Analysis_Helper!L1040="Grocery"),Analysis_Helper!I1040,0)</f>
        <v/>
      </c>
    </row>
    <row r="1041">
      <c r="AO1041" s="55">
        <f>IF(AND(Analysis_Helper!Q1041="BENGALURU",Analysis_Helper!L1041="Grocery"),Analysis_Helper!I1041,0)</f>
        <v/>
      </c>
    </row>
    <row r="1042">
      <c r="AO1042" s="55">
        <f>IF(AND(Analysis_Helper!Q1042="BENGALURU",Analysis_Helper!L1042="Grocery"),Analysis_Helper!I1042,0)</f>
        <v/>
      </c>
    </row>
    <row r="1043">
      <c r="AO1043" s="55">
        <f>IF(AND(Analysis_Helper!Q1043="BENGALURU",Analysis_Helper!L1043="Grocery"),Analysis_Helper!I1043,0)</f>
        <v/>
      </c>
    </row>
    <row r="1044">
      <c r="AO1044" s="55">
        <f>IF(AND(Analysis_Helper!Q1044="BENGALURU",Analysis_Helper!L1044="Grocery"),Analysis_Helper!I1044,0)</f>
        <v/>
      </c>
    </row>
    <row r="1045">
      <c r="AO1045" s="55">
        <f>IF(AND(Analysis_Helper!Q1045="BENGALURU",Analysis_Helper!L1045="Grocery"),Analysis_Helper!I1045,0)</f>
        <v/>
      </c>
    </row>
    <row r="1046">
      <c r="AO1046" s="55">
        <f>IF(AND(Analysis_Helper!Q1046="BENGALURU",Analysis_Helper!L1046="Grocery"),Analysis_Helper!I1046,0)</f>
        <v/>
      </c>
    </row>
    <row r="1047">
      <c r="AO1047" s="55">
        <f>IF(AND(Analysis_Helper!Q1047="BENGALURU",Analysis_Helper!L1047="Grocery"),Analysis_Helper!I1047,0)</f>
        <v/>
      </c>
    </row>
    <row r="1048">
      <c r="AO1048" s="55">
        <f>IF(AND(Analysis_Helper!Q1048="BENGALURU",Analysis_Helper!L1048="Grocery"),Analysis_Helper!I1048,0)</f>
        <v/>
      </c>
    </row>
    <row r="1049">
      <c r="AO1049" s="55">
        <f>IF(AND(Analysis_Helper!Q1049="BENGALURU",Analysis_Helper!L1049="Grocery"),Analysis_Helper!I1049,0)</f>
        <v/>
      </c>
    </row>
    <row r="1050">
      <c r="AO1050" s="55">
        <f>IF(AND(Analysis_Helper!Q1050="BENGALURU",Analysis_Helper!L1050="Grocery"),Analysis_Helper!I1050,0)</f>
        <v/>
      </c>
    </row>
    <row r="1051">
      <c r="AO1051" s="55">
        <f>IF(AND(Analysis_Helper!Q1051="BENGALURU",Analysis_Helper!L1051="Grocery"),Analysis_Helper!I1051,0)</f>
        <v/>
      </c>
    </row>
    <row r="1052">
      <c r="AO1052" s="55">
        <f>IF(AND(Analysis_Helper!Q1052="BENGALURU",Analysis_Helper!L1052="Grocery"),Analysis_Helper!I1052,0)</f>
        <v/>
      </c>
    </row>
    <row r="1053">
      <c r="AO1053" s="55">
        <f>IF(AND(Analysis_Helper!Q1053="BENGALURU",Analysis_Helper!L1053="Grocery"),Analysis_Helper!I1053,0)</f>
        <v/>
      </c>
    </row>
    <row r="1054">
      <c r="AO1054" s="55">
        <f>IF(AND(Analysis_Helper!Q1054="BENGALURU",Analysis_Helper!L1054="Grocery"),Analysis_Helper!I1054,0)</f>
        <v/>
      </c>
    </row>
    <row r="1055">
      <c r="AO1055" s="55">
        <f>IF(AND(Analysis_Helper!Q1055="BENGALURU",Analysis_Helper!L1055="Grocery"),Analysis_Helper!I1055,0)</f>
        <v/>
      </c>
    </row>
    <row r="1056">
      <c r="AO1056" s="55">
        <f>IF(AND(Analysis_Helper!Q1056="BENGALURU",Analysis_Helper!L1056="Grocery"),Analysis_Helper!I1056,0)</f>
        <v/>
      </c>
    </row>
    <row r="1057">
      <c r="AO1057" s="55">
        <f>IF(AND(Analysis_Helper!Q1057="BENGALURU",Analysis_Helper!L1057="Grocery"),Analysis_Helper!I1057,0)</f>
        <v/>
      </c>
    </row>
    <row r="1058">
      <c r="AO1058" s="55">
        <f>IF(AND(Analysis_Helper!Q1058="BENGALURU",Analysis_Helper!L1058="Grocery"),Analysis_Helper!I1058,0)</f>
        <v/>
      </c>
    </row>
    <row r="1059">
      <c r="AO1059" s="55">
        <f>IF(AND(Analysis_Helper!Q1059="BENGALURU",Analysis_Helper!L1059="Grocery"),Analysis_Helper!I1059,0)</f>
        <v/>
      </c>
    </row>
    <row r="1060">
      <c r="AO1060" s="55">
        <f>IF(AND(Analysis_Helper!Q1060="BENGALURU",Analysis_Helper!L1060="Grocery"),Analysis_Helper!I1060,0)</f>
        <v/>
      </c>
    </row>
    <row r="1061">
      <c r="AO1061" s="55">
        <f>IF(AND(Analysis_Helper!Q1061="BENGALURU",Analysis_Helper!L1061="Grocery"),Analysis_Helper!I1061,0)</f>
        <v/>
      </c>
    </row>
    <row r="1062">
      <c r="AO1062" s="55">
        <f>IF(AND(Analysis_Helper!Q1062="BENGALURU",Analysis_Helper!L1062="Grocery"),Analysis_Helper!I1062,0)</f>
        <v/>
      </c>
    </row>
    <row r="1063">
      <c r="AO1063" s="55">
        <f>IF(AND(Analysis_Helper!Q1063="BENGALURU",Analysis_Helper!L1063="Grocery"),Analysis_Helper!I1063,0)</f>
        <v/>
      </c>
    </row>
    <row r="1064">
      <c r="AO1064" s="55">
        <f>IF(AND(Analysis_Helper!Q1064="BENGALURU",Analysis_Helper!L1064="Grocery"),Analysis_Helper!I1064,0)</f>
        <v/>
      </c>
    </row>
    <row r="1065">
      <c r="AO1065" s="55">
        <f>IF(AND(Analysis_Helper!Q1065="BENGALURU",Analysis_Helper!L1065="Grocery"),Analysis_Helper!I1065,0)</f>
        <v/>
      </c>
    </row>
    <row r="1066">
      <c r="AO1066" s="55">
        <f>IF(AND(Analysis_Helper!Q1066="BENGALURU",Analysis_Helper!L1066="Grocery"),Analysis_Helper!I1066,0)</f>
        <v/>
      </c>
    </row>
    <row r="1067">
      <c r="AO1067" s="55">
        <f>IF(AND(Analysis_Helper!Q1067="BENGALURU",Analysis_Helper!L1067="Grocery"),Analysis_Helper!I1067,0)</f>
        <v/>
      </c>
    </row>
    <row r="1068">
      <c r="AO1068" s="55">
        <f>IF(AND(Analysis_Helper!Q1068="BENGALURU",Analysis_Helper!L1068="Grocery"),Analysis_Helper!I1068,0)</f>
        <v/>
      </c>
    </row>
    <row r="1069">
      <c r="AO1069" s="55">
        <f>IF(AND(Analysis_Helper!Q1069="BENGALURU",Analysis_Helper!L1069="Grocery"),Analysis_Helper!I1069,0)</f>
        <v/>
      </c>
    </row>
    <row r="1070">
      <c r="AO1070" s="55">
        <f>IF(AND(Analysis_Helper!Q1070="BENGALURU",Analysis_Helper!L1070="Grocery"),Analysis_Helper!I1070,0)</f>
        <v/>
      </c>
    </row>
    <row r="1071">
      <c r="AO1071" s="55">
        <f>IF(AND(Analysis_Helper!Q1071="BENGALURU",Analysis_Helper!L1071="Grocery"),Analysis_Helper!I1071,0)</f>
        <v/>
      </c>
    </row>
    <row r="1072">
      <c r="AO1072" s="55">
        <f>IF(AND(Analysis_Helper!Q1072="BENGALURU",Analysis_Helper!L1072="Grocery"),Analysis_Helper!I1072,0)</f>
        <v/>
      </c>
    </row>
    <row r="1073">
      <c r="AO1073" s="55">
        <f>IF(AND(Analysis_Helper!Q1073="BENGALURU",Analysis_Helper!L1073="Grocery"),Analysis_Helper!I1073,0)</f>
        <v/>
      </c>
    </row>
    <row r="1074">
      <c r="AO1074" s="55">
        <f>IF(AND(Analysis_Helper!Q1074="BENGALURU",Analysis_Helper!L1074="Grocery"),Analysis_Helper!I1074,0)</f>
        <v/>
      </c>
    </row>
    <row r="1075">
      <c r="AO1075" s="55">
        <f>IF(AND(Analysis_Helper!Q1075="BENGALURU",Analysis_Helper!L1075="Grocery"),Analysis_Helper!I1075,0)</f>
        <v/>
      </c>
    </row>
    <row r="1076">
      <c r="AO1076" s="55">
        <f>IF(AND(Analysis_Helper!Q1076="BENGALURU",Analysis_Helper!L1076="Grocery"),Analysis_Helper!I1076,0)</f>
        <v/>
      </c>
    </row>
    <row r="1077">
      <c r="AO1077" s="55">
        <f>IF(AND(Analysis_Helper!Q1077="BENGALURU",Analysis_Helper!L1077="Grocery"),Analysis_Helper!I1077,0)</f>
        <v/>
      </c>
    </row>
    <row r="1078">
      <c r="AO1078" s="55">
        <f>IF(AND(Analysis_Helper!Q1078="BENGALURU",Analysis_Helper!L1078="Grocery"),Analysis_Helper!I1078,0)</f>
        <v/>
      </c>
    </row>
    <row r="1079">
      <c r="AO1079" s="55">
        <f>IF(AND(Analysis_Helper!Q1079="BENGALURU",Analysis_Helper!L1079="Grocery"),Analysis_Helper!I1079,0)</f>
        <v/>
      </c>
    </row>
    <row r="1080">
      <c r="AO1080" s="55">
        <f>IF(AND(Analysis_Helper!Q1080="BENGALURU",Analysis_Helper!L1080="Grocery"),Analysis_Helper!I1080,0)</f>
        <v/>
      </c>
    </row>
    <row r="1081">
      <c r="AO1081" s="55">
        <f>IF(AND(Analysis_Helper!Q1081="BENGALURU",Analysis_Helper!L1081="Grocery"),Analysis_Helper!I1081,0)</f>
        <v/>
      </c>
    </row>
    <row r="1082">
      <c r="AO1082" s="55">
        <f>IF(AND(Analysis_Helper!Q1082="BENGALURU",Analysis_Helper!L1082="Grocery"),Analysis_Helper!I1082,0)</f>
        <v/>
      </c>
    </row>
    <row r="1083">
      <c r="AO1083" s="55">
        <f>IF(AND(Analysis_Helper!Q1083="BENGALURU",Analysis_Helper!L1083="Grocery"),Analysis_Helper!I1083,0)</f>
        <v/>
      </c>
    </row>
    <row r="1084">
      <c r="AO1084" s="55">
        <f>IF(AND(Analysis_Helper!Q1084="BENGALURU",Analysis_Helper!L1084="Grocery"),Analysis_Helper!I1084,0)</f>
        <v/>
      </c>
    </row>
    <row r="1085">
      <c r="AO1085" s="55">
        <f>IF(AND(Analysis_Helper!Q1085="BENGALURU",Analysis_Helper!L1085="Grocery"),Analysis_Helper!I1085,0)</f>
        <v/>
      </c>
    </row>
    <row r="1086">
      <c r="AO1086" s="55">
        <f>IF(AND(Analysis_Helper!Q1086="BENGALURU",Analysis_Helper!L1086="Grocery"),Analysis_Helper!I1086,0)</f>
        <v/>
      </c>
    </row>
    <row r="1087">
      <c r="AO1087" s="55">
        <f>IF(AND(Analysis_Helper!Q1087="BENGALURU",Analysis_Helper!L1087="Grocery"),Analysis_Helper!I1087,0)</f>
        <v/>
      </c>
    </row>
    <row r="1088">
      <c r="AO1088" s="55">
        <f>IF(AND(Analysis_Helper!Q1088="BENGALURU",Analysis_Helper!L1088="Grocery"),Analysis_Helper!I1088,0)</f>
        <v/>
      </c>
    </row>
    <row r="1089">
      <c r="AO1089" s="55">
        <f>IF(AND(Analysis_Helper!Q1089="BENGALURU",Analysis_Helper!L1089="Grocery"),Analysis_Helper!I1089,0)</f>
        <v/>
      </c>
    </row>
    <row r="1090">
      <c r="AO1090" s="55">
        <f>IF(AND(Analysis_Helper!Q1090="BENGALURU",Analysis_Helper!L1090="Grocery"),Analysis_Helper!I1090,0)</f>
        <v/>
      </c>
    </row>
    <row r="1091">
      <c r="AO1091" s="55">
        <f>IF(AND(Analysis_Helper!Q1091="BENGALURU",Analysis_Helper!L1091="Grocery"),Analysis_Helper!I1091,0)</f>
        <v/>
      </c>
    </row>
    <row r="1092">
      <c r="AO1092" s="55">
        <f>IF(AND(Analysis_Helper!Q1092="BENGALURU",Analysis_Helper!L1092="Grocery"),Analysis_Helper!I1092,0)</f>
        <v/>
      </c>
    </row>
    <row r="1093">
      <c r="AO1093" s="55">
        <f>IF(AND(Analysis_Helper!Q1093="BENGALURU",Analysis_Helper!L1093="Grocery"),Analysis_Helper!I1093,0)</f>
        <v/>
      </c>
    </row>
    <row r="1094">
      <c r="AO1094" s="55">
        <f>IF(AND(Analysis_Helper!Q1094="BENGALURU",Analysis_Helper!L1094="Grocery"),Analysis_Helper!I1094,0)</f>
        <v/>
      </c>
    </row>
    <row r="1095">
      <c r="AO1095" s="55">
        <f>IF(AND(Analysis_Helper!Q1095="BENGALURU",Analysis_Helper!L1095="Grocery"),Analysis_Helper!I1095,0)</f>
        <v/>
      </c>
    </row>
    <row r="1096">
      <c r="AO1096" s="55">
        <f>IF(AND(Analysis_Helper!Q1096="BENGALURU",Analysis_Helper!L1096="Grocery"),Analysis_Helper!I1096,0)</f>
        <v/>
      </c>
    </row>
    <row r="1097">
      <c r="AO1097" s="55">
        <f>IF(AND(Analysis_Helper!Q1097="BENGALURU",Analysis_Helper!L1097="Grocery"),Analysis_Helper!I1097,0)</f>
        <v/>
      </c>
    </row>
    <row r="1098">
      <c r="AO1098" s="55">
        <f>IF(AND(Analysis_Helper!Q1098="BENGALURU",Analysis_Helper!L1098="Grocery"),Analysis_Helper!I1098,0)</f>
        <v/>
      </c>
    </row>
    <row r="1099">
      <c r="AO1099" s="55">
        <f>IF(AND(Analysis_Helper!Q1099="BENGALURU",Analysis_Helper!L1099="Grocery"),Analysis_Helper!I1099,0)</f>
        <v/>
      </c>
    </row>
    <row r="1100">
      <c r="AO1100" s="55">
        <f>IF(AND(Analysis_Helper!Q1100="BENGALURU",Analysis_Helper!L1100="Grocery"),Analysis_Helper!I1100,0)</f>
        <v/>
      </c>
    </row>
    <row r="1101">
      <c r="AO1101" s="55">
        <f>IF(AND(Analysis_Helper!Q1101="BENGALURU",Analysis_Helper!L1101="Grocery"),Analysis_Helper!I1101,0)</f>
        <v/>
      </c>
    </row>
    <row r="1102">
      <c r="AO1102" s="55">
        <f>IF(AND(Analysis_Helper!Q1102="BENGALURU",Analysis_Helper!L1102="Grocery"),Analysis_Helper!I1102,0)</f>
        <v/>
      </c>
    </row>
    <row r="1103">
      <c r="AO1103" s="55">
        <f>IF(AND(Analysis_Helper!Q1103="BENGALURU",Analysis_Helper!L1103="Grocery"),Analysis_Helper!I1103,0)</f>
        <v/>
      </c>
    </row>
    <row r="1104">
      <c r="AO1104" s="55">
        <f>IF(AND(Analysis_Helper!Q1104="BENGALURU",Analysis_Helper!L1104="Grocery"),Analysis_Helper!I1104,0)</f>
        <v/>
      </c>
    </row>
    <row r="1105">
      <c r="AO1105" s="55">
        <f>IF(AND(Analysis_Helper!Q1105="BENGALURU",Analysis_Helper!L1105="Grocery"),Analysis_Helper!I1105,0)</f>
        <v/>
      </c>
    </row>
    <row r="1106">
      <c r="AO1106" s="55">
        <f>IF(AND(Analysis_Helper!Q1106="BENGALURU",Analysis_Helper!L1106="Grocery"),Analysis_Helper!I1106,0)</f>
        <v/>
      </c>
    </row>
    <row r="1107">
      <c r="AO1107" s="55">
        <f>IF(AND(Analysis_Helper!Q1107="BENGALURU",Analysis_Helper!L1107="Grocery"),Analysis_Helper!I1107,0)</f>
        <v/>
      </c>
    </row>
    <row r="1108">
      <c r="AO1108" s="55">
        <f>IF(AND(Analysis_Helper!Q1108="BENGALURU",Analysis_Helper!L1108="Grocery"),Analysis_Helper!I1108,0)</f>
        <v/>
      </c>
    </row>
    <row r="1109">
      <c r="AO1109" s="55">
        <f>IF(AND(Analysis_Helper!Q1109="BENGALURU",Analysis_Helper!L1109="Grocery"),Analysis_Helper!I1109,0)</f>
        <v/>
      </c>
    </row>
    <row r="1110">
      <c r="AO1110" s="55">
        <f>IF(AND(Analysis_Helper!Q1110="BENGALURU",Analysis_Helper!L1110="Grocery"),Analysis_Helper!I1110,0)</f>
        <v/>
      </c>
    </row>
    <row r="1111">
      <c r="AO1111" s="55">
        <f>IF(AND(Analysis_Helper!Q1111="BENGALURU",Analysis_Helper!L1111="Grocery"),Analysis_Helper!I1111,0)</f>
        <v/>
      </c>
    </row>
    <row r="1112">
      <c r="AO1112" s="55">
        <f>IF(AND(Analysis_Helper!Q1112="BENGALURU",Analysis_Helper!L1112="Grocery"),Analysis_Helper!I1112,0)</f>
        <v/>
      </c>
    </row>
    <row r="1113">
      <c r="AO1113" s="55">
        <f>IF(AND(Analysis_Helper!Q1113="BENGALURU",Analysis_Helper!L1113="Grocery"),Analysis_Helper!I1113,0)</f>
        <v/>
      </c>
    </row>
    <row r="1114">
      <c r="AO1114" s="55">
        <f>IF(AND(Analysis_Helper!Q1114="BENGALURU",Analysis_Helper!L1114="Grocery"),Analysis_Helper!I1114,0)</f>
        <v/>
      </c>
    </row>
    <row r="1115">
      <c r="AO1115" s="55">
        <f>IF(AND(Analysis_Helper!Q1115="BENGALURU",Analysis_Helper!L1115="Grocery"),Analysis_Helper!I1115,0)</f>
        <v/>
      </c>
    </row>
    <row r="1116">
      <c r="AO1116" s="55">
        <f>IF(AND(Analysis_Helper!Q1116="BENGALURU",Analysis_Helper!L1116="Grocery"),Analysis_Helper!I1116,0)</f>
        <v/>
      </c>
    </row>
    <row r="1117">
      <c r="AO1117" s="55">
        <f>IF(AND(Analysis_Helper!Q1117="BENGALURU",Analysis_Helper!L1117="Grocery"),Analysis_Helper!I1117,0)</f>
        <v/>
      </c>
    </row>
    <row r="1118">
      <c r="AO1118" s="55">
        <f>IF(AND(Analysis_Helper!Q1118="BENGALURU",Analysis_Helper!L1118="Grocery"),Analysis_Helper!I1118,0)</f>
        <v/>
      </c>
    </row>
    <row r="1119">
      <c r="AO1119" s="55">
        <f>IF(AND(Analysis_Helper!Q1119="BENGALURU",Analysis_Helper!L1119="Grocery"),Analysis_Helper!I1119,0)</f>
        <v/>
      </c>
    </row>
    <row r="1120">
      <c r="AO1120" s="55">
        <f>IF(AND(Analysis_Helper!Q1120="BENGALURU",Analysis_Helper!L1120="Grocery"),Analysis_Helper!I1120,0)</f>
        <v/>
      </c>
    </row>
    <row r="1121">
      <c r="AO1121" s="55">
        <f>IF(AND(Analysis_Helper!Q1121="BENGALURU",Analysis_Helper!L1121="Grocery"),Analysis_Helper!I1121,0)</f>
        <v/>
      </c>
    </row>
    <row r="1122">
      <c r="AO1122" s="55">
        <f>IF(AND(Analysis_Helper!Q1122="BENGALURU",Analysis_Helper!L1122="Grocery"),Analysis_Helper!I1122,0)</f>
        <v/>
      </c>
    </row>
    <row r="1123">
      <c r="AO1123" s="55">
        <f>IF(AND(Analysis_Helper!Q1123="BENGALURU",Analysis_Helper!L1123="Grocery"),Analysis_Helper!I1123,0)</f>
        <v/>
      </c>
    </row>
    <row r="1124">
      <c r="AO1124" s="55">
        <f>IF(AND(Analysis_Helper!Q1124="BENGALURU",Analysis_Helper!L1124="Grocery"),Analysis_Helper!I1124,0)</f>
        <v/>
      </c>
    </row>
    <row r="1125">
      <c r="AO1125" s="55">
        <f>IF(AND(Analysis_Helper!Q1125="BENGALURU",Analysis_Helper!L1125="Grocery"),Analysis_Helper!I1125,0)</f>
        <v/>
      </c>
    </row>
    <row r="1126">
      <c r="AO1126" s="55">
        <f>IF(AND(Analysis_Helper!Q1126="BENGALURU",Analysis_Helper!L1126="Grocery"),Analysis_Helper!I1126,0)</f>
        <v/>
      </c>
    </row>
    <row r="1127">
      <c r="AO1127" s="55">
        <f>IF(AND(Analysis_Helper!Q1127="BENGALURU",Analysis_Helper!L1127="Grocery"),Analysis_Helper!I1127,0)</f>
        <v/>
      </c>
    </row>
    <row r="1128">
      <c r="AO1128" s="55">
        <f>IF(AND(Analysis_Helper!Q1128="BENGALURU",Analysis_Helper!L1128="Grocery"),Analysis_Helper!I1128,0)</f>
        <v/>
      </c>
    </row>
    <row r="1129">
      <c r="AO1129" s="55">
        <f>IF(AND(Analysis_Helper!Q1129="BENGALURU",Analysis_Helper!L1129="Grocery"),Analysis_Helper!I1129,0)</f>
        <v/>
      </c>
    </row>
    <row r="1130">
      <c r="AO1130" s="55">
        <f>IF(AND(Analysis_Helper!Q1130="BENGALURU",Analysis_Helper!L1130="Grocery"),Analysis_Helper!I1130,0)</f>
        <v/>
      </c>
    </row>
    <row r="1131">
      <c r="AO1131" s="55">
        <f>IF(AND(Analysis_Helper!Q1131="BENGALURU",Analysis_Helper!L1131="Grocery"),Analysis_Helper!I1131,0)</f>
        <v/>
      </c>
    </row>
    <row r="1132">
      <c r="AO1132" s="55">
        <f>IF(AND(Analysis_Helper!Q1132="BENGALURU",Analysis_Helper!L1132="Grocery"),Analysis_Helper!I1132,0)</f>
        <v/>
      </c>
    </row>
    <row r="1133">
      <c r="AO1133" s="55">
        <f>IF(AND(Analysis_Helper!Q1133="BENGALURU",Analysis_Helper!L1133="Grocery"),Analysis_Helper!I1133,0)</f>
        <v/>
      </c>
    </row>
    <row r="1134">
      <c r="AO1134" s="55">
        <f>IF(AND(Analysis_Helper!Q1134="BENGALURU",Analysis_Helper!L1134="Grocery"),Analysis_Helper!I1134,0)</f>
        <v/>
      </c>
    </row>
    <row r="1135">
      <c r="AO1135" s="55">
        <f>IF(AND(Analysis_Helper!Q1135="BENGALURU",Analysis_Helper!L1135="Grocery"),Analysis_Helper!I1135,0)</f>
        <v/>
      </c>
    </row>
    <row r="1136">
      <c r="AO1136" s="55">
        <f>IF(AND(Analysis_Helper!Q1136="BENGALURU",Analysis_Helper!L1136="Grocery"),Analysis_Helper!I1136,0)</f>
        <v/>
      </c>
    </row>
    <row r="1137">
      <c r="AO1137" s="55">
        <f>IF(AND(Analysis_Helper!Q1137="BENGALURU",Analysis_Helper!L1137="Grocery"),Analysis_Helper!I1137,0)</f>
        <v/>
      </c>
    </row>
    <row r="1138">
      <c r="AO1138" s="55">
        <f>IF(AND(Analysis_Helper!Q1138="BENGALURU",Analysis_Helper!L1138="Grocery"),Analysis_Helper!I1138,0)</f>
        <v/>
      </c>
    </row>
    <row r="1139">
      <c r="AO1139" s="55">
        <f>IF(AND(Analysis_Helper!Q1139="BENGALURU",Analysis_Helper!L1139="Grocery"),Analysis_Helper!I1139,0)</f>
        <v/>
      </c>
    </row>
    <row r="1140">
      <c r="AO1140" s="55">
        <f>IF(AND(Analysis_Helper!Q1140="BENGALURU",Analysis_Helper!L1140="Grocery"),Analysis_Helper!I1140,0)</f>
        <v/>
      </c>
    </row>
    <row r="1141">
      <c r="AO1141" s="55">
        <f>IF(AND(Analysis_Helper!Q1141="BENGALURU",Analysis_Helper!L1141="Grocery"),Analysis_Helper!I1141,0)</f>
        <v/>
      </c>
    </row>
    <row r="1142">
      <c r="AO1142" s="55">
        <f>IF(AND(Analysis_Helper!Q1142="BENGALURU",Analysis_Helper!L1142="Grocery"),Analysis_Helper!I1142,0)</f>
        <v/>
      </c>
    </row>
    <row r="1143">
      <c r="AO1143" s="55">
        <f>IF(AND(Analysis_Helper!Q1143="BENGALURU",Analysis_Helper!L1143="Grocery"),Analysis_Helper!I1143,0)</f>
        <v/>
      </c>
    </row>
    <row r="1144">
      <c r="AO1144" s="55">
        <f>IF(AND(Analysis_Helper!Q1144="BENGALURU",Analysis_Helper!L1144="Grocery"),Analysis_Helper!I1144,0)</f>
        <v/>
      </c>
    </row>
    <row r="1145">
      <c r="AO1145" s="55">
        <f>IF(AND(Analysis_Helper!Q1145="BENGALURU",Analysis_Helper!L1145="Grocery"),Analysis_Helper!I1145,0)</f>
        <v/>
      </c>
    </row>
    <row r="1146">
      <c r="AO1146" s="55">
        <f>IF(AND(Analysis_Helper!Q1146="BENGALURU",Analysis_Helper!L1146="Grocery"),Analysis_Helper!I1146,0)</f>
        <v/>
      </c>
    </row>
    <row r="1147">
      <c r="AO1147" s="55">
        <f>IF(AND(Analysis_Helper!Q1147="BENGALURU",Analysis_Helper!L1147="Grocery"),Analysis_Helper!I1147,0)</f>
        <v/>
      </c>
    </row>
    <row r="1148">
      <c r="AO1148" s="55">
        <f>IF(AND(Analysis_Helper!Q1148="BENGALURU",Analysis_Helper!L1148="Grocery"),Analysis_Helper!I1148,0)</f>
        <v/>
      </c>
    </row>
    <row r="1149">
      <c r="AO1149" s="55">
        <f>IF(AND(Analysis_Helper!Q1149="BENGALURU",Analysis_Helper!L1149="Grocery"),Analysis_Helper!I1149,0)</f>
        <v/>
      </c>
    </row>
    <row r="1150">
      <c r="AO1150" s="55">
        <f>IF(AND(Analysis_Helper!Q1150="BENGALURU",Analysis_Helper!L1150="Grocery"),Analysis_Helper!I1150,0)</f>
        <v/>
      </c>
    </row>
    <row r="1151">
      <c r="AO1151" s="55">
        <f>IF(AND(Analysis_Helper!Q1151="BENGALURU",Analysis_Helper!L1151="Grocery"),Analysis_Helper!I1151,0)</f>
        <v/>
      </c>
    </row>
    <row r="1152">
      <c r="AO1152" s="55">
        <f>IF(AND(Analysis_Helper!Q1152="BENGALURU",Analysis_Helper!L1152="Grocery"),Analysis_Helper!I1152,0)</f>
        <v/>
      </c>
    </row>
    <row r="1153">
      <c r="AO1153" s="55">
        <f>IF(AND(Analysis_Helper!Q1153="BENGALURU",Analysis_Helper!L1153="Grocery"),Analysis_Helper!I1153,0)</f>
        <v/>
      </c>
    </row>
    <row r="1154">
      <c r="AO1154" s="55">
        <f>IF(AND(Analysis_Helper!Q1154="BENGALURU",Analysis_Helper!L1154="Grocery"),Analysis_Helper!I1154,0)</f>
        <v/>
      </c>
    </row>
    <row r="1155">
      <c r="AO1155" s="55">
        <f>IF(AND(Analysis_Helper!Q1155="BENGALURU",Analysis_Helper!L1155="Grocery"),Analysis_Helper!I1155,0)</f>
        <v/>
      </c>
    </row>
    <row r="1156">
      <c r="AO1156" s="55">
        <f>IF(AND(Analysis_Helper!Q1156="BENGALURU",Analysis_Helper!L1156="Grocery"),Analysis_Helper!I1156,0)</f>
        <v/>
      </c>
    </row>
    <row r="1157">
      <c r="AO1157" s="55">
        <f>IF(AND(Analysis_Helper!Q1157="BENGALURU",Analysis_Helper!L1157="Grocery"),Analysis_Helper!I1157,0)</f>
        <v/>
      </c>
    </row>
    <row r="1158">
      <c r="AO1158" s="55">
        <f>IF(AND(Analysis_Helper!Q1158="BENGALURU",Analysis_Helper!L1158="Grocery"),Analysis_Helper!I1158,0)</f>
        <v/>
      </c>
    </row>
    <row r="1159">
      <c r="AO1159" s="55">
        <f>IF(AND(Analysis_Helper!Q1159="BENGALURU",Analysis_Helper!L1159="Grocery"),Analysis_Helper!I1159,0)</f>
        <v/>
      </c>
    </row>
    <row r="1160">
      <c r="AO1160" s="55">
        <f>IF(AND(Analysis_Helper!Q1160="BENGALURU",Analysis_Helper!L1160="Grocery"),Analysis_Helper!I1160,0)</f>
        <v/>
      </c>
    </row>
    <row r="1161">
      <c r="AO1161" s="55">
        <f>IF(AND(Analysis_Helper!Q1161="BENGALURU",Analysis_Helper!L1161="Grocery"),Analysis_Helper!I1161,0)</f>
        <v/>
      </c>
    </row>
    <row r="1162">
      <c r="AO1162" s="55">
        <f>IF(AND(Analysis_Helper!Q1162="BENGALURU",Analysis_Helper!L1162="Grocery"),Analysis_Helper!I1162,0)</f>
        <v/>
      </c>
    </row>
    <row r="1163">
      <c r="AO1163" s="55">
        <f>IF(AND(Analysis_Helper!Q1163="BENGALURU",Analysis_Helper!L1163="Grocery"),Analysis_Helper!I1163,0)</f>
        <v/>
      </c>
    </row>
    <row r="1164">
      <c r="AO1164" s="55">
        <f>IF(AND(Analysis_Helper!Q1164="BENGALURU",Analysis_Helper!L1164="Grocery"),Analysis_Helper!I1164,0)</f>
        <v/>
      </c>
    </row>
    <row r="1165">
      <c r="AO1165" s="55">
        <f>IF(AND(Analysis_Helper!Q1165="BENGALURU",Analysis_Helper!L1165="Grocery"),Analysis_Helper!I1165,0)</f>
        <v/>
      </c>
    </row>
    <row r="1166">
      <c r="AO1166" s="55">
        <f>IF(AND(Analysis_Helper!Q1166="BENGALURU",Analysis_Helper!L1166="Grocery"),Analysis_Helper!I1166,0)</f>
        <v/>
      </c>
    </row>
    <row r="1167">
      <c r="AO1167" s="55">
        <f>IF(AND(Analysis_Helper!Q1167="BENGALURU",Analysis_Helper!L1167="Grocery"),Analysis_Helper!I1167,0)</f>
        <v/>
      </c>
    </row>
    <row r="1168">
      <c r="AO1168" s="55">
        <f>IF(AND(Analysis_Helper!Q1168="BENGALURU",Analysis_Helper!L1168="Grocery"),Analysis_Helper!I1168,0)</f>
        <v/>
      </c>
    </row>
    <row r="1169">
      <c r="AO1169" s="55">
        <f>IF(AND(Analysis_Helper!Q1169="BENGALURU",Analysis_Helper!L1169="Grocery"),Analysis_Helper!I1169,0)</f>
        <v/>
      </c>
    </row>
    <row r="1170">
      <c r="AO1170" s="55">
        <f>IF(AND(Analysis_Helper!Q1170="BENGALURU",Analysis_Helper!L1170="Grocery"),Analysis_Helper!I1170,0)</f>
        <v/>
      </c>
    </row>
    <row r="1171">
      <c r="AO1171" s="55">
        <f>IF(AND(Analysis_Helper!Q1171="BENGALURU",Analysis_Helper!L1171="Grocery"),Analysis_Helper!I1171,0)</f>
        <v/>
      </c>
    </row>
    <row r="1172">
      <c r="AO1172" s="55">
        <f>IF(AND(Analysis_Helper!Q1172="BENGALURU",Analysis_Helper!L1172="Grocery"),Analysis_Helper!I1172,0)</f>
        <v/>
      </c>
    </row>
    <row r="1173">
      <c r="AO1173" s="55">
        <f>IF(AND(Analysis_Helper!Q1173="BENGALURU",Analysis_Helper!L1173="Grocery"),Analysis_Helper!I1173,0)</f>
        <v/>
      </c>
    </row>
    <row r="1174">
      <c r="AO1174" s="55">
        <f>IF(AND(Analysis_Helper!Q1174="BENGALURU",Analysis_Helper!L1174="Grocery"),Analysis_Helper!I1174,0)</f>
        <v/>
      </c>
    </row>
    <row r="1175">
      <c r="AO1175" s="55">
        <f>IF(AND(Analysis_Helper!Q1175="BENGALURU",Analysis_Helper!L1175="Grocery"),Analysis_Helper!I1175,0)</f>
        <v/>
      </c>
    </row>
    <row r="1176">
      <c r="AO1176" s="55">
        <f>IF(AND(Analysis_Helper!Q1176="BENGALURU",Analysis_Helper!L1176="Grocery"),Analysis_Helper!I1176,0)</f>
        <v/>
      </c>
    </row>
    <row r="1177">
      <c r="AO1177" s="55">
        <f>IF(AND(Analysis_Helper!Q1177="BENGALURU",Analysis_Helper!L1177="Grocery"),Analysis_Helper!I1177,0)</f>
        <v/>
      </c>
    </row>
    <row r="1178">
      <c r="AO1178" s="55">
        <f>IF(AND(Analysis_Helper!Q1178="BENGALURU",Analysis_Helper!L1178="Grocery"),Analysis_Helper!I1178,0)</f>
        <v/>
      </c>
    </row>
    <row r="1179">
      <c r="AO1179" s="55">
        <f>IF(AND(Analysis_Helper!Q1179="BENGALURU",Analysis_Helper!L1179="Grocery"),Analysis_Helper!I1179,0)</f>
        <v/>
      </c>
    </row>
    <row r="1180">
      <c r="AO1180" s="55">
        <f>IF(AND(Analysis_Helper!Q1180="BENGALURU",Analysis_Helper!L1180="Grocery"),Analysis_Helper!I1180,0)</f>
        <v/>
      </c>
    </row>
    <row r="1181">
      <c r="AO1181" s="55">
        <f>IF(AND(Analysis_Helper!Q1181="BENGALURU",Analysis_Helper!L1181="Grocery"),Analysis_Helper!I1181,0)</f>
        <v/>
      </c>
    </row>
    <row r="1182">
      <c r="AO1182" s="55">
        <f>IF(AND(Analysis_Helper!Q1182="BENGALURU",Analysis_Helper!L1182="Grocery"),Analysis_Helper!I1182,0)</f>
        <v/>
      </c>
    </row>
    <row r="1183">
      <c r="AO1183" s="55">
        <f>IF(AND(Analysis_Helper!Q1183="BENGALURU",Analysis_Helper!L1183="Grocery"),Analysis_Helper!I1183,0)</f>
        <v/>
      </c>
    </row>
    <row r="1184">
      <c r="AO1184" s="55">
        <f>IF(AND(Analysis_Helper!Q1184="BENGALURU",Analysis_Helper!L1184="Grocery"),Analysis_Helper!I1184,0)</f>
        <v/>
      </c>
    </row>
    <row r="1185">
      <c r="AO1185" s="55">
        <f>IF(AND(Analysis_Helper!Q1185="BENGALURU",Analysis_Helper!L1185="Grocery"),Analysis_Helper!I1185,0)</f>
        <v/>
      </c>
    </row>
    <row r="1186">
      <c r="AO1186" s="55">
        <f>IF(AND(Analysis_Helper!Q1186="BENGALURU",Analysis_Helper!L1186="Grocery"),Analysis_Helper!I1186,0)</f>
        <v/>
      </c>
    </row>
    <row r="1187">
      <c r="AO1187" s="55">
        <f>IF(AND(Analysis_Helper!Q1187="BENGALURU",Analysis_Helper!L1187="Grocery"),Analysis_Helper!I1187,0)</f>
        <v/>
      </c>
    </row>
    <row r="1188">
      <c r="AO1188" s="55">
        <f>IF(AND(Analysis_Helper!Q1188="BENGALURU",Analysis_Helper!L1188="Grocery"),Analysis_Helper!I1188,0)</f>
        <v/>
      </c>
    </row>
    <row r="1189">
      <c r="AO1189" s="55">
        <f>IF(AND(Analysis_Helper!Q1189="BENGALURU",Analysis_Helper!L1189="Grocery"),Analysis_Helper!I1189,0)</f>
        <v/>
      </c>
    </row>
    <row r="1190">
      <c r="AO1190" s="55">
        <f>IF(AND(Analysis_Helper!Q1190="BENGALURU",Analysis_Helper!L1190="Grocery"),Analysis_Helper!I1190,0)</f>
        <v/>
      </c>
    </row>
    <row r="1191">
      <c r="AO1191" s="55">
        <f>IF(AND(Analysis_Helper!Q1191="BENGALURU",Analysis_Helper!L1191="Grocery"),Analysis_Helper!I1191,0)</f>
        <v/>
      </c>
    </row>
    <row r="1192">
      <c r="AO1192" s="55">
        <f>IF(AND(Analysis_Helper!Q1192="BENGALURU",Analysis_Helper!L1192="Grocery"),Analysis_Helper!I1192,0)</f>
        <v/>
      </c>
    </row>
    <row r="1193">
      <c r="AO1193" s="55">
        <f>IF(AND(Analysis_Helper!Q1193="BENGALURU",Analysis_Helper!L1193="Grocery"),Analysis_Helper!I1193,0)</f>
        <v/>
      </c>
    </row>
    <row r="1194">
      <c r="AO1194" s="55">
        <f>IF(AND(Analysis_Helper!Q1194="BENGALURU",Analysis_Helper!L1194="Grocery"),Analysis_Helper!I1194,0)</f>
        <v/>
      </c>
    </row>
    <row r="1195">
      <c r="AO1195" s="55">
        <f>IF(AND(Analysis_Helper!Q1195="BENGALURU",Analysis_Helper!L1195="Grocery"),Analysis_Helper!I1195,0)</f>
        <v/>
      </c>
    </row>
    <row r="1196">
      <c r="AO1196" s="55">
        <f>IF(AND(Analysis_Helper!Q1196="BENGALURU",Analysis_Helper!L1196="Grocery"),Analysis_Helper!I1196,0)</f>
        <v/>
      </c>
    </row>
    <row r="1197">
      <c r="AO1197" s="55">
        <f>IF(AND(Analysis_Helper!Q1197="BENGALURU",Analysis_Helper!L1197="Grocery"),Analysis_Helper!I1197,0)</f>
        <v/>
      </c>
    </row>
    <row r="1198">
      <c r="AO1198" s="55">
        <f>IF(AND(Analysis_Helper!Q1198="BENGALURU",Analysis_Helper!L1198="Grocery"),Analysis_Helper!I1198,0)</f>
        <v/>
      </c>
    </row>
    <row r="1199">
      <c r="AO1199" s="55">
        <f>IF(AND(Analysis_Helper!Q1199="BENGALURU",Analysis_Helper!L1199="Grocery"),Analysis_Helper!I1199,0)</f>
        <v/>
      </c>
    </row>
    <row r="1200">
      <c r="AO1200" s="55">
        <f>IF(AND(Analysis_Helper!Q1200="BENGALURU",Analysis_Helper!L1200="Grocery"),Analysis_Helper!I1200,0)</f>
        <v/>
      </c>
    </row>
    <row r="1201">
      <c r="AO1201" s="55">
        <f>IF(AND(Analysis_Helper!Q1201="BENGALURU",Analysis_Helper!L1201="Grocery"),Analysis_Helper!I1201,0)</f>
        <v/>
      </c>
    </row>
    <row r="1202">
      <c r="AO1202" s="55">
        <f>IF(AND(Analysis_Helper!Q1202="BENGALURU",Analysis_Helper!L1202="Grocery"),Analysis_Helper!I1202,0)</f>
        <v/>
      </c>
    </row>
    <row r="1203">
      <c r="AO1203" s="55">
        <f>IF(AND(Analysis_Helper!Q1203="BENGALURU",Analysis_Helper!L1203="Grocery"),Analysis_Helper!I1203,0)</f>
        <v/>
      </c>
    </row>
    <row r="1204">
      <c r="AO1204" s="55">
        <f>IF(AND(Analysis_Helper!Q1204="BENGALURU",Analysis_Helper!L1204="Grocery"),Analysis_Helper!I1204,0)</f>
        <v/>
      </c>
    </row>
    <row r="1205">
      <c r="AO1205" s="55">
        <f>IF(AND(Analysis_Helper!Q1205="BENGALURU",Analysis_Helper!L1205="Grocery"),Analysis_Helper!I1205,0)</f>
        <v/>
      </c>
    </row>
    <row r="1206">
      <c r="AO1206" s="55">
        <f>IF(AND(Analysis_Helper!Q1206="BENGALURU",Analysis_Helper!L1206="Grocery"),Analysis_Helper!I1206,0)</f>
        <v/>
      </c>
    </row>
    <row r="1207">
      <c r="AO1207" s="55">
        <f>IF(AND(Analysis_Helper!Q1207="BENGALURU",Analysis_Helper!L1207="Grocery"),Analysis_Helper!I1207,0)</f>
        <v/>
      </c>
    </row>
    <row r="1208">
      <c r="AO1208" s="55">
        <f>IF(AND(Analysis_Helper!Q1208="BENGALURU",Analysis_Helper!L1208="Grocery"),Analysis_Helper!I1208,0)</f>
        <v/>
      </c>
    </row>
    <row r="1209">
      <c r="AO1209" s="55">
        <f>IF(AND(Analysis_Helper!Q1209="BENGALURU",Analysis_Helper!L1209="Grocery"),Analysis_Helper!I1209,0)</f>
        <v/>
      </c>
    </row>
    <row r="1210">
      <c r="AO1210" s="55">
        <f>IF(AND(Analysis_Helper!Q1210="BENGALURU",Analysis_Helper!L1210="Grocery"),Analysis_Helper!I1210,0)</f>
        <v/>
      </c>
    </row>
    <row r="1211">
      <c r="AO1211" s="55">
        <f>IF(AND(Analysis_Helper!Q1211="BENGALURU",Analysis_Helper!L1211="Grocery"),Analysis_Helper!I1211,0)</f>
        <v/>
      </c>
    </row>
    <row r="1212">
      <c r="AO1212" s="55">
        <f>IF(AND(Analysis_Helper!Q1212="BENGALURU",Analysis_Helper!L1212="Grocery"),Analysis_Helper!I1212,0)</f>
        <v/>
      </c>
    </row>
    <row r="1213">
      <c r="AO1213" s="55">
        <f>IF(AND(Analysis_Helper!Q1213="BENGALURU",Analysis_Helper!L1213="Grocery"),Analysis_Helper!I1213,0)</f>
        <v/>
      </c>
    </row>
    <row r="1214">
      <c r="AO1214" s="55">
        <f>IF(AND(Analysis_Helper!Q1214="BENGALURU",Analysis_Helper!L1214="Grocery"),Analysis_Helper!I1214,0)</f>
        <v/>
      </c>
    </row>
    <row r="1215">
      <c r="AO1215" s="55">
        <f>IF(AND(Analysis_Helper!Q1215="BENGALURU",Analysis_Helper!L1215="Grocery"),Analysis_Helper!I1215,0)</f>
        <v/>
      </c>
    </row>
    <row r="1216">
      <c r="AO1216" s="55">
        <f>IF(AND(Analysis_Helper!Q1216="BENGALURU",Analysis_Helper!L1216="Grocery"),Analysis_Helper!I1216,0)</f>
        <v/>
      </c>
    </row>
    <row r="1217">
      <c r="AO1217" s="55">
        <f>IF(AND(Analysis_Helper!Q1217="BENGALURU",Analysis_Helper!L1217="Grocery"),Analysis_Helper!I1217,0)</f>
        <v/>
      </c>
    </row>
    <row r="1218">
      <c r="AO1218" s="55">
        <f>IF(AND(Analysis_Helper!Q1218="BENGALURU",Analysis_Helper!L1218="Grocery"),Analysis_Helper!I1218,0)</f>
        <v/>
      </c>
    </row>
    <row r="1219">
      <c r="AO1219" s="55">
        <f>IF(AND(Analysis_Helper!Q1219="BENGALURU",Analysis_Helper!L1219="Grocery"),Analysis_Helper!I1219,0)</f>
        <v/>
      </c>
    </row>
    <row r="1220">
      <c r="AO1220" s="55">
        <f>IF(AND(Analysis_Helper!Q1220="BENGALURU",Analysis_Helper!L1220="Grocery"),Analysis_Helper!I1220,0)</f>
        <v/>
      </c>
    </row>
    <row r="1221">
      <c r="AO1221" s="55">
        <f>IF(AND(Analysis_Helper!Q1221="BENGALURU",Analysis_Helper!L1221="Grocery"),Analysis_Helper!I1221,0)</f>
        <v/>
      </c>
    </row>
    <row r="1222">
      <c r="AO1222" s="55">
        <f>IF(AND(Analysis_Helper!Q1222="BENGALURU",Analysis_Helper!L1222="Grocery"),Analysis_Helper!I1222,0)</f>
        <v/>
      </c>
    </row>
    <row r="1223">
      <c r="AO1223" s="55">
        <f>IF(AND(Analysis_Helper!Q1223="BENGALURU",Analysis_Helper!L1223="Grocery"),Analysis_Helper!I1223,0)</f>
        <v/>
      </c>
    </row>
    <row r="1224">
      <c r="AO1224" s="55">
        <f>IF(AND(Analysis_Helper!Q1224="BENGALURU",Analysis_Helper!L1224="Grocery"),Analysis_Helper!I1224,0)</f>
        <v/>
      </c>
    </row>
    <row r="1225">
      <c r="AO1225" s="55">
        <f>IF(AND(Analysis_Helper!Q1225="BENGALURU",Analysis_Helper!L1225="Grocery"),Analysis_Helper!I1225,0)</f>
        <v/>
      </c>
    </row>
    <row r="1226">
      <c r="AO1226" s="55">
        <f>IF(AND(Analysis_Helper!Q1226="BENGALURU",Analysis_Helper!L1226="Grocery"),Analysis_Helper!I1226,0)</f>
        <v/>
      </c>
    </row>
    <row r="1227">
      <c r="AO1227" s="55">
        <f>IF(AND(Analysis_Helper!Q1227="BENGALURU",Analysis_Helper!L1227="Grocery"),Analysis_Helper!I1227,0)</f>
        <v/>
      </c>
    </row>
    <row r="1228">
      <c r="AO1228" s="55">
        <f>IF(AND(Analysis_Helper!Q1228="BENGALURU",Analysis_Helper!L1228="Grocery"),Analysis_Helper!I1228,0)</f>
        <v/>
      </c>
    </row>
    <row r="1229">
      <c r="AO1229" s="55">
        <f>IF(AND(Analysis_Helper!Q1229="BENGALURU",Analysis_Helper!L1229="Grocery"),Analysis_Helper!I1229,0)</f>
        <v/>
      </c>
    </row>
    <row r="1230">
      <c r="AO1230" s="55">
        <f>IF(AND(Analysis_Helper!Q1230="BENGALURU",Analysis_Helper!L1230="Grocery"),Analysis_Helper!I1230,0)</f>
        <v/>
      </c>
    </row>
    <row r="1231">
      <c r="AO1231" s="55">
        <f>IF(AND(Analysis_Helper!Q1231="BENGALURU",Analysis_Helper!L1231="Grocery"),Analysis_Helper!I1231,0)</f>
        <v/>
      </c>
    </row>
    <row r="1232">
      <c r="AO1232" s="55">
        <f>IF(AND(Analysis_Helper!Q1232="BENGALURU",Analysis_Helper!L1232="Grocery"),Analysis_Helper!I1232,0)</f>
        <v/>
      </c>
    </row>
    <row r="1233">
      <c r="AO1233" s="55">
        <f>IF(AND(Analysis_Helper!Q1233="BENGALURU",Analysis_Helper!L1233="Grocery"),Analysis_Helper!I1233,0)</f>
        <v/>
      </c>
    </row>
    <row r="1234">
      <c r="AO1234" s="55">
        <f>IF(AND(Analysis_Helper!Q1234="BENGALURU",Analysis_Helper!L1234="Grocery"),Analysis_Helper!I1234,0)</f>
        <v/>
      </c>
    </row>
    <row r="1235">
      <c r="AO1235" s="55">
        <f>IF(AND(Analysis_Helper!Q1235="BENGALURU",Analysis_Helper!L1235="Grocery"),Analysis_Helper!I1235,0)</f>
        <v/>
      </c>
    </row>
    <row r="1236">
      <c r="AO1236" s="55">
        <f>IF(AND(Analysis_Helper!Q1236="BENGALURU",Analysis_Helper!L1236="Grocery"),Analysis_Helper!I1236,0)</f>
        <v/>
      </c>
    </row>
    <row r="1237">
      <c r="AO1237" s="55">
        <f>IF(AND(Analysis_Helper!Q1237="BENGALURU",Analysis_Helper!L1237="Grocery"),Analysis_Helper!I1237,0)</f>
        <v/>
      </c>
    </row>
    <row r="1238">
      <c r="AO1238" s="55">
        <f>IF(AND(Analysis_Helper!Q1238="BENGALURU",Analysis_Helper!L1238="Grocery"),Analysis_Helper!I1238,0)</f>
        <v/>
      </c>
    </row>
    <row r="1239">
      <c r="AO1239" s="55">
        <f>IF(AND(Analysis_Helper!Q1239="BENGALURU",Analysis_Helper!L1239="Grocery"),Analysis_Helper!I1239,0)</f>
        <v/>
      </c>
    </row>
    <row r="1240">
      <c r="AO1240" s="55">
        <f>IF(AND(Analysis_Helper!Q1240="BENGALURU",Analysis_Helper!L1240="Grocery"),Analysis_Helper!I1240,0)</f>
        <v/>
      </c>
    </row>
    <row r="1241">
      <c r="AO1241" s="55">
        <f>IF(AND(Analysis_Helper!Q1241="BENGALURU",Analysis_Helper!L1241="Grocery"),Analysis_Helper!I1241,0)</f>
        <v/>
      </c>
    </row>
    <row r="1242">
      <c r="AO1242" s="55">
        <f>IF(AND(Analysis_Helper!Q1242="BENGALURU",Analysis_Helper!L1242="Grocery"),Analysis_Helper!I1242,0)</f>
        <v/>
      </c>
    </row>
    <row r="1243">
      <c r="AO1243" s="55">
        <f>IF(AND(Analysis_Helper!Q1243="BENGALURU",Analysis_Helper!L1243="Grocery"),Analysis_Helper!I1243,0)</f>
        <v/>
      </c>
    </row>
    <row r="1244">
      <c r="AO1244" s="55">
        <f>IF(AND(Analysis_Helper!Q1244="BENGALURU",Analysis_Helper!L1244="Grocery"),Analysis_Helper!I1244,0)</f>
        <v/>
      </c>
    </row>
    <row r="1245">
      <c r="AO1245" s="55">
        <f>IF(AND(Analysis_Helper!Q1245="BENGALURU",Analysis_Helper!L1245="Grocery"),Analysis_Helper!I1245,0)</f>
        <v/>
      </c>
    </row>
    <row r="1246">
      <c r="AO1246" s="55">
        <f>IF(AND(Analysis_Helper!Q1246="BENGALURU",Analysis_Helper!L1246="Grocery"),Analysis_Helper!I1246,0)</f>
        <v/>
      </c>
    </row>
    <row r="1247">
      <c r="AO1247" s="55">
        <f>IF(AND(Analysis_Helper!Q1247="BENGALURU",Analysis_Helper!L1247="Grocery"),Analysis_Helper!I1247,0)</f>
        <v/>
      </c>
    </row>
    <row r="1248">
      <c r="AO1248" s="55">
        <f>IF(AND(Analysis_Helper!Q1248="BENGALURU",Analysis_Helper!L1248="Grocery"),Analysis_Helper!I1248,0)</f>
        <v/>
      </c>
    </row>
    <row r="1249">
      <c r="AO1249" s="55">
        <f>IF(AND(Analysis_Helper!Q1249="BENGALURU",Analysis_Helper!L1249="Grocery"),Analysis_Helper!I1249,0)</f>
        <v/>
      </c>
    </row>
    <row r="1250">
      <c r="AO1250" s="55">
        <f>IF(AND(Analysis_Helper!Q1250="BENGALURU",Analysis_Helper!L1250="Grocery"),Analysis_Helper!I1250,0)</f>
        <v/>
      </c>
    </row>
    <row r="1251">
      <c r="AO1251" s="55">
        <f>IF(AND(Analysis_Helper!Q1251="BENGALURU",Analysis_Helper!L1251="Grocery"),Analysis_Helper!I1251,0)</f>
        <v/>
      </c>
    </row>
    <row r="1252">
      <c r="AO1252" s="55">
        <f>IF(AND(Analysis_Helper!Q1252="BENGALURU",Analysis_Helper!L1252="Grocery"),Analysis_Helper!I1252,0)</f>
        <v/>
      </c>
    </row>
    <row r="1253">
      <c r="AO1253" s="55">
        <f>IF(AND(Analysis_Helper!Q1253="BENGALURU",Analysis_Helper!L1253="Grocery"),Analysis_Helper!I1253,0)</f>
        <v/>
      </c>
    </row>
    <row r="1254">
      <c r="AO1254" s="55">
        <f>IF(AND(Analysis_Helper!Q1254="BENGALURU",Analysis_Helper!L1254="Grocery"),Analysis_Helper!I1254,0)</f>
        <v/>
      </c>
    </row>
    <row r="1255">
      <c r="AO1255" s="55">
        <f>IF(AND(Analysis_Helper!Q1255="BENGALURU",Analysis_Helper!L1255="Grocery"),Analysis_Helper!I1255,0)</f>
        <v/>
      </c>
    </row>
    <row r="1256">
      <c r="AO1256" s="55">
        <f>IF(AND(Analysis_Helper!Q1256="BENGALURU",Analysis_Helper!L1256="Grocery"),Analysis_Helper!I1256,0)</f>
        <v/>
      </c>
    </row>
    <row r="1257">
      <c r="AO1257" s="55">
        <f>IF(AND(Analysis_Helper!Q1257="BENGALURU",Analysis_Helper!L1257="Grocery"),Analysis_Helper!I1257,0)</f>
        <v/>
      </c>
    </row>
    <row r="1258">
      <c r="AO1258" s="55">
        <f>IF(AND(Analysis_Helper!Q1258="BENGALURU",Analysis_Helper!L1258="Grocery"),Analysis_Helper!I1258,0)</f>
        <v/>
      </c>
    </row>
    <row r="1259">
      <c r="AO1259" s="55">
        <f>IF(AND(Analysis_Helper!Q1259="BENGALURU",Analysis_Helper!L1259="Grocery"),Analysis_Helper!I1259,0)</f>
        <v/>
      </c>
    </row>
    <row r="1260">
      <c r="AO1260" s="55">
        <f>IF(AND(Analysis_Helper!Q1260="BENGALURU",Analysis_Helper!L1260="Grocery"),Analysis_Helper!I1260,0)</f>
        <v/>
      </c>
    </row>
    <row r="1261">
      <c r="AO1261" s="55">
        <f>IF(AND(Analysis_Helper!Q1261="BENGALURU",Analysis_Helper!L1261="Grocery"),Analysis_Helper!I1261,0)</f>
        <v/>
      </c>
    </row>
    <row r="1262">
      <c r="AO1262" s="55">
        <f>IF(AND(Analysis_Helper!Q1262="BENGALURU",Analysis_Helper!L1262="Grocery"),Analysis_Helper!I1262,0)</f>
        <v/>
      </c>
    </row>
    <row r="1263">
      <c r="AO1263" s="55">
        <f>IF(AND(Analysis_Helper!Q1263="BENGALURU",Analysis_Helper!L1263="Grocery"),Analysis_Helper!I1263,0)</f>
        <v/>
      </c>
    </row>
    <row r="1264">
      <c r="AO1264" s="55">
        <f>IF(AND(Analysis_Helper!Q1264="BENGALURU",Analysis_Helper!L1264="Grocery"),Analysis_Helper!I1264,0)</f>
        <v/>
      </c>
    </row>
    <row r="1265">
      <c r="AO1265" s="55">
        <f>IF(AND(Analysis_Helper!Q1265="BENGALURU",Analysis_Helper!L1265="Grocery"),Analysis_Helper!I1265,0)</f>
        <v/>
      </c>
    </row>
    <row r="1266">
      <c r="AO1266" s="55">
        <f>IF(AND(Analysis_Helper!Q1266="BENGALURU",Analysis_Helper!L1266="Grocery"),Analysis_Helper!I1266,0)</f>
        <v/>
      </c>
    </row>
    <row r="1267">
      <c r="AO1267" s="55">
        <f>IF(AND(Analysis_Helper!Q1267="BENGALURU",Analysis_Helper!L1267="Grocery"),Analysis_Helper!I1267,0)</f>
        <v/>
      </c>
    </row>
    <row r="1268">
      <c r="AO1268" s="55">
        <f>IF(AND(Analysis_Helper!Q1268="BENGALURU",Analysis_Helper!L1268="Grocery"),Analysis_Helper!I1268,0)</f>
        <v/>
      </c>
    </row>
    <row r="1269">
      <c r="AO1269" s="55">
        <f>IF(AND(Analysis_Helper!Q1269="BENGALURU",Analysis_Helper!L1269="Grocery"),Analysis_Helper!I1269,0)</f>
        <v/>
      </c>
    </row>
    <row r="1270">
      <c r="AO1270" s="55">
        <f>IF(AND(Analysis_Helper!Q1270="BENGALURU",Analysis_Helper!L1270="Grocery"),Analysis_Helper!I1270,0)</f>
        <v/>
      </c>
    </row>
    <row r="1271">
      <c r="AO1271" s="55">
        <f>IF(AND(Analysis_Helper!Q1271="BENGALURU",Analysis_Helper!L1271="Grocery"),Analysis_Helper!I1271,0)</f>
        <v/>
      </c>
    </row>
    <row r="1272">
      <c r="AO1272" s="55">
        <f>IF(AND(Analysis_Helper!Q1272="BENGALURU",Analysis_Helper!L1272="Grocery"),Analysis_Helper!I1272,0)</f>
        <v/>
      </c>
    </row>
    <row r="1273">
      <c r="AO1273" s="55">
        <f>IF(AND(Analysis_Helper!Q1273="BENGALURU",Analysis_Helper!L1273="Grocery"),Analysis_Helper!I1273,0)</f>
        <v/>
      </c>
    </row>
    <row r="1274">
      <c r="AO1274" s="55">
        <f>IF(AND(Analysis_Helper!Q1274="BENGALURU",Analysis_Helper!L1274="Grocery"),Analysis_Helper!I1274,0)</f>
        <v/>
      </c>
    </row>
    <row r="1275">
      <c r="AO1275" s="55">
        <f>IF(AND(Analysis_Helper!Q1275="BENGALURU",Analysis_Helper!L1275="Grocery"),Analysis_Helper!I1275,0)</f>
        <v/>
      </c>
    </row>
    <row r="1276">
      <c r="AO1276" s="55">
        <f>IF(AND(Analysis_Helper!Q1276="BENGALURU",Analysis_Helper!L1276="Grocery"),Analysis_Helper!I1276,0)</f>
        <v/>
      </c>
    </row>
    <row r="1277">
      <c r="AO1277" s="55">
        <f>IF(AND(Analysis_Helper!Q1277="BENGALURU",Analysis_Helper!L1277="Grocery"),Analysis_Helper!I1277,0)</f>
        <v/>
      </c>
    </row>
    <row r="1278">
      <c r="AO1278" s="55">
        <f>IF(AND(Analysis_Helper!Q1278="BENGALURU",Analysis_Helper!L1278="Grocery"),Analysis_Helper!I1278,0)</f>
        <v/>
      </c>
    </row>
    <row r="1279">
      <c r="AO1279" s="55">
        <f>IF(AND(Analysis_Helper!Q1279="BENGALURU",Analysis_Helper!L1279="Grocery"),Analysis_Helper!I1279,0)</f>
        <v/>
      </c>
    </row>
    <row r="1280">
      <c r="AO1280" s="55">
        <f>IF(AND(Analysis_Helper!Q1280="BENGALURU",Analysis_Helper!L1280="Grocery"),Analysis_Helper!I1280,0)</f>
        <v/>
      </c>
    </row>
    <row r="1281">
      <c r="AO1281" s="55">
        <f>IF(AND(Analysis_Helper!Q1281="BENGALURU",Analysis_Helper!L1281="Grocery"),Analysis_Helper!I1281,0)</f>
        <v/>
      </c>
    </row>
    <row r="1282">
      <c r="AO1282" s="55">
        <f>IF(AND(Analysis_Helper!Q1282="BENGALURU",Analysis_Helper!L1282="Grocery"),Analysis_Helper!I1282,0)</f>
        <v/>
      </c>
    </row>
    <row r="1283">
      <c r="AO1283" s="55">
        <f>IF(AND(Analysis_Helper!Q1283="BENGALURU",Analysis_Helper!L1283="Grocery"),Analysis_Helper!I1283,0)</f>
        <v/>
      </c>
    </row>
    <row r="1284">
      <c r="AO1284" s="55">
        <f>IF(AND(Analysis_Helper!Q1284="BENGALURU",Analysis_Helper!L1284="Grocery"),Analysis_Helper!I1284,0)</f>
        <v/>
      </c>
    </row>
    <row r="1285">
      <c r="AO1285" s="55">
        <f>IF(AND(Analysis_Helper!Q1285="BENGALURU",Analysis_Helper!L1285="Grocery"),Analysis_Helper!I1285,0)</f>
        <v/>
      </c>
    </row>
    <row r="1286">
      <c r="AO1286" s="55">
        <f>IF(AND(Analysis_Helper!Q1286="BENGALURU",Analysis_Helper!L1286="Grocery"),Analysis_Helper!I1286,0)</f>
        <v/>
      </c>
    </row>
    <row r="1287">
      <c r="AO1287" s="55">
        <f>IF(AND(Analysis_Helper!Q1287="BENGALURU",Analysis_Helper!L1287="Grocery"),Analysis_Helper!I1287,0)</f>
        <v/>
      </c>
    </row>
    <row r="1288">
      <c r="AO1288" s="55">
        <f>IF(AND(Analysis_Helper!Q1288="BENGALURU",Analysis_Helper!L1288="Grocery"),Analysis_Helper!I1288,0)</f>
        <v/>
      </c>
    </row>
    <row r="1289">
      <c r="AO1289" s="55">
        <f>IF(AND(Analysis_Helper!Q1289="BENGALURU",Analysis_Helper!L1289="Grocery"),Analysis_Helper!I1289,0)</f>
        <v/>
      </c>
    </row>
    <row r="1290">
      <c r="AO1290" s="55">
        <f>IF(AND(Analysis_Helper!Q1290="BENGALURU",Analysis_Helper!L1290="Grocery"),Analysis_Helper!I1290,0)</f>
        <v/>
      </c>
    </row>
    <row r="1291">
      <c r="AO1291" s="55">
        <f>IF(AND(Analysis_Helper!Q1291="BENGALURU",Analysis_Helper!L1291="Grocery"),Analysis_Helper!I1291,0)</f>
        <v/>
      </c>
    </row>
    <row r="1292">
      <c r="AO1292" s="55">
        <f>IF(AND(Analysis_Helper!Q1292="BENGALURU",Analysis_Helper!L1292="Grocery"),Analysis_Helper!I1292,0)</f>
        <v/>
      </c>
    </row>
    <row r="1293">
      <c r="AO1293" s="55">
        <f>IF(AND(Analysis_Helper!Q1293="BENGALURU",Analysis_Helper!L1293="Grocery"),Analysis_Helper!I1293,0)</f>
        <v/>
      </c>
    </row>
    <row r="1294">
      <c r="AO1294" s="55">
        <f>IF(AND(Analysis_Helper!Q1294="BENGALURU",Analysis_Helper!L1294="Grocery"),Analysis_Helper!I1294,0)</f>
        <v/>
      </c>
    </row>
    <row r="1295">
      <c r="AO1295" s="55">
        <f>IF(AND(Analysis_Helper!Q1295="BENGALURU",Analysis_Helper!L1295="Grocery"),Analysis_Helper!I1295,0)</f>
        <v/>
      </c>
    </row>
    <row r="1296">
      <c r="AO1296" s="55">
        <f>IF(AND(Analysis_Helper!Q1296="BENGALURU",Analysis_Helper!L1296="Grocery"),Analysis_Helper!I1296,0)</f>
        <v/>
      </c>
    </row>
    <row r="1297">
      <c r="AO1297" s="55">
        <f>IF(AND(Analysis_Helper!Q1297="BENGALURU",Analysis_Helper!L1297="Grocery"),Analysis_Helper!I1297,0)</f>
        <v/>
      </c>
    </row>
    <row r="1298">
      <c r="AO1298" s="55">
        <f>IF(AND(Analysis_Helper!Q1298="BENGALURU",Analysis_Helper!L1298="Grocery"),Analysis_Helper!I1298,0)</f>
        <v/>
      </c>
    </row>
    <row r="1299">
      <c r="AO1299" s="55">
        <f>IF(AND(Analysis_Helper!Q1299="BENGALURU",Analysis_Helper!L1299="Grocery"),Analysis_Helper!I1299,0)</f>
        <v/>
      </c>
    </row>
    <row r="1300">
      <c r="AO1300" s="55">
        <f>IF(AND(Analysis_Helper!Q1300="BENGALURU",Analysis_Helper!L1300="Grocery"),Analysis_Helper!I1300,0)</f>
        <v/>
      </c>
    </row>
    <row r="1301">
      <c r="AO1301" s="55">
        <f>IF(AND(Analysis_Helper!Q1301="BENGALURU",Analysis_Helper!L1301="Grocery"),Analysis_Helper!I1301,0)</f>
        <v/>
      </c>
    </row>
    <row r="1302">
      <c r="AO1302" s="55">
        <f>IF(AND(Analysis_Helper!Q1302="BENGALURU",Analysis_Helper!L1302="Grocery"),Analysis_Helper!I1302,0)</f>
        <v/>
      </c>
    </row>
    <row r="1303">
      <c r="AO1303" s="55">
        <f>IF(AND(Analysis_Helper!Q1303="BENGALURU",Analysis_Helper!L1303="Grocery"),Analysis_Helper!I1303,0)</f>
        <v/>
      </c>
    </row>
    <row r="1304">
      <c r="AO1304" s="55">
        <f>IF(AND(Analysis_Helper!Q1304="BENGALURU",Analysis_Helper!L1304="Grocery"),Analysis_Helper!I1304,0)</f>
        <v/>
      </c>
    </row>
    <row r="1305">
      <c r="AO1305" s="55">
        <f>IF(AND(Analysis_Helper!Q1305="BENGALURU",Analysis_Helper!L1305="Grocery"),Analysis_Helper!I1305,0)</f>
        <v/>
      </c>
    </row>
    <row r="1306">
      <c r="AO1306" s="55">
        <f>IF(AND(Analysis_Helper!Q1306="BENGALURU",Analysis_Helper!L1306="Grocery"),Analysis_Helper!I1306,0)</f>
        <v/>
      </c>
    </row>
    <row r="1307">
      <c r="AO1307" s="55">
        <f>IF(AND(Analysis_Helper!Q1307="BENGALURU",Analysis_Helper!L1307="Grocery"),Analysis_Helper!I1307,0)</f>
        <v/>
      </c>
    </row>
    <row r="1308">
      <c r="AO1308" s="55">
        <f>IF(AND(Analysis_Helper!Q1308="BENGALURU",Analysis_Helper!L1308="Grocery"),Analysis_Helper!I1308,0)</f>
        <v/>
      </c>
    </row>
    <row r="1309">
      <c r="AO1309" s="55">
        <f>IF(AND(Analysis_Helper!Q1309="BENGALURU",Analysis_Helper!L1309="Grocery"),Analysis_Helper!I1309,0)</f>
        <v/>
      </c>
    </row>
    <row r="1310">
      <c r="AO1310" s="55">
        <f>IF(AND(Analysis_Helper!Q1310="BENGALURU",Analysis_Helper!L1310="Grocery"),Analysis_Helper!I1310,0)</f>
        <v/>
      </c>
    </row>
    <row r="1311">
      <c r="AO1311" s="55">
        <f>IF(AND(Analysis_Helper!Q1311="BENGALURU",Analysis_Helper!L1311="Grocery"),Analysis_Helper!I1311,0)</f>
        <v/>
      </c>
    </row>
    <row r="1312">
      <c r="AO1312" s="55">
        <f>IF(AND(Analysis_Helper!Q1312="BENGALURU",Analysis_Helper!L1312="Grocery"),Analysis_Helper!I1312,0)</f>
        <v/>
      </c>
    </row>
    <row r="1313">
      <c r="AO1313" s="55">
        <f>IF(AND(Analysis_Helper!Q1313="BENGALURU",Analysis_Helper!L1313="Grocery"),Analysis_Helper!I1313,0)</f>
        <v/>
      </c>
    </row>
    <row r="1314">
      <c r="AO1314" s="55">
        <f>IF(AND(Analysis_Helper!Q1314="BENGALURU",Analysis_Helper!L1314="Grocery"),Analysis_Helper!I1314,0)</f>
        <v/>
      </c>
    </row>
    <row r="1315">
      <c r="AO1315" s="55">
        <f>IF(AND(Analysis_Helper!Q1315="BENGALURU",Analysis_Helper!L1315="Grocery"),Analysis_Helper!I1315,0)</f>
        <v/>
      </c>
    </row>
    <row r="1316">
      <c r="AO1316" s="55">
        <f>IF(AND(Analysis_Helper!Q1316="BENGALURU",Analysis_Helper!L1316="Grocery"),Analysis_Helper!I1316,0)</f>
        <v/>
      </c>
    </row>
    <row r="1317">
      <c r="AO1317" s="55">
        <f>IF(AND(Analysis_Helper!Q1317="BENGALURU",Analysis_Helper!L1317="Grocery"),Analysis_Helper!I1317,0)</f>
        <v/>
      </c>
    </row>
    <row r="1318">
      <c r="AO1318" s="55">
        <f>IF(AND(Analysis_Helper!Q1318="BENGALURU",Analysis_Helper!L1318="Grocery"),Analysis_Helper!I1318,0)</f>
        <v/>
      </c>
    </row>
    <row r="1319">
      <c r="AO1319" s="55">
        <f>IF(AND(Analysis_Helper!Q1319="BENGALURU",Analysis_Helper!L1319="Grocery"),Analysis_Helper!I1319,0)</f>
        <v/>
      </c>
    </row>
    <row r="1320">
      <c r="AO1320" s="55">
        <f>IF(AND(Analysis_Helper!Q1320="BENGALURU",Analysis_Helper!L1320="Grocery"),Analysis_Helper!I1320,0)</f>
        <v/>
      </c>
    </row>
    <row r="1321">
      <c r="AO1321" s="55">
        <f>IF(AND(Analysis_Helper!Q1321="BENGALURU",Analysis_Helper!L1321="Grocery"),Analysis_Helper!I1321,0)</f>
        <v/>
      </c>
    </row>
    <row r="1322">
      <c r="AO1322" s="55">
        <f>IF(AND(Analysis_Helper!Q1322="BENGALURU",Analysis_Helper!L1322="Grocery"),Analysis_Helper!I1322,0)</f>
        <v/>
      </c>
    </row>
    <row r="1323">
      <c r="AO1323" s="55">
        <f>IF(AND(Analysis_Helper!Q1323="BENGALURU",Analysis_Helper!L1323="Grocery"),Analysis_Helper!I1323,0)</f>
        <v/>
      </c>
    </row>
    <row r="1324">
      <c r="AO1324" s="55">
        <f>IF(AND(Analysis_Helper!Q1324="BENGALURU",Analysis_Helper!L1324="Grocery"),Analysis_Helper!I1324,0)</f>
        <v/>
      </c>
    </row>
    <row r="1325">
      <c r="AO1325" s="55">
        <f>IF(AND(Analysis_Helper!Q1325="BENGALURU",Analysis_Helper!L1325="Grocery"),Analysis_Helper!I1325,0)</f>
        <v/>
      </c>
    </row>
    <row r="1326">
      <c r="AO1326" s="55">
        <f>IF(AND(Analysis_Helper!Q1326="BENGALURU",Analysis_Helper!L1326="Grocery"),Analysis_Helper!I1326,0)</f>
        <v/>
      </c>
    </row>
    <row r="1327">
      <c r="AO1327" s="55">
        <f>IF(AND(Analysis_Helper!Q1327="BENGALURU",Analysis_Helper!L1327="Grocery"),Analysis_Helper!I1327,0)</f>
        <v/>
      </c>
    </row>
    <row r="1328">
      <c r="AO1328" s="55">
        <f>IF(AND(Analysis_Helper!Q1328="BENGALURU",Analysis_Helper!L1328="Grocery"),Analysis_Helper!I1328,0)</f>
        <v/>
      </c>
    </row>
    <row r="1329">
      <c r="AO1329" s="55">
        <f>IF(AND(Analysis_Helper!Q1329="BENGALURU",Analysis_Helper!L1329="Grocery"),Analysis_Helper!I1329,0)</f>
        <v/>
      </c>
    </row>
    <row r="1330">
      <c r="AO1330" s="55">
        <f>IF(AND(Analysis_Helper!Q1330="BENGALURU",Analysis_Helper!L1330="Grocery"),Analysis_Helper!I1330,0)</f>
        <v/>
      </c>
    </row>
    <row r="1331">
      <c r="AO1331" s="55">
        <f>IF(AND(Analysis_Helper!Q1331="BENGALURU",Analysis_Helper!L1331="Grocery"),Analysis_Helper!I1331,0)</f>
        <v/>
      </c>
    </row>
    <row r="1332">
      <c r="AO1332" s="55">
        <f>IF(AND(Analysis_Helper!Q1332="BENGALURU",Analysis_Helper!L1332="Grocery"),Analysis_Helper!I1332,0)</f>
        <v/>
      </c>
    </row>
    <row r="1333">
      <c r="AO1333" s="55">
        <f>IF(AND(Analysis_Helper!Q1333="BENGALURU",Analysis_Helper!L1333="Grocery"),Analysis_Helper!I1333,0)</f>
        <v/>
      </c>
    </row>
    <row r="1334">
      <c r="AO1334" s="55">
        <f>IF(AND(Analysis_Helper!Q1334="BENGALURU",Analysis_Helper!L1334="Grocery"),Analysis_Helper!I1334,0)</f>
        <v/>
      </c>
    </row>
    <row r="1335">
      <c r="AO1335" s="55">
        <f>IF(AND(Analysis_Helper!Q1335="BENGALURU",Analysis_Helper!L1335="Grocery"),Analysis_Helper!I1335,0)</f>
        <v/>
      </c>
    </row>
    <row r="1336">
      <c r="AO1336" s="55">
        <f>IF(AND(Analysis_Helper!Q1336="BENGALURU",Analysis_Helper!L1336="Grocery"),Analysis_Helper!I1336,0)</f>
        <v/>
      </c>
    </row>
    <row r="1337">
      <c r="AO1337" s="55">
        <f>IF(AND(Analysis_Helper!Q1337="BENGALURU",Analysis_Helper!L1337="Grocery"),Analysis_Helper!I1337,0)</f>
        <v/>
      </c>
    </row>
    <row r="1338">
      <c r="AO1338" s="55">
        <f>IF(AND(Analysis_Helper!Q1338="BENGALURU",Analysis_Helper!L1338="Grocery"),Analysis_Helper!I1338,0)</f>
        <v/>
      </c>
    </row>
    <row r="1339">
      <c r="AO1339" s="55">
        <f>IF(AND(Analysis_Helper!Q1339="BENGALURU",Analysis_Helper!L1339="Grocery"),Analysis_Helper!I1339,0)</f>
        <v/>
      </c>
    </row>
    <row r="1340">
      <c r="AO1340" s="55">
        <f>IF(AND(Analysis_Helper!Q1340="BENGALURU",Analysis_Helper!L1340="Grocery"),Analysis_Helper!I1340,0)</f>
        <v/>
      </c>
    </row>
    <row r="1341">
      <c r="AO1341" s="55">
        <f>IF(AND(Analysis_Helper!Q1341="BENGALURU",Analysis_Helper!L1341="Grocery"),Analysis_Helper!I1341,0)</f>
        <v/>
      </c>
    </row>
    <row r="1342">
      <c r="AO1342" s="55">
        <f>IF(AND(Analysis_Helper!Q1342="BENGALURU",Analysis_Helper!L1342="Grocery"),Analysis_Helper!I1342,0)</f>
        <v/>
      </c>
    </row>
    <row r="1343">
      <c r="AO1343" s="55">
        <f>IF(AND(Analysis_Helper!Q1343="BENGALURU",Analysis_Helper!L1343="Grocery"),Analysis_Helper!I1343,0)</f>
        <v/>
      </c>
    </row>
    <row r="1344">
      <c r="AO1344" s="55">
        <f>IF(AND(Analysis_Helper!Q1344="BENGALURU",Analysis_Helper!L1344="Grocery"),Analysis_Helper!I1344,0)</f>
        <v/>
      </c>
    </row>
    <row r="1345">
      <c r="AO1345" s="55">
        <f>IF(AND(Analysis_Helper!Q1345="BENGALURU",Analysis_Helper!L1345="Grocery"),Analysis_Helper!I1345,0)</f>
        <v/>
      </c>
    </row>
    <row r="1346">
      <c r="AO1346" s="55">
        <f>IF(AND(Analysis_Helper!Q1346="BENGALURU",Analysis_Helper!L1346="Grocery"),Analysis_Helper!I1346,0)</f>
        <v/>
      </c>
    </row>
    <row r="1347">
      <c r="AO1347" s="55">
        <f>IF(AND(Analysis_Helper!Q1347="BENGALURU",Analysis_Helper!L1347="Grocery"),Analysis_Helper!I1347,0)</f>
        <v/>
      </c>
    </row>
    <row r="1348">
      <c r="AO1348" s="55">
        <f>IF(AND(Analysis_Helper!Q1348="BENGALURU",Analysis_Helper!L1348="Grocery"),Analysis_Helper!I1348,0)</f>
        <v/>
      </c>
    </row>
    <row r="1349">
      <c r="AO1349" s="55">
        <f>IF(AND(Analysis_Helper!Q1349="BENGALURU",Analysis_Helper!L1349="Grocery"),Analysis_Helper!I1349,0)</f>
        <v/>
      </c>
    </row>
    <row r="1350">
      <c r="AO1350" s="55">
        <f>IF(AND(Analysis_Helper!Q1350="BENGALURU",Analysis_Helper!L1350="Grocery"),Analysis_Helper!I1350,0)</f>
        <v/>
      </c>
    </row>
    <row r="1351">
      <c r="AO1351" s="55">
        <f>IF(AND(Analysis_Helper!Q1351="BENGALURU",Analysis_Helper!L1351="Grocery"),Analysis_Helper!I1351,0)</f>
        <v/>
      </c>
    </row>
    <row r="1352">
      <c r="AO1352" s="55">
        <f>IF(AND(Analysis_Helper!Q1352="BENGALURU",Analysis_Helper!L1352="Grocery"),Analysis_Helper!I1352,0)</f>
        <v/>
      </c>
    </row>
    <row r="1353">
      <c r="AO1353" s="55">
        <f>IF(AND(Analysis_Helper!Q1353="BENGALURU",Analysis_Helper!L1353="Grocery"),Analysis_Helper!I1353,0)</f>
        <v/>
      </c>
    </row>
    <row r="1354">
      <c r="AO1354" s="55">
        <f>IF(AND(Analysis_Helper!Q1354="BENGALURU",Analysis_Helper!L1354="Grocery"),Analysis_Helper!I1354,0)</f>
        <v/>
      </c>
    </row>
    <row r="1355">
      <c r="AO1355" s="55">
        <f>IF(AND(Analysis_Helper!Q1355="BENGALURU",Analysis_Helper!L1355="Grocery"),Analysis_Helper!I1355,0)</f>
        <v/>
      </c>
    </row>
    <row r="1356">
      <c r="AO1356" s="55">
        <f>IF(AND(Analysis_Helper!Q1356="BENGALURU",Analysis_Helper!L1356="Grocery"),Analysis_Helper!I1356,0)</f>
        <v/>
      </c>
    </row>
    <row r="1357">
      <c r="AO1357" s="55">
        <f>IF(AND(Analysis_Helper!Q1357="BENGALURU",Analysis_Helper!L1357="Grocery"),Analysis_Helper!I1357,0)</f>
        <v/>
      </c>
    </row>
    <row r="1358">
      <c r="AO1358" s="55">
        <f>IF(AND(Analysis_Helper!Q1358="BENGALURU",Analysis_Helper!L1358="Grocery"),Analysis_Helper!I1358,0)</f>
        <v/>
      </c>
    </row>
    <row r="1359">
      <c r="AO1359" s="55">
        <f>IF(AND(Analysis_Helper!Q1359="BENGALURU",Analysis_Helper!L1359="Grocery"),Analysis_Helper!I1359,0)</f>
        <v/>
      </c>
    </row>
    <row r="1360">
      <c r="AO1360" s="55">
        <f>IF(AND(Analysis_Helper!Q1360="BENGALURU",Analysis_Helper!L1360="Grocery"),Analysis_Helper!I1360,0)</f>
        <v/>
      </c>
    </row>
    <row r="1361">
      <c r="AO1361" s="55">
        <f>IF(AND(Analysis_Helper!Q1361="BENGALURU",Analysis_Helper!L1361="Grocery"),Analysis_Helper!I1361,0)</f>
        <v/>
      </c>
    </row>
    <row r="1362">
      <c r="AO1362" s="55">
        <f>IF(AND(Analysis_Helper!Q1362="BENGALURU",Analysis_Helper!L1362="Grocery"),Analysis_Helper!I1362,0)</f>
        <v/>
      </c>
    </row>
    <row r="1363">
      <c r="AO1363" s="55">
        <f>IF(AND(Analysis_Helper!Q1363="BENGALURU",Analysis_Helper!L1363="Grocery"),Analysis_Helper!I1363,0)</f>
        <v/>
      </c>
    </row>
    <row r="1364">
      <c r="AO1364" s="55">
        <f>IF(AND(Analysis_Helper!Q1364="BENGALURU",Analysis_Helper!L1364="Grocery"),Analysis_Helper!I1364,0)</f>
        <v/>
      </c>
    </row>
    <row r="1365">
      <c r="AO1365" s="55">
        <f>IF(AND(Analysis_Helper!Q1365="BENGALURU",Analysis_Helper!L1365="Grocery"),Analysis_Helper!I1365,0)</f>
        <v/>
      </c>
    </row>
    <row r="1366">
      <c r="AO1366" s="55">
        <f>IF(AND(Analysis_Helper!Q1366="BENGALURU",Analysis_Helper!L1366="Grocery"),Analysis_Helper!I1366,0)</f>
        <v/>
      </c>
    </row>
    <row r="1367">
      <c r="AO1367" s="55">
        <f>IF(AND(Analysis_Helper!Q1367="BENGALURU",Analysis_Helper!L1367="Grocery"),Analysis_Helper!I1367,0)</f>
        <v/>
      </c>
    </row>
    <row r="1368">
      <c r="AO1368" s="55">
        <f>IF(AND(Analysis_Helper!Q1368="BENGALURU",Analysis_Helper!L1368="Grocery"),Analysis_Helper!I1368,0)</f>
        <v/>
      </c>
    </row>
    <row r="1369">
      <c r="AO1369" s="55">
        <f>IF(AND(Analysis_Helper!Q1369="BENGALURU",Analysis_Helper!L1369="Grocery"),Analysis_Helper!I1369,0)</f>
        <v/>
      </c>
    </row>
    <row r="1370">
      <c r="AO1370" s="55">
        <f>IF(AND(Analysis_Helper!Q1370="BENGALURU",Analysis_Helper!L1370="Grocery"),Analysis_Helper!I1370,0)</f>
        <v/>
      </c>
    </row>
    <row r="1371">
      <c r="AO1371" s="55">
        <f>IF(AND(Analysis_Helper!Q1371="BENGALURU",Analysis_Helper!L1371="Grocery"),Analysis_Helper!I1371,0)</f>
        <v/>
      </c>
    </row>
    <row r="1372">
      <c r="AO1372" s="55">
        <f>IF(AND(Analysis_Helper!Q1372="BENGALURU",Analysis_Helper!L1372="Grocery"),Analysis_Helper!I1372,0)</f>
        <v/>
      </c>
    </row>
    <row r="1373">
      <c r="AO1373" s="55">
        <f>IF(AND(Analysis_Helper!Q1373="BENGALURU",Analysis_Helper!L1373="Grocery"),Analysis_Helper!I1373,0)</f>
        <v/>
      </c>
    </row>
    <row r="1374">
      <c r="AO1374" s="55">
        <f>IF(AND(Analysis_Helper!Q1374="BENGALURU",Analysis_Helper!L1374="Grocery"),Analysis_Helper!I1374,0)</f>
        <v/>
      </c>
    </row>
    <row r="1375">
      <c r="AO1375" s="55">
        <f>IF(AND(Analysis_Helper!Q1375="BENGALURU",Analysis_Helper!L1375="Grocery"),Analysis_Helper!I1375,0)</f>
        <v/>
      </c>
    </row>
    <row r="1376">
      <c r="AO1376" s="55">
        <f>IF(AND(Analysis_Helper!Q1376="BENGALURU",Analysis_Helper!L1376="Grocery"),Analysis_Helper!I1376,0)</f>
        <v/>
      </c>
    </row>
    <row r="1377">
      <c r="AO1377" s="55">
        <f>IF(AND(Analysis_Helper!Q1377="BENGALURU",Analysis_Helper!L1377="Grocery"),Analysis_Helper!I1377,0)</f>
        <v/>
      </c>
    </row>
    <row r="1378">
      <c r="AO1378" s="55">
        <f>IF(AND(Analysis_Helper!Q1378="BENGALURU",Analysis_Helper!L1378="Grocery"),Analysis_Helper!I1378,0)</f>
        <v/>
      </c>
    </row>
    <row r="1379">
      <c r="AO1379" s="55">
        <f>IF(AND(Analysis_Helper!Q1379="BENGALURU",Analysis_Helper!L1379="Grocery"),Analysis_Helper!I1379,0)</f>
        <v/>
      </c>
    </row>
    <row r="1380">
      <c r="AO1380" s="55">
        <f>IF(AND(Analysis_Helper!Q1380="BENGALURU",Analysis_Helper!L1380="Grocery"),Analysis_Helper!I1380,0)</f>
        <v/>
      </c>
    </row>
    <row r="1381">
      <c r="AO1381" s="55">
        <f>IF(AND(Analysis_Helper!Q1381="BENGALURU",Analysis_Helper!L1381="Grocery"),Analysis_Helper!I1381,0)</f>
        <v/>
      </c>
    </row>
    <row r="1382">
      <c r="AO1382" s="55">
        <f>IF(AND(Analysis_Helper!Q1382="BENGALURU",Analysis_Helper!L1382="Grocery"),Analysis_Helper!I1382,0)</f>
        <v/>
      </c>
    </row>
    <row r="1383">
      <c r="AO1383" s="55">
        <f>IF(AND(Analysis_Helper!Q1383="BENGALURU",Analysis_Helper!L1383="Grocery"),Analysis_Helper!I1383,0)</f>
        <v/>
      </c>
    </row>
    <row r="1384">
      <c r="AO1384" s="55">
        <f>IF(AND(Analysis_Helper!Q1384="BENGALURU",Analysis_Helper!L1384="Grocery"),Analysis_Helper!I1384,0)</f>
        <v/>
      </c>
    </row>
    <row r="1385">
      <c r="AO1385" s="55">
        <f>IF(AND(Analysis_Helper!Q1385="BENGALURU",Analysis_Helper!L1385="Grocery"),Analysis_Helper!I1385,0)</f>
        <v/>
      </c>
    </row>
    <row r="1386">
      <c r="AO1386" s="55">
        <f>IF(AND(Analysis_Helper!Q1386="BENGALURU",Analysis_Helper!L1386="Grocery"),Analysis_Helper!I1386,0)</f>
        <v/>
      </c>
    </row>
    <row r="1387">
      <c r="AO1387" s="55">
        <f>IF(AND(Analysis_Helper!Q1387="BENGALURU",Analysis_Helper!L1387="Grocery"),Analysis_Helper!I1387,0)</f>
        <v/>
      </c>
    </row>
    <row r="1388">
      <c r="AO1388" s="55">
        <f>IF(AND(Analysis_Helper!Q1388="BENGALURU",Analysis_Helper!L1388="Grocery"),Analysis_Helper!I1388,0)</f>
        <v/>
      </c>
    </row>
    <row r="1389">
      <c r="AO1389" s="55">
        <f>IF(AND(Analysis_Helper!Q1389="BENGALURU",Analysis_Helper!L1389="Grocery"),Analysis_Helper!I1389,0)</f>
        <v/>
      </c>
    </row>
    <row r="1390">
      <c r="AO1390" s="55">
        <f>IF(AND(Analysis_Helper!Q1390="BENGALURU",Analysis_Helper!L1390="Grocery"),Analysis_Helper!I1390,0)</f>
        <v/>
      </c>
    </row>
    <row r="1391">
      <c r="AO1391" s="55">
        <f>IF(AND(Analysis_Helper!Q1391="BENGALURU",Analysis_Helper!L1391="Grocery"),Analysis_Helper!I1391,0)</f>
        <v/>
      </c>
    </row>
    <row r="1392">
      <c r="AO1392" s="55">
        <f>IF(AND(Analysis_Helper!Q1392="BENGALURU",Analysis_Helper!L1392="Grocery"),Analysis_Helper!I1392,0)</f>
        <v/>
      </c>
    </row>
    <row r="1393">
      <c r="AO1393" s="55">
        <f>IF(AND(Analysis_Helper!Q1393="BENGALURU",Analysis_Helper!L1393="Grocery"),Analysis_Helper!I1393,0)</f>
        <v/>
      </c>
    </row>
    <row r="1394">
      <c r="AO1394" s="55">
        <f>IF(AND(Analysis_Helper!Q1394="BENGALURU",Analysis_Helper!L1394="Grocery"),Analysis_Helper!I1394,0)</f>
        <v/>
      </c>
    </row>
    <row r="1395">
      <c r="AO1395" s="55">
        <f>IF(AND(Analysis_Helper!Q1395="BENGALURU",Analysis_Helper!L1395="Grocery"),Analysis_Helper!I1395,0)</f>
        <v/>
      </c>
    </row>
    <row r="1396">
      <c r="AO1396" s="55">
        <f>IF(AND(Analysis_Helper!Q1396="BENGALURU",Analysis_Helper!L1396="Grocery"),Analysis_Helper!I1396,0)</f>
        <v/>
      </c>
    </row>
    <row r="1397">
      <c r="AO1397" s="55">
        <f>IF(AND(Analysis_Helper!Q1397="BENGALURU",Analysis_Helper!L1397="Grocery"),Analysis_Helper!I1397,0)</f>
        <v/>
      </c>
    </row>
    <row r="1398">
      <c r="AO1398" s="55">
        <f>IF(AND(Analysis_Helper!Q1398="BENGALURU",Analysis_Helper!L1398="Grocery"),Analysis_Helper!I1398,0)</f>
        <v/>
      </c>
    </row>
    <row r="1399">
      <c r="AO1399" s="55">
        <f>IF(AND(Analysis_Helper!Q1399="BENGALURU",Analysis_Helper!L1399="Grocery"),Analysis_Helper!I1399,0)</f>
        <v/>
      </c>
    </row>
    <row r="1400">
      <c r="AO1400" s="55">
        <f>IF(AND(Analysis_Helper!Q1400="BENGALURU",Analysis_Helper!L1400="Grocery"),Analysis_Helper!I1400,0)</f>
        <v/>
      </c>
    </row>
    <row r="1401">
      <c r="AO1401" s="55">
        <f>IF(AND(Analysis_Helper!Q1401="BENGALURU",Analysis_Helper!L1401="Grocery"),Analysis_Helper!I1401,0)</f>
        <v/>
      </c>
    </row>
    <row r="1402">
      <c r="AO1402" s="55">
        <f>IF(AND(Analysis_Helper!Q1402="BENGALURU",Analysis_Helper!L1402="Grocery"),Analysis_Helper!I1402,0)</f>
        <v/>
      </c>
    </row>
    <row r="1403">
      <c r="AO1403" s="55">
        <f>IF(AND(Analysis_Helper!Q1403="BENGALURU",Analysis_Helper!L1403="Grocery"),Analysis_Helper!I1403,0)</f>
        <v/>
      </c>
    </row>
    <row r="1404">
      <c r="AO1404" s="55">
        <f>IF(AND(Analysis_Helper!Q1404="BENGALURU",Analysis_Helper!L1404="Grocery"),Analysis_Helper!I1404,0)</f>
        <v/>
      </c>
    </row>
    <row r="1405">
      <c r="AO1405" s="55">
        <f>IF(AND(Analysis_Helper!Q1405="BENGALURU",Analysis_Helper!L1405="Grocery"),Analysis_Helper!I1405,0)</f>
        <v/>
      </c>
    </row>
    <row r="1406">
      <c r="AO1406" s="55">
        <f>IF(AND(Analysis_Helper!Q1406="BENGALURU",Analysis_Helper!L1406="Grocery"),Analysis_Helper!I1406,0)</f>
        <v/>
      </c>
    </row>
    <row r="1407">
      <c r="AO1407" s="55">
        <f>IF(AND(Analysis_Helper!Q1407="BENGALURU",Analysis_Helper!L1407="Grocery"),Analysis_Helper!I1407,0)</f>
        <v/>
      </c>
    </row>
    <row r="1408">
      <c r="AO1408" s="55">
        <f>IF(AND(Analysis_Helper!Q1408="BENGALURU",Analysis_Helper!L1408="Grocery"),Analysis_Helper!I1408,0)</f>
        <v/>
      </c>
    </row>
    <row r="1409">
      <c r="AO1409" s="55">
        <f>IF(AND(Analysis_Helper!Q1409="BENGALURU",Analysis_Helper!L1409="Grocery"),Analysis_Helper!I1409,0)</f>
        <v/>
      </c>
    </row>
    <row r="1410">
      <c r="AO1410" s="55">
        <f>IF(AND(Analysis_Helper!Q1410="BENGALURU",Analysis_Helper!L1410="Grocery"),Analysis_Helper!I1410,0)</f>
        <v/>
      </c>
    </row>
    <row r="1411">
      <c r="AO1411" s="55">
        <f>IF(AND(Analysis_Helper!Q1411="BENGALURU",Analysis_Helper!L1411="Grocery"),Analysis_Helper!I1411,0)</f>
        <v/>
      </c>
    </row>
    <row r="1412">
      <c r="AO1412" s="55">
        <f>IF(AND(Analysis_Helper!Q1412="BENGALURU",Analysis_Helper!L1412="Grocery"),Analysis_Helper!I1412,0)</f>
        <v/>
      </c>
    </row>
    <row r="1413">
      <c r="AO1413" s="55">
        <f>IF(AND(Analysis_Helper!Q1413="BENGALURU",Analysis_Helper!L1413="Grocery"),Analysis_Helper!I1413,0)</f>
        <v/>
      </c>
    </row>
    <row r="1414">
      <c r="AO1414" s="55">
        <f>IF(AND(Analysis_Helper!Q1414="BENGALURU",Analysis_Helper!L1414="Grocery"),Analysis_Helper!I1414,0)</f>
        <v/>
      </c>
    </row>
    <row r="1415">
      <c r="AO1415" s="55">
        <f>IF(AND(Analysis_Helper!Q1415="BENGALURU",Analysis_Helper!L1415="Grocery"),Analysis_Helper!I1415,0)</f>
        <v/>
      </c>
    </row>
    <row r="1416">
      <c r="AO1416" s="55">
        <f>IF(AND(Analysis_Helper!Q1416="BENGALURU",Analysis_Helper!L1416="Grocery"),Analysis_Helper!I1416,0)</f>
        <v/>
      </c>
    </row>
    <row r="1417">
      <c r="AO1417" s="55">
        <f>IF(AND(Analysis_Helper!Q1417="BENGALURU",Analysis_Helper!L1417="Grocery"),Analysis_Helper!I1417,0)</f>
        <v/>
      </c>
    </row>
    <row r="1418">
      <c r="AO1418" s="55">
        <f>IF(AND(Analysis_Helper!Q1418="BENGALURU",Analysis_Helper!L1418="Grocery"),Analysis_Helper!I1418,0)</f>
        <v/>
      </c>
    </row>
    <row r="1419">
      <c r="AO1419" s="55">
        <f>IF(AND(Analysis_Helper!Q1419="BENGALURU",Analysis_Helper!L1419="Grocery"),Analysis_Helper!I1419,0)</f>
        <v/>
      </c>
    </row>
    <row r="1420">
      <c r="AO1420" s="55">
        <f>IF(AND(Analysis_Helper!Q1420="BENGALURU",Analysis_Helper!L1420="Grocery"),Analysis_Helper!I1420,0)</f>
        <v/>
      </c>
    </row>
    <row r="1421">
      <c r="AO1421" s="55">
        <f>IF(AND(Analysis_Helper!Q1421="BENGALURU",Analysis_Helper!L1421="Grocery"),Analysis_Helper!I1421,0)</f>
        <v/>
      </c>
    </row>
    <row r="1422">
      <c r="AO1422" s="55">
        <f>IF(AND(Analysis_Helper!Q1422="BENGALURU",Analysis_Helper!L1422="Grocery"),Analysis_Helper!I1422,0)</f>
        <v/>
      </c>
    </row>
    <row r="1423">
      <c r="AO1423" s="55">
        <f>IF(AND(Analysis_Helper!Q1423="BENGALURU",Analysis_Helper!L1423="Grocery"),Analysis_Helper!I1423,0)</f>
        <v/>
      </c>
    </row>
    <row r="1424">
      <c r="AO1424" s="55">
        <f>IF(AND(Analysis_Helper!Q1424="BENGALURU",Analysis_Helper!L1424="Grocery"),Analysis_Helper!I1424,0)</f>
        <v/>
      </c>
    </row>
    <row r="1425">
      <c r="AO1425" s="55">
        <f>IF(AND(Analysis_Helper!Q1425="BENGALURU",Analysis_Helper!L1425="Grocery"),Analysis_Helper!I1425,0)</f>
        <v/>
      </c>
    </row>
    <row r="1426">
      <c r="AO1426" s="55">
        <f>IF(AND(Analysis_Helper!Q1426="BENGALURU",Analysis_Helper!L1426="Grocery"),Analysis_Helper!I1426,0)</f>
        <v/>
      </c>
    </row>
    <row r="1427">
      <c r="AO1427" s="55">
        <f>IF(AND(Analysis_Helper!Q1427="BENGALURU",Analysis_Helper!L1427="Grocery"),Analysis_Helper!I1427,0)</f>
        <v/>
      </c>
    </row>
    <row r="1428">
      <c r="AO1428" s="55">
        <f>IF(AND(Analysis_Helper!Q1428="BENGALURU",Analysis_Helper!L1428="Grocery"),Analysis_Helper!I1428,0)</f>
        <v/>
      </c>
    </row>
    <row r="1429">
      <c r="AO1429" s="55">
        <f>IF(AND(Analysis_Helper!Q1429="BENGALURU",Analysis_Helper!L1429="Grocery"),Analysis_Helper!I1429,0)</f>
        <v/>
      </c>
    </row>
    <row r="1430">
      <c r="AO1430" s="55">
        <f>IF(AND(Analysis_Helper!Q1430="BENGALURU",Analysis_Helper!L1430="Grocery"),Analysis_Helper!I1430,0)</f>
        <v/>
      </c>
    </row>
    <row r="1431">
      <c r="AO1431" s="55">
        <f>IF(AND(Analysis_Helper!Q1431="BENGALURU",Analysis_Helper!L1431="Grocery"),Analysis_Helper!I1431,0)</f>
        <v/>
      </c>
    </row>
    <row r="1432">
      <c r="AO1432" s="55">
        <f>IF(AND(Analysis_Helper!Q1432="BENGALURU",Analysis_Helper!L1432="Grocery"),Analysis_Helper!I1432,0)</f>
        <v/>
      </c>
    </row>
    <row r="1433">
      <c r="AO1433" s="55">
        <f>IF(AND(Analysis_Helper!Q1433="BENGALURU",Analysis_Helper!L1433="Grocery"),Analysis_Helper!I1433,0)</f>
        <v/>
      </c>
    </row>
    <row r="1434">
      <c r="AO1434" s="55">
        <f>IF(AND(Analysis_Helper!Q1434="BENGALURU",Analysis_Helper!L1434="Grocery"),Analysis_Helper!I1434,0)</f>
        <v/>
      </c>
    </row>
    <row r="1435">
      <c r="AO1435" s="55">
        <f>IF(AND(Analysis_Helper!Q1435="BENGALURU",Analysis_Helper!L1435="Grocery"),Analysis_Helper!I1435,0)</f>
        <v/>
      </c>
    </row>
    <row r="1436">
      <c r="AO1436" s="55">
        <f>IF(AND(Analysis_Helper!Q1436="BENGALURU",Analysis_Helper!L1436="Grocery"),Analysis_Helper!I1436,0)</f>
        <v/>
      </c>
    </row>
    <row r="1437">
      <c r="AO1437" s="55">
        <f>IF(AND(Analysis_Helper!Q1437="BENGALURU",Analysis_Helper!L1437="Grocery"),Analysis_Helper!I1437,0)</f>
        <v/>
      </c>
    </row>
    <row r="1438">
      <c r="AO1438" s="55">
        <f>IF(AND(Analysis_Helper!Q1438="BENGALURU",Analysis_Helper!L1438="Grocery"),Analysis_Helper!I1438,0)</f>
        <v/>
      </c>
    </row>
    <row r="1439">
      <c r="AO1439" s="55">
        <f>IF(AND(Analysis_Helper!Q1439="BENGALURU",Analysis_Helper!L1439="Grocery"),Analysis_Helper!I1439,0)</f>
        <v/>
      </c>
    </row>
    <row r="1440">
      <c r="AO1440" s="55">
        <f>IF(AND(Analysis_Helper!Q1440="BENGALURU",Analysis_Helper!L1440="Grocery"),Analysis_Helper!I1440,0)</f>
        <v/>
      </c>
    </row>
    <row r="1441">
      <c r="AO1441" s="55">
        <f>IF(AND(Analysis_Helper!Q1441="BENGALURU",Analysis_Helper!L1441="Grocery"),Analysis_Helper!I1441,0)</f>
        <v/>
      </c>
    </row>
    <row r="1442">
      <c r="AO1442" s="55">
        <f>IF(AND(Analysis_Helper!Q1442="BENGALURU",Analysis_Helper!L1442="Grocery"),Analysis_Helper!I1442,0)</f>
        <v/>
      </c>
    </row>
    <row r="1443">
      <c r="AO1443" s="55">
        <f>IF(AND(Analysis_Helper!Q1443="BENGALURU",Analysis_Helper!L1443="Grocery"),Analysis_Helper!I1443,0)</f>
        <v/>
      </c>
    </row>
    <row r="1444">
      <c r="AO1444" s="55">
        <f>IF(AND(Analysis_Helper!Q1444="BENGALURU",Analysis_Helper!L1444="Grocery"),Analysis_Helper!I1444,0)</f>
        <v/>
      </c>
    </row>
    <row r="1445">
      <c r="AO1445" s="55">
        <f>IF(AND(Analysis_Helper!Q1445="BENGALURU",Analysis_Helper!L1445="Grocery"),Analysis_Helper!I1445,0)</f>
        <v/>
      </c>
    </row>
    <row r="1446">
      <c r="AO1446" s="55">
        <f>IF(AND(Analysis_Helper!Q1446="BENGALURU",Analysis_Helper!L1446="Grocery"),Analysis_Helper!I1446,0)</f>
        <v/>
      </c>
    </row>
    <row r="1447">
      <c r="AO1447" s="55">
        <f>IF(AND(Analysis_Helper!Q1447="BENGALURU",Analysis_Helper!L1447="Grocery"),Analysis_Helper!I1447,0)</f>
        <v/>
      </c>
    </row>
    <row r="1448">
      <c r="AO1448" s="55">
        <f>IF(AND(Analysis_Helper!Q1448="BENGALURU",Analysis_Helper!L1448="Grocery"),Analysis_Helper!I1448,0)</f>
        <v/>
      </c>
    </row>
    <row r="1449">
      <c r="AO1449" s="55">
        <f>IF(AND(Analysis_Helper!Q1449="BENGALURU",Analysis_Helper!L1449="Grocery"),Analysis_Helper!I1449,0)</f>
        <v/>
      </c>
    </row>
    <row r="1450">
      <c r="AO1450" s="55">
        <f>IF(AND(Analysis_Helper!Q1450="BENGALURU",Analysis_Helper!L1450="Grocery"),Analysis_Helper!I1450,0)</f>
        <v/>
      </c>
    </row>
    <row r="1451">
      <c r="AO1451" s="55">
        <f>IF(AND(Analysis_Helper!Q1451="BENGALURU",Analysis_Helper!L1451="Grocery"),Analysis_Helper!I1451,0)</f>
        <v/>
      </c>
    </row>
    <row r="1452">
      <c r="AO1452" s="55">
        <f>IF(AND(Analysis_Helper!Q1452="BENGALURU",Analysis_Helper!L1452="Grocery"),Analysis_Helper!I1452,0)</f>
        <v/>
      </c>
    </row>
    <row r="1453">
      <c r="AO1453" s="55">
        <f>IF(AND(Analysis_Helper!Q1453="BENGALURU",Analysis_Helper!L1453="Grocery"),Analysis_Helper!I1453,0)</f>
        <v/>
      </c>
    </row>
    <row r="1454">
      <c r="AO1454" s="55">
        <f>IF(AND(Analysis_Helper!Q1454="BENGALURU",Analysis_Helper!L1454="Grocery"),Analysis_Helper!I1454,0)</f>
        <v/>
      </c>
    </row>
    <row r="1455">
      <c r="AO1455" s="55">
        <f>IF(AND(Analysis_Helper!Q1455="BENGALURU",Analysis_Helper!L1455="Grocery"),Analysis_Helper!I1455,0)</f>
        <v/>
      </c>
    </row>
    <row r="1456">
      <c r="AO1456" s="55">
        <f>IF(AND(Analysis_Helper!Q1456="BENGALURU",Analysis_Helper!L1456="Grocery"),Analysis_Helper!I1456,0)</f>
        <v/>
      </c>
    </row>
    <row r="1457">
      <c r="AO1457" s="55">
        <f>IF(AND(Analysis_Helper!Q1457="BENGALURU",Analysis_Helper!L1457="Grocery"),Analysis_Helper!I1457,0)</f>
        <v/>
      </c>
    </row>
    <row r="1458">
      <c r="AO1458" s="55">
        <f>IF(AND(Analysis_Helper!Q1458="BENGALURU",Analysis_Helper!L1458="Grocery"),Analysis_Helper!I1458,0)</f>
        <v/>
      </c>
    </row>
    <row r="1459">
      <c r="AO1459" s="55">
        <f>IF(AND(Analysis_Helper!Q1459="BENGALURU",Analysis_Helper!L1459="Grocery"),Analysis_Helper!I1459,0)</f>
        <v/>
      </c>
    </row>
    <row r="1460">
      <c r="AO1460" s="55">
        <f>IF(AND(Analysis_Helper!Q1460="BENGALURU",Analysis_Helper!L1460="Grocery"),Analysis_Helper!I1460,0)</f>
        <v/>
      </c>
    </row>
    <row r="1461">
      <c r="AO1461" s="55">
        <f>IF(AND(Analysis_Helper!Q1461="BENGALURU",Analysis_Helper!L1461="Grocery"),Analysis_Helper!I1461,0)</f>
        <v/>
      </c>
    </row>
    <row r="1462">
      <c r="AO1462" s="55">
        <f>IF(AND(Analysis_Helper!Q1462="BENGALURU",Analysis_Helper!L1462="Grocery"),Analysis_Helper!I1462,0)</f>
        <v/>
      </c>
    </row>
    <row r="1463">
      <c r="AO1463" s="55">
        <f>IF(AND(Analysis_Helper!Q1463="BENGALURU",Analysis_Helper!L1463="Grocery"),Analysis_Helper!I1463,0)</f>
        <v/>
      </c>
    </row>
    <row r="1464">
      <c r="AO1464" s="55">
        <f>IF(AND(Analysis_Helper!Q1464="BENGALURU",Analysis_Helper!L1464="Grocery"),Analysis_Helper!I1464,0)</f>
        <v/>
      </c>
    </row>
    <row r="1465">
      <c r="AO1465" s="55">
        <f>IF(AND(Analysis_Helper!Q1465="BENGALURU",Analysis_Helper!L1465="Grocery"),Analysis_Helper!I1465,0)</f>
        <v/>
      </c>
    </row>
    <row r="1466">
      <c r="AO1466" s="55">
        <f>IF(AND(Analysis_Helper!Q1466="BENGALURU",Analysis_Helper!L1466="Grocery"),Analysis_Helper!I1466,0)</f>
        <v/>
      </c>
    </row>
    <row r="1467">
      <c r="AO1467" s="55">
        <f>IF(AND(Analysis_Helper!Q1467="BENGALURU",Analysis_Helper!L1467="Grocery"),Analysis_Helper!I1467,0)</f>
        <v/>
      </c>
    </row>
    <row r="1468">
      <c r="AO1468" s="55">
        <f>IF(AND(Analysis_Helper!Q1468="BENGALURU",Analysis_Helper!L1468="Grocery"),Analysis_Helper!I1468,0)</f>
        <v/>
      </c>
    </row>
    <row r="1469">
      <c r="AO1469" s="55">
        <f>IF(AND(Analysis_Helper!Q1469="BENGALURU",Analysis_Helper!L1469="Grocery"),Analysis_Helper!I1469,0)</f>
        <v/>
      </c>
    </row>
    <row r="1470">
      <c r="AO1470" s="55">
        <f>IF(AND(Analysis_Helper!Q1470="BENGALURU",Analysis_Helper!L1470="Grocery"),Analysis_Helper!I1470,0)</f>
        <v/>
      </c>
    </row>
    <row r="1471">
      <c r="AO1471" s="55">
        <f>IF(AND(Analysis_Helper!Q1471="BENGALURU",Analysis_Helper!L1471="Grocery"),Analysis_Helper!I1471,0)</f>
        <v/>
      </c>
    </row>
    <row r="1472">
      <c r="AO1472" s="55">
        <f>IF(AND(Analysis_Helper!Q1472="BENGALURU",Analysis_Helper!L1472="Grocery"),Analysis_Helper!I1472,0)</f>
        <v/>
      </c>
    </row>
    <row r="1473">
      <c r="AO1473" s="55">
        <f>IF(AND(Analysis_Helper!Q1473="BENGALURU",Analysis_Helper!L1473="Grocery"),Analysis_Helper!I1473,0)</f>
        <v/>
      </c>
    </row>
    <row r="1474">
      <c r="AO1474" s="55">
        <f>IF(AND(Analysis_Helper!Q1474="BENGALURU",Analysis_Helper!L1474="Grocery"),Analysis_Helper!I1474,0)</f>
        <v/>
      </c>
    </row>
    <row r="1475">
      <c r="AO1475" s="55">
        <f>IF(AND(Analysis_Helper!Q1475="BENGALURU",Analysis_Helper!L1475="Grocery"),Analysis_Helper!I1475,0)</f>
        <v/>
      </c>
    </row>
    <row r="1476">
      <c r="AO1476" s="55">
        <f>IF(AND(Analysis_Helper!Q1476="BENGALURU",Analysis_Helper!L1476="Grocery"),Analysis_Helper!I1476,0)</f>
        <v/>
      </c>
    </row>
    <row r="1477">
      <c r="AO1477" s="55">
        <f>IF(AND(Analysis_Helper!Q1477="BENGALURU",Analysis_Helper!L1477="Grocery"),Analysis_Helper!I1477,0)</f>
        <v/>
      </c>
    </row>
    <row r="1478">
      <c r="AO1478" s="55">
        <f>IF(AND(Analysis_Helper!Q1478="BENGALURU",Analysis_Helper!L1478="Grocery"),Analysis_Helper!I1478,0)</f>
        <v/>
      </c>
    </row>
    <row r="1479">
      <c r="AO1479" s="55">
        <f>IF(AND(Analysis_Helper!Q1479="BENGALURU",Analysis_Helper!L1479="Grocery"),Analysis_Helper!I1479,0)</f>
        <v/>
      </c>
    </row>
    <row r="1480">
      <c r="AO1480" s="55">
        <f>IF(AND(Analysis_Helper!Q1480="BENGALURU",Analysis_Helper!L1480="Grocery"),Analysis_Helper!I1480,0)</f>
        <v/>
      </c>
    </row>
    <row r="1481">
      <c r="AO1481" s="55">
        <f>IF(AND(Analysis_Helper!Q1481="BENGALURU",Analysis_Helper!L1481="Grocery"),Analysis_Helper!I1481,0)</f>
        <v/>
      </c>
    </row>
    <row r="1482">
      <c r="AO1482" s="55">
        <f>IF(AND(Analysis_Helper!Q1482="BENGALURU",Analysis_Helper!L1482="Grocery"),Analysis_Helper!I1482,0)</f>
        <v/>
      </c>
    </row>
    <row r="1483">
      <c r="AO1483" s="55">
        <f>IF(AND(Analysis_Helper!Q1483="BENGALURU",Analysis_Helper!L1483="Grocery"),Analysis_Helper!I1483,0)</f>
        <v/>
      </c>
    </row>
    <row r="1484">
      <c r="AO1484" s="55">
        <f>IF(AND(Analysis_Helper!Q1484="BENGALURU",Analysis_Helper!L1484="Grocery"),Analysis_Helper!I1484,0)</f>
        <v/>
      </c>
    </row>
    <row r="1485">
      <c r="AO1485" s="55">
        <f>IF(AND(Analysis_Helper!Q1485="BENGALURU",Analysis_Helper!L1485="Grocery"),Analysis_Helper!I1485,0)</f>
        <v/>
      </c>
    </row>
    <row r="1486">
      <c r="AO1486" s="55">
        <f>IF(AND(Analysis_Helper!Q1486="BENGALURU",Analysis_Helper!L1486="Grocery"),Analysis_Helper!I1486,0)</f>
        <v/>
      </c>
    </row>
    <row r="1487">
      <c r="AO1487" s="55">
        <f>IF(AND(Analysis_Helper!Q1487="BENGALURU",Analysis_Helper!L1487="Grocery"),Analysis_Helper!I1487,0)</f>
        <v/>
      </c>
    </row>
    <row r="1488">
      <c r="AO1488" s="55">
        <f>IF(AND(Analysis_Helper!Q1488="BENGALURU",Analysis_Helper!L1488="Grocery"),Analysis_Helper!I1488,0)</f>
        <v/>
      </c>
    </row>
    <row r="1489">
      <c r="AO1489" s="55">
        <f>IF(AND(Analysis_Helper!Q1489="BENGALURU",Analysis_Helper!L1489="Grocery"),Analysis_Helper!I1489,0)</f>
        <v/>
      </c>
    </row>
    <row r="1490">
      <c r="AO1490" s="55">
        <f>IF(AND(Analysis_Helper!Q1490="BENGALURU",Analysis_Helper!L1490="Grocery"),Analysis_Helper!I1490,0)</f>
        <v/>
      </c>
    </row>
    <row r="1491">
      <c r="AO1491" s="55">
        <f>IF(AND(Analysis_Helper!Q1491="BENGALURU",Analysis_Helper!L1491="Grocery"),Analysis_Helper!I1491,0)</f>
        <v/>
      </c>
    </row>
    <row r="1492">
      <c r="AO1492" s="55">
        <f>IF(AND(Analysis_Helper!Q1492="BENGALURU",Analysis_Helper!L1492="Grocery"),Analysis_Helper!I1492,0)</f>
        <v/>
      </c>
    </row>
    <row r="1493">
      <c r="AO1493" s="55">
        <f>IF(AND(Analysis_Helper!Q1493="BENGALURU",Analysis_Helper!L1493="Grocery"),Analysis_Helper!I1493,0)</f>
        <v/>
      </c>
    </row>
    <row r="1494">
      <c r="AO1494" s="55">
        <f>IF(AND(Analysis_Helper!Q1494="BENGALURU",Analysis_Helper!L1494="Grocery"),Analysis_Helper!I1494,0)</f>
        <v/>
      </c>
    </row>
    <row r="1495">
      <c r="AO1495" s="55">
        <f>IF(AND(Analysis_Helper!Q1495="BENGALURU",Analysis_Helper!L1495="Grocery"),Analysis_Helper!I1495,0)</f>
        <v/>
      </c>
    </row>
    <row r="1496">
      <c r="AO1496" s="55">
        <f>IF(AND(Analysis_Helper!Q1496="BENGALURU",Analysis_Helper!L1496="Grocery"),Analysis_Helper!I1496,0)</f>
        <v/>
      </c>
    </row>
    <row r="1497">
      <c r="AO1497" s="55">
        <f>IF(AND(Analysis_Helper!Q1497="BENGALURU",Analysis_Helper!L1497="Grocery"),Analysis_Helper!I1497,0)</f>
        <v/>
      </c>
    </row>
    <row r="1498">
      <c r="AO1498" s="55">
        <f>IF(AND(Analysis_Helper!Q1498="BENGALURU",Analysis_Helper!L1498="Grocery"),Analysis_Helper!I1498,0)</f>
        <v/>
      </c>
    </row>
    <row r="1499">
      <c r="AO1499" s="55">
        <f>IF(AND(Analysis_Helper!Q1499="BENGALURU",Analysis_Helper!L1499="Grocery"),Analysis_Helper!I1499,0)</f>
        <v/>
      </c>
    </row>
    <row r="1500">
      <c r="AO1500" s="55">
        <f>IF(AND(Analysis_Helper!Q1500="BENGALURU",Analysis_Helper!L1500="Grocery"),Analysis_Helper!I1500,0)</f>
        <v/>
      </c>
    </row>
    <row r="1501">
      <c r="AO1501" s="55">
        <f>IF(AND(Analysis_Helper!Q1501="BENGALURU",Analysis_Helper!L1501="Grocery"),Analysis_Helper!I1501,0)</f>
        <v/>
      </c>
    </row>
    <row r="1502">
      <c r="AO1502" s="55">
        <f>IF(AND(Analysis_Helper!Q1502="BENGALURU",Analysis_Helper!L1502="Grocery"),Analysis_Helper!I1502,0)</f>
        <v/>
      </c>
    </row>
    <row r="1503">
      <c r="AO1503" s="55">
        <f>IF(AND(Analysis_Helper!Q1503="BENGALURU",Analysis_Helper!L1503="Grocery"),Analysis_Helper!I1503,0)</f>
        <v/>
      </c>
    </row>
    <row r="1504">
      <c r="AO1504" s="55">
        <f>IF(AND(Analysis_Helper!Q1504="BENGALURU",Analysis_Helper!L1504="Grocery"),Analysis_Helper!I1504,0)</f>
        <v/>
      </c>
    </row>
    <row r="1505">
      <c r="AO1505" s="55">
        <f>IF(AND(Analysis_Helper!Q1505="BENGALURU",Analysis_Helper!L1505="Grocery"),Analysis_Helper!I1505,0)</f>
        <v/>
      </c>
    </row>
    <row r="1506">
      <c r="AO1506" s="55">
        <f>IF(AND(Analysis_Helper!Q1506="BENGALURU",Analysis_Helper!L1506="Grocery"),Analysis_Helper!I1506,0)</f>
        <v/>
      </c>
    </row>
    <row r="1507">
      <c r="AO1507" s="55">
        <f>IF(AND(Analysis_Helper!Q1507="BENGALURU",Analysis_Helper!L1507="Grocery"),Analysis_Helper!I1507,0)</f>
        <v/>
      </c>
    </row>
    <row r="1508">
      <c r="AO1508" s="55">
        <f>IF(AND(Analysis_Helper!Q1508="BENGALURU",Analysis_Helper!L1508="Grocery"),Analysis_Helper!I1508,0)</f>
        <v/>
      </c>
    </row>
    <row r="1509">
      <c r="AO1509" s="55">
        <f>IF(AND(Analysis_Helper!Q1509="BENGALURU",Analysis_Helper!L1509="Grocery"),Analysis_Helper!I1509,0)</f>
        <v/>
      </c>
    </row>
    <row r="1510">
      <c r="AO1510" s="55">
        <f>IF(AND(Analysis_Helper!Q1510="BENGALURU",Analysis_Helper!L1510="Grocery"),Analysis_Helper!I1510,0)</f>
        <v/>
      </c>
    </row>
    <row r="1511">
      <c r="AO1511" s="55">
        <f>IF(AND(Analysis_Helper!Q1511="BENGALURU",Analysis_Helper!L1511="Grocery"),Analysis_Helper!I1511,0)</f>
        <v/>
      </c>
    </row>
    <row r="1512">
      <c r="AO1512" s="55">
        <f>IF(AND(Analysis_Helper!Q1512="BENGALURU",Analysis_Helper!L1512="Grocery"),Analysis_Helper!I1512,0)</f>
        <v/>
      </c>
    </row>
    <row r="1513">
      <c r="AO1513" s="55">
        <f>IF(AND(Analysis_Helper!Q1513="BENGALURU",Analysis_Helper!L1513="Grocery"),Analysis_Helper!I1513,0)</f>
        <v/>
      </c>
    </row>
    <row r="1514">
      <c r="AO1514" s="55">
        <f>IF(AND(Analysis_Helper!Q1514="BENGALURU",Analysis_Helper!L1514="Grocery"),Analysis_Helper!I1514,0)</f>
        <v/>
      </c>
    </row>
    <row r="1515">
      <c r="AO1515" s="55">
        <f>IF(AND(Analysis_Helper!Q1515="BENGALURU",Analysis_Helper!L1515="Grocery"),Analysis_Helper!I1515,0)</f>
        <v/>
      </c>
    </row>
    <row r="1516">
      <c r="AO1516" s="55">
        <f>IF(AND(Analysis_Helper!Q1516="BENGALURU",Analysis_Helper!L1516="Grocery"),Analysis_Helper!I1516,0)</f>
        <v/>
      </c>
    </row>
    <row r="1517">
      <c r="AO1517" s="55">
        <f>IF(AND(Analysis_Helper!Q1517="BENGALURU",Analysis_Helper!L1517="Grocery"),Analysis_Helper!I1517,0)</f>
        <v/>
      </c>
    </row>
    <row r="1518">
      <c r="AO1518" s="55">
        <f>IF(AND(Analysis_Helper!Q1518="BENGALURU",Analysis_Helper!L1518="Grocery"),Analysis_Helper!I1518,0)</f>
        <v/>
      </c>
    </row>
    <row r="1519">
      <c r="AO1519" s="55">
        <f>IF(AND(Analysis_Helper!Q1519="BENGALURU",Analysis_Helper!L1519="Grocery"),Analysis_Helper!I1519,0)</f>
        <v/>
      </c>
    </row>
    <row r="1520">
      <c r="AO1520" s="55">
        <f>IF(AND(Analysis_Helper!Q1520="BENGALURU",Analysis_Helper!L1520="Grocery"),Analysis_Helper!I1520,0)</f>
        <v/>
      </c>
    </row>
    <row r="1521">
      <c r="AO1521" s="55">
        <f>IF(AND(Analysis_Helper!Q1521="BENGALURU",Analysis_Helper!L1521="Grocery"),Analysis_Helper!I1521,0)</f>
        <v/>
      </c>
    </row>
    <row r="1522">
      <c r="AO1522" s="55">
        <f>IF(AND(Analysis_Helper!Q1522="BENGALURU",Analysis_Helper!L1522="Grocery"),Analysis_Helper!I1522,0)</f>
        <v/>
      </c>
    </row>
    <row r="1523">
      <c r="AO1523" s="55">
        <f>IF(AND(Analysis_Helper!Q1523="BENGALURU",Analysis_Helper!L1523="Grocery"),Analysis_Helper!I1523,0)</f>
        <v/>
      </c>
    </row>
    <row r="1524">
      <c r="AO1524" s="55">
        <f>IF(AND(Analysis_Helper!Q1524="BENGALURU",Analysis_Helper!L1524="Grocery"),Analysis_Helper!I1524,0)</f>
        <v/>
      </c>
    </row>
    <row r="1525">
      <c r="AO1525" s="55">
        <f>IF(AND(Analysis_Helper!Q1525="BENGALURU",Analysis_Helper!L1525="Grocery"),Analysis_Helper!I1525,0)</f>
        <v/>
      </c>
    </row>
    <row r="1526">
      <c r="AO1526" s="55">
        <f>IF(AND(Analysis_Helper!Q1526="BENGALURU",Analysis_Helper!L1526="Grocery"),Analysis_Helper!I1526,0)</f>
        <v/>
      </c>
    </row>
    <row r="1527">
      <c r="AO1527" s="55">
        <f>IF(AND(Analysis_Helper!Q1527="BENGALURU",Analysis_Helper!L1527="Grocery"),Analysis_Helper!I1527,0)</f>
        <v/>
      </c>
    </row>
    <row r="1528">
      <c r="AO1528" s="55">
        <f>IF(AND(Analysis_Helper!Q1528="BENGALURU",Analysis_Helper!L1528="Grocery"),Analysis_Helper!I1528,0)</f>
        <v/>
      </c>
    </row>
    <row r="1529">
      <c r="AO1529" s="55">
        <f>IF(AND(Analysis_Helper!Q1529="BENGALURU",Analysis_Helper!L1529="Grocery"),Analysis_Helper!I1529,0)</f>
        <v/>
      </c>
    </row>
    <row r="1530">
      <c r="AO1530" s="55">
        <f>IF(AND(Analysis_Helper!Q1530="BENGALURU",Analysis_Helper!L1530="Grocery"),Analysis_Helper!I1530,0)</f>
        <v/>
      </c>
    </row>
    <row r="1531">
      <c r="AO1531" s="55">
        <f>IF(AND(Analysis_Helper!Q1531="BENGALURU",Analysis_Helper!L1531="Grocery"),Analysis_Helper!I1531,0)</f>
        <v/>
      </c>
    </row>
    <row r="1532">
      <c r="AO1532" s="55">
        <f>IF(AND(Analysis_Helper!Q1532="BENGALURU",Analysis_Helper!L1532="Grocery"),Analysis_Helper!I1532,0)</f>
        <v/>
      </c>
    </row>
    <row r="1533">
      <c r="AO1533" s="55">
        <f>IF(AND(Analysis_Helper!Q1533="BENGALURU",Analysis_Helper!L1533="Grocery"),Analysis_Helper!I1533,0)</f>
        <v/>
      </c>
    </row>
    <row r="1534">
      <c r="AO1534" s="55">
        <f>IF(AND(Analysis_Helper!Q1534="BENGALURU",Analysis_Helper!L1534="Grocery"),Analysis_Helper!I1534,0)</f>
        <v/>
      </c>
    </row>
    <row r="1535">
      <c r="AO1535" s="55">
        <f>IF(AND(Analysis_Helper!Q1535="BENGALURU",Analysis_Helper!L1535="Grocery"),Analysis_Helper!I1535,0)</f>
        <v/>
      </c>
    </row>
    <row r="1536">
      <c r="AO1536" s="55">
        <f>IF(AND(Analysis_Helper!Q1536="BENGALURU",Analysis_Helper!L1536="Grocery"),Analysis_Helper!I1536,0)</f>
        <v/>
      </c>
    </row>
    <row r="1537">
      <c r="AO1537" s="55">
        <f>IF(AND(Analysis_Helper!Q1537="BENGALURU",Analysis_Helper!L1537="Grocery"),Analysis_Helper!I1537,0)</f>
        <v/>
      </c>
    </row>
    <row r="1538">
      <c r="AO1538" s="55">
        <f>IF(AND(Analysis_Helper!Q1538="BENGALURU",Analysis_Helper!L1538="Grocery"),Analysis_Helper!I1538,0)</f>
        <v/>
      </c>
    </row>
    <row r="1539">
      <c r="AO1539" s="55">
        <f>IF(AND(Analysis_Helper!Q1539="BENGALURU",Analysis_Helper!L1539="Grocery"),Analysis_Helper!I1539,0)</f>
        <v/>
      </c>
    </row>
    <row r="1540">
      <c r="AO1540" s="55">
        <f>IF(AND(Analysis_Helper!Q1540="BENGALURU",Analysis_Helper!L1540="Grocery"),Analysis_Helper!I1540,0)</f>
        <v/>
      </c>
    </row>
    <row r="1541">
      <c r="AO1541" s="55">
        <f>IF(AND(Analysis_Helper!Q1541="BENGALURU",Analysis_Helper!L1541="Grocery"),Analysis_Helper!I1541,0)</f>
        <v/>
      </c>
    </row>
    <row r="1542">
      <c r="AO1542" s="55">
        <f>IF(AND(Analysis_Helper!Q1542="BENGALURU",Analysis_Helper!L1542="Grocery"),Analysis_Helper!I1542,0)</f>
        <v/>
      </c>
    </row>
    <row r="1543">
      <c r="AO1543" s="55">
        <f>IF(AND(Analysis_Helper!Q1543="BENGALURU",Analysis_Helper!L1543="Grocery"),Analysis_Helper!I1543,0)</f>
        <v/>
      </c>
    </row>
    <row r="1544">
      <c r="AO1544" s="55">
        <f>IF(AND(Analysis_Helper!Q1544="BENGALURU",Analysis_Helper!L1544="Grocery"),Analysis_Helper!I1544,0)</f>
        <v/>
      </c>
    </row>
    <row r="1545">
      <c r="AO1545" s="55">
        <f>IF(AND(Analysis_Helper!Q1545="BENGALURU",Analysis_Helper!L1545="Grocery"),Analysis_Helper!I1545,0)</f>
        <v/>
      </c>
    </row>
    <row r="1546">
      <c r="AO1546" s="55">
        <f>IF(AND(Analysis_Helper!Q1546="BENGALURU",Analysis_Helper!L1546="Grocery"),Analysis_Helper!I1546,0)</f>
        <v/>
      </c>
    </row>
    <row r="1547">
      <c r="AO1547" s="55">
        <f>IF(AND(Analysis_Helper!Q1547="BENGALURU",Analysis_Helper!L1547="Grocery"),Analysis_Helper!I1547,0)</f>
        <v/>
      </c>
    </row>
    <row r="1548">
      <c r="AO1548" s="55">
        <f>IF(AND(Analysis_Helper!Q1548="BENGALURU",Analysis_Helper!L1548="Grocery"),Analysis_Helper!I1548,0)</f>
        <v/>
      </c>
    </row>
    <row r="1549">
      <c r="AO1549" s="55">
        <f>IF(AND(Analysis_Helper!Q1549="BENGALURU",Analysis_Helper!L1549="Grocery"),Analysis_Helper!I1549,0)</f>
        <v/>
      </c>
    </row>
    <row r="1550">
      <c r="AO1550" s="55">
        <f>IF(AND(Analysis_Helper!Q1550="BENGALURU",Analysis_Helper!L1550="Grocery"),Analysis_Helper!I1550,0)</f>
        <v/>
      </c>
    </row>
    <row r="1551">
      <c r="AO1551" s="55">
        <f>IF(AND(Analysis_Helper!Q1551="BENGALURU",Analysis_Helper!L1551="Grocery"),Analysis_Helper!I1551,0)</f>
        <v/>
      </c>
    </row>
    <row r="1552">
      <c r="AO1552" s="55">
        <f>IF(AND(Analysis_Helper!Q1552="BENGALURU",Analysis_Helper!L1552="Grocery"),Analysis_Helper!I1552,0)</f>
        <v/>
      </c>
    </row>
    <row r="1553">
      <c r="AO1553" s="55">
        <f>IF(AND(Analysis_Helper!Q1553="BENGALURU",Analysis_Helper!L1553="Grocery"),Analysis_Helper!I1553,0)</f>
        <v/>
      </c>
    </row>
    <row r="1554">
      <c r="AO1554" s="55">
        <f>IF(AND(Analysis_Helper!Q1554="BENGALURU",Analysis_Helper!L1554="Grocery"),Analysis_Helper!I1554,0)</f>
        <v/>
      </c>
    </row>
    <row r="1555">
      <c r="AO1555" s="55">
        <f>IF(AND(Analysis_Helper!Q1555="BENGALURU",Analysis_Helper!L1555="Grocery"),Analysis_Helper!I1555,0)</f>
        <v/>
      </c>
    </row>
    <row r="1556">
      <c r="AO1556" s="55">
        <f>IF(AND(Analysis_Helper!Q1556="BENGALURU",Analysis_Helper!L1556="Grocery"),Analysis_Helper!I1556,0)</f>
        <v/>
      </c>
    </row>
    <row r="1557">
      <c r="AO1557" s="55">
        <f>IF(AND(Analysis_Helper!Q1557="BENGALURU",Analysis_Helper!L1557="Grocery"),Analysis_Helper!I1557,0)</f>
        <v/>
      </c>
    </row>
    <row r="1558">
      <c r="AO1558" s="55">
        <f>IF(AND(Analysis_Helper!Q1558="BENGALURU",Analysis_Helper!L1558="Grocery"),Analysis_Helper!I1558,0)</f>
        <v/>
      </c>
    </row>
    <row r="1559">
      <c r="AO1559" s="55">
        <f>IF(AND(Analysis_Helper!Q1559="BENGALURU",Analysis_Helper!L1559="Grocery"),Analysis_Helper!I1559,0)</f>
        <v/>
      </c>
    </row>
    <row r="1560">
      <c r="AO1560" s="55">
        <f>IF(AND(Analysis_Helper!Q1560="BENGALURU",Analysis_Helper!L1560="Grocery"),Analysis_Helper!I1560,0)</f>
        <v/>
      </c>
    </row>
    <row r="1561">
      <c r="AO1561" s="55">
        <f>IF(AND(Analysis_Helper!Q1561="BENGALURU",Analysis_Helper!L1561="Grocery"),Analysis_Helper!I1561,0)</f>
        <v/>
      </c>
    </row>
    <row r="1562">
      <c r="AO1562" s="55">
        <f>IF(AND(Analysis_Helper!Q1562="BENGALURU",Analysis_Helper!L1562="Grocery"),Analysis_Helper!I1562,0)</f>
        <v/>
      </c>
    </row>
    <row r="1563">
      <c r="AO1563" s="55">
        <f>IF(AND(Analysis_Helper!Q1563="BENGALURU",Analysis_Helper!L1563="Grocery"),Analysis_Helper!I1563,0)</f>
        <v/>
      </c>
    </row>
    <row r="1564">
      <c r="AO1564" s="55">
        <f>IF(AND(Analysis_Helper!Q1564="BENGALURU",Analysis_Helper!L1564="Grocery"),Analysis_Helper!I1564,0)</f>
        <v/>
      </c>
    </row>
    <row r="1565">
      <c r="AO1565" s="55">
        <f>IF(AND(Analysis_Helper!Q1565="BENGALURU",Analysis_Helper!L1565="Grocery"),Analysis_Helper!I1565,0)</f>
        <v/>
      </c>
    </row>
    <row r="1566">
      <c r="AO1566" s="55">
        <f>IF(AND(Analysis_Helper!Q1566="BENGALURU",Analysis_Helper!L1566="Grocery"),Analysis_Helper!I1566,0)</f>
        <v/>
      </c>
    </row>
    <row r="1567">
      <c r="AO1567" s="55">
        <f>IF(AND(Analysis_Helper!Q1567="BENGALURU",Analysis_Helper!L1567="Grocery"),Analysis_Helper!I1567,0)</f>
        <v/>
      </c>
    </row>
    <row r="1568">
      <c r="AO1568" s="55">
        <f>IF(AND(Analysis_Helper!Q1568="BENGALURU",Analysis_Helper!L1568="Grocery"),Analysis_Helper!I1568,0)</f>
        <v/>
      </c>
    </row>
    <row r="1569">
      <c r="AO1569" s="55">
        <f>IF(AND(Analysis_Helper!Q1569="BENGALURU",Analysis_Helper!L1569="Grocery"),Analysis_Helper!I1569,0)</f>
        <v/>
      </c>
    </row>
    <row r="1570">
      <c r="AO1570" s="55">
        <f>IF(AND(Analysis_Helper!Q1570="BENGALURU",Analysis_Helper!L1570="Grocery"),Analysis_Helper!I1570,0)</f>
        <v/>
      </c>
    </row>
    <row r="1571">
      <c r="AO1571" s="55">
        <f>IF(AND(Analysis_Helper!Q1571="BENGALURU",Analysis_Helper!L1571="Grocery"),Analysis_Helper!I1571,0)</f>
        <v/>
      </c>
    </row>
    <row r="1572">
      <c r="AO1572" s="55">
        <f>IF(AND(Analysis_Helper!Q1572="BENGALURU",Analysis_Helper!L1572="Grocery"),Analysis_Helper!I1572,0)</f>
        <v/>
      </c>
    </row>
    <row r="1573">
      <c r="AO1573" s="55">
        <f>IF(AND(Analysis_Helper!Q1573="BENGALURU",Analysis_Helper!L1573="Grocery"),Analysis_Helper!I1573,0)</f>
        <v/>
      </c>
    </row>
    <row r="1574">
      <c r="AO1574" s="55">
        <f>IF(AND(Analysis_Helper!Q1574="BENGALURU",Analysis_Helper!L1574="Grocery"),Analysis_Helper!I1574,0)</f>
        <v/>
      </c>
    </row>
    <row r="1575">
      <c r="AO1575" s="55">
        <f>IF(AND(Analysis_Helper!Q1575="BENGALURU",Analysis_Helper!L1575="Grocery"),Analysis_Helper!I1575,0)</f>
        <v/>
      </c>
    </row>
    <row r="1576">
      <c r="AO1576" s="55">
        <f>IF(AND(Analysis_Helper!Q1576="BENGALURU",Analysis_Helper!L1576="Grocery"),Analysis_Helper!I1576,0)</f>
        <v/>
      </c>
    </row>
    <row r="1577">
      <c r="AO1577" s="55">
        <f>IF(AND(Analysis_Helper!Q1577="BENGALURU",Analysis_Helper!L1577="Grocery"),Analysis_Helper!I1577,0)</f>
        <v/>
      </c>
    </row>
    <row r="1578">
      <c r="AO1578" s="55">
        <f>IF(AND(Analysis_Helper!Q1578="BENGALURU",Analysis_Helper!L1578="Grocery"),Analysis_Helper!I1578,0)</f>
        <v/>
      </c>
    </row>
    <row r="1579">
      <c r="AO1579" s="55">
        <f>IF(AND(Analysis_Helper!Q1579="BENGALURU",Analysis_Helper!L1579="Grocery"),Analysis_Helper!I1579,0)</f>
        <v/>
      </c>
    </row>
    <row r="1580">
      <c r="AO1580" s="55">
        <f>IF(AND(Analysis_Helper!Q1580="BENGALURU",Analysis_Helper!L1580="Grocery"),Analysis_Helper!I1580,0)</f>
        <v/>
      </c>
    </row>
    <row r="1581">
      <c r="AO1581" s="55">
        <f>IF(AND(Analysis_Helper!Q1581="BENGALURU",Analysis_Helper!L1581="Grocery"),Analysis_Helper!I1581,0)</f>
        <v/>
      </c>
    </row>
    <row r="1582">
      <c r="AO1582" s="55">
        <f>IF(AND(Analysis_Helper!Q1582="BENGALURU",Analysis_Helper!L1582="Grocery"),Analysis_Helper!I1582,0)</f>
        <v/>
      </c>
    </row>
    <row r="1583">
      <c r="AO1583" s="55">
        <f>IF(AND(Analysis_Helper!Q1583="BENGALURU",Analysis_Helper!L1583="Grocery"),Analysis_Helper!I1583,0)</f>
        <v/>
      </c>
    </row>
    <row r="1584">
      <c r="AO1584" s="55">
        <f>IF(AND(Analysis_Helper!Q1584="BENGALURU",Analysis_Helper!L1584="Grocery"),Analysis_Helper!I1584,0)</f>
        <v/>
      </c>
    </row>
    <row r="1585">
      <c r="AO1585" s="55">
        <f>IF(AND(Analysis_Helper!Q1585="BENGALURU",Analysis_Helper!L1585="Grocery"),Analysis_Helper!I1585,0)</f>
        <v/>
      </c>
    </row>
    <row r="1586">
      <c r="AO1586" s="55">
        <f>IF(AND(Analysis_Helper!Q1586="BENGALURU",Analysis_Helper!L1586="Grocery"),Analysis_Helper!I1586,0)</f>
        <v/>
      </c>
    </row>
    <row r="1587">
      <c r="AO1587" s="55">
        <f>IF(AND(Analysis_Helper!Q1587="BENGALURU",Analysis_Helper!L1587="Grocery"),Analysis_Helper!I1587,0)</f>
        <v/>
      </c>
    </row>
    <row r="1588">
      <c r="AO1588" s="55">
        <f>IF(AND(Analysis_Helper!Q1588="BENGALURU",Analysis_Helper!L1588="Grocery"),Analysis_Helper!I1588,0)</f>
        <v/>
      </c>
    </row>
    <row r="1589">
      <c r="AO1589" s="55">
        <f>IF(AND(Analysis_Helper!Q1589="BENGALURU",Analysis_Helper!L1589="Grocery"),Analysis_Helper!I1589,0)</f>
        <v/>
      </c>
    </row>
    <row r="1590">
      <c r="AO1590" s="55">
        <f>IF(AND(Analysis_Helper!Q1590="BENGALURU",Analysis_Helper!L1590="Grocery"),Analysis_Helper!I1590,0)</f>
        <v/>
      </c>
    </row>
    <row r="1591">
      <c r="AO1591" s="55">
        <f>IF(AND(Analysis_Helper!Q1591="BENGALURU",Analysis_Helper!L1591="Grocery"),Analysis_Helper!I1591,0)</f>
        <v/>
      </c>
    </row>
    <row r="1592">
      <c r="AO1592" s="55">
        <f>IF(AND(Analysis_Helper!Q1592="BENGALURU",Analysis_Helper!L1592="Grocery"),Analysis_Helper!I1592,0)</f>
        <v/>
      </c>
    </row>
    <row r="1593">
      <c r="AO1593" s="55">
        <f>IF(AND(Analysis_Helper!Q1593="BENGALURU",Analysis_Helper!L1593="Grocery"),Analysis_Helper!I1593,0)</f>
        <v/>
      </c>
    </row>
    <row r="1594">
      <c r="AO1594" s="55">
        <f>IF(AND(Analysis_Helper!Q1594="BENGALURU",Analysis_Helper!L1594="Grocery"),Analysis_Helper!I1594,0)</f>
        <v/>
      </c>
    </row>
    <row r="1595">
      <c r="AO1595" s="55">
        <f>IF(AND(Analysis_Helper!Q1595="BENGALURU",Analysis_Helper!L1595="Grocery"),Analysis_Helper!I1595,0)</f>
        <v/>
      </c>
    </row>
    <row r="1596">
      <c r="AO1596" s="55">
        <f>IF(AND(Analysis_Helper!Q1596="BENGALURU",Analysis_Helper!L1596="Grocery"),Analysis_Helper!I1596,0)</f>
        <v/>
      </c>
    </row>
    <row r="1597">
      <c r="AO1597" s="55">
        <f>IF(AND(Analysis_Helper!Q1597="BENGALURU",Analysis_Helper!L1597="Grocery"),Analysis_Helper!I1597,0)</f>
        <v/>
      </c>
    </row>
    <row r="1598">
      <c r="AO1598" s="55">
        <f>IF(AND(Analysis_Helper!Q1598="BENGALURU",Analysis_Helper!L1598="Grocery"),Analysis_Helper!I1598,0)</f>
        <v/>
      </c>
    </row>
    <row r="1599">
      <c r="AO1599" s="55">
        <f>IF(AND(Analysis_Helper!Q1599="BENGALURU",Analysis_Helper!L1599="Grocery"),Analysis_Helper!I1599,0)</f>
        <v/>
      </c>
    </row>
    <row r="1600">
      <c r="AO1600" s="55">
        <f>IF(AND(Analysis_Helper!Q1600="BENGALURU",Analysis_Helper!L1600="Grocery"),Analysis_Helper!I1600,0)</f>
        <v/>
      </c>
    </row>
    <row r="1601">
      <c r="AO1601" s="55">
        <f>IF(AND(Analysis_Helper!Q1601="BENGALURU",Analysis_Helper!L1601="Grocery"),Analysis_Helper!I1601,0)</f>
        <v/>
      </c>
    </row>
    <row r="1602">
      <c r="AO1602" s="55">
        <f>IF(AND(Analysis_Helper!Q1602="BENGALURU",Analysis_Helper!L1602="Grocery"),Analysis_Helper!I1602,0)</f>
        <v/>
      </c>
    </row>
    <row r="1603">
      <c r="AO1603" s="55">
        <f>IF(AND(Analysis_Helper!Q1603="BENGALURU",Analysis_Helper!L1603="Grocery"),Analysis_Helper!I1603,0)</f>
        <v/>
      </c>
    </row>
    <row r="1604">
      <c r="AO1604" s="55">
        <f>IF(AND(Analysis_Helper!Q1604="BENGALURU",Analysis_Helper!L1604="Grocery"),Analysis_Helper!I1604,0)</f>
        <v/>
      </c>
    </row>
    <row r="1605">
      <c r="AO1605" s="55">
        <f>IF(AND(Analysis_Helper!Q1605="BENGALURU",Analysis_Helper!L1605="Grocery"),Analysis_Helper!I1605,0)</f>
        <v/>
      </c>
    </row>
    <row r="1606">
      <c r="AO1606" s="55">
        <f>IF(AND(Analysis_Helper!Q1606="BENGALURU",Analysis_Helper!L1606="Grocery"),Analysis_Helper!I1606,0)</f>
        <v/>
      </c>
    </row>
    <row r="1607">
      <c r="AO1607" s="55">
        <f>IF(AND(Analysis_Helper!Q1607="BENGALURU",Analysis_Helper!L1607="Grocery"),Analysis_Helper!I1607,0)</f>
        <v/>
      </c>
    </row>
    <row r="1608">
      <c r="AO1608" s="55">
        <f>IF(AND(Analysis_Helper!Q1608="BENGALURU",Analysis_Helper!L1608="Grocery"),Analysis_Helper!I1608,0)</f>
        <v/>
      </c>
    </row>
    <row r="1609">
      <c r="AO1609" s="55">
        <f>IF(AND(Analysis_Helper!Q1609="BENGALURU",Analysis_Helper!L1609="Grocery"),Analysis_Helper!I1609,0)</f>
        <v/>
      </c>
    </row>
    <row r="1610">
      <c r="AO1610" s="55">
        <f>IF(AND(Analysis_Helper!Q1610="BENGALURU",Analysis_Helper!L1610="Grocery"),Analysis_Helper!I1610,0)</f>
        <v/>
      </c>
    </row>
    <row r="1611">
      <c r="AO1611" s="55">
        <f>IF(AND(Analysis_Helper!Q1611="BENGALURU",Analysis_Helper!L1611="Grocery"),Analysis_Helper!I1611,0)</f>
        <v/>
      </c>
    </row>
    <row r="1612">
      <c r="AO1612" s="55">
        <f>IF(AND(Analysis_Helper!Q1612="BENGALURU",Analysis_Helper!L1612="Grocery"),Analysis_Helper!I1612,0)</f>
        <v/>
      </c>
    </row>
    <row r="1613">
      <c r="AO1613" s="55">
        <f>IF(AND(Analysis_Helper!Q1613="BENGALURU",Analysis_Helper!L1613="Grocery"),Analysis_Helper!I1613,0)</f>
        <v/>
      </c>
    </row>
    <row r="1614">
      <c r="AO1614" s="55">
        <f>IF(AND(Analysis_Helper!Q1614="BENGALURU",Analysis_Helper!L1614="Grocery"),Analysis_Helper!I1614,0)</f>
        <v/>
      </c>
    </row>
    <row r="1615">
      <c r="AO1615" s="55">
        <f>IF(AND(Analysis_Helper!Q1615="BENGALURU",Analysis_Helper!L1615="Grocery"),Analysis_Helper!I1615,0)</f>
        <v/>
      </c>
    </row>
    <row r="1616">
      <c r="AO1616" s="55">
        <f>IF(AND(Analysis_Helper!Q1616="BENGALURU",Analysis_Helper!L1616="Grocery"),Analysis_Helper!I1616,0)</f>
        <v/>
      </c>
    </row>
    <row r="1617">
      <c r="AO1617" s="55">
        <f>IF(AND(Analysis_Helper!Q1617="BENGALURU",Analysis_Helper!L1617="Grocery"),Analysis_Helper!I1617,0)</f>
        <v/>
      </c>
    </row>
    <row r="1618">
      <c r="AO1618" s="55">
        <f>IF(AND(Analysis_Helper!Q1618="BENGALURU",Analysis_Helper!L1618="Grocery"),Analysis_Helper!I1618,0)</f>
        <v/>
      </c>
    </row>
    <row r="1619">
      <c r="AO1619" s="55">
        <f>IF(AND(Analysis_Helper!Q1619="BENGALURU",Analysis_Helper!L1619="Grocery"),Analysis_Helper!I1619,0)</f>
        <v/>
      </c>
    </row>
    <row r="1620">
      <c r="AO1620" s="55">
        <f>IF(AND(Analysis_Helper!Q1620="BENGALURU",Analysis_Helper!L1620="Grocery"),Analysis_Helper!I1620,0)</f>
        <v/>
      </c>
    </row>
    <row r="1621">
      <c r="AO1621" s="55">
        <f>IF(AND(Analysis_Helper!Q1621="BENGALURU",Analysis_Helper!L1621="Grocery"),Analysis_Helper!I1621,0)</f>
        <v/>
      </c>
    </row>
    <row r="1622">
      <c r="AO1622" s="55">
        <f>IF(AND(Analysis_Helper!Q1622="BENGALURU",Analysis_Helper!L1622="Grocery"),Analysis_Helper!I1622,0)</f>
        <v/>
      </c>
    </row>
    <row r="1623">
      <c r="AO1623" s="55">
        <f>IF(AND(Analysis_Helper!Q1623="BENGALURU",Analysis_Helper!L1623="Grocery"),Analysis_Helper!I1623,0)</f>
        <v/>
      </c>
    </row>
    <row r="1624">
      <c r="AO1624" s="55">
        <f>IF(AND(Analysis_Helper!Q1624="BENGALURU",Analysis_Helper!L1624="Grocery"),Analysis_Helper!I1624,0)</f>
        <v/>
      </c>
    </row>
    <row r="1625">
      <c r="AO1625" s="55">
        <f>IF(AND(Analysis_Helper!Q1625="BENGALURU",Analysis_Helper!L1625="Grocery"),Analysis_Helper!I1625,0)</f>
        <v/>
      </c>
    </row>
    <row r="1626">
      <c r="AO1626" s="55">
        <f>IF(AND(Analysis_Helper!Q1626="BENGALURU",Analysis_Helper!L1626="Grocery"),Analysis_Helper!I1626,0)</f>
        <v/>
      </c>
    </row>
    <row r="1627">
      <c r="AO1627" s="55">
        <f>IF(AND(Analysis_Helper!Q1627="BENGALURU",Analysis_Helper!L1627="Grocery"),Analysis_Helper!I1627,0)</f>
        <v/>
      </c>
    </row>
    <row r="1628">
      <c r="AO1628" s="55">
        <f>IF(AND(Analysis_Helper!Q1628="BENGALURU",Analysis_Helper!L1628="Grocery"),Analysis_Helper!I1628,0)</f>
        <v/>
      </c>
    </row>
    <row r="1629">
      <c r="AO1629" s="55">
        <f>IF(AND(Analysis_Helper!Q1629="BENGALURU",Analysis_Helper!L1629="Grocery"),Analysis_Helper!I1629,0)</f>
        <v/>
      </c>
    </row>
    <row r="1630">
      <c r="AO1630" s="55">
        <f>IF(AND(Analysis_Helper!Q1630="BENGALURU",Analysis_Helper!L1630="Grocery"),Analysis_Helper!I1630,0)</f>
        <v/>
      </c>
    </row>
    <row r="1631">
      <c r="AO1631" s="55">
        <f>IF(AND(Analysis_Helper!Q1631="BENGALURU",Analysis_Helper!L1631="Grocery"),Analysis_Helper!I1631,0)</f>
        <v/>
      </c>
    </row>
    <row r="1632">
      <c r="AO1632" s="55">
        <f>IF(AND(Analysis_Helper!Q1632="BENGALURU",Analysis_Helper!L1632="Grocery"),Analysis_Helper!I1632,0)</f>
        <v/>
      </c>
    </row>
    <row r="1633">
      <c r="AO1633" s="55">
        <f>IF(AND(Analysis_Helper!Q1633="BENGALURU",Analysis_Helper!L1633="Grocery"),Analysis_Helper!I1633,0)</f>
        <v/>
      </c>
    </row>
    <row r="1634">
      <c r="AO1634" s="55">
        <f>IF(AND(Analysis_Helper!Q1634="BENGALURU",Analysis_Helper!L1634="Grocery"),Analysis_Helper!I1634,0)</f>
        <v/>
      </c>
    </row>
    <row r="1635">
      <c r="AO1635" s="55">
        <f>IF(AND(Analysis_Helper!Q1635="BENGALURU",Analysis_Helper!L1635="Grocery"),Analysis_Helper!I1635,0)</f>
        <v/>
      </c>
    </row>
    <row r="1636">
      <c r="AO1636" s="55">
        <f>IF(AND(Analysis_Helper!Q1636="BENGALURU",Analysis_Helper!L1636="Grocery"),Analysis_Helper!I1636,0)</f>
        <v/>
      </c>
    </row>
    <row r="1637">
      <c r="AO1637" s="55">
        <f>IF(AND(Analysis_Helper!Q1637="BENGALURU",Analysis_Helper!L1637="Grocery"),Analysis_Helper!I1637,0)</f>
        <v/>
      </c>
    </row>
    <row r="1638">
      <c r="AO1638" s="55">
        <f>IF(AND(Analysis_Helper!Q1638="BENGALURU",Analysis_Helper!L1638="Grocery"),Analysis_Helper!I1638,0)</f>
        <v/>
      </c>
    </row>
    <row r="1639">
      <c r="AO1639" s="55">
        <f>IF(AND(Analysis_Helper!Q1639="BENGALURU",Analysis_Helper!L1639="Grocery"),Analysis_Helper!I1639,0)</f>
        <v/>
      </c>
    </row>
    <row r="1640">
      <c r="AO1640" s="55">
        <f>IF(AND(Analysis_Helper!Q1640="BENGALURU",Analysis_Helper!L1640="Grocery"),Analysis_Helper!I1640,0)</f>
        <v/>
      </c>
    </row>
    <row r="1641">
      <c r="AO1641" s="55">
        <f>IF(AND(Analysis_Helper!Q1641="BENGALURU",Analysis_Helper!L1641="Grocery"),Analysis_Helper!I1641,0)</f>
        <v/>
      </c>
    </row>
    <row r="1642">
      <c r="AO1642" s="55">
        <f>IF(AND(Analysis_Helper!Q1642="BENGALURU",Analysis_Helper!L1642="Grocery"),Analysis_Helper!I1642,0)</f>
        <v/>
      </c>
    </row>
    <row r="1643">
      <c r="AO1643" s="55">
        <f>IF(AND(Analysis_Helper!Q1643="BENGALURU",Analysis_Helper!L1643="Grocery"),Analysis_Helper!I1643,0)</f>
        <v/>
      </c>
    </row>
    <row r="1644">
      <c r="AO1644" s="55">
        <f>IF(AND(Analysis_Helper!Q1644="BENGALURU",Analysis_Helper!L1644="Grocery"),Analysis_Helper!I1644,0)</f>
        <v/>
      </c>
    </row>
    <row r="1645">
      <c r="AO1645" s="55">
        <f>IF(AND(Analysis_Helper!Q1645="BENGALURU",Analysis_Helper!L1645="Grocery"),Analysis_Helper!I1645,0)</f>
        <v/>
      </c>
    </row>
    <row r="1646">
      <c r="AO1646" s="55">
        <f>IF(AND(Analysis_Helper!Q1646="BENGALURU",Analysis_Helper!L1646="Grocery"),Analysis_Helper!I1646,0)</f>
        <v/>
      </c>
    </row>
    <row r="1647">
      <c r="AO1647" s="55">
        <f>IF(AND(Analysis_Helper!Q1647="BENGALURU",Analysis_Helper!L1647="Grocery"),Analysis_Helper!I1647,0)</f>
        <v/>
      </c>
    </row>
    <row r="1648">
      <c r="AO1648" s="55">
        <f>IF(AND(Analysis_Helper!Q1648="BENGALURU",Analysis_Helper!L1648="Grocery"),Analysis_Helper!I1648,0)</f>
        <v/>
      </c>
    </row>
    <row r="1649">
      <c r="AO1649" s="55">
        <f>IF(AND(Analysis_Helper!Q1649="BENGALURU",Analysis_Helper!L1649="Grocery"),Analysis_Helper!I1649,0)</f>
        <v/>
      </c>
    </row>
    <row r="1650">
      <c r="AO1650" s="55">
        <f>IF(AND(Analysis_Helper!Q1650="BENGALURU",Analysis_Helper!L1650="Grocery"),Analysis_Helper!I1650,0)</f>
        <v/>
      </c>
    </row>
    <row r="1651">
      <c r="AO1651" s="55">
        <f>IF(AND(Analysis_Helper!Q1651="BENGALURU",Analysis_Helper!L1651="Grocery"),Analysis_Helper!I1651,0)</f>
        <v/>
      </c>
    </row>
    <row r="1652">
      <c r="AO1652" s="55">
        <f>IF(AND(Analysis_Helper!Q1652="BENGALURU",Analysis_Helper!L1652="Grocery"),Analysis_Helper!I1652,0)</f>
        <v/>
      </c>
    </row>
    <row r="1653">
      <c r="AO1653" s="55">
        <f>IF(AND(Analysis_Helper!Q1653="BENGALURU",Analysis_Helper!L1653="Grocery"),Analysis_Helper!I1653,0)</f>
        <v/>
      </c>
    </row>
    <row r="1654">
      <c r="AO1654" s="55">
        <f>IF(AND(Analysis_Helper!Q1654="BENGALURU",Analysis_Helper!L1654="Grocery"),Analysis_Helper!I1654,0)</f>
        <v/>
      </c>
    </row>
    <row r="1655">
      <c r="AO1655" s="55">
        <f>IF(AND(Analysis_Helper!Q1655="BENGALURU",Analysis_Helper!L1655="Grocery"),Analysis_Helper!I1655,0)</f>
        <v/>
      </c>
    </row>
    <row r="1656">
      <c r="AO1656" s="55">
        <f>IF(AND(Analysis_Helper!Q1656="BENGALURU",Analysis_Helper!L1656="Grocery"),Analysis_Helper!I1656,0)</f>
        <v/>
      </c>
    </row>
    <row r="1657">
      <c r="AO1657" s="55">
        <f>IF(AND(Analysis_Helper!Q1657="BENGALURU",Analysis_Helper!L1657="Grocery"),Analysis_Helper!I1657,0)</f>
        <v/>
      </c>
    </row>
    <row r="1658">
      <c r="AO1658" s="55">
        <f>IF(AND(Analysis_Helper!Q1658="BENGALURU",Analysis_Helper!L1658="Grocery"),Analysis_Helper!I1658,0)</f>
        <v/>
      </c>
    </row>
    <row r="1659">
      <c r="AO1659" s="55">
        <f>IF(AND(Analysis_Helper!Q1659="BENGALURU",Analysis_Helper!L1659="Grocery"),Analysis_Helper!I1659,0)</f>
        <v/>
      </c>
    </row>
    <row r="1660">
      <c r="AO1660" s="55">
        <f>IF(AND(Analysis_Helper!Q1660="BENGALURU",Analysis_Helper!L1660="Grocery"),Analysis_Helper!I1660,0)</f>
        <v/>
      </c>
    </row>
    <row r="1661">
      <c r="AO1661" s="55">
        <f>IF(AND(Analysis_Helper!Q1661="BENGALURU",Analysis_Helper!L1661="Grocery"),Analysis_Helper!I1661,0)</f>
        <v/>
      </c>
    </row>
    <row r="1662">
      <c r="AO1662" s="55">
        <f>IF(AND(Analysis_Helper!Q1662="BENGALURU",Analysis_Helper!L1662="Grocery"),Analysis_Helper!I1662,0)</f>
        <v/>
      </c>
    </row>
    <row r="1663">
      <c r="AO1663" s="55">
        <f>IF(AND(Analysis_Helper!Q1663="BENGALURU",Analysis_Helper!L1663="Grocery"),Analysis_Helper!I1663,0)</f>
        <v/>
      </c>
    </row>
    <row r="1664">
      <c r="AO1664" s="55">
        <f>IF(AND(Analysis_Helper!Q1664="BENGALURU",Analysis_Helper!L1664="Grocery"),Analysis_Helper!I1664,0)</f>
        <v/>
      </c>
    </row>
    <row r="1665">
      <c r="AO1665" s="55">
        <f>IF(AND(Analysis_Helper!Q1665="BENGALURU",Analysis_Helper!L1665="Grocery"),Analysis_Helper!I1665,0)</f>
        <v/>
      </c>
    </row>
    <row r="1666">
      <c r="AO1666" s="55">
        <f>IF(AND(Analysis_Helper!Q1666="BENGALURU",Analysis_Helper!L1666="Grocery"),Analysis_Helper!I1666,0)</f>
        <v/>
      </c>
    </row>
    <row r="1667">
      <c r="AO1667" s="55">
        <f>IF(AND(Analysis_Helper!Q1667="BENGALURU",Analysis_Helper!L1667="Grocery"),Analysis_Helper!I1667,0)</f>
        <v/>
      </c>
    </row>
    <row r="1668">
      <c r="AO1668" s="55">
        <f>IF(AND(Analysis_Helper!Q1668="BENGALURU",Analysis_Helper!L1668="Grocery"),Analysis_Helper!I1668,0)</f>
        <v/>
      </c>
    </row>
    <row r="1669">
      <c r="AO1669" s="55">
        <f>IF(AND(Analysis_Helper!Q1669="BENGALURU",Analysis_Helper!L1669="Grocery"),Analysis_Helper!I1669,0)</f>
        <v/>
      </c>
    </row>
    <row r="1670">
      <c r="AO1670" s="55">
        <f>IF(AND(Analysis_Helper!Q1670="BENGALURU",Analysis_Helper!L1670="Grocery"),Analysis_Helper!I1670,0)</f>
        <v/>
      </c>
    </row>
    <row r="1671">
      <c r="AO1671" s="55">
        <f>IF(AND(Analysis_Helper!Q1671="BENGALURU",Analysis_Helper!L1671="Grocery"),Analysis_Helper!I1671,0)</f>
        <v/>
      </c>
    </row>
    <row r="1672">
      <c r="AO1672" s="55">
        <f>IF(AND(Analysis_Helper!Q1672="BENGALURU",Analysis_Helper!L1672="Grocery"),Analysis_Helper!I1672,0)</f>
        <v/>
      </c>
    </row>
    <row r="1673">
      <c r="AO1673" s="55">
        <f>IF(AND(Analysis_Helper!Q1673="BENGALURU",Analysis_Helper!L1673="Grocery"),Analysis_Helper!I1673,0)</f>
        <v/>
      </c>
    </row>
    <row r="1674">
      <c r="AO1674" s="55">
        <f>IF(AND(Analysis_Helper!Q1674="BENGALURU",Analysis_Helper!L1674="Grocery"),Analysis_Helper!I1674,0)</f>
        <v/>
      </c>
    </row>
    <row r="1675">
      <c r="AO1675" s="55">
        <f>IF(AND(Analysis_Helper!Q1675="BENGALURU",Analysis_Helper!L1675="Grocery"),Analysis_Helper!I1675,0)</f>
        <v/>
      </c>
    </row>
    <row r="1676">
      <c r="AO1676" s="55">
        <f>IF(AND(Analysis_Helper!Q1676="BENGALURU",Analysis_Helper!L1676="Grocery"),Analysis_Helper!I1676,0)</f>
        <v/>
      </c>
    </row>
    <row r="1677">
      <c r="AO1677" s="55">
        <f>IF(AND(Analysis_Helper!Q1677="BENGALURU",Analysis_Helper!L1677="Grocery"),Analysis_Helper!I1677,0)</f>
        <v/>
      </c>
    </row>
    <row r="1678">
      <c r="AO1678" s="55">
        <f>IF(AND(Analysis_Helper!Q1678="BENGALURU",Analysis_Helper!L1678="Grocery"),Analysis_Helper!I1678,0)</f>
        <v/>
      </c>
    </row>
    <row r="1679">
      <c r="AO1679" s="55">
        <f>IF(AND(Analysis_Helper!Q1679="BENGALURU",Analysis_Helper!L1679="Grocery"),Analysis_Helper!I1679,0)</f>
        <v/>
      </c>
    </row>
    <row r="1680">
      <c r="AO1680" s="55">
        <f>IF(AND(Analysis_Helper!Q1680="BENGALURU",Analysis_Helper!L1680="Grocery"),Analysis_Helper!I1680,0)</f>
        <v/>
      </c>
    </row>
    <row r="1681">
      <c r="AO1681" s="55">
        <f>IF(AND(Analysis_Helper!Q1681="BENGALURU",Analysis_Helper!L1681="Grocery"),Analysis_Helper!I1681,0)</f>
        <v/>
      </c>
    </row>
    <row r="1682">
      <c r="AO1682" s="55">
        <f>IF(AND(Analysis_Helper!Q1682="BENGALURU",Analysis_Helper!L1682="Grocery"),Analysis_Helper!I1682,0)</f>
        <v/>
      </c>
    </row>
    <row r="1683">
      <c r="AO1683" s="55">
        <f>IF(AND(Analysis_Helper!Q1683="BENGALURU",Analysis_Helper!L1683="Grocery"),Analysis_Helper!I1683,0)</f>
        <v/>
      </c>
    </row>
    <row r="1684">
      <c r="AO1684" s="55">
        <f>IF(AND(Analysis_Helper!Q1684="BENGALURU",Analysis_Helper!L1684="Grocery"),Analysis_Helper!I1684,0)</f>
        <v/>
      </c>
    </row>
    <row r="1685">
      <c r="AO1685" s="55">
        <f>IF(AND(Analysis_Helper!Q1685="BENGALURU",Analysis_Helper!L1685="Grocery"),Analysis_Helper!I1685,0)</f>
        <v/>
      </c>
    </row>
    <row r="1686">
      <c r="AO1686" s="55">
        <f>IF(AND(Analysis_Helper!Q1686="BENGALURU",Analysis_Helper!L1686="Grocery"),Analysis_Helper!I1686,0)</f>
        <v/>
      </c>
    </row>
    <row r="1687">
      <c r="AO1687" s="55">
        <f>IF(AND(Analysis_Helper!Q1687="BENGALURU",Analysis_Helper!L1687="Grocery"),Analysis_Helper!I1687,0)</f>
        <v/>
      </c>
    </row>
    <row r="1688">
      <c r="AO1688" s="55">
        <f>IF(AND(Analysis_Helper!Q1688="BENGALURU",Analysis_Helper!L1688="Grocery"),Analysis_Helper!I1688,0)</f>
        <v/>
      </c>
    </row>
    <row r="1689">
      <c r="AO1689" s="55">
        <f>IF(AND(Analysis_Helper!Q1689="BENGALURU",Analysis_Helper!L1689="Grocery"),Analysis_Helper!I1689,0)</f>
        <v/>
      </c>
    </row>
    <row r="1690">
      <c r="AO1690" s="55">
        <f>IF(AND(Analysis_Helper!Q1690="BENGALURU",Analysis_Helper!L1690="Grocery"),Analysis_Helper!I1690,0)</f>
        <v/>
      </c>
    </row>
    <row r="1691">
      <c r="AO1691" s="55">
        <f>IF(AND(Analysis_Helper!Q1691="BENGALURU",Analysis_Helper!L1691="Grocery"),Analysis_Helper!I1691,0)</f>
        <v/>
      </c>
    </row>
    <row r="1692">
      <c r="AO1692" s="55">
        <f>IF(AND(Analysis_Helper!Q1692="BENGALURU",Analysis_Helper!L1692="Grocery"),Analysis_Helper!I1692,0)</f>
        <v/>
      </c>
    </row>
    <row r="1693">
      <c r="AO1693" s="55">
        <f>IF(AND(Analysis_Helper!Q1693="BENGALURU",Analysis_Helper!L1693="Grocery"),Analysis_Helper!I1693,0)</f>
        <v/>
      </c>
    </row>
    <row r="1694">
      <c r="AO1694" s="55">
        <f>IF(AND(Analysis_Helper!Q1694="BENGALURU",Analysis_Helper!L1694="Grocery"),Analysis_Helper!I1694,0)</f>
        <v/>
      </c>
    </row>
    <row r="1695">
      <c r="AO1695" s="55">
        <f>IF(AND(Analysis_Helper!Q1695="BENGALURU",Analysis_Helper!L1695="Grocery"),Analysis_Helper!I1695,0)</f>
        <v/>
      </c>
    </row>
    <row r="1696">
      <c r="AO1696" s="55">
        <f>IF(AND(Analysis_Helper!Q1696="BENGALURU",Analysis_Helper!L1696="Grocery"),Analysis_Helper!I1696,0)</f>
        <v/>
      </c>
    </row>
    <row r="1697">
      <c r="AO1697" s="55">
        <f>IF(AND(Analysis_Helper!Q1697="BENGALURU",Analysis_Helper!L1697="Grocery"),Analysis_Helper!I1697,0)</f>
        <v/>
      </c>
    </row>
    <row r="1698">
      <c r="AO1698" s="55">
        <f>IF(AND(Analysis_Helper!Q1698="BENGALURU",Analysis_Helper!L1698="Grocery"),Analysis_Helper!I1698,0)</f>
        <v/>
      </c>
    </row>
    <row r="1699">
      <c r="AO1699" s="55">
        <f>IF(AND(Analysis_Helper!Q1699="BENGALURU",Analysis_Helper!L1699="Grocery"),Analysis_Helper!I1699,0)</f>
        <v/>
      </c>
    </row>
    <row r="1700">
      <c r="AO1700" s="55">
        <f>IF(AND(Analysis_Helper!Q1700="BENGALURU",Analysis_Helper!L1700="Grocery"),Analysis_Helper!I1700,0)</f>
        <v/>
      </c>
    </row>
    <row r="1701">
      <c r="AO1701" s="55">
        <f>IF(AND(Analysis_Helper!Q1701="BENGALURU",Analysis_Helper!L1701="Grocery"),Analysis_Helper!I1701,0)</f>
        <v/>
      </c>
    </row>
    <row r="1702">
      <c r="AO1702" s="55">
        <f>IF(AND(Analysis_Helper!Q1702="BENGALURU",Analysis_Helper!L1702="Grocery"),Analysis_Helper!I1702,0)</f>
        <v/>
      </c>
    </row>
    <row r="1703">
      <c r="AO1703" s="55">
        <f>IF(AND(Analysis_Helper!Q1703="BENGALURU",Analysis_Helper!L1703="Grocery"),Analysis_Helper!I1703,0)</f>
        <v/>
      </c>
    </row>
    <row r="1704">
      <c r="AO1704" s="55">
        <f>IF(AND(Analysis_Helper!Q1704="BENGALURU",Analysis_Helper!L1704="Grocery"),Analysis_Helper!I1704,0)</f>
        <v/>
      </c>
    </row>
    <row r="1705">
      <c r="AO1705" s="55">
        <f>IF(AND(Analysis_Helper!Q1705="BENGALURU",Analysis_Helper!L1705="Grocery"),Analysis_Helper!I1705,0)</f>
        <v/>
      </c>
    </row>
    <row r="1706">
      <c r="AO1706" s="55">
        <f>IF(AND(Analysis_Helper!Q1706="BENGALURU",Analysis_Helper!L1706="Grocery"),Analysis_Helper!I1706,0)</f>
        <v/>
      </c>
    </row>
    <row r="1707">
      <c r="AO1707" s="55">
        <f>IF(AND(Analysis_Helper!Q1707="BENGALURU",Analysis_Helper!L1707="Grocery"),Analysis_Helper!I1707,0)</f>
        <v/>
      </c>
    </row>
    <row r="1708">
      <c r="AO1708" s="55">
        <f>IF(AND(Analysis_Helper!Q1708="BENGALURU",Analysis_Helper!L1708="Grocery"),Analysis_Helper!I1708,0)</f>
        <v/>
      </c>
    </row>
    <row r="1709">
      <c r="AO1709" s="55">
        <f>IF(AND(Analysis_Helper!Q1709="BENGALURU",Analysis_Helper!L1709="Grocery"),Analysis_Helper!I1709,0)</f>
        <v/>
      </c>
    </row>
    <row r="1710">
      <c r="AO1710" s="55">
        <f>IF(AND(Analysis_Helper!Q1710="BENGALURU",Analysis_Helper!L1710="Grocery"),Analysis_Helper!I1710,0)</f>
        <v/>
      </c>
    </row>
    <row r="1711">
      <c r="AO1711" s="55">
        <f>IF(AND(Analysis_Helper!Q1711="BENGALURU",Analysis_Helper!L1711="Grocery"),Analysis_Helper!I1711,0)</f>
        <v/>
      </c>
    </row>
    <row r="1712">
      <c r="AO1712" s="55">
        <f>IF(AND(Analysis_Helper!Q1712="BENGALURU",Analysis_Helper!L1712="Grocery"),Analysis_Helper!I1712,0)</f>
        <v/>
      </c>
    </row>
    <row r="1713">
      <c r="AO1713" s="55">
        <f>IF(AND(Analysis_Helper!Q1713="BENGALURU",Analysis_Helper!L1713="Grocery"),Analysis_Helper!I1713,0)</f>
        <v/>
      </c>
    </row>
    <row r="1714">
      <c r="AO1714" s="55">
        <f>IF(AND(Analysis_Helper!Q1714="BENGALURU",Analysis_Helper!L1714="Grocery"),Analysis_Helper!I1714,0)</f>
        <v/>
      </c>
    </row>
    <row r="1715">
      <c r="AO1715" s="55">
        <f>IF(AND(Analysis_Helper!Q1715="BENGALURU",Analysis_Helper!L1715="Grocery"),Analysis_Helper!I1715,0)</f>
        <v/>
      </c>
    </row>
    <row r="1716">
      <c r="AO1716" s="55">
        <f>IF(AND(Analysis_Helper!Q1716="BENGALURU",Analysis_Helper!L1716="Grocery"),Analysis_Helper!I1716,0)</f>
        <v/>
      </c>
    </row>
    <row r="1717">
      <c r="AO1717" s="55">
        <f>IF(AND(Analysis_Helper!Q1717="BENGALURU",Analysis_Helper!L1717="Grocery"),Analysis_Helper!I1717,0)</f>
        <v/>
      </c>
    </row>
    <row r="1718">
      <c r="AO1718" s="55">
        <f>IF(AND(Analysis_Helper!Q1718="BENGALURU",Analysis_Helper!L1718="Grocery"),Analysis_Helper!I1718,0)</f>
        <v/>
      </c>
    </row>
    <row r="1719">
      <c r="AO1719" s="55">
        <f>IF(AND(Analysis_Helper!Q1719="BENGALURU",Analysis_Helper!L1719="Grocery"),Analysis_Helper!I1719,0)</f>
        <v/>
      </c>
    </row>
    <row r="1720">
      <c r="AO1720" s="55">
        <f>IF(AND(Analysis_Helper!Q1720="BENGALURU",Analysis_Helper!L1720="Grocery"),Analysis_Helper!I1720,0)</f>
        <v/>
      </c>
    </row>
    <row r="1721">
      <c r="AO1721" s="55">
        <f>IF(AND(Analysis_Helper!Q1721="BENGALURU",Analysis_Helper!L1721="Grocery"),Analysis_Helper!I1721,0)</f>
        <v/>
      </c>
    </row>
    <row r="1722">
      <c r="AO1722" s="55">
        <f>IF(AND(Analysis_Helper!Q1722="BENGALURU",Analysis_Helper!L1722="Grocery"),Analysis_Helper!I1722,0)</f>
        <v/>
      </c>
    </row>
    <row r="1723">
      <c r="AO1723" s="55">
        <f>IF(AND(Analysis_Helper!Q1723="BENGALURU",Analysis_Helper!L1723="Grocery"),Analysis_Helper!I1723,0)</f>
        <v/>
      </c>
    </row>
    <row r="1724">
      <c r="AO1724" s="55">
        <f>IF(AND(Analysis_Helper!Q1724="BENGALURU",Analysis_Helper!L1724="Grocery"),Analysis_Helper!I1724,0)</f>
        <v/>
      </c>
    </row>
    <row r="1725">
      <c r="AO1725" s="55">
        <f>IF(AND(Analysis_Helper!Q1725="BENGALURU",Analysis_Helper!L1725="Grocery"),Analysis_Helper!I1725,0)</f>
        <v/>
      </c>
    </row>
    <row r="1726">
      <c r="AO1726" s="55">
        <f>IF(AND(Analysis_Helper!Q1726="BENGALURU",Analysis_Helper!L1726="Grocery"),Analysis_Helper!I1726,0)</f>
        <v/>
      </c>
    </row>
    <row r="1727">
      <c r="AO1727" s="55">
        <f>IF(AND(Analysis_Helper!Q1727="BENGALURU",Analysis_Helper!L1727="Grocery"),Analysis_Helper!I1727,0)</f>
        <v/>
      </c>
    </row>
    <row r="1728">
      <c r="AO1728" s="55">
        <f>IF(AND(Analysis_Helper!Q1728="BENGALURU",Analysis_Helper!L1728="Grocery"),Analysis_Helper!I1728,0)</f>
        <v/>
      </c>
    </row>
    <row r="1729">
      <c r="AO1729" s="55">
        <f>IF(AND(Analysis_Helper!Q1729="BENGALURU",Analysis_Helper!L1729="Grocery"),Analysis_Helper!I1729,0)</f>
        <v/>
      </c>
    </row>
    <row r="1730">
      <c r="AO1730" s="55">
        <f>IF(AND(Analysis_Helper!Q1730="BENGALURU",Analysis_Helper!L1730="Grocery"),Analysis_Helper!I1730,0)</f>
        <v/>
      </c>
    </row>
    <row r="1731">
      <c r="AO1731" s="55">
        <f>IF(AND(Analysis_Helper!Q1731="BENGALURU",Analysis_Helper!L1731="Grocery"),Analysis_Helper!I1731,0)</f>
        <v/>
      </c>
    </row>
    <row r="1732">
      <c r="AO1732" s="55">
        <f>IF(AND(Analysis_Helper!Q1732="BENGALURU",Analysis_Helper!L1732="Grocery"),Analysis_Helper!I1732,0)</f>
        <v/>
      </c>
    </row>
    <row r="1733">
      <c r="AO1733" s="55">
        <f>IF(AND(Analysis_Helper!Q1733="BENGALURU",Analysis_Helper!L1733="Grocery"),Analysis_Helper!I1733,0)</f>
        <v/>
      </c>
    </row>
    <row r="1734">
      <c r="AO1734" s="55">
        <f>IF(AND(Analysis_Helper!Q1734="BENGALURU",Analysis_Helper!L1734="Grocery"),Analysis_Helper!I1734,0)</f>
        <v/>
      </c>
    </row>
    <row r="1735">
      <c r="AO1735" s="55">
        <f>IF(AND(Analysis_Helper!Q1735="BENGALURU",Analysis_Helper!L1735="Grocery"),Analysis_Helper!I1735,0)</f>
        <v/>
      </c>
    </row>
    <row r="1736">
      <c r="AO1736" s="55">
        <f>IF(AND(Analysis_Helper!Q1736="BENGALURU",Analysis_Helper!L1736="Grocery"),Analysis_Helper!I1736,0)</f>
        <v/>
      </c>
    </row>
    <row r="1737">
      <c r="AO1737" s="55">
        <f>IF(AND(Analysis_Helper!Q1737="BENGALURU",Analysis_Helper!L1737="Grocery"),Analysis_Helper!I1737,0)</f>
        <v/>
      </c>
    </row>
    <row r="1738">
      <c r="AO1738" s="55">
        <f>IF(AND(Analysis_Helper!Q1738="BENGALURU",Analysis_Helper!L1738="Grocery"),Analysis_Helper!I1738,0)</f>
        <v/>
      </c>
    </row>
    <row r="1739">
      <c r="AO1739" s="55">
        <f>IF(AND(Analysis_Helper!Q1739="BENGALURU",Analysis_Helper!L1739="Grocery"),Analysis_Helper!I1739,0)</f>
        <v/>
      </c>
    </row>
    <row r="1740">
      <c r="AO1740" s="55">
        <f>IF(AND(Analysis_Helper!Q1740="BENGALURU",Analysis_Helper!L1740="Grocery"),Analysis_Helper!I1740,0)</f>
        <v/>
      </c>
    </row>
    <row r="1741">
      <c r="AO1741" s="55">
        <f>IF(AND(Analysis_Helper!Q1741="BENGALURU",Analysis_Helper!L1741="Grocery"),Analysis_Helper!I1741,0)</f>
        <v/>
      </c>
    </row>
    <row r="1742">
      <c r="AO1742" s="55">
        <f>IF(AND(Analysis_Helper!Q1742="BENGALURU",Analysis_Helper!L1742="Grocery"),Analysis_Helper!I1742,0)</f>
        <v/>
      </c>
    </row>
    <row r="1743">
      <c r="AO1743" s="55">
        <f>IF(AND(Analysis_Helper!Q1743="BENGALURU",Analysis_Helper!L1743="Grocery"),Analysis_Helper!I1743,0)</f>
        <v/>
      </c>
    </row>
    <row r="1744">
      <c r="AO1744" s="55">
        <f>IF(AND(Analysis_Helper!Q1744="BENGALURU",Analysis_Helper!L1744="Grocery"),Analysis_Helper!I1744,0)</f>
        <v/>
      </c>
    </row>
    <row r="1745">
      <c r="AO1745" s="55">
        <f>IF(AND(Analysis_Helper!Q1745="BENGALURU",Analysis_Helper!L1745="Grocery"),Analysis_Helper!I1745,0)</f>
        <v/>
      </c>
    </row>
    <row r="1746">
      <c r="AO1746" s="55">
        <f>IF(AND(Analysis_Helper!Q1746="BENGALURU",Analysis_Helper!L1746="Grocery"),Analysis_Helper!I1746,0)</f>
        <v/>
      </c>
    </row>
    <row r="1747">
      <c r="AO1747" s="55">
        <f>IF(AND(Analysis_Helper!Q1747="BENGALURU",Analysis_Helper!L1747="Grocery"),Analysis_Helper!I1747,0)</f>
        <v/>
      </c>
    </row>
    <row r="1748">
      <c r="AO1748" s="55">
        <f>IF(AND(Analysis_Helper!Q1748="BENGALURU",Analysis_Helper!L1748="Grocery"),Analysis_Helper!I1748,0)</f>
        <v/>
      </c>
    </row>
    <row r="1749">
      <c r="AO1749" s="55">
        <f>IF(AND(Analysis_Helper!Q1749="BENGALURU",Analysis_Helper!L1749="Grocery"),Analysis_Helper!I1749,0)</f>
        <v/>
      </c>
    </row>
    <row r="1750">
      <c r="AO1750" s="55">
        <f>IF(AND(Analysis_Helper!Q1750="BENGALURU",Analysis_Helper!L1750="Grocery"),Analysis_Helper!I1750,0)</f>
        <v/>
      </c>
    </row>
    <row r="1751">
      <c r="AO1751" s="55">
        <f>IF(AND(Analysis_Helper!Q1751="BENGALURU",Analysis_Helper!L1751="Grocery"),Analysis_Helper!I1751,0)</f>
        <v/>
      </c>
    </row>
    <row r="1752">
      <c r="AO1752" s="55">
        <f>IF(AND(Analysis_Helper!Q1752="BENGALURU",Analysis_Helper!L1752="Grocery"),Analysis_Helper!I1752,0)</f>
        <v/>
      </c>
    </row>
    <row r="1753">
      <c r="AO1753" s="55">
        <f>IF(AND(Analysis_Helper!Q1753="BENGALURU",Analysis_Helper!L1753="Grocery"),Analysis_Helper!I1753,0)</f>
        <v/>
      </c>
    </row>
    <row r="1754">
      <c r="AO1754" s="55">
        <f>IF(AND(Analysis_Helper!Q1754="BENGALURU",Analysis_Helper!L1754="Grocery"),Analysis_Helper!I1754,0)</f>
        <v/>
      </c>
    </row>
    <row r="1755">
      <c r="AO1755" s="55">
        <f>IF(AND(Analysis_Helper!Q1755="BENGALURU",Analysis_Helper!L1755="Grocery"),Analysis_Helper!I1755,0)</f>
        <v/>
      </c>
    </row>
    <row r="1756">
      <c r="AO1756" s="55">
        <f>IF(AND(Analysis_Helper!Q1756="BENGALURU",Analysis_Helper!L1756="Grocery"),Analysis_Helper!I1756,0)</f>
        <v/>
      </c>
    </row>
    <row r="1757">
      <c r="AO1757" s="55">
        <f>IF(AND(Analysis_Helper!Q1757="BENGALURU",Analysis_Helper!L1757="Grocery"),Analysis_Helper!I1757,0)</f>
        <v/>
      </c>
    </row>
    <row r="1758">
      <c r="AO1758" s="55">
        <f>IF(AND(Analysis_Helper!Q1758="BENGALURU",Analysis_Helper!L1758="Grocery"),Analysis_Helper!I1758,0)</f>
        <v/>
      </c>
    </row>
    <row r="1759">
      <c r="AO1759" s="55">
        <f>IF(AND(Analysis_Helper!Q1759="BENGALURU",Analysis_Helper!L1759="Grocery"),Analysis_Helper!I1759,0)</f>
        <v/>
      </c>
    </row>
    <row r="1760">
      <c r="AO1760" s="55">
        <f>IF(AND(Analysis_Helper!Q1760="BENGALURU",Analysis_Helper!L1760="Grocery"),Analysis_Helper!I1760,0)</f>
        <v/>
      </c>
    </row>
    <row r="1761">
      <c r="AO1761" s="55">
        <f>IF(AND(Analysis_Helper!Q1761="BENGALURU",Analysis_Helper!L1761="Grocery"),Analysis_Helper!I1761,0)</f>
        <v/>
      </c>
    </row>
    <row r="1762">
      <c r="AO1762" s="55">
        <f>IF(AND(Analysis_Helper!Q1762="BENGALURU",Analysis_Helper!L1762="Grocery"),Analysis_Helper!I1762,0)</f>
        <v/>
      </c>
    </row>
    <row r="1763">
      <c r="AO1763" s="55">
        <f>IF(AND(Analysis_Helper!Q1763="BENGALURU",Analysis_Helper!L1763="Grocery"),Analysis_Helper!I1763,0)</f>
        <v/>
      </c>
    </row>
    <row r="1764">
      <c r="AO1764" s="55">
        <f>IF(AND(Analysis_Helper!Q1764="BENGALURU",Analysis_Helper!L1764="Grocery"),Analysis_Helper!I1764,0)</f>
        <v/>
      </c>
    </row>
    <row r="1765">
      <c r="AO1765" s="55">
        <f>IF(AND(Analysis_Helper!Q1765="BENGALURU",Analysis_Helper!L1765="Grocery"),Analysis_Helper!I1765,0)</f>
        <v/>
      </c>
    </row>
    <row r="1766">
      <c r="AO1766" s="55">
        <f>IF(AND(Analysis_Helper!Q1766="BENGALURU",Analysis_Helper!L1766="Grocery"),Analysis_Helper!I1766,0)</f>
        <v/>
      </c>
    </row>
    <row r="1767">
      <c r="AO1767" s="55">
        <f>IF(AND(Analysis_Helper!Q1767="BENGALURU",Analysis_Helper!L1767="Grocery"),Analysis_Helper!I1767,0)</f>
        <v/>
      </c>
    </row>
    <row r="1768">
      <c r="AO1768" s="55">
        <f>IF(AND(Analysis_Helper!Q1768="BENGALURU",Analysis_Helper!L1768="Grocery"),Analysis_Helper!I1768,0)</f>
        <v/>
      </c>
    </row>
    <row r="1769">
      <c r="AO1769" s="55">
        <f>IF(AND(Analysis_Helper!Q1769="BENGALURU",Analysis_Helper!L1769="Grocery"),Analysis_Helper!I1769,0)</f>
        <v/>
      </c>
    </row>
    <row r="1770">
      <c r="AO1770" s="55">
        <f>IF(AND(Analysis_Helper!Q1770="BENGALURU",Analysis_Helper!L1770="Grocery"),Analysis_Helper!I1770,0)</f>
        <v/>
      </c>
    </row>
    <row r="1771">
      <c r="AO1771" s="55">
        <f>IF(AND(Analysis_Helper!Q1771="BENGALURU",Analysis_Helper!L1771="Grocery"),Analysis_Helper!I1771,0)</f>
        <v/>
      </c>
    </row>
    <row r="1772">
      <c r="AO1772" s="55">
        <f>IF(AND(Analysis_Helper!Q1772="BENGALURU",Analysis_Helper!L1772="Grocery"),Analysis_Helper!I1772,0)</f>
        <v/>
      </c>
    </row>
    <row r="1773">
      <c r="AO1773" s="55">
        <f>IF(AND(Analysis_Helper!Q1773="BENGALURU",Analysis_Helper!L1773="Grocery"),Analysis_Helper!I1773,0)</f>
        <v/>
      </c>
    </row>
    <row r="1774">
      <c r="AO1774" s="55">
        <f>IF(AND(Analysis_Helper!Q1774="BENGALURU",Analysis_Helper!L1774="Grocery"),Analysis_Helper!I1774,0)</f>
        <v/>
      </c>
    </row>
    <row r="1775">
      <c r="AO1775" s="55">
        <f>IF(AND(Analysis_Helper!Q1775="BENGALURU",Analysis_Helper!L1775="Grocery"),Analysis_Helper!I1775,0)</f>
        <v/>
      </c>
    </row>
    <row r="1776">
      <c r="AO1776" s="55">
        <f>IF(AND(Analysis_Helper!Q1776="BENGALURU",Analysis_Helper!L1776="Grocery"),Analysis_Helper!I1776,0)</f>
        <v/>
      </c>
    </row>
    <row r="1777">
      <c r="AO1777" s="55">
        <f>IF(AND(Analysis_Helper!Q1777="BENGALURU",Analysis_Helper!L1777="Grocery"),Analysis_Helper!I1777,0)</f>
        <v/>
      </c>
    </row>
    <row r="1778">
      <c r="AO1778" s="55">
        <f>IF(AND(Analysis_Helper!Q1778="BENGALURU",Analysis_Helper!L1778="Grocery"),Analysis_Helper!I1778,0)</f>
        <v/>
      </c>
    </row>
    <row r="1779">
      <c r="AO1779" s="55">
        <f>IF(AND(Analysis_Helper!Q1779="BENGALURU",Analysis_Helper!L1779="Grocery"),Analysis_Helper!I1779,0)</f>
        <v/>
      </c>
    </row>
    <row r="1780">
      <c r="AO1780" s="55">
        <f>IF(AND(Analysis_Helper!Q1780="BENGALURU",Analysis_Helper!L1780="Grocery"),Analysis_Helper!I1780,0)</f>
        <v/>
      </c>
    </row>
    <row r="1781">
      <c r="AO1781" s="55">
        <f>IF(AND(Analysis_Helper!Q1781="BENGALURU",Analysis_Helper!L1781="Grocery"),Analysis_Helper!I1781,0)</f>
        <v/>
      </c>
    </row>
    <row r="1782">
      <c r="AO1782" s="55">
        <f>IF(AND(Analysis_Helper!Q1782="BENGALURU",Analysis_Helper!L1782="Grocery"),Analysis_Helper!I1782,0)</f>
        <v/>
      </c>
    </row>
    <row r="1783">
      <c r="AO1783" s="55">
        <f>IF(AND(Analysis_Helper!Q1783="BENGALURU",Analysis_Helper!L1783="Grocery"),Analysis_Helper!I1783,0)</f>
        <v/>
      </c>
    </row>
    <row r="1784">
      <c r="AO1784" s="55">
        <f>IF(AND(Analysis_Helper!Q1784="BENGALURU",Analysis_Helper!L1784="Grocery"),Analysis_Helper!I1784,0)</f>
        <v/>
      </c>
    </row>
    <row r="1785">
      <c r="AO1785" s="55">
        <f>IF(AND(Analysis_Helper!Q1785="BENGALURU",Analysis_Helper!L1785="Grocery"),Analysis_Helper!I1785,0)</f>
        <v/>
      </c>
    </row>
    <row r="1786">
      <c r="AO1786" s="55">
        <f>IF(AND(Analysis_Helper!Q1786="BENGALURU",Analysis_Helper!L1786="Grocery"),Analysis_Helper!I1786,0)</f>
        <v/>
      </c>
    </row>
    <row r="1787">
      <c r="AO1787" s="55">
        <f>IF(AND(Analysis_Helper!Q1787="BENGALURU",Analysis_Helper!L1787="Grocery"),Analysis_Helper!I1787,0)</f>
        <v/>
      </c>
    </row>
    <row r="1788">
      <c r="AO1788" s="55">
        <f>IF(AND(Analysis_Helper!Q1788="BENGALURU",Analysis_Helper!L1788="Grocery"),Analysis_Helper!I1788,0)</f>
        <v/>
      </c>
    </row>
    <row r="1789">
      <c r="AO1789" s="55">
        <f>IF(AND(Analysis_Helper!Q1789="BENGALURU",Analysis_Helper!L1789="Grocery"),Analysis_Helper!I1789,0)</f>
        <v/>
      </c>
    </row>
    <row r="1790">
      <c r="AO1790" s="55">
        <f>IF(AND(Analysis_Helper!Q1790="BENGALURU",Analysis_Helper!L1790="Grocery"),Analysis_Helper!I1790,0)</f>
        <v/>
      </c>
    </row>
    <row r="1791">
      <c r="AO1791" s="55">
        <f>IF(AND(Analysis_Helper!Q1791="BENGALURU",Analysis_Helper!L1791="Grocery"),Analysis_Helper!I1791,0)</f>
        <v/>
      </c>
    </row>
    <row r="1792">
      <c r="AO1792" s="55">
        <f>IF(AND(Analysis_Helper!Q1792="BENGALURU",Analysis_Helper!L1792="Grocery"),Analysis_Helper!I1792,0)</f>
        <v/>
      </c>
    </row>
    <row r="1793">
      <c r="AO1793" s="55">
        <f>IF(AND(Analysis_Helper!Q1793="BENGALURU",Analysis_Helper!L1793="Grocery"),Analysis_Helper!I1793,0)</f>
        <v/>
      </c>
    </row>
    <row r="1794">
      <c r="AO1794" s="55">
        <f>IF(AND(Analysis_Helper!Q1794="BENGALURU",Analysis_Helper!L1794="Grocery"),Analysis_Helper!I1794,0)</f>
        <v/>
      </c>
    </row>
    <row r="1795">
      <c r="AO1795" s="55">
        <f>IF(AND(Analysis_Helper!Q1795="BENGALURU",Analysis_Helper!L1795="Grocery"),Analysis_Helper!I1795,0)</f>
        <v/>
      </c>
    </row>
    <row r="1796">
      <c r="AO1796" s="55">
        <f>IF(AND(Analysis_Helper!Q1796="BENGALURU",Analysis_Helper!L1796="Grocery"),Analysis_Helper!I1796,0)</f>
        <v/>
      </c>
    </row>
    <row r="1797">
      <c r="AO1797" s="55">
        <f>IF(AND(Analysis_Helper!Q1797="BENGALURU",Analysis_Helper!L1797="Grocery"),Analysis_Helper!I1797,0)</f>
        <v/>
      </c>
    </row>
    <row r="1798">
      <c r="AO1798" s="55">
        <f>IF(AND(Analysis_Helper!Q1798="BENGALURU",Analysis_Helper!L1798="Grocery"),Analysis_Helper!I1798,0)</f>
        <v/>
      </c>
    </row>
    <row r="1799">
      <c r="AO1799" s="55">
        <f>IF(AND(Analysis_Helper!Q1799="BENGALURU",Analysis_Helper!L1799="Grocery"),Analysis_Helper!I1799,0)</f>
        <v/>
      </c>
    </row>
    <row r="1800">
      <c r="AO1800" s="55">
        <f>IF(AND(Analysis_Helper!Q1800="BENGALURU",Analysis_Helper!L1800="Grocery"),Analysis_Helper!I1800,0)</f>
        <v/>
      </c>
    </row>
    <row r="1801">
      <c r="AO1801" s="55">
        <f>IF(AND(Analysis_Helper!Q1801="BENGALURU",Analysis_Helper!L1801="Grocery"),Analysis_Helper!I1801,0)</f>
        <v/>
      </c>
    </row>
    <row r="1802">
      <c r="AO1802" s="55">
        <f>IF(AND(Analysis_Helper!Q1802="BENGALURU",Analysis_Helper!L1802="Grocery"),Analysis_Helper!I1802,0)</f>
        <v/>
      </c>
    </row>
    <row r="1803">
      <c r="AO1803" s="55">
        <f>IF(AND(Analysis_Helper!Q1803="BENGALURU",Analysis_Helper!L1803="Grocery"),Analysis_Helper!I1803,0)</f>
        <v/>
      </c>
    </row>
    <row r="1804">
      <c r="AO1804" s="55">
        <f>IF(AND(Analysis_Helper!Q1804="BENGALURU",Analysis_Helper!L1804="Grocery"),Analysis_Helper!I1804,0)</f>
        <v/>
      </c>
    </row>
    <row r="1805">
      <c r="AO1805" s="55">
        <f>IF(AND(Analysis_Helper!Q1805="BENGALURU",Analysis_Helper!L1805="Grocery"),Analysis_Helper!I1805,0)</f>
        <v/>
      </c>
    </row>
    <row r="1806">
      <c r="AO1806" s="55">
        <f>IF(AND(Analysis_Helper!Q1806="BENGALURU",Analysis_Helper!L1806="Grocery"),Analysis_Helper!I1806,0)</f>
        <v/>
      </c>
    </row>
    <row r="1807">
      <c r="AO1807" s="55">
        <f>IF(AND(Analysis_Helper!Q1807="BENGALURU",Analysis_Helper!L1807="Grocery"),Analysis_Helper!I1807,0)</f>
        <v/>
      </c>
    </row>
    <row r="1808">
      <c r="AO1808" s="55">
        <f>IF(AND(Analysis_Helper!Q1808="BENGALURU",Analysis_Helper!L1808="Grocery"),Analysis_Helper!I1808,0)</f>
        <v/>
      </c>
    </row>
    <row r="1809">
      <c r="AO1809" s="55">
        <f>IF(AND(Analysis_Helper!Q1809="BENGALURU",Analysis_Helper!L1809="Grocery"),Analysis_Helper!I1809,0)</f>
        <v/>
      </c>
    </row>
    <row r="1810">
      <c r="AO1810" s="55">
        <f>IF(AND(Analysis_Helper!Q1810="BENGALURU",Analysis_Helper!L1810="Grocery"),Analysis_Helper!I1810,0)</f>
        <v/>
      </c>
    </row>
    <row r="1811">
      <c r="AO1811" s="55">
        <f>IF(AND(Analysis_Helper!Q1811="BENGALURU",Analysis_Helper!L1811="Grocery"),Analysis_Helper!I1811,0)</f>
        <v/>
      </c>
    </row>
    <row r="1812">
      <c r="AO1812" s="55">
        <f>IF(AND(Analysis_Helper!Q1812="BENGALURU",Analysis_Helper!L1812="Grocery"),Analysis_Helper!I1812,0)</f>
        <v/>
      </c>
    </row>
    <row r="1813">
      <c r="AO1813" s="55">
        <f>IF(AND(Analysis_Helper!Q1813="BENGALURU",Analysis_Helper!L1813="Grocery"),Analysis_Helper!I1813,0)</f>
        <v/>
      </c>
    </row>
    <row r="1814">
      <c r="AO1814" s="55">
        <f>IF(AND(Analysis_Helper!Q1814="BENGALURU",Analysis_Helper!L1814="Grocery"),Analysis_Helper!I1814,0)</f>
        <v/>
      </c>
    </row>
    <row r="1815">
      <c r="AO1815" s="55">
        <f>IF(AND(Analysis_Helper!Q1815="BENGALURU",Analysis_Helper!L1815="Grocery"),Analysis_Helper!I1815,0)</f>
        <v/>
      </c>
    </row>
    <row r="1816">
      <c r="AO1816" s="55">
        <f>IF(AND(Analysis_Helper!Q1816="BENGALURU",Analysis_Helper!L1816="Grocery"),Analysis_Helper!I1816,0)</f>
        <v/>
      </c>
    </row>
    <row r="1817">
      <c r="AO1817" s="55">
        <f>IF(AND(Analysis_Helper!Q1817="BENGALURU",Analysis_Helper!L1817="Grocery"),Analysis_Helper!I1817,0)</f>
        <v/>
      </c>
    </row>
    <row r="1818">
      <c r="AO1818" s="55">
        <f>IF(AND(Analysis_Helper!Q1818="BENGALURU",Analysis_Helper!L1818="Grocery"),Analysis_Helper!I1818,0)</f>
        <v/>
      </c>
    </row>
    <row r="1819">
      <c r="AO1819" s="55">
        <f>IF(AND(Analysis_Helper!Q1819="BENGALURU",Analysis_Helper!L1819="Grocery"),Analysis_Helper!I1819,0)</f>
        <v/>
      </c>
    </row>
    <row r="1820">
      <c r="AO1820" s="55">
        <f>IF(AND(Analysis_Helper!Q1820="BENGALURU",Analysis_Helper!L1820="Grocery"),Analysis_Helper!I1820,0)</f>
        <v/>
      </c>
    </row>
    <row r="1821">
      <c r="AO1821" s="55">
        <f>IF(AND(Analysis_Helper!Q1821="BENGALURU",Analysis_Helper!L1821="Grocery"),Analysis_Helper!I1821,0)</f>
        <v/>
      </c>
    </row>
    <row r="1822">
      <c r="AO1822" s="55">
        <f>IF(AND(Analysis_Helper!Q1822="BENGALURU",Analysis_Helper!L1822="Grocery"),Analysis_Helper!I1822,0)</f>
        <v/>
      </c>
    </row>
    <row r="1823">
      <c r="AO1823" s="55">
        <f>IF(AND(Analysis_Helper!Q1823="BENGALURU",Analysis_Helper!L1823="Grocery"),Analysis_Helper!I1823,0)</f>
        <v/>
      </c>
    </row>
    <row r="1824">
      <c r="AO1824" s="55">
        <f>IF(AND(Analysis_Helper!Q1824="BENGALURU",Analysis_Helper!L1824="Grocery"),Analysis_Helper!I1824,0)</f>
        <v/>
      </c>
    </row>
    <row r="1825">
      <c r="AO1825" s="55">
        <f>IF(AND(Analysis_Helper!Q1825="BENGALURU",Analysis_Helper!L1825="Grocery"),Analysis_Helper!I1825,0)</f>
        <v/>
      </c>
    </row>
    <row r="1826">
      <c r="AO1826" s="55">
        <f>IF(AND(Analysis_Helper!Q1826="BENGALURU",Analysis_Helper!L1826="Grocery"),Analysis_Helper!I1826,0)</f>
        <v/>
      </c>
    </row>
    <row r="1827">
      <c r="AO1827" s="55">
        <f>IF(AND(Analysis_Helper!Q1827="BENGALURU",Analysis_Helper!L1827="Grocery"),Analysis_Helper!I1827,0)</f>
        <v/>
      </c>
    </row>
    <row r="1828">
      <c r="AO1828" s="55">
        <f>IF(AND(Analysis_Helper!Q1828="BENGALURU",Analysis_Helper!L1828="Grocery"),Analysis_Helper!I1828,0)</f>
        <v/>
      </c>
    </row>
    <row r="1829">
      <c r="AO1829" s="55">
        <f>IF(AND(Analysis_Helper!Q1829="BENGALURU",Analysis_Helper!L1829="Grocery"),Analysis_Helper!I1829,0)</f>
        <v/>
      </c>
    </row>
    <row r="1830">
      <c r="AO1830" s="55">
        <f>IF(AND(Analysis_Helper!Q1830="BENGALURU",Analysis_Helper!L1830="Grocery"),Analysis_Helper!I1830,0)</f>
        <v/>
      </c>
    </row>
    <row r="1831">
      <c r="AO1831" s="55">
        <f>IF(AND(Analysis_Helper!Q1831="BENGALURU",Analysis_Helper!L1831="Grocery"),Analysis_Helper!I1831,0)</f>
        <v/>
      </c>
    </row>
    <row r="1832">
      <c r="AO1832" s="55">
        <f>IF(AND(Analysis_Helper!Q1832="BENGALURU",Analysis_Helper!L1832="Grocery"),Analysis_Helper!I1832,0)</f>
        <v/>
      </c>
    </row>
    <row r="1833">
      <c r="AO1833" s="55">
        <f>IF(AND(Analysis_Helper!Q1833="BENGALURU",Analysis_Helper!L1833="Grocery"),Analysis_Helper!I1833,0)</f>
        <v/>
      </c>
    </row>
    <row r="1834">
      <c r="AO1834" s="55">
        <f>IF(AND(Analysis_Helper!Q1834="BENGALURU",Analysis_Helper!L1834="Grocery"),Analysis_Helper!I1834,0)</f>
        <v/>
      </c>
    </row>
    <row r="1835">
      <c r="AO1835" s="55">
        <f>IF(AND(Analysis_Helper!Q1835="BENGALURU",Analysis_Helper!L1835="Grocery"),Analysis_Helper!I1835,0)</f>
        <v/>
      </c>
    </row>
    <row r="1836">
      <c r="AO1836" s="55">
        <f>IF(AND(Analysis_Helper!Q1836="BENGALURU",Analysis_Helper!L1836="Grocery"),Analysis_Helper!I1836,0)</f>
        <v/>
      </c>
    </row>
    <row r="1837">
      <c r="AO1837" s="55">
        <f>IF(AND(Analysis_Helper!Q1837="BENGALURU",Analysis_Helper!L1837="Grocery"),Analysis_Helper!I1837,0)</f>
        <v/>
      </c>
    </row>
    <row r="1838">
      <c r="AO1838" s="55">
        <f>IF(AND(Analysis_Helper!Q1838="BENGALURU",Analysis_Helper!L1838="Grocery"),Analysis_Helper!I1838,0)</f>
        <v/>
      </c>
    </row>
    <row r="1839">
      <c r="AO1839" s="55">
        <f>IF(AND(Analysis_Helper!Q1839="BENGALURU",Analysis_Helper!L1839="Grocery"),Analysis_Helper!I1839,0)</f>
        <v/>
      </c>
    </row>
    <row r="1840">
      <c r="AO1840" s="55">
        <f>IF(AND(Analysis_Helper!Q1840="BENGALURU",Analysis_Helper!L1840="Grocery"),Analysis_Helper!I1840,0)</f>
        <v/>
      </c>
    </row>
    <row r="1841">
      <c r="AO1841" s="55">
        <f>IF(AND(Analysis_Helper!Q1841="BENGALURU",Analysis_Helper!L1841="Grocery"),Analysis_Helper!I1841,0)</f>
        <v/>
      </c>
    </row>
    <row r="1842">
      <c r="AO1842" s="55">
        <f>IF(AND(Analysis_Helper!Q1842="BENGALURU",Analysis_Helper!L1842="Grocery"),Analysis_Helper!I1842,0)</f>
        <v/>
      </c>
    </row>
    <row r="1843">
      <c r="AO1843" s="55">
        <f>IF(AND(Analysis_Helper!Q1843="BENGALURU",Analysis_Helper!L1843="Grocery"),Analysis_Helper!I1843,0)</f>
        <v/>
      </c>
    </row>
    <row r="1844">
      <c r="AO1844" s="55">
        <f>IF(AND(Analysis_Helper!Q1844="BENGALURU",Analysis_Helper!L1844="Grocery"),Analysis_Helper!I1844,0)</f>
        <v/>
      </c>
    </row>
    <row r="1845">
      <c r="AO1845" s="55">
        <f>IF(AND(Analysis_Helper!Q1845="BENGALURU",Analysis_Helper!L1845="Grocery"),Analysis_Helper!I1845,0)</f>
        <v/>
      </c>
    </row>
    <row r="1846">
      <c r="AO1846" s="55">
        <f>IF(AND(Analysis_Helper!Q1846="BENGALURU",Analysis_Helper!L1846="Grocery"),Analysis_Helper!I1846,0)</f>
        <v/>
      </c>
    </row>
    <row r="1847">
      <c r="AO1847" s="55">
        <f>IF(AND(Analysis_Helper!Q1847="BENGALURU",Analysis_Helper!L1847="Grocery"),Analysis_Helper!I1847,0)</f>
        <v/>
      </c>
    </row>
    <row r="1848">
      <c r="AO1848" s="55">
        <f>IF(AND(Analysis_Helper!Q1848="BENGALURU",Analysis_Helper!L1848="Grocery"),Analysis_Helper!I1848,0)</f>
        <v/>
      </c>
    </row>
    <row r="1849">
      <c r="AO1849" s="55">
        <f>IF(AND(Analysis_Helper!Q1849="BENGALURU",Analysis_Helper!L1849="Grocery"),Analysis_Helper!I1849,0)</f>
        <v/>
      </c>
    </row>
    <row r="1850">
      <c r="AO1850" s="55">
        <f>IF(AND(Analysis_Helper!Q1850="BENGALURU",Analysis_Helper!L1850="Grocery"),Analysis_Helper!I1850,0)</f>
        <v/>
      </c>
    </row>
    <row r="1851">
      <c r="AO1851" s="55">
        <f>IF(AND(Analysis_Helper!Q1851="BENGALURU",Analysis_Helper!L1851="Grocery"),Analysis_Helper!I1851,0)</f>
        <v/>
      </c>
    </row>
    <row r="1852">
      <c r="AO1852" s="55">
        <f>IF(AND(Analysis_Helper!Q1852="BENGALURU",Analysis_Helper!L1852="Grocery"),Analysis_Helper!I1852,0)</f>
        <v/>
      </c>
    </row>
    <row r="1853">
      <c r="AO1853" s="55">
        <f>IF(AND(Analysis_Helper!Q1853="BENGALURU",Analysis_Helper!L1853="Grocery"),Analysis_Helper!I1853,0)</f>
        <v/>
      </c>
    </row>
    <row r="1854">
      <c r="AO1854" s="55">
        <f>IF(AND(Analysis_Helper!Q1854="BENGALURU",Analysis_Helper!L1854="Grocery"),Analysis_Helper!I1854,0)</f>
        <v/>
      </c>
    </row>
    <row r="1855">
      <c r="AO1855" s="55">
        <f>IF(AND(Analysis_Helper!Q1855="BENGALURU",Analysis_Helper!L1855="Grocery"),Analysis_Helper!I1855,0)</f>
        <v/>
      </c>
    </row>
    <row r="1856">
      <c r="AO1856" s="55">
        <f>IF(AND(Analysis_Helper!Q1856="BENGALURU",Analysis_Helper!L1856="Grocery"),Analysis_Helper!I1856,0)</f>
        <v/>
      </c>
    </row>
    <row r="1857">
      <c r="AO1857" s="55">
        <f>IF(AND(Analysis_Helper!Q1857="BENGALURU",Analysis_Helper!L1857="Grocery"),Analysis_Helper!I1857,0)</f>
        <v/>
      </c>
    </row>
    <row r="1858">
      <c r="AO1858" s="55">
        <f>IF(AND(Analysis_Helper!Q1858="BENGALURU",Analysis_Helper!L1858="Grocery"),Analysis_Helper!I1858,0)</f>
        <v/>
      </c>
    </row>
    <row r="1859">
      <c r="AO1859" s="55">
        <f>IF(AND(Analysis_Helper!Q1859="BENGALURU",Analysis_Helper!L1859="Grocery"),Analysis_Helper!I1859,0)</f>
        <v/>
      </c>
    </row>
    <row r="1860">
      <c r="AO1860" s="55">
        <f>IF(AND(Analysis_Helper!Q1860="BENGALURU",Analysis_Helper!L1860="Grocery"),Analysis_Helper!I1860,0)</f>
        <v/>
      </c>
    </row>
    <row r="1861">
      <c r="AO1861" s="55">
        <f>IF(AND(Analysis_Helper!Q1861="BENGALURU",Analysis_Helper!L1861="Grocery"),Analysis_Helper!I1861,0)</f>
        <v/>
      </c>
    </row>
    <row r="1862">
      <c r="AO1862" s="55">
        <f>IF(AND(Analysis_Helper!Q1862="BENGALURU",Analysis_Helper!L1862="Grocery"),Analysis_Helper!I1862,0)</f>
        <v/>
      </c>
    </row>
    <row r="1863">
      <c r="AO1863" s="55">
        <f>IF(AND(Analysis_Helper!Q1863="BENGALURU",Analysis_Helper!L1863="Grocery"),Analysis_Helper!I1863,0)</f>
        <v/>
      </c>
    </row>
    <row r="1864">
      <c r="AO1864" s="55">
        <f>IF(AND(Analysis_Helper!Q1864="BENGALURU",Analysis_Helper!L1864="Grocery"),Analysis_Helper!I1864,0)</f>
        <v/>
      </c>
    </row>
    <row r="1865">
      <c r="AO1865" s="55">
        <f>IF(AND(Analysis_Helper!Q1865="BENGALURU",Analysis_Helper!L1865="Grocery"),Analysis_Helper!I1865,0)</f>
        <v/>
      </c>
    </row>
    <row r="1866">
      <c r="AO1866" s="55">
        <f>IF(AND(Analysis_Helper!Q1866="BENGALURU",Analysis_Helper!L1866="Grocery"),Analysis_Helper!I1866,0)</f>
        <v/>
      </c>
    </row>
    <row r="1867">
      <c r="AO1867" s="55">
        <f>IF(AND(Analysis_Helper!Q1867="BENGALURU",Analysis_Helper!L1867="Grocery"),Analysis_Helper!I1867,0)</f>
        <v/>
      </c>
    </row>
    <row r="1868">
      <c r="AO1868" s="55">
        <f>IF(AND(Analysis_Helper!Q1868="BENGALURU",Analysis_Helper!L1868="Grocery"),Analysis_Helper!I1868,0)</f>
        <v/>
      </c>
    </row>
    <row r="1869">
      <c r="AO1869" s="55">
        <f>IF(AND(Analysis_Helper!Q1869="BENGALURU",Analysis_Helper!L1869="Grocery"),Analysis_Helper!I1869,0)</f>
        <v/>
      </c>
    </row>
    <row r="1870">
      <c r="AO1870" s="55">
        <f>IF(AND(Analysis_Helper!Q1870="BENGALURU",Analysis_Helper!L1870="Grocery"),Analysis_Helper!I1870,0)</f>
        <v/>
      </c>
    </row>
    <row r="1871">
      <c r="AO1871" s="55">
        <f>IF(AND(Analysis_Helper!Q1871="BENGALURU",Analysis_Helper!L1871="Grocery"),Analysis_Helper!I1871,0)</f>
        <v/>
      </c>
    </row>
    <row r="1872">
      <c r="AO1872" s="55">
        <f>IF(AND(Analysis_Helper!Q1872="BENGALURU",Analysis_Helper!L1872="Grocery"),Analysis_Helper!I1872,0)</f>
        <v/>
      </c>
    </row>
    <row r="1873">
      <c r="AO1873" s="55">
        <f>IF(AND(Analysis_Helper!Q1873="BENGALURU",Analysis_Helper!L1873="Grocery"),Analysis_Helper!I1873,0)</f>
        <v/>
      </c>
    </row>
    <row r="1874">
      <c r="AO1874" s="55">
        <f>IF(AND(Analysis_Helper!Q1874="BENGALURU",Analysis_Helper!L1874="Grocery"),Analysis_Helper!I1874,0)</f>
        <v/>
      </c>
    </row>
    <row r="1875">
      <c r="AO1875" s="55">
        <f>IF(AND(Analysis_Helper!Q1875="BENGALURU",Analysis_Helper!L1875="Grocery"),Analysis_Helper!I1875,0)</f>
        <v/>
      </c>
    </row>
    <row r="1876">
      <c r="AO1876" s="55">
        <f>IF(AND(Analysis_Helper!Q1876="BENGALURU",Analysis_Helper!L1876="Grocery"),Analysis_Helper!I1876,0)</f>
        <v/>
      </c>
    </row>
    <row r="1877">
      <c r="AO1877" s="55">
        <f>IF(AND(Analysis_Helper!Q1877="BENGALURU",Analysis_Helper!L1877="Grocery"),Analysis_Helper!I1877,0)</f>
        <v/>
      </c>
    </row>
    <row r="1878">
      <c r="AO1878" s="55">
        <f>IF(AND(Analysis_Helper!Q1878="BENGALURU",Analysis_Helper!L1878="Grocery"),Analysis_Helper!I1878,0)</f>
        <v/>
      </c>
    </row>
    <row r="1879">
      <c r="AO1879" s="55">
        <f>IF(AND(Analysis_Helper!Q1879="BENGALURU",Analysis_Helper!L1879="Grocery"),Analysis_Helper!I1879,0)</f>
        <v/>
      </c>
    </row>
    <row r="1880">
      <c r="AO1880" s="55">
        <f>IF(AND(Analysis_Helper!Q1880="BENGALURU",Analysis_Helper!L1880="Grocery"),Analysis_Helper!I1880,0)</f>
        <v/>
      </c>
    </row>
    <row r="1881">
      <c r="AO1881" s="55">
        <f>IF(AND(Analysis_Helper!Q1881="BENGALURU",Analysis_Helper!L1881="Grocery"),Analysis_Helper!I1881,0)</f>
        <v/>
      </c>
    </row>
    <row r="1882">
      <c r="AO1882" s="55">
        <f>IF(AND(Analysis_Helper!Q1882="BENGALURU",Analysis_Helper!L1882="Grocery"),Analysis_Helper!I1882,0)</f>
        <v/>
      </c>
    </row>
    <row r="1883">
      <c r="AO1883" s="55">
        <f>IF(AND(Analysis_Helper!Q1883="BENGALURU",Analysis_Helper!L1883="Grocery"),Analysis_Helper!I1883,0)</f>
        <v/>
      </c>
    </row>
    <row r="1884">
      <c r="AO1884" s="55">
        <f>IF(AND(Analysis_Helper!Q1884="BENGALURU",Analysis_Helper!L1884="Grocery"),Analysis_Helper!I1884,0)</f>
        <v/>
      </c>
    </row>
    <row r="1885">
      <c r="AO1885" s="55">
        <f>IF(AND(Analysis_Helper!Q1885="BENGALURU",Analysis_Helper!L1885="Grocery"),Analysis_Helper!I1885,0)</f>
        <v/>
      </c>
    </row>
    <row r="1886">
      <c r="AO1886" s="55">
        <f>IF(AND(Analysis_Helper!Q1886="BENGALURU",Analysis_Helper!L1886="Grocery"),Analysis_Helper!I1886,0)</f>
        <v/>
      </c>
    </row>
    <row r="1887">
      <c r="AO1887" s="55">
        <f>IF(AND(Analysis_Helper!Q1887="BENGALURU",Analysis_Helper!L1887="Grocery"),Analysis_Helper!I1887,0)</f>
        <v/>
      </c>
    </row>
    <row r="1888">
      <c r="AO1888" s="55">
        <f>IF(AND(Analysis_Helper!Q1888="BENGALURU",Analysis_Helper!L1888="Grocery"),Analysis_Helper!I1888,0)</f>
        <v/>
      </c>
    </row>
    <row r="1889">
      <c r="AO1889" s="55">
        <f>IF(AND(Analysis_Helper!Q1889="BENGALURU",Analysis_Helper!L1889="Grocery"),Analysis_Helper!I1889,0)</f>
        <v/>
      </c>
    </row>
    <row r="1890">
      <c r="AO1890" s="55">
        <f>IF(AND(Analysis_Helper!Q1890="BENGALURU",Analysis_Helper!L1890="Grocery"),Analysis_Helper!I1890,0)</f>
        <v/>
      </c>
    </row>
    <row r="1891">
      <c r="AO1891" s="55">
        <f>IF(AND(Analysis_Helper!Q1891="BENGALURU",Analysis_Helper!L1891="Grocery"),Analysis_Helper!I1891,0)</f>
        <v/>
      </c>
    </row>
    <row r="1892">
      <c r="AO1892" s="55">
        <f>IF(AND(Analysis_Helper!Q1892="BENGALURU",Analysis_Helper!L1892="Grocery"),Analysis_Helper!I1892,0)</f>
        <v/>
      </c>
    </row>
    <row r="1893">
      <c r="AO1893" s="55">
        <f>IF(AND(Analysis_Helper!Q1893="BENGALURU",Analysis_Helper!L1893="Grocery"),Analysis_Helper!I1893,0)</f>
        <v/>
      </c>
    </row>
    <row r="1894">
      <c r="AO1894" s="55">
        <f>IF(AND(Analysis_Helper!Q1894="BENGALURU",Analysis_Helper!L1894="Grocery"),Analysis_Helper!I1894,0)</f>
        <v/>
      </c>
    </row>
    <row r="1895">
      <c r="AO1895" s="55">
        <f>IF(AND(Analysis_Helper!Q1895="BENGALURU",Analysis_Helper!L1895="Grocery"),Analysis_Helper!I1895,0)</f>
        <v/>
      </c>
    </row>
    <row r="1896">
      <c r="AO1896" s="55">
        <f>IF(AND(Analysis_Helper!Q1896="BENGALURU",Analysis_Helper!L1896="Grocery"),Analysis_Helper!I1896,0)</f>
        <v/>
      </c>
    </row>
    <row r="1897">
      <c r="AO1897" s="55">
        <f>IF(AND(Analysis_Helper!Q1897="BENGALURU",Analysis_Helper!L1897="Grocery"),Analysis_Helper!I1897,0)</f>
        <v/>
      </c>
    </row>
    <row r="1898">
      <c r="AO1898" s="55">
        <f>IF(AND(Analysis_Helper!Q1898="BENGALURU",Analysis_Helper!L1898="Grocery"),Analysis_Helper!I1898,0)</f>
        <v/>
      </c>
    </row>
    <row r="1899">
      <c r="AO1899" s="55">
        <f>IF(AND(Analysis_Helper!Q1899="BENGALURU",Analysis_Helper!L1899="Grocery"),Analysis_Helper!I1899,0)</f>
        <v/>
      </c>
    </row>
    <row r="1900">
      <c r="AO1900" s="55">
        <f>IF(AND(Analysis_Helper!Q1900="BENGALURU",Analysis_Helper!L1900="Grocery"),Analysis_Helper!I1900,0)</f>
        <v/>
      </c>
    </row>
    <row r="1901">
      <c r="AO1901" s="55">
        <f>IF(AND(Analysis_Helper!Q1901="BENGALURU",Analysis_Helper!L1901="Grocery"),Analysis_Helper!I1901,0)</f>
        <v/>
      </c>
    </row>
    <row r="1902">
      <c r="AO1902" s="55">
        <f>IF(AND(Analysis_Helper!Q1902="BENGALURU",Analysis_Helper!L1902="Grocery"),Analysis_Helper!I1902,0)</f>
        <v/>
      </c>
    </row>
    <row r="1903">
      <c r="AO1903" s="55">
        <f>IF(AND(Analysis_Helper!Q1903="BENGALURU",Analysis_Helper!L1903="Grocery"),Analysis_Helper!I1903,0)</f>
        <v/>
      </c>
    </row>
    <row r="1904">
      <c r="AO1904" s="55">
        <f>IF(AND(Analysis_Helper!Q1904="BENGALURU",Analysis_Helper!L1904="Grocery"),Analysis_Helper!I1904,0)</f>
        <v/>
      </c>
    </row>
    <row r="1905">
      <c r="AO1905" s="55">
        <f>IF(AND(Analysis_Helper!Q1905="BENGALURU",Analysis_Helper!L1905="Grocery"),Analysis_Helper!I1905,0)</f>
        <v/>
      </c>
    </row>
    <row r="1906">
      <c r="AO1906" s="55">
        <f>IF(AND(Analysis_Helper!Q1906="BENGALURU",Analysis_Helper!L1906="Grocery"),Analysis_Helper!I1906,0)</f>
        <v/>
      </c>
    </row>
    <row r="1907">
      <c r="AO1907" s="55">
        <f>IF(AND(Analysis_Helper!Q1907="BENGALURU",Analysis_Helper!L1907="Grocery"),Analysis_Helper!I1907,0)</f>
        <v/>
      </c>
    </row>
    <row r="1908">
      <c r="AO1908" s="55">
        <f>IF(AND(Analysis_Helper!Q1908="BENGALURU",Analysis_Helper!L1908="Grocery"),Analysis_Helper!I1908,0)</f>
        <v/>
      </c>
    </row>
    <row r="1909">
      <c r="AO1909" s="55">
        <f>IF(AND(Analysis_Helper!Q1909="BENGALURU",Analysis_Helper!L1909="Grocery"),Analysis_Helper!I1909,0)</f>
        <v/>
      </c>
    </row>
    <row r="1910">
      <c r="AO1910" s="55">
        <f>IF(AND(Analysis_Helper!Q1910="BENGALURU",Analysis_Helper!L1910="Grocery"),Analysis_Helper!I1910,0)</f>
        <v/>
      </c>
    </row>
    <row r="1911">
      <c r="AO1911" s="55">
        <f>IF(AND(Analysis_Helper!Q1911="BENGALURU",Analysis_Helper!L1911="Grocery"),Analysis_Helper!I1911,0)</f>
        <v/>
      </c>
    </row>
    <row r="1912">
      <c r="AO1912" s="55">
        <f>IF(AND(Analysis_Helper!Q1912="BENGALURU",Analysis_Helper!L1912="Grocery"),Analysis_Helper!I1912,0)</f>
        <v/>
      </c>
    </row>
    <row r="1913">
      <c r="AO1913" s="55">
        <f>IF(AND(Analysis_Helper!Q1913="BENGALURU",Analysis_Helper!L1913="Grocery"),Analysis_Helper!I1913,0)</f>
        <v/>
      </c>
    </row>
    <row r="1914">
      <c r="AO1914" s="55">
        <f>IF(AND(Analysis_Helper!Q1914="BENGALURU",Analysis_Helper!L1914="Grocery"),Analysis_Helper!I1914,0)</f>
        <v/>
      </c>
    </row>
    <row r="1915">
      <c r="AO1915" s="55">
        <f>IF(AND(Analysis_Helper!Q1915="BENGALURU",Analysis_Helper!L1915="Grocery"),Analysis_Helper!I1915,0)</f>
        <v/>
      </c>
    </row>
    <row r="1916">
      <c r="AO1916" s="55">
        <f>IF(AND(Analysis_Helper!Q1916="BENGALURU",Analysis_Helper!L1916="Grocery"),Analysis_Helper!I1916,0)</f>
        <v/>
      </c>
    </row>
    <row r="1917">
      <c r="AO1917" s="55">
        <f>IF(AND(Analysis_Helper!Q1917="BENGALURU",Analysis_Helper!L1917="Grocery"),Analysis_Helper!I1917,0)</f>
        <v/>
      </c>
    </row>
    <row r="1918">
      <c r="AO1918" s="55">
        <f>IF(AND(Analysis_Helper!Q1918="BENGALURU",Analysis_Helper!L1918="Grocery"),Analysis_Helper!I1918,0)</f>
        <v/>
      </c>
    </row>
    <row r="1919">
      <c r="AO1919" s="55">
        <f>IF(AND(Analysis_Helper!Q1919="BENGALURU",Analysis_Helper!L1919="Grocery"),Analysis_Helper!I1919,0)</f>
        <v/>
      </c>
    </row>
    <row r="1920">
      <c r="AO1920" s="55">
        <f>IF(AND(Analysis_Helper!Q1920="BENGALURU",Analysis_Helper!L1920="Grocery"),Analysis_Helper!I1920,0)</f>
        <v/>
      </c>
    </row>
    <row r="1921">
      <c r="AO1921" s="55">
        <f>IF(AND(Analysis_Helper!Q1921="BENGALURU",Analysis_Helper!L1921="Grocery"),Analysis_Helper!I1921,0)</f>
        <v/>
      </c>
    </row>
    <row r="1922">
      <c r="AO1922" s="55">
        <f>IF(AND(Analysis_Helper!Q1922="BENGALURU",Analysis_Helper!L1922="Grocery"),Analysis_Helper!I1922,0)</f>
        <v/>
      </c>
    </row>
    <row r="1923">
      <c r="AO1923" s="55">
        <f>IF(AND(Analysis_Helper!Q1923="BENGALURU",Analysis_Helper!L1923="Grocery"),Analysis_Helper!I1923,0)</f>
        <v/>
      </c>
    </row>
    <row r="1924">
      <c r="AO1924" s="55">
        <f>IF(AND(Analysis_Helper!Q1924="BENGALURU",Analysis_Helper!L1924="Grocery"),Analysis_Helper!I1924,0)</f>
        <v/>
      </c>
    </row>
    <row r="1925">
      <c r="AO1925" s="55">
        <f>IF(AND(Analysis_Helper!Q1925="BENGALURU",Analysis_Helper!L1925="Grocery"),Analysis_Helper!I1925,0)</f>
        <v/>
      </c>
    </row>
    <row r="1926">
      <c r="AO1926" s="55">
        <f>IF(AND(Analysis_Helper!Q1926="BENGALURU",Analysis_Helper!L1926="Grocery"),Analysis_Helper!I1926,0)</f>
        <v/>
      </c>
    </row>
    <row r="1927">
      <c r="AO1927" s="55">
        <f>IF(AND(Analysis_Helper!Q1927="BENGALURU",Analysis_Helper!L1927="Grocery"),Analysis_Helper!I1927,0)</f>
        <v/>
      </c>
    </row>
    <row r="1928">
      <c r="AO1928" s="55">
        <f>IF(AND(Analysis_Helper!Q1928="BENGALURU",Analysis_Helper!L1928="Grocery"),Analysis_Helper!I1928,0)</f>
        <v/>
      </c>
    </row>
    <row r="1929">
      <c r="AO1929" s="55">
        <f>IF(AND(Analysis_Helper!Q1929="BENGALURU",Analysis_Helper!L1929="Grocery"),Analysis_Helper!I1929,0)</f>
        <v/>
      </c>
    </row>
    <row r="1930">
      <c r="AO1930" s="55">
        <f>IF(AND(Analysis_Helper!Q1930="BENGALURU",Analysis_Helper!L1930="Grocery"),Analysis_Helper!I1930,0)</f>
        <v/>
      </c>
    </row>
    <row r="1931">
      <c r="AO1931" s="55">
        <f>IF(AND(Analysis_Helper!Q1931="BENGALURU",Analysis_Helper!L1931="Grocery"),Analysis_Helper!I1931,0)</f>
        <v/>
      </c>
    </row>
    <row r="1932">
      <c r="AO1932" s="55">
        <f>IF(AND(Analysis_Helper!Q1932="BENGALURU",Analysis_Helper!L1932="Grocery"),Analysis_Helper!I1932,0)</f>
        <v/>
      </c>
    </row>
    <row r="1933">
      <c r="AO1933" s="55">
        <f>IF(AND(Analysis_Helper!Q1933="BENGALURU",Analysis_Helper!L1933="Grocery"),Analysis_Helper!I1933,0)</f>
        <v/>
      </c>
    </row>
    <row r="1934">
      <c r="AO1934" s="55">
        <f>IF(AND(Analysis_Helper!Q1934="BENGALURU",Analysis_Helper!L1934="Grocery"),Analysis_Helper!I1934,0)</f>
        <v/>
      </c>
    </row>
    <row r="1935">
      <c r="AO1935" s="55">
        <f>IF(AND(Analysis_Helper!Q1935="BENGALURU",Analysis_Helper!L1935="Grocery"),Analysis_Helper!I1935,0)</f>
        <v/>
      </c>
    </row>
    <row r="1936">
      <c r="AO1936" s="55">
        <f>IF(AND(Analysis_Helper!Q1936="BENGALURU",Analysis_Helper!L1936="Grocery"),Analysis_Helper!I1936,0)</f>
        <v/>
      </c>
    </row>
    <row r="1937">
      <c r="AO1937" s="55">
        <f>IF(AND(Analysis_Helper!Q1937="BENGALURU",Analysis_Helper!L1937="Grocery"),Analysis_Helper!I1937,0)</f>
        <v/>
      </c>
    </row>
    <row r="1938">
      <c r="AO1938" s="55">
        <f>IF(AND(Analysis_Helper!Q1938="BENGALURU",Analysis_Helper!L1938="Grocery"),Analysis_Helper!I1938,0)</f>
        <v/>
      </c>
    </row>
    <row r="1939">
      <c r="AO1939" s="55">
        <f>IF(AND(Analysis_Helper!Q1939="BENGALURU",Analysis_Helper!L1939="Grocery"),Analysis_Helper!I1939,0)</f>
        <v/>
      </c>
    </row>
    <row r="1940">
      <c r="AO1940" s="55">
        <f>IF(AND(Analysis_Helper!Q1940="BENGALURU",Analysis_Helper!L1940="Grocery"),Analysis_Helper!I1940,0)</f>
        <v/>
      </c>
    </row>
    <row r="1941">
      <c r="AO1941" s="55">
        <f>IF(AND(Analysis_Helper!Q1941="BENGALURU",Analysis_Helper!L1941="Grocery"),Analysis_Helper!I1941,0)</f>
        <v/>
      </c>
    </row>
    <row r="1942">
      <c r="AO1942" s="55">
        <f>IF(AND(Analysis_Helper!Q1942="BENGALURU",Analysis_Helper!L1942="Grocery"),Analysis_Helper!I1942,0)</f>
        <v/>
      </c>
    </row>
    <row r="1943">
      <c r="AO1943" s="55">
        <f>IF(AND(Analysis_Helper!Q1943="BENGALURU",Analysis_Helper!L1943="Grocery"),Analysis_Helper!I1943,0)</f>
        <v/>
      </c>
    </row>
    <row r="1944">
      <c r="AO1944" s="55">
        <f>IF(AND(Analysis_Helper!Q1944="BENGALURU",Analysis_Helper!L1944="Grocery"),Analysis_Helper!I1944,0)</f>
        <v/>
      </c>
    </row>
    <row r="1945">
      <c r="AO1945" s="55">
        <f>IF(AND(Analysis_Helper!Q1945="BENGALURU",Analysis_Helper!L1945="Grocery"),Analysis_Helper!I1945,0)</f>
        <v/>
      </c>
    </row>
    <row r="1946">
      <c r="AO1946" s="55">
        <f>IF(AND(Analysis_Helper!Q1946="BENGALURU",Analysis_Helper!L1946="Grocery"),Analysis_Helper!I1946,0)</f>
        <v/>
      </c>
    </row>
    <row r="1947">
      <c r="AO1947" s="55">
        <f>IF(AND(Analysis_Helper!Q1947="BENGALURU",Analysis_Helper!L1947="Grocery"),Analysis_Helper!I1947,0)</f>
        <v/>
      </c>
    </row>
    <row r="1948">
      <c r="AO1948" s="55">
        <f>IF(AND(Analysis_Helper!Q1948="BENGALURU",Analysis_Helper!L1948="Grocery"),Analysis_Helper!I1948,0)</f>
        <v/>
      </c>
    </row>
    <row r="1949">
      <c r="AO1949" s="55">
        <f>IF(AND(Analysis_Helper!Q1949="BENGALURU",Analysis_Helper!L1949="Grocery"),Analysis_Helper!I1949,0)</f>
        <v/>
      </c>
    </row>
    <row r="1950">
      <c r="AO1950" s="55">
        <f>IF(AND(Analysis_Helper!Q1950="BENGALURU",Analysis_Helper!L1950="Grocery"),Analysis_Helper!I1950,0)</f>
        <v/>
      </c>
    </row>
    <row r="1951">
      <c r="AO1951" s="55">
        <f>IF(AND(Analysis_Helper!Q1951="BENGALURU",Analysis_Helper!L1951="Grocery"),Analysis_Helper!I1951,0)</f>
        <v/>
      </c>
    </row>
    <row r="1952">
      <c r="AO1952" s="55">
        <f>IF(AND(Analysis_Helper!Q1952="BENGALURU",Analysis_Helper!L1952="Grocery"),Analysis_Helper!I1952,0)</f>
        <v/>
      </c>
    </row>
    <row r="1953">
      <c r="AO1953" s="55">
        <f>IF(AND(Analysis_Helper!Q1953="BENGALURU",Analysis_Helper!L1953="Grocery"),Analysis_Helper!I1953,0)</f>
        <v/>
      </c>
    </row>
    <row r="1954">
      <c r="AO1954" s="55">
        <f>IF(AND(Analysis_Helper!Q1954="BENGALURU",Analysis_Helper!L1954="Grocery"),Analysis_Helper!I1954,0)</f>
        <v/>
      </c>
    </row>
    <row r="1955">
      <c r="AO1955" s="55">
        <f>IF(AND(Analysis_Helper!Q1955="BENGALURU",Analysis_Helper!L1955="Grocery"),Analysis_Helper!I1955,0)</f>
        <v/>
      </c>
    </row>
    <row r="1956">
      <c r="AO1956" s="55">
        <f>IF(AND(Analysis_Helper!Q1956="BENGALURU",Analysis_Helper!L1956="Grocery"),Analysis_Helper!I1956,0)</f>
        <v/>
      </c>
    </row>
    <row r="1957">
      <c r="AO1957" s="55">
        <f>IF(AND(Analysis_Helper!Q1957="BENGALURU",Analysis_Helper!L1957="Grocery"),Analysis_Helper!I1957,0)</f>
        <v/>
      </c>
    </row>
    <row r="1958">
      <c r="AO1958" s="55">
        <f>IF(AND(Analysis_Helper!Q1958="BENGALURU",Analysis_Helper!L1958="Grocery"),Analysis_Helper!I1958,0)</f>
        <v/>
      </c>
    </row>
    <row r="1959">
      <c r="AO1959" s="55">
        <f>IF(AND(Analysis_Helper!Q1959="BENGALURU",Analysis_Helper!L1959="Grocery"),Analysis_Helper!I1959,0)</f>
        <v/>
      </c>
    </row>
    <row r="1960">
      <c r="AO1960" s="55">
        <f>IF(AND(Analysis_Helper!Q1960="BENGALURU",Analysis_Helper!L1960="Grocery"),Analysis_Helper!I1960,0)</f>
        <v/>
      </c>
    </row>
    <row r="1961">
      <c r="AO1961" s="55">
        <f>IF(AND(Analysis_Helper!Q1961="BENGALURU",Analysis_Helper!L1961="Grocery"),Analysis_Helper!I1961,0)</f>
        <v/>
      </c>
    </row>
    <row r="1962">
      <c r="AO1962" s="55">
        <f>IF(AND(Analysis_Helper!Q1962="BENGALURU",Analysis_Helper!L1962="Grocery"),Analysis_Helper!I1962,0)</f>
        <v/>
      </c>
    </row>
    <row r="1963">
      <c r="AO1963" s="55">
        <f>IF(AND(Analysis_Helper!Q1963="BENGALURU",Analysis_Helper!L1963="Grocery"),Analysis_Helper!I1963,0)</f>
        <v/>
      </c>
    </row>
    <row r="1964">
      <c r="AO1964" s="55">
        <f>IF(AND(Analysis_Helper!Q1964="BENGALURU",Analysis_Helper!L1964="Grocery"),Analysis_Helper!I1964,0)</f>
        <v/>
      </c>
    </row>
    <row r="1965">
      <c r="AO1965" s="55">
        <f>IF(AND(Analysis_Helper!Q1965="BENGALURU",Analysis_Helper!L1965="Grocery"),Analysis_Helper!I1965,0)</f>
        <v/>
      </c>
    </row>
    <row r="1966">
      <c r="AO1966" s="55">
        <f>IF(AND(Analysis_Helper!Q1966="BENGALURU",Analysis_Helper!L1966="Grocery"),Analysis_Helper!I1966,0)</f>
        <v/>
      </c>
    </row>
    <row r="1967">
      <c r="AO1967" s="55">
        <f>IF(AND(Analysis_Helper!Q1967="BENGALURU",Analysis_Helper!L1967="Grocery"),Analysis_Helper!I1967,0)</f>
        <v/>
      </c>
    </row>
    <row r="1968">
      <c r="AO1968" s="55">
        <f>IF(AND(Analysis_Helper!Q1968="BENGALURU",Analysis_Helper!L1968="Grocery"),Analysis_Helper!I1968,0)</f>
        <v/>
      </c>
    </row>
    <row r="1969">
      <c r="AO1969" s="55">
        <f>IF(AND(Analysis_Helper!Q1969="BENGALURU",Analysis_Helper!L1969="Grocery"),Analysis_Helper!I1969,0)</f>
        <v/>
      </c>
    </row>
    <row r="1970">
      <c r="AO1970" s="55">
        <f>IF(AND(Analysis_Helper!Q1970="BENGALURU",Analysis_Helper!L1970="Grocery"),Analysis_Helper!I1970,0)</f>
        <v/>
      </c>
    </row>
    <row r="1971">
      <c r="AO1971" s="55">
        <f>IF(AND(Analysis_Helper!Q1971="BENGALURU",Analysis_Helper!L1971="Grocery"),Analysis_Helper!I1971,0)</f>
        <v/>
      </c>
    </row>
    <row r="1972">
      <c r="AO1972" s="55">
        <f>IF(AND(Analysis_Helper!Q1972="BENGALURU",Analysis_Helper!L1972="Grocery"),Analysis_Helper!I1972,0)</f>
        <v/>
      </c>
    </row>
    <row r="1973">
      <c r="AO1973" s="55">
        <f>IF(AND(Analysis_Helper!Q1973="BENGALURU",Analysis_Helper!L1973="Grocery"),Analysis_Helper!I1973,0)</f>
        <v/>
      </c>
    </row>
    <row r="1974">
      <c r="AO1974" s="55">
        <f>IF(AND(Analysis_Helper!Q1974="BENGALURU",Analysis_Helper!L1974="Grocery"),Analysis_Helper!I1974,0)</f>
        <v/>
      </c>
    </row>
    <row r="1975">
      <c r="AO1975" s="55">
        <f>IF(AND(Analysis_Helper!Q1975="BENGALURU",Analysis_Helper!L1975="Grocery"),Analysis_Helper!I1975,0)</f>
        <v/>
      </c>
    </row>
    <row r="1976">
      <c r="AO1976" s="55">
        <f>IF(AND(Analysis_Helper!Q1976="BENGALURU",Analysis_Helper!L1976="Grocery"),Analysis_Helper!I1976,0)</f>
        <v/>
      </c>
    </row>
    <row r="1977">
      <c r="AO1977" s="55">
        <f>IF(AND(Analysis_Helper!Q1977="BENGALURU",Analysis_Helper!L1977="Grocery"),Analysis_Helper!I1977,0)</f>
        <v/>
      </c>
    </row>
    <row r="1978">
      <c r="AO1978" s="55">
        <f>IF(AND(Analysis_Helper!Q1978="BENGALURU",Analysis_Helper!L1978="Grocery"),Analysis_Helper!I1978,0)</f>
        <v/>
      </c>
    </row>
    <row r="1979">
      <c r="AO1979" s="55">
        <f>IF(AND(Analysis_Helper!Q1979="BENGALURU",Analysis_Helper!L1979="Grocery"),Analysis_Helper!I1979,0)</f>
        <v/>
      </c>
    </row>
    <row r="1980">
      <c r="AO1980" s="55">
        <f>IF(AND(Analysis_Helper!Q1980="BENGALURU",Analysis_Helper!L1980="Grocery"),Analysis_Helper!I1980,0)</f>
        <v/>
      </c>
    </row>
    <row r="1981">
      <c r="AO1981" s="55">
        <f>IF(AND(Analysis_Helper!Q1981="BENGALURU",Analysis_Helper!L1981="Grocery"),Analysis_Helper!I1981,0)</f>
        <v/>
      </c>
    </row>
    <row r="1982">
      <c r="AO1982" s="55">
        <f>IF(AND(Analysis_Helper!Q1982="BENGALURU",Analysis_Helper!L1982="Grocery"),Analysis_Helper!I1982,0)</f>
        <v/>
      </c>
    </row>
    <row r="1983">
      <c r="AO1983" s="55">
        <f>IF(AND(Analysis_Helper!Q1983="BENGALURU",Analysis_Helper!L1983="Grocery"),Analysis_Helper!I1983,0)</f>
        <v/>
      </c>
    </row>
    <row r="1984">
      <c r="AO1984" s="55">
        <f>IF(AND(Analysis_Helper!Q1984="BENGALURU",Analysis_Helper!L1984="Grocery"),Analysis_Helper!I1984,0)</f>
        <v/>
      </c>
    </row>
    <row r="1985">
      <c r="AO1985" s="55">
        <f>IF(AND(Analysis_Helper!Q1985="BENGALURU",Analysis_Helper!L1985="Grocery"),Analysis_Helper!I1985,0)</f>
        <v/>
      </c>
    </row>
    <row r="1986">
      <c r="AO1986" s="55">
        <f>IF(AND(Analysis_Helper!Q1986="BENGALURU",Analysis_Helper!L1986="Grocery"),Analysis_Helper!I1986,0)</f>
        <v/>
      </c>
    </row>
    <row r="1987">
      <c r="AO1987" s="55">
        <f>IF(AND(Analysis_Helper!Q1987="BENGALURU",Analysis_Helper!L1987="Grocery"),Analysis_Helper!I1987,0)</f>
        <v/>
      </c>
    </row>
    <row r="1988">
      <c r="AO1988" s="55">
        <f>IF(AND(Analysis_Helper!Q1988="BENGALURU",Analysis_Helper!L1988="Grocery"),Analysis_Helper!I1988,0)</f>
        <v/>
      </c>
    </row>
    <row r="1989">
      <c r="AO1989" s="55">
        <f>IF(AND(Analysis_Helper!Q1989="BENGALURU",Analysis_Helper!L1989="Grocery"),Analysis_Helper!I1989,0)</f>
        <v/>
      </c>
    </row>
    <row r="1990">
      <c r="AO1990" s="55">
        <f>IF(AND(Analysis_Helper!Q1990="BENGALURU",Analysis_Helper!L1990="Grocery"),Analysis_Helper!I1990,0)</f>
        <v/>
      </c>
    </row>
    <row r="1991">
      <c r="AO1991" s="55">
        <f>IF(AND(Analysis_Helper!Q1991="BENGALURU",Analysis_Helper!L1991="Grocery"),Analysis_Helper!I1991,0)</f>
        <v/>
      </c>
    </row>
    <row r="1992">
      <c r="AO1992" s="55">
        <f>IF(AND(Analysis_Helper!Q1992="BENGALURU",Analysis_Helper!L1992="Grocery"),Analysis_Helper!I1992,0)</f>
        <v/>
      </c>
    </row>
    <row r="1993">
      <c r="AO1993" s="55">
        <f>IF(AND(Analysis_Helper!Q1993="BENGALURU",Analysis_Helper!L1993="Grocery"),Analysis_Helper!I1993,0)</f>
        <v/>
      </c>
    </row>
    <row r="1994">
      <c r="AO1994" s="55">
        <f>IF(AND(Analysis_Helper!Q1994="BENGALURU",Analysis_Helper!L1994="Grocery"),Analysis_Helper!I1994,0)</f>
        <v/>
      </c>
    </row>
    <row r="1995">
      <c r="AO1995" s="55">
        <f>IF(AND(Analysis_Helper!Q1995="BENGALURU",Analysis_Helper!L1995="Grocery"),Analysis_Helper!I1995,0)</f>
        <v/>
      </c>
    </row>
    <row r="1996">
      <c r="AO1996" s="55">
        <f>IF(AND(Analysis_Helper!Q1996="BENGALURU",Analysis_Helper!L1996="Grocery"),Analysis_Helper!I1996,0)</f>
        <v/>
      </c>
    </row>
    <row r="1997">
      <c r="AO1997" s="55">
        <f>IF(AND(Analysis_Helper!Q1997="BENGALURU",Analysis_Helper!L1997="Grocery"),Analysis_Helper!I1997,0)</f>
        <v/>
      </c>
    </row>
    <row r="1998">
      <c r="AO1998" s="55">
        <f>IF(AND(Analysis_Helper!Q1998="BENGALURU",Analysis_Helper!L1998="Grocery"),Analysis_Helper!I1998,0)</f>
        <v/>
      </c>
    </row>
    <row r="1999">
      <c r="AO1999" s="55">
        <f>IF(AND(Analysis_Helper!Q1999="BENGALURU",Analysis_Helper!L1999="Grocery"),Analysis_Helper!I1999,0)</f>
        <v/>
      </c>
    </row>
    <row r="2000">
      <c r="AO2000" s="55">
        <f>IF(AND(Analysis_Helper!Q2000="BENGALURU",Analysis_Helper!L2000="Grocery"),Analysis_Helper!I2000,0)</f>
        <v/>
      </c>
    </row>
    <row r="2001">
      <c r="AO2001" s="55">
        <f>IF(AND(Analysis_Helper!Q2001="BENGALURU",Analysis_Helper!L2001="Grocery"),Analysis_Helper!I2001,0)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2026-08-08T11:39:42Z</dcterms:created>
  <dcterms:modified xmlns:dcterms="http://purl.org/dc/terms/" xmlns:xsi="http://www.w3.org/2001/XMLSchema-instance" xsi:type="dcterms:W3CDTF">2026-09-09T00:51:21Z</dcterms:modified>
  <cp:lastModifiedBy>Girish Kumar Badhautiya</cp:lastModifiedBy>
  <cp:revision>0</cp:revision>
</cp:coreProperties>
</file>